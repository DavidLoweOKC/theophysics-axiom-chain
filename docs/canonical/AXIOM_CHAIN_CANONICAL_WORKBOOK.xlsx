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ables/table3.xml" ContentType="application/vnd.openxmlformats-officedocument.spreadsheetml.table+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5d35818a7b4973" /></Relationships>
</file>

<file path=xl/workbook.xml><?xml version="1.0" encoding="utf-8"?>
<x:workbook xmlns:x="http://schemas.openxmlformats.org/spreadsheetml/2006/main">
  <x:sheets>
    <x:sheet xmlns:r="http://schemas.openxmlformats.org/officeDocument/2006/relationships" name="MERGE_README" sheetId="1" r:id="R7ed6984282074eaa"/>
    <x:sheet xmlns:r="http://schemas.openxmlformats.org/officeDocument/2006/relationships" name="00_README" sheetId="2" r:id="Rb5907b878a874081"/>
    <x:sheet xmlns:r="http://schemas.openxmlformats.org/officeDocument/2006/relationships" name="★ THE STORY" sheetId="3" r:id="R14ec5f5b67da4836"/>
    <x:sheet xmlns:r="http://schemas.openxmlformats.org/officeDocument/2006/relationships" name="01_Source_Doc" sheetId="4" r:id="R4d028637549940b0"/>
    <x:sheet xmlns:r="http://schemas.openxmlformats.org/officeDocument/2006/relationships" name="02_Claim_Ledger" sheetId="5" r:id="Rc8feaad6c6214299"/>
    <x:sheet xmlns:r="http://schemas.openxmlformats.org/officeDocument/2006/relationships" name="03_Objection_Ledger" sheetId="6" r:id="R8e9cd722cba146f3"/>
    <x:sheet xmlns:r="http://schemas.openxmlformats.org/officeDocument/2006/relationships" name="04_Taxonomy" sheetId="7" r:id="R802415526a284a2d"/>
    <x:sheet xmlns:r="http://schemas.openxmlformats.org/officeDocument/2006/relationships" name="05_Claim_Strength" sheetId="8" r:id="Rd42d85902e8a424e"/>
    <x:sheet xmlns:r="http://schemas.openxmlformats.org/officeDocument/2006/relationships" name="06_Flags" sheetId="9" r:id="R0dc288365f544979"/>
    <x:sheet xmlns:r="http://schemas.openxmlformats.org/officeDocument/2006/relationships" name="07_Dependency_Graph" sheetId="10" r:id="R7245263fd2a74f65"/>
    <x:sheet xmlns:r="http://schemas.openxmlformats.org/officeDocument/2006/relationships" name="08_Lean_Layers" sheetId="11" r:id="Ra33da9e0bd0d431e"/>
    <x:sheet xmlns:r="http://schemas.openxmlformats.org/officeDocument/2006/relationships" name="09_Dominance_Standard" sheetId="12" r:id="R35ddebd7ec1642df"/>
    <x:sheet xmlns:r="http://schemas.openxmlformats.org/officeDocument/2006/relationships" name="10_Module_Backlog" sheetId="13" r:id="Rc995a2f06f3b4d0a"/>
    <x:sheet xmlns:r="http://schemas.openxmlformats.org/officeDocument/2006/relationships" name="START HERE" sheetId="14" r:id="R5e5c8bf73b4246d6"/>
    <x:sheet xmlns:r="http://schemas.openxmlformats.org/officeDocument/2006/relationships" name="LEAN_CANONICAL_LEDGER" sheetId="15" r:id="R74072e1ed3fd4231"/>
    <x:sheet xmlns:r="http://schemas.openxmlformats.org/officeDocument/2006/relationships" name="LEAN_CANONICAL_LEDGER_V2" sheetId="16" r:id="Rcbad01f213e44cec"/>
    <x:sheet xmlns:r="http://schemas.openxmlformats.org/officeDocument/2006/relationships" name="Canonical Summary" sheetId="17" r:id="Rfee37330b4af49ba"/>
    <x:sheet xmlns:r="http://schemas.openxmlformats.org/officeDocument/2006/relationships" name="Proof Strength Summary" sheetId="18" r:id="Rd96e851af2564c24"/>
    <x:sheet xmlns:r="http://schemas.openxmlformats.org/officeDocument/2006/relationships" name="V2_REPAIR_SUMMARY" sheetId="19" r:id="R2ca131cf4f6c4cb9"/>
    <x:sheet xmlns:r="http://schemas.openxmlformats.org/officeDocument/2006/relationships" name="Workbook Alignment" sheetId="20" r:id="R70cd06c753ca42bf"/>
    <x:sheet xmlns:r="http://schemas.openxmlformats.org/officeDocument/2006/relationships" name="Structural Staging" sheetId="21" r:id="R324bbfb63d344737"/>
    <x:sheet xmlns:r="http://schemas.openxmlformats.org/officeDocument/2006/relationships" name="Missing From Workbook" sheetId="22" r:id="R4f181307fafa4014"/>
    <x:sheet xmlns:r="http://schemas.openxmlformats.org/officeDocument/2006/relationships" name="Recovered Missing Names" sheetId="23" r:id="Rde194b591c034738"/>
    <x:sheet xmlns:r="http://schemas.openxmlformats.org/officeDocument/2006/relationships" name="Embedded Add List" sheetId="24" r:id="Re2ab0747ee5c4cc4"/>
    <x:sheet xmlns:r="http://schemas.openxmlformats.org/officeDocument/2006/relationships" name="Open Guards" sheetId="25" r:id="Ra5f4858357b64d27"/>
    <x:sheet xmlns:r="http://schemas.openxmlformats.org/officeDocument/2006/relationships" name="False Positive Queue" sheetId="26" r:id="Ra1cce77a753249fc"/>
    <x:sheet xmlns:r="http://schemas.openxmlformats.org/officeDocument/2006/relationships" name="Load Bearing Controls" sheetId="27" r:id="R50ef4ff442dd4eb9"/>
    <x:sheet xmlns:r="http://schemas.openxmlformats.org/officeDocument/2006/relationships" name="Python Colab Audit" sheetId="28" r:id="Re2887b8e4f134b8b"/>
    <x:sheet xmlns:r="http://schemas.openxmlformats.org/officeDocument/2006/relationships" name="MERGE_SOURCE_MANIFEST" sheetId="29" r:id="R1e99adff952444a3"/>
    <x:sheet xmlns:r="http://schemas.openxmlformats.org/officeDocument/2006/relationships" name="MERGE_DUPLICATE_GROUPS" sheetId="30" r:id="R292c3d5f29a749ce"/>
    <x:sheet xmlns:r="http://schemas.openxmlformats.org/officeDocument/2006/relationships" name="ADDENDUM_DASHBOARD" sheetId="31" r:id="Rb9d76b2cd6374e76"/>
    <x:sheet xmlns:r="http://schemas.openxmlformats.org/officeDocument/2006/relationships" name="ADDENDUM_LEAN_DERIVATION_CHAIN" sheetId="32" r:id="R20729c3b745b4c55"/>
    <x:sheet xmlns:r="http://schemas.openxmlformats.org/officeDocument/2006/relationships" name="ADDENDUM_GAUNTLET_ARCHITECTURE" sheetId="33" r:id="Re14406f506394168"/>
    <x:sheet xmlns:r="http://schemas.openxmlformats.org/officeDocument/2006/relationships" name="ADDENDUM_EXCEL_ADD_LIST" sheetId="34" r:id="Rab4ef59048df4bf5"/>
    <x:sheet xmlns:r="http://schemas.openxmlformats.org/officeDocument/2006/relationships" name="ADDENDUM_LANE4_DOSSIER" sheetId="35" r:id="R800c6c3d12db48fe"/>
    <x:sheet xmlns:r="http://schemas.openxmlformats.org/officeDocument/2006/relationships" name="ADDENDUM_EMPIRICAL_TESTS" sheetId="36" r:id="R0169f587024d4bcb"/>
    <x:sheet xmlns:r="http://schemas.openxmlformats.org/officeDocument/2006/relationships" name="ADDENDUM_LOGIC_TANGENTS" sheetId="37" r:id="Rf24041e8440d4386"/>
    <x:sheet xmlns:r="http://schemas.openxmlformats.org/officeDocument/2006/relationships" name="ADDENDUM_INFRA_PUBLICATION" sheetId="38" r:id="Radeb6ae2e9ff4de3"/>
    <x:sheet xmlns:r="http://schemas.openxmlformats.org/officeDocument/2006/relationships" name="ADDENDUM_OPEN_PROBLEMS_GUARDS" sheetId="39" r:id="Rcdf7ed8bae354af6"/>
    <x:sheet xmlns:r="http://schemas.openxmlformats.org/officeDocument/2006/relationships" name="ADDENDUM_FALSE_POSITIVE_QUEUE" sheetId="40" r:id="R7fac710ab8ae498f"/>
    <x:sheet xmlns:r="http://schemas.openxmlformats.org/officeDocument/2006/relationships" name="ADDENDUM_ONE_AXIOM_PROBE" sheetId="41" r:id="Rb860de28b34d4437"/>
    <x:sheet xmlns:r="http://schemas.openxmlformats.org/officeDocument/2006/relationships" name="AUG18_FORMAL_CHECKPOINT" sheetId="42" r:id="R6e4ebbd9fe7d427b"/>
    <x:sheet xmlns:r="http://schemas.openxmlformats.org/officeDocument/2006/relationships" name="LEAN_CANON_AUDIT" sheetId="43" r:id="R0182420945a04d02"/>
    <x:sheet xmlns:r="http://schemas.openxmlformats.org/officeDocument/2006/relationships" name="AXIOM_V3_GRAPH_AUDIT" sheetId="44" r:id="R4dfa6d5192b54fe5"/>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164" formatCode="yyyy-mm-dd h:mm:ss"/>
    <x:numFmt numFmtId="200" formatCode="yyyy-mm-dd"/>
  </x:numFmts>
  <x:fonts count="29">
    <x:font>
      <x:sz val="11"/>
      <x:color theme="1"/>
      <x:name val="Aptos Narrow"/>
    </x:font>
    <x:font>
      <x:i/>
      <x:sz val="11"/>
      <x:color rgb="FF7F7F7F"/>
      <x:name val="Aptos Narrow"/>
    </x:font>
    <x:font>
      <x:b/>
      <x:sz val="11"/>
      <x:color theme="1"/>
      <x:name val="Aptos Narrow"/>
    </x:font>
    <x:font>
      <x:b/>
      <x:sz val="18"/>
      <x:color theme="1"/>
      <x:name val="Aptos Narrow"/>
    </x:font>
    <x:font>
      <x:sz val="10"/>
      <x:color theme="1"/>
      <x:name val="Arial Unicode MS"/>
    </x:font>
    <x:font>
      <x:b/>
      <x:sz val="24"/>
      <x:color theme="1"/>
      <x:name val="Aptos Narrow"/>
    </x:font>
    <x:font>
      <x:b/>
      <x:sz val="14"/>
      <x:color theme="1"/>
      <x:name val="Aptos Narrow"/>
    </x:font>
    <x:font>
      <x:sz val="9"/>
      <x:color theme="1"/>
      <x:name val="Consolas"/>
    </x:font>
    <x:font>
      <x:b/>
      <x:sz val="12"/>
      <x:color theme="1"/>
      <x:name val="Aptos Narrow"/>
    </x:font>
    <x:font>
      <x:sz val="11"/>
      <x:name val="Carlito"/>
    </x:font>
    <x:font>
      <x:b/>
      <x:sz val="11"/>
      <x:color rgb="FFFFFFFF"/>
      <x:name val="Carlito"/>
    </x:font>
    <x:font>
      <x:b/>
      <x:sz val="16"/>
      <x:color rgb="FFFFFFFF"/>
      <x:name val="Carlito"/>
    </x:font>
    <x:font>
      <x:b/>
      <x:sz val="11"/>
      <x:name val="Carlito"/>
    </x:font>
    <x:font>
      <x:b/>
      <x:sz val="16"/>
      <x:color rgb="FFD6B93B"/>
      <x:name val="Aptos Display"/>
    </x:font>
    <x:font>
      <x:b/>
      <x:sz val="11"/>
      <x:color rgb="FFB7B7B7"/>
      <x:name val="Carlito"/>
    </x:font>
    <x:font>
      <x:sz val="11"/>
      <x:color rgb="FFA0A0A0"/>
      <x:name val="Carlito"/>
    </x:font>
    <x:font>
      <x:b/>
      <x:sz val="14"/>
      <x:color rgb="FFFFFFFF"/>
      <x:name val="Carlito"/>
    </x:font>
    <x:font>
      <x:i/>
      <x:sz val="11"/>
      <x:color rgb="FF1F2937"/>
      <x:name val="Carlito"/>
    </x:font>
    <x:font>
      <x:b/>
      <x:sz val="18"/>
      <x:color rgb="FF7030A0"/>
      <x:name val="Aptos Narrow"/>
    </x:font>
    <x:font>
      <x:i/>
      <x:sz val="11"/>
      <x:color rgb="FF595959"/>
      <x:name val="Aptos Narrow"/>
    </x:font>
    <x:font>
      <x:b/>
      <x:sz val="11"/>
      <x:color rgb="FFFFFFFF"/>
      <x:name val="Aptos Narrow"/>
    </x:font>
    <x:font>
      <x:b/>
      <x:sz val="11"/>
      <x:color rgb="FF7030A0"/>
      <x:name val="Aptos Narrow"/>
    </x:font>
    <x:font>
      <x:b/>
      <x:sz val="16"/>
      <x:color rgb="FF2F5597"/>
      <x:name val="Aptos Narrow"/>
    </x:font>
    <x:font>
      <x:b/>
      <x:sz val="14"/>
      <x:color rgb="FFFFFFFF"/>
    </x:font>
    <x:font>
      <x:b/>
    </x:font>
    <x:font>
      <x:b/>
      <x:color rgb="FFFFFFFF"/>
    </x:font>
    <x:font>
      <x:b/>
      <x:sz val="14"/>
      <x:color rgb="FFFFFFFF"/>
      <x:name val="Aptos Narrow"/>
    </x:font>
    <x:font>
      <x:b/>
      <x:sz val="16"/>
      <x:color rgb="FFFFFFFF"/>
      <x:name val="Aptos Narrow"/>
    </x:font>
    <x:font>
      <x:b/>
      <x:sz val="11"/>
      <x:color rgb="FF17365D"/>
      <x:name val="Aptos Narrow"/>
    </x:font>
  </x:fonts>
  <x:fills count="48">
    <x:fill>
      <x:patternFill patternType="none"/>
    </x:fill>
    <x:fill>
      <x:patternFill patternType="gray125"/>
    </x:fill>
    <x:fill>
      <x:patternFill patternType="solid">
        <x:fgColor rgb="FFC6EFCE"/>
      </x:patternFill>
    </x:fill>
    <x:fill>
      <x:patternFill patternType="solid">
        <x:fgColor rgb="FFD9E1F2"/>
      </x:patternFill>
    </x:fill>
    <x:fill>
      <x:patternFill patternType="solid">
        <x:fgColor rgb="FFFCE4D6"/>
      </x:patternFill>
    </x:fill>
    <x:fill>
      <x:patternFill patternType="solid">
        <x:fgColor rgb="FF1F4E78"/>
      </x:patternFill>
    </x:fill>
    <x:fill>
      <x:patternFill patternType="solid">
        <x:fgColor rgb="FFE4DFEC"/>
      </x:patternFill>
    </x:fill>
    <x:fill>
      <x:patternFill patternType="solid">
        <x:fgColor rgb="FFFCE4D6"/>
      </x:patternFill>
    </x:fill>
    <x:fill>
      <x:patternFill patternType="solid">
        <x:fgColor rgb="FFFFF2CC"/>
      </x:patternFill>
    </x:fill>
    <x:fill>
      <x:patternFill patternType="solid">
        <x:fgColor rgb="FFF8CBAD"/>
      </x:patternFill>
    </x:fill>
    <x:fill>
      <x:patternFill patternType="solid">
        <x:fgColor rgb="FFD9EAD3"/>
      </x:patternFill>
    </x:fill>
    <x:fill>
      <x:patternFill patternType="solid">
        <x:fgColor rgb="FFE2F0D9"/>
      </x:patternFill>
    </x:fill>
    <x:fill>
      <x:patternFill patternType="solid">
        <x:fgColor rgb="FF0B1F33"/>
      </x:patternFill>
    </x:fill>
    <x:fill>
      <x:patternFill patternType="solid">
        <x:fgColor rgb="FFD9EAF7"/>
      </x:patternFill>
    </x:fill>
    <x:fill>
      <x:patternFill patternType="solid">
        <x:fgColor rgb="FF050505"/>
      </x:patternFill>
    </x:fill>
    <x:fill>
      <x:patternFill patternType="solid">
        <x:fgColor rgb="FF111111"/>
      </x:patternFill>
    </x:fill>
    <x:fill>
      <x:patternFill patternType="solid">
        <x:fgColor rgb="FF17365D"/>
      </x:patternFill>
    </x:fill>
    <x:fill>
      <x:patternFill patternType="solid">
        <x:fgColor rgb="FF5B9BD5"/>
      </x:patternFill>
    </x:fill>
    <x:fill>
      <x:patternFill patternType="solid">
        <x:fgColor rgb="FFE7E6E6"/>
      </x:patternFill>
    </x:fill>
    <x:fill>
      <x:patternFill patternType="solid">
        <x:fgColor rgb="FF7030A0"/>
      </x:patternFill>
    </x:fill>
    <x:fill>
      <x:patternFill patternType="solid">
        <x:fgColor rgb="FFEDEDED"/>
      </x:patternFill>
    </x:fill>
    <x:fill>
      <x:patternFill patternType="solid">
        <x:fgColor rgb="FFC6EFCE"/>
      </x:patternFill>
    </x:fill>
    <x:fill>
      <x:patternFill patternType="solid">
        <x:fgColor rgb="FFFFF2CC"/>
      </x:patternFill>
    </x:fill>
    <x:fill>
      <x:patternFill patternType="solid">
        <x:fgColor rgb="FFDDEBF7"/>
      </x:patternFill>
    </x:fill>
    <x:fill>
      <x:patternFill patternType="solid">
        <x:fgColor rgb="FFF8CBAD"/>
      </x:patternFill>
    </x:fill>
    <x:fill>
      <x:patternFill patternType="solid">
        <x:fgColor rgb="FFD9EAD3"/>
      </x:patternFill>
    </x:fill>
    <x:fill>
      <x:patternFill patternType="solid">
        <x:fgColor rgb="FFF2F2F2"/>
      </x:patternFill>
    </x:fill>
    <x:fill>
      <x:patternFill patternType="solid">
        <x:fgColor rgb="FFEDE6F5"/>
      </x:patternFill>
    </x:fill>
    <x:fill>
      <x:patternFill patternType="solid">
        <x:fgColor rgb="FF1F4E78"/>
      </x:patternFill>
    </x:fill>
    <x:fill>
      <x:patternFill patternType="solid">
        <x:fgColor rgb="FF5B9BD5"/>
      </x:patternFill>
    </x:fill>
    <x:fill>
      <x:patternFill patternType="solid">
        <x:fgColor rgb="FF1F4E78"/>
      </x:patternFill>
    </x:fill>
    <x:fill>
      <x:patternFill patternType="solid">
        <x:fgColor rgb="FFD9EAF7"/>
      </x:patternFill>
    </x:fill>
    <x:fill>
      <x:patternFill patternType="solid">
        <x:fgColor rgb="FFF7FBFF"/>
      </x:patternFill>
    </x:fill>
    <x:fill>
      <x:patternFill patternType="solid">
        <x:fgColor rgb="FF5B9BD5"/>
      </x:patternFill>
    </x:fill>
    <x:fill>
      <x:patternFill patternType="solid">
        <x:fgColor rgb="FFF4B183"/>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F7FBFF"/>
      </x:patternFill>
    </x:fill>
    <x:fill>
      <x:patternFill patternType="solid">
        <x:fgColor rgb="FF5B9BD5"/>
      </x:patternFill>
    </x:fill>
    <x:fill>
      <x:patternFill patternType="solid">
        <x:fgColor rgb="FFF4B183"/>
      </x:patternFill>
    </x:fill>
    <x:fill>
      <x:patternFill patternType="solid">
        <x:fgColor rgb="FFFFF2CC"/>
      </x:patternFill>
    </x:fill>
    <x:fill>
      <x:patternFill patternType="solid">
        <x:fgColor rgb="FF17365D"/>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1F4E78"/>
      </x:patternFill>
    </x:fill>
    <x:fill>
      <x:patternFill patternType="solid">
        <x:fgColor rgb="FF17365D"/>
      </x:patternFill>
    </x:fill>
  </x:fills>
  <x:borders count="41">
    <x:border/>
    <x:border>
      <x:bottom style="medium">
        <x:color rgb="FF5B9BD5"/>
      </x:bottom>
    </x:border>
    <x:border>
      <x:bottom style="thin">
        <x:color rgb="FFD9E2F3"/>
      </x:bottom>
    </x:border>
    <x:border>
      <x:left style="thin">
        <x:color rgb="FF7F7F7F"/>
      </x:left>
      <x:right style="thin">
        <x:color rgb="FF7F7F7F"/>
      </x:right>
      <x:top style="thin">
        <x:color rgb="FF7F7F7F"/>
      </x:top>
    </x:border>
    <x:border>
      <x:right style="thin">
        <x:color rgb="FF7F7F7F"/>
      </x:right>
      <x:top style="thin">
        <x:color rgb="FF7F7F7F"/>
      </x:top>
    </x:border>
    <x:border>
      <x:left style="thin">
        <x:color rgb="FF7F7F7F"/>
      </x:left>
    </x:border>
    <x:border>
      <x:right style="thin">
        <x:color rgb="FF7F7F7F"/>
      </x:right>
    </x:border>
    <x:border>
      <x:left style="thin">
        <x:color rgb="FF7F7F7F"/>
      </x:left>
      <x:bottom style="thin">
        <x:color rgb="FF7F7F7F"/>
      </x:bottom>
    </x:border>
    <x:border>
      <x:right style="thin">
        <x:color rgb="FF7F7F7F"/>
      </x:right>
      <x:bottom style="thin">
        <x:color rgb="FF7F7F7F"/>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bottom style="thin">
        <x:color rgb="FF262626"/>
      </x:bottom>
    </x:border>
    <x:border>
      <x:left style="thin">
        <x:color rgb="FFB7C9D9"/>
      </x:left>
      <x:top style="thin">
        <x:color rgb="FFB7C9D9"/>
      </x:top>
    </x:border>
    <x:border>
      <x:top style="thin">
        <x:color rgb="FFB7C9D9"/>
      </x:top>
    </x:border>
    <x:border>
      <x:right style="thin">
        <x:color rgb="FFB7C9D9"/>
      </x:right>
      <x:top style="thin">
        <x:color rgb="FFB7C9D9"/>
      </x:top>
    </x:border>
    <x:border>
      <x:left style="thin">
        <x:color rgb="FFB7C9D9"/>
      </x:left>
    </x:border>
    <x:border>
      <x:right style="thin">
        <x:color rgb="FFB7C9D9"/>
      </x:right>
    </x:border>
    <x:border>
      <x:left style="thin">
        <x:color rgb="FFB7C9D9"/>
      </x:left>
      <x:bottom style="thin">
        <x:color rgb="FFB7C9D9"/>
      </x:bottom>
    </x:border>
    <x:border>
      <x:bottom style="thin">
        <x:color rgb="FFB7C9D9"/>
      </x:bottom>
    </x:border>
    <x:border>
      <x:right style="thin">
        <x:color rgb="FFB7C9D9"/>
      </x:right>
      <x:bottom style="thin">
        <x:color rgb="FFB7C9D9"/>
      </x:bottom>
    </x:border>
    <x:border>
      <x:bottom style="thin">
        <x:color rgb="FFD9D9D9"/>
      </x:bottom>
    </x:border>
    <x:border>
      <x:top style="thin">
        <x:color rgb="FFD9D9D9"/>
      </x:top>
      <x:bottom style="thin">
        <x:color rgb="FFD9D9D9"/>
      </x:bottom>
    </x:border>
    <x:border>
      <x:top style="thin">
        <x:color rgb="FFD9D9D9"/>
      </x:top>
    </x:border>
    <x:border>
      <x:top style="thin">
        <x:color rgb="FF7F7F7F"/>
      </x:top>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
      <x:left style="thin">
        <x:color rgb="FFC9B458"/>
      </x:left>
      <x:right style="thin">
        <x:color rgb="FFC9B458"/>
      </x:right>
      <x:top style="thin">
        <x:color rgb="FFC9B458"/>
      </x:top>
      <x:bottom style="thin">
        <x:color rgb="FFC9B458"/>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s>
  <x:cellStyleXfs count="2">
    <x:xf numFmtId="0" fontId="0" fillId="0" borderId="0"/>
    <x:xf numFmtId="0" fontId="9" fillId="0" borderId="0"/>
  </x:cellStyleXfs>
  <x:cellXfs count="207">
    <x:xf numFmtId="0" fontId="0" fillId="0" borderId="0" xfId="0"/>
    <x:xf numFmtId="0" fontId="0" fillId="0" borderId="0" xfId="0" applyAlignment="1">
      <x:alignment vertical="center"/>
    </x:xf>
    <x:xf numFmtId="0" fontId="3" fillId="0" borderId="0" xfId="0" applyAlignment="1">
      <x:alignment vertical="center"/>
    </x:xf>
    <x:xf numFmtId="0" fontId="4" fillId="0" borderId="0" xfId="0" applyAlignment="1">
      <x:alignment vertical="center"/>
    </x:xf>
    <x:xf numFmtId="0" fontId="0" fillId="0" borderId="0" xfId="0" applyAlignment="1">
      <x:alignment horizontal="left" vertical="center"/>
    </x:xf>
    <x:xf numFmtId="0" fontId="2" fillId="0" borderId="0" xfId="0"/>
    <x:xf numFmtId="0" fontId="2" fillId="0" borderId="0" xfId="0" applyAlignment="1">
      <x:alignment horizontal="left" vertical="center"/>
    </x:xf>
    <x:xf numFmtId="0" fontId="5" fillId="0" borderId="0" xfId="0" applyAlignment="1">
      <x:alignment vertical="center"/>
    </x:xf>
    <x:xf numFmtId="0" fontId="6" fillId="0" borderId="0" xfId="0"/>
    <x:xf numFmtId="0" fontId="2" fillId="0" borderId="0" xfId="0" applyAlignment="1">
      <x:alignment wrapText="1"/>
    </x:xf>
    <x:xf numFmtId="0" fontId="2" fillId="0" borderId="0" xfId="0" applyAlignment="1">
      <x:alignment vertical="top"/>
    </x:xf>
    <x:xf numFmtId="0" fontId="0" fillId="0" borderId="0" xfId="0" applyAlignment="1">
      <x:alignment vertical="top"/>
    </x:xf>
    <x:xf numFmtId="0" fontId="0" fillId="0" borderId="0" xfId="0" applyAlignment="1">
      <x:alignment vertical="top" wrapText="1"/>
    </x:xf>
    <x:xf numFmtId="0" fontId="2" fillId="0" borderId="0" xfId="0" applyAlignment="1">
      <x:alignment vertical="top" wrapText="1"/>
    </x:xf>
    <x:xf numFmtId="0" fontId="1" fillId="0" borderId="0" xfId="0"/>
    <x:xf numFmtId="0" fontId="7" fillId="0" borderId="0" xfId="0" applyAlignment="1">
      <x:alignment vertical="top" wrapText="1"/>
    </x:xf>
    <x:xf numFmtId="0" fontId="8" fillId="3" borderId="0" xfId="0"/>
    <x:xf numFmtId="0" fontId="0" fillId="3" borderId="0" xfId="0"/>
    <x:xf numFmtId="0" fontId="10" fillId="5" borderId="1" xfId="1" applyAlignment="1">
      <x:alignment horizontal="center" vertical="center" wrapText="1"/>
    </x:xf>
    <x:xf numFmtId="0" fontId="9" fillId="0" borderId="0" xfId="1"/>
    <x:xf numFmtId="0" fontId="9" fillId="0" borderId="2" xfId="1" applyAlignment="1">
      <x:alignment vertical="top" wrapText="1"/>
    </x:xf>
    <x:xf numFmtId="0" fontId="9" fillId="6" borderId="2" xfId="1" applyAlignment="1">
      <x:alignment vertical="top" wrapText="1"/>
    </x:xf>
    <x:xf numFmtId="0" fontId="9" fillId="7" borderId="2" xfId="1" applyAlignment="1">
      <x:alignment vertical="top" wrapText="1"/>
    </x:xf>
    <x:xf numFmtId="0" fontId="9" fillId="8" borderId="2" xfId="1" applyAlignment="1">
      <x:alignment vertical="top" wrapText="1"/>
    </x:xf>
    <x:xf numFmtId="0" fontId="9" fillId="9" borderId="2" xfId="1" applyAlignment="1">
      <x:alignment vertical="top" wrapText="1"/>
    </x:xf>
    <x:xf numFmtId="0" fontId="9" fillId="10" borderId="2" xfId="1" applyAlignment="1">
      <x:alignment vertical="top" wrapText="1"/>
    </x:xf>
    <x:xf numFmtId="0" fontId="9" fillId="11" borderId="2" xfId="1" applyAlignment="1">
      <x:alignment vertical="top" wrapText="1"/>
    </x:xf>
    <x:xf numFmtId="0" fontId="10" fillId="5" borderId="0" xfId="1"/>
    <x:xf numFmtId="0" fontId="11" fillId="12" borderId="3" xfId="1" applyAlignment="1">
      <x:alignment wrapText="1"/>
    </x:xf>
    <x:xf numFmtId="0" fontId="9" fillId="0" borderId="4" xfId="1"/>
    <x:xf numFmtId="0" fontId="12" fillId="13" borderId="5" xfId="1" applyAlignment="1">
      <x:alignment wrapText="1"/>
    </x:xf>
    <x:xf numFmtId="0" fontId="9" fillId="0" borderId="6" xfId="1" applyAlignment="1">
      <x:alignment wrapText="1"/>
    </x:xf>
    <x:xf numFmtId="0" fontId="12" fillId="13" borderId="7" xfId="1" applyAlignment="1">
      <x:alignment wrapText="1"/>
    </x:xf>
    <x:xf numFmtId="0" fontId="9" fillId="0" borderId="8" xfId="1" applyAlignment="1">
      <x:alignment wrapText="1"/>
    </x:xf>
    <x:xf numFmtId="0" fontId="10" fillId="5" borderId="9" xfId="1" applyAlignment="1">
      <x:alignment wrapText="1"/>
    </x:xf>
    <x:xf numFmtId="0" fontId="10" fillId="5" borderId="10" xfId="1" applyAlignment="1">
      <x:alignment wrapText="1"/>
    </x:xf>
    <x:xf numFmtId="0" fontId="10" fillId="5" borderId="11" xfId="1" applyAlignment="1">
      <x:alignment wrapText="1"/>
    </x:xf>
    <x:xf numFmtId="0" fontId="9" fillId="0" borderId="12" xfId="1" applyAlignment="1">
      <x:alignment wrapText="1"/>
    </x:xf>
    <x:xf numFmtId="0" fontId="9" fillId="0" borderId="0" xfId="1" applyAlignment="1">
      <x:alignment wrapText="1"/>
    </x:xf>
    <x:xf numFmtId="0" fontId="9" fillId="0" borderId="13" xfId="1" applyAlignment="1">
      <x:alignment wrapText="1"/>
    </x:xf>
    <x:xf numFmtId="0" fontId="9" fillId="0" borderId="14" xfId="1" applyAlignment="1">
      <x:alignment wrapText="1"/>
    </x:xf>
    <x:xf numFmtId="0" fontId="9" fillId="0" borderId="15" xfId="1" applyAlignment="1">
      <x:alignment wrapText="1"/>
    </x:xf>
    <x:xf numFmtId="0" fontId="9" fillId="0" borderId="16" xfId="1" applyAlignment="1">
      <x:alignment wrapText="1"/>
    </x:xf>
    <x:xf numFmtId="0" fontId="13" fillId="14" borderId="17" xfId="1" applyAlignment="1">
      <x:alignment vertical="top" wrapText="1"/>
    </x:xf>
    <x:xf numFmtId="0" fontId="9" fillId="0" borderId="17" xfId="1"/>
    <x:xf numFmtId="0" fontId="14" fillId="15" borderId="17" xfId="1" applyAlignment="1">
      <x:alignment vertical="top" wrapText="1"/>
    </x:xf>
    <x:xf numFmtId="0" fontId="14" fillId="15" borderId="17" xfId="1" applyAlignment="1">
      <x:alignment vertical="top" wrapText="1"/>
    </x:xf>
    <x:xf numFmtId="0" fontId="10" fillId="15" borderId="17" xfId="1" applyAlignment="1">
      <x:alignment vertical="top" wrapText="1"/>
    </x:xf>
    <x:xf numFmtId="0" fontId="15" fillId="15" borderId="17" xfId="1" applyAlignment="1">
      <x:alignment vertical="top" wrapText="1"/>
    </x:xf>
    <x:xf numFmtId="0" fontId="9" fillId="0" borderId="0" xfId="1"/>
    <x:xf numFmtId="0" fontId="16" fillId="16" borderId="0" xfId="1"/>
    <x:xf numFmtId="0" fontId="17" fillId="13" borderId="0" xfId="1"/>
    <x:xf numFmtId="0" fontId="10" fillId="5" borderId="18" xfId="1"/>
    <x:xf numFmtId="0" fontId="10" fillId="5" borderId="19" xfId="1"/>
    <x:xf numFmtId="0" fontId="10" fillId="5" borderId="20" xfId="1"/>
    <x:xf numFmtId="0" fontId="9" fillId="0" borderId="21" xfId="1"/>
    <x:xf numFmtId="0" fontId="9" fillId="0" borderId="22" xfId="1"/>
    <x:xf numFmtId="0" fontId="9" fillId="0" borderId="23" xfId="1"/>
    <x:xf numFmtId="0" fontId="9" fillId="0" borderId="24" xfId="1"/>
    <x:xf numFmtId="0" fontId="9" fillId="0" borderId="25" xfId="1"/>
    <x:xf numFmtId="0" fontId="11" fillId="5" borderId="0" xfId="1"/>
    <x:xf numFmtId="0" fontId="12" fillId="0" borderId="0" xfId="1"/>
    <x:xf numFmtId="0" fontId="9" fillId="0" borderId="0" xfId="1" applyAlignment="1">
      <x:alignment vertical="top" wrapText="1"/>
    </x:xf>
    <x:xf numFmtId="0" fontId="10" fillId="17" borderId="2" xfId="1" applyAlignment="1">
      <x:alignment horizontal="center" vertical="center" wrapText="1"/>
    </x:xf>
    <x:xf numFmtId="0" fontId="9" fillId="18" borderId="2" xfId="1" applyAlignment="1">
      <x:alignment vertical="top" wrapText="1"/>
    </x:xf>
    <x:xf numFmtId="0" fontId="9" fillId="2" borderId="2" xfId="1" applyAlignment="1">
      <x:alignment vertical="top" wrapText="1"/>
    </x:xf>
    <x:xf numFmtId="0" fontId="18" fillId="0" borderId="0" xfId="0"/>
    <x:xf numFmtId="0" fontId="19" fillId="0" borderId="0" xfId="0"/>
    <x:xf numFmtId="0" fontId="19" fillId="0" borderId="0" xfId="0"/>
    <x:xf numFmtId="0" fontId="19" fillId="0" borderId="0" xfId="0" applyAlignment="1">
      <x:alignment vertical="top" wrapText="1"/>
    </x:xf>
    <x:xf numFmtId="0" fontId="20" fillId="19" borderId="26" xfId="0" applyAlignment="1">
      <x:alignment wrapText="1"/>
    </x:xf>
    <x:xf numFmtId="0" fontId="2" fillId="0" borderId="27" xfId="0" applyAlignment="1">
      <x:alignment horizontal="center" vertical="top" wrapText="1"/>
    </x:xf>
    <x:xf numFmtId="0" fontId="21" fillId="0" borderId="27" xfId="0" applyAlignment="1">
      <x:alignment vertical="top" wrapText="1"/>
    </x:xf>
    <x:xf numFmtId="0" fontId="0" fillId="0" borderId="27" xfId="0" applyAlignment="1">
      <x:alignment vertical="top" wrapText="1"/>
    </x:xf>
    <x:xf numFmtId="0" fontId="0" fillId="20" borderId="27" xfId="0" applyAlignment="1">
      <x:alignment vertical="top" wrapText="1"/>
    </x:xf>
    <x:xf numFmtId="0" fontId="0" fillId="21" borderId="27" xfId="0" applyAlignment="1">
      <x:alignment vertical="top" wrapText="1"/>
    </x:xf>
    <x:xf numFmtId="0" fontId="0" fillId="22" borderId="27" xfId="0" applyAlignment="1">
      <x:alignment vertical="top" wrapText="1"/>
    </x:xf>
    <x:xf numFmtId="0" fontId="0" fillId="23" borderId="27" xfId="0" applyAlignment="1">
      <x:alignment vertical="top" wrapText="1"/>
    </x:xf>
    <x:xf numFmtId="0" fontId="0" fillId="24" borderId="27" xfId="0" applyAlignment="1">
      <x:alignment vertical="top" wrapText="1"/>
    </x:xf>
    <x:xf numFmtId="0" fontId="0" fillId="25" borderId="27" xfId="0" applyAlignment="1">
      <x:alignment vertical="top" wrapText="1"/>
    </x:xf>
    <x:xf numFmtId="0" fontId="0" fillId="4" borderId="27" xfId="0" applyAlignment="1">
      <x:alignment vertical="top" wrapText="1"/>
    </x:xf>
    <x:xf numFmtId="0" fontId="0" fillId="26" borderId="27" xfId="0" applyAlignment="1">
      <x:alignment vertical="top" wrapText="1"/>
    </x:xf>
    <x:xf numFmtId="0" fontId="2" fillId="0" borderId="28" xfId="0" applyAlignment="1">
      <x:alignment horizontal="center" vertical="top" wrapText="1"/>
    </x:xf>
    <x:xf numFmtId="0" fontId="21" fillId="0" borderId="28" xfId="0" applyAlignment="1">
      <x:alignment vertical="top" wrapText="1"/>
    </x:xf>
    <x:xf numFmtId="0" fontId="0" fillId="0" borderId="28" xfId="0" applyAlignment="1">
      <x:alignment vertical="top" wrapText="1"/>
    </x:xf>
    <x:xf numFmtId="0" fontId="0" fillId="20" borderId="28" xfId="0" applyAlignment="1">
      <x:alignment vertical="top" wrapText="1"/>
    </x:xf>
    <x:xf numFmtId="0" fontId="22" fillId="0" borderId="0" xfId="0"/>
    <x:xf numFmtId="0" fontId="21" fillId="27" borderId="0" xfId="0"/>
    <x:xf numFmtId="0" fontId="8" fillId="3" borderId="0" xfId="0" applyAlignment="1">
      <x:alignment vertical="top"/>
    </x:xf>
    <x:xf numFmtId="0" fontId="0" fillId="3" borderId="0" xfId="0" applyAlignment="1">
      <x:alignment vertical="top" wrapText="1"/>
    </x:xf>
    <x:xf numFmtId="0" fontId="0" fillId="0" borderId="0" xfId="0" applyAlignment="1">
      <x:alignment vertical="top"/>
    </x:xf>
    <x:xf numFmtId="0" fontId="2" fillId="0" borderId="0" xfId="0" applyAlignment="1">
      <x:alignment horizontal="center" vertical="top"/>
    </x:xf>
    <x:xf numFmtId="0" fontId="0" fillId="0" borderId="4" xfId="0"/>
    <x:xf numFmtId="0" fontId="0" fillId="0" borderId="17" xfId="0"/>
    <x:xf numFmtId="164" fontId="0" fillId="0" borderId="0" xfId="0"/>
    <x:xf numFmtId="0" fontId="14" fillId="0" borderId="0" xfId="0"/>
    <x:xf numFmtId="0" fontId="10" fillId="0" borderId="0" xfId="0"/>
    <x:xf numFmtId="0" fontId="23" fillId="28" borderId="0" xfId="0"/>
    <x:xf numFmtId="0" fontId="24" fillId="0" borderId="0" xfId="0"/>
    <x:xf numFmtId="0" fontId="25" fillId="29" borderId="0" xfId="0" applyAlignment="1">
      <x:alignment wrapText="1"/>
    </x:xf>
    <x:xf numFmtId="0" fontId="0" fillId="30" borderId="0" xfId="0" applyNumberFormat="1" applyFont="1" applyFill="1" applyBorder="1"/>
    <x:xf numFmtId="0" fontId="26" fillId="30" borderId="0" xfId="0" applyNumberFormat="1" applyFont="1" applyFill="1" applyBorder="1"/>
    <x:xf numFmtId="0" fontId="26" fillId="30" borderId="0" xfId="0" applyNumberFormat="1" applyFont="1" applyFill="1" applyBorder="1" applyAlignment="1">
      <x:alignment horizontal="center"/>
    </x:xf>
    <x:xf numFmtId="0" fontId="26" fillId="30" borderId="0" xfId="0" applyNumberFormat="1" applyFont="1" applyFill="1" applyBorder="1" applyAlignment="1">
      <x:alignment horizontal="center" vertical="center"/>
    </x:xf>
    <x:xf numFmtId="0" fontId="0" fillId="31" borderId="0" xfId="0" applyNumberFormat="1" applyFont="1" applyFill="1" applyBorder="1"/>
    <x:xf numFmtId="0" fontId="2" fillId="31" borderId="0" xfId="0" applyNumberFormat="1" applyFont="1" applyFill="1" applyBorder="1"/>
    <x:xf numFmtId="0" fontId="2" fillId="31" borderId="0" xfId="0" applyNumberFormat="1" applyFont="1" applyFill="1" applyBorder="1" applyAlignment="1">
      <x:alignment wrapText="1"/>
    </x:xf>
    <x:xf numFmtId="0" fontId="0" fillId="32" borderId="0" xfId="0" applyNumberFormat="1" applyFont="1" applyFill="1" applyBorder="1"/>
    <x:xf numFmtId="0" fontId="0" fillId="32" borderId="0" xfId="0" applyNumberFormat="1" applyFont="1" applyFill="1" applyBorder="1" applyAlignment="1">
      <x:alignment wrapText="1"/>
    </x:xf>
    <x:xf numFmtId="0" fontId="2" fillId="31" borderId="30" xfId="0" applyNumberFormat="1" applyFont="1" applyFill="1" applyBorder="1" applyAlignment="1">
      <x:alignment wrapText="1"/>
    </x:xf>
    <x:xf numFmtId="0" fontId="0" fillId="32" borderId="30" xfId="0" applyNumberFormat="1" applyFont="1" applyFill="1" applyBorder="1" applyAlignment="1">
      <x:alignment wrapText="1"/>
    </x:xf>
    <x:xf numFmtId="0" fontId="0" fillId="33" borderId="0" xfId="0" applyNumberFormat="1" applyFont="1" applyFill="1" applyBorder="1"/>
    <x:xf numFmtId="0" fontId="20" fillId="33" borderId="0" xfId="0" applyNumberFormat="1" applyFont="1" applyFill="1" applyBorder="1"/>
    <x:xf numFmtId="0" fontId="20" fillId="33" borderId="0" xfId="0" applyNumberFormat="1" applyFont="1" applyFill="1" applyBorder="1" applyAlignment="1">
      <x:alignment wrapText="1"/>
    </x:xf>
    <x:xf numFmtId="0" fontId="20" fillId="33"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0" fillId="33" borderId="31" xfId="0" applyNumberFormat="1" applyFont="1" applyFill="1" applyBorder="1" applyAlignment="1">
      <x:alignment vertical="center" wrapText="1"/>
    </x:xf>
    <x:xf numFmtId="0" fontId="0" fillId="0" borderId="31" xfId="0" applyNumberFormat="1" applyFont="1" applyFill="1" applyBorder="1" applyAlignment="1">
      <x:alignment vertical="top" wrapText="1"/>
    </x:xf>
    <x:xf numFmtId="0" fontId="0"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horizontal="left"/>
    </x:xf>
    <x:xf numFmtId="0" fontId="0" fillId="35" borderId="0" xfId="0" applyNumberFormat="1" applyFont="1" applyFill="1" applyBorder="1"/>
    <x:xf numFmtId="0" fontId="0" fillId="35" borderId="0" xfId="0" applyNumberFormat="1" applyFont="1" applyFill="1" applyBorder="1" applyAlignment="1">
      <x:alignment wrapText="1"/>
    </x:xf>
    <x:xf numFmtId="0" fontId="0" fillId="35" borderId="0" xfId="0" applyNumberFormat="1" applyFont="1" applyFill="1" applyBorder="1" applyAlignment="1">
      <x:alignment vertical="top" wrapText="1"/>
    </x:xf>
    <x:xf numFmtId="0" fontId="2" fillId="34" borderId="32" xfId="0" applyNumberFormat="1" applyFont="1" applyFill="1" applyBorder="1" applyAlignment="1">
      <x:alignment horizontal="left"/>
    </x:xf>
    <x:xf numFmtId="0" fontId="0" fillId="35" borderId="32" xfId="0" applyNumberFormat="1" applyFont="1" applyFill="1" applyBorder="1" applyAlignment="1">
      <x:alignment vertical="top" wrapText="1"/>
    </x:xf>
    <x:xf numFmtId="0" fontId="0" fillId="36" borderId="0" xfId="0" applyNumberFormat="1" applyFont="1" applyFill="1" applyBorder="1"/>
    <x:xf numFmtId="0" fontId="26" fillId="36" borderId="0" xfId="0" applyNumberFormat="1" applyFont="1" applyFill="1" applyBorder="1"/>
    <x:xf numFmtId="0" fontId="26" fillId="36" borderId="0" xfId="0" applyNumberFormat="1" applyFont="1" applyFill="1" applyBorder="1" applyAlignment="1">
      <x:alignment horizontal="center"/>
    </x:xf>
    <x:xf numFmtId="0" fontId="26" fillId="36" borderId="0" xfId="0" applyNumberFormat="1" applyFont="1" applyFill="1" applyBorder="1" applyAlignment="1">
      <x:alignment horizontal="center" vertical="center"/>
    </x:xf>
    <x:xf numFmtId="0" fontId="0" fillId="37" borderId="0" xfId="0" applyNumberFormat="1" applyFont="1" applyFill="1" applyBorder="1"/>
    <x:xf numFmtId="0" fontId="2" fillId="37" borderId="0" xfId="0" applyNumberFormat="1" applyFont="1" applyFill="1" applyBorder="1"/>
    <x:xf numFmtId="0" fontId="2" fillId="37" borderId="0" xfId="0" applyNumberFormat="1" applyFont="1" applyFill="1" applyBorder="1" applyAlignment="1">
      <x:alignment wrapText="1"/>
    </x:xf>
    <x:xf numFmtId="0" fontId="0" fillId="38" borderId="0" xfId="0" applyNumberFormat="1" applyFont="1" applyFill="1" applyBorder="1"/>
    <x:xf numFmtId="0" fontId="0" fillId="38" borderId="0" xfId="0" applyNumberFormat="1" applyFont="1" applyFill="1" applyBorder="1" applyAlignment="1">
      <x:alignment wrapText="1"/>
    </x:xf>
    <x:xf numFmtId="0" fontId="2" fillId="37" borderId="30" xfId="0" applyNumberFormat="1" applyFont="1" applyFill="1" applyBorder="1" applyAlignment="1">
      <x:alignment wrapText="1"/>
    </x:xf>
    <x:xf numFmtId="0" fontId="0" fillId="38" borderId="30" xfId="0" applyNumberFormat="1" applyFont="1" applyFill="1" applyBorder="1" applyAlignment="1">
      <x:alignment wrapText="1"/>
    </x:xf>
    <x:xf numFmtId="0" fontId="0" fillId="39" borderId="0" xfId="0" applyNumberFormat="1" applyFont="1" applyFill="1" applyBorder="1"/>
    <x:xf numFmtId="0" fontId="20" fillId="39" borderId="0" xfId="0" applyNumberFormat="1" applyFont="1" applyFill="1" applyBorder="1"/>
    <x:xf numFmtId="0" fontId="20" fillId="39" borderId="0" xfId="0" applyNumberFormat="1" applyFont="1" applyFill="1" applyBorder="1" applyAlignment="1">
      <x:alignment wrapText="1"/>
    </x:xf>
    <x:xf numFmtId="0" fontId="20" fillId="39" borderId="0" xfId="0" applyNumberFormat="1" applyFont="1" applyFill="1" applyBorder="1" applyAlignment="1">
      <x:alignment vertical="center" wrapText="1"/>
    </x:xf>
    <x:xf numFmtId="0" fontId="20" fillId="39" borderId="31" xfId="0" applyNumberFormat="1" applyFont="1" applyFill="1" applyBorder="1" applyAlignment="1">
      <x:alignment vertical="center" wrapText="1"/>
    </x:xf>
    <x:xf numFmtId="0" fontId="0" fillId="40" borderId="0" xfId="0" applyNumberFormat="1" applyFont="1" applyFill="1" applyBorder="1"/>
    <x:xf numFmtId="0" fontId="2" fillId="40" borderId="0" xfId="0" applyNumberFormat="1" applyFont="1" applyFill="1" applyBorder="1"/>
    <x:xf numFmtId="0" fontId="2" fillId="40" borderId="0" xfId="0" applyNumberFormat="1" applyFont="1" applyFill="1" applyBorder="1" applyAlignment="1">
      <x:alignment horizontal="left"/>
    </x:xf>
    <x:xf numFmtId="0" fontId="0" fillId="41" borderId="0" xfId="0" applyNumberFormat="1" applyFont="1" applyFill="1" applyBorder="1"/>
    <x:xf numFmtId="0" fontId="0" fillId="41" borderId="0" xfId="0" applyNumberFormat="1" applyFont="1" applyFill="1" applyBorder="1" applyAlignment="1">
      <x:alignment wrapText="1"/>
    </x:xf>
    <x:xf numFmtId="0" fontId="0" fillId="41" borderId="0" xfId="0" applyNumberFormat="1" applyFont="1" applyFill="1" applyBorder="1" applyAlignment="1">
      <x:alignment vertical="top" wrapText="1"/>
    </x:xf>
    <x:xf numFmtId="0" fontId="2" fillId="40" borderId="32" xfId="0" applyNumberFormat="1" applyFont="1" applyFill="1" applyBorder="1" applyAlignment="1">
      <x:alignment horizontal="left"/>
    </x:xf>
    <x:xf numFmtId="0" fontId="0" fillId="41" borderId="32" xfId="0" applyNumberFormat="1" applyFont="1" applyFill="1" applyBorder="1" applyAlignment="1">
      <x:alignment vertical="top" wrapText="1"/>
    </x:xf>
    <x:xf numFmtId="0" fontId="0" fillId="42" borderId="0" xfId="0" applyNumberFormat="1" applyFont="1" applyFill="1" applyBorder="1"/>
    <x:xf numFmtId="0" fontId="27" fillId="42" borderId="0" xfId="0" applyNumberFormat="1" applyFont="1" applyFill="1" applyBorder="1"/>
    <x:xf numFmtId="0" fontId="27" fillId="42" borderId="0" xfId="0" applyNumberFormat="1" applyFont="1" applyFill="1" applyBorder="1" applyAlignment="1">
      <x:alignment horizontal="center"/>
    </x:xf>
    <x:xf numFmtId="0" fontId="27" fillId="42" borderId="0" xfId="0" applyNumberFormat="1" applyFont="1" applyFill="1" applyBorder="1" applyAlignment="1">
      <x:alignment horizontal="center" vertical="center"/>
    </x:xf>
    <x:xf numFmtId="0" fontId="0" fillId="43" borderId="0" xfId="0" applyNumberFormat="1" applyFont="1" applyFill="1" applyBorder="1"/>
    <x:xf numFmtId="0" fontId="20" fillId="43" borderId="0" xfId="0" applyNumberFormat="1" applyFont="1" applyFill="1" applyBorder="1"/>
    <x:xf numFmtId="0" fontId="20" fillId="43" borderId="0" xfId="0" applyNumberFormat="1" applyFont="1" applyFill="1" applyBorder="1" applyAlignment="1">
      <x:alignment wrapText="1"/>
    </x:xf>
    <x:xf numFmtId="0" fontId="20" fillId="43" borderId="0" xfId="0" applyNumberFormat="1" applyFont="1" applyFill="1" applyBorder="1" applyAlignment="1">
      <x:alignment vertical="top" wrapText="1"/>
    </x:xf>
    <x:xf numFmtId="0" fontId="27" fillId="42" borderId="33" xfId="0" applyNumberFormat="1" applyFont="1" applyFill="1" applyBorder="1" applyAlignment="1">
      <x:alignment horizontal="center" vertical="center"/>
    </x:xf>
    <x:xf numFmtId="0" fontId="27" fillId="42" borderId="34" xfId="0" applyNumberFormat="1" applyFont="1" applyFill="1" applyBorder="1" applyAlignment="1">
      <x:alignment horizontal="center" vertical="center"/>
    </x:xf>
    <x:xf numFmtId="0" fontId="27" fillId="42" borderId="35" xfId="0" applyNumberFormat="1" applyFont="1" applyFill="1" applyBorder="1" applyAlignment="1">
      <x:alignment horizontal="center" vertical="center"/>
    </x:xf>
    <x:xf numFmtId="0" fontId="0" fillId="0" borderId="36" xfId="0" applyNumberFormat="1" applyFont="1" applyFill="1" applyBorder="1"/>
    <x:xf numFmtId="0" fontId="0" fillId="0" borderId="31" xfId="0" applyNumberFormat="1" applyFont="1" applyFill="1" applyBorder="1"/>
    <x:xf numFmtId="0" fontId="0" fillId="0" borderId="37" xfId="0" applyNumberFormat="1" applyFont="1" applyFill="1" applyBorder="1"/>
    <x:xf numFmtId="0" fontId="20" fillId="43" borderId="36" xfId="0" applyNumberFormat="1" applyFont="1" applyFill="1" applyBorder="1" applyAlignment="1">
      <x:alignment vertical="top" wrapText="1"/>
    </x:xf>
    <x:xf numFmtId="0" fontId="20" fillId="43" borderId="31" xfId="0" applyNumberFormat="1" applyFont="1" applyFill="1" applyBorder="1" applyAlignment="1">
      <x:alignment vertical="top" wrapText="1"/>
    </x:xf>
    <x:xf numFmtId="0" fontId="20" fillId="43" borderId="37" xfId="0" applyNumberFormat="1" applyFont="1" applyFill="1" applyBorder="1" applyAlignment="1">
      <x:alignment vertical="top" wrapText="1"/>
    </x:xf>
    <x:xf numFmtId="0" fontId="0" fillId="0" borderId="36" xfId="0" applyNumberFormat="1" applyFont="1" applyFill="1" applyBorder="1" applyAlignment="1">
      <x:alignment vertical="top" wrapText="1"/>
    </x:xf>
    <x:xf numFmtId="0" fontId="0" fillId="0" borderId="37" xfId="0" applyNumberFormat="1" applyFont="1" applyFill="1" applyBorder="1" applyAlignment="1">
      <x:alignment vertical="top" wrapText="1"/>
    </x:xf>
    <x:xf numFmtId="0" fontId="0" fillId="0" borderId="38" xfId="0" applyNumberFormat="1" applyFont="1" applyFill="1" applyBorder="1" applyAlignment="1">
      <x:alignment vertical="top" wrapText="1"/>
    </x:xf>
    <x:xf numFmtId="0" fontId="0" fillId="0" borderId="39" xfId="0" applyNumberFormat="1" applyFont="1" applyFill="1" applyBorder="1" applyAlignment="1">
      <x:alignment vertical="top" wrapText="1"/>
    </x:xf>
    <x:xf numFmtId="0" fontId="0" fillId="0" borderId="40" xfId="0" applyNumberFormat="1" applyFont="1" applyFill="1" applyBorder="1" applyAlignment="1">
      <x:alignment vertical="top" wrapText="1"/>
    </x:xf>
    <x:xf numFmtId="0" fontId="28" fillId="0" borderId="36" xfId="0" applyNumberFormat="1" applyFont="1" applyFill="1" applyBorder="1" applyAlignment="1">
      <x:alignment vertical="top" wrapText="1"/>
    </x:xf>
    <x:xf numFmtId="0" fontId="28" fillId="0" borderId="31" xfId="0" applyNumberFormat="1" applyFont="1" applyFill="1" applyBorder="1" applyAlignment="1">
      <x:alignment vertical="top" wrapText="1"/>
    </x:xf>
    <x:xf numFmtId="200" fontId="0" fillId="0" borderId="31" xfId="0" applyNumberFormat="1" applyFont="1" applyFill="1" applyBorder="1" applyAlignment="1">
      <x:alignment vertical="top" wrapText="1"/>
    </x:xf>
    <x:xf numFmtId="0" fontId="0" fillId="44" borderId="0" xfId="0" applyNumberFormat="1" applyFont="1" applyFill="1" applyBorder="1"/>
    <x:xf numFmtId="0" fontId="20" fillId="44" borderId="0" xfId="0" applyNumberFormat="1" applyFont="1" applyFill="1" applyBorder="1"/>
    <x:xf numFmtId="0" fontId="20" fillId="44" borderId="0" xfId="0" applyNumberFormat="1" applyFont="1" applyFill="1" applyBorder="1" applyAlignment="1">
      <x:alignment wrapText="1"/>
    </x:xf>
    <x:xf numFmtId="0" fontId="27" fillId="45" borderId="33" xfId="0" applyNumberFormat="1" applyFont="1" applyFill="1" applyBorder="1" applyAlignment="1">
      <x:alignment horizontal="center" vertical="center"/>
    </x:xf>
    <x:xf numFmtId="0" fontId="27" fillId="45" borderId="34" xfId="0" applyNumberFormat="1" applyFont="1" applyFill="1" applyBorder="1" applyAlignment="1">
      <x:alignment horizontal="center" vertical="center"/>
    </x:xf>
    <x:xf numFmtId="0" fontId="27" fillId="45" borderId="35" xfId="0" applyNumberFormat="1" applyFont="1" applyFill="1" applyBorder="1" applyAlignment="1">
      <x:alignment horizontal="center" vertical="center"/>
    </x:xf>
    <x:xf numFmtId="0" fontId="20" fillId="44" borderId="36" xfId="0" applyNumberFormat="1" applyFont="1" applyFill="1" applyBorder="1" applyAlignment="1">
      <x:alignment vertical="top" wrapText="1"/>
    </x:xf>
    <x:xf numFmtId="0" fontId="20" fillId="44" borderId="31" xfId="0" applyNumberFormat="1" applyFont="1" applyFill="1" applyBorder="1" applyAlignment="1">
      <x:alignment vertical="top" wrapText="1"/>
    </x:xf>
    <x:xf numFmtId="0" fontId="20" fillId="44" borderId="37" xfId="0" applyNumberFormat="1" applyFont="1" applyFill="1" applyBorder="1" applyAlignment="1">
      <x:alignment vertical="top" wrapText="1"/>
    </x:xf>
    <x:xf numFmtId="0" fontId="0" fillId="44" borderId="36" xfId="0" applyNumberFormat="1" applyFont="1" applyFill="1" applyBorder="1" applyAlignment="1">
      <x:alignment vertical="top" wrapText="1"/>
    </x:xf>
    <x:xf numFmtId="0" fontId="0" fillId="44" borderId="31" xfId="0" applyNumberFormat="1" applyFont="1" applyFill="1" applyBorder="1" applyAlignment="1">
      <x:alignment vertical="top" wrapText="1"/>
    </x:xf>
    <x:xf numFmtId="0" fontId="0" fillId="44" borderId="37" xfId="0" applyNumberFormat="1" applyFont="1" applyFill="1" applyBorder="1" applyAlignment="1">
      <x:alignment vertical="top" wrapText="1"/>
    </x:xf>
    <x:xf numFmtId="0" fontId="20" fillId="5" borderId="36" xfId="0" applyNumberFormat="1" applyFont="1" applyFill="1" applyBorder="1" applyAlignment="1">
      <x:alignment vertical="top" wrapText="1"/>
    </x:xf>
    <x:xf numFmtId="0" fontId="20" fillId="5" borderId="31" xfId="0" applyNumberFormat="1" applyFont="1" applyFill="1" applyBorder="1" applyAlignment="1">
      <x:alignment vertical="top" wrapText="1"/>
    </x:xf>
    <x:xf numFmtId="0" fontId="20" fillId="5" borderId="37" xfId="0" applyNumberFormat="1" applyFont="1" applyFill="1" applyBorder="1" applyAlignment="1">
      <x:alignment vertical="top" wrapText="1"/>
    </x:xf>
    <x:xf numFmtId="0" fontId="20" fillId="44" borderId="0" xfId="0" applyNumberFormat="1" applyFont="1" applyFill="1" applyBorder="1" applyAlignment="1">
      <x:alignment vertical="top" wrapText="1"/>
    </x:xf>
    <x:xf numFmtId="0" fontId="28" fillId="5" borderId="36" xfId="0" applyNumberFormat="1" applyFont="1" applyFill="1" applyBorder="1" applyAlignment="1">
      <x:alignment vertical="top" wrapText="1"/>
    </x:xf>
    <x:xf numFmtId="0" fontId="20" fillId="46" borderId="0" xfId="0" applyNumberFormat="1" applyFont="1" applyFill="1" applyBorder="1" applyAlignment="1">
      <x:alignment wrapText="1"/>
    </x:xf>
    <x:xf numFmtId="0" fontId="0" fillId="47" borderId="0" xfId="0" applyNumberFormat="1" applyFont="1" applyFill="1" applyBorder="1"/>
    <x:xf numFmtId="0" fontId="27" fillId="47" borderId="0" xfId="0" applyNumberFormat="1" applyFont="1" applyFill="1" applyBorder="1"/>
    <x:xf numFmtId="0" fontId="27" fillId="47" borderId="0" xfId="0" applyNumberFormat="1" applyFont="1" applyFill="1" applyBorder="1" applyAlignment="1">
      <x:alignment horizontal="center"/>
    </x:xf>
    <x:xf numFmtId="0" fontId="27" fillId="47" borderId="0" xfId="0" applyNumberFormat="1" applyFont="1" applyFill="1" applyBorder="1" applyAlignment="1">
      <x:alignment horizontal="center" vertical="center"/>
    </x:xf>
    <x:xf numFmtId="0" fontId="0" fillId="46" borderId="0" xfId="0" applyNumberFormat="1" applyFont="1" applyFill="1" applyBorder="1"/>
    <x:xf numFmtId="0" fontId="20" fillId="46" borderId="0" xfId="0" applyNumberFormat="1" applyFont="1" applyFill="1" applyBorder="1"/>
    <x:xf numFmtId="0" fontId="20" fillId="46" borderId="0" xfId="0" applyNumberFormat="1" applyFont="1" applyFill="1" applyBorder="1" applyAlignment="1">
      <x:alignment vertical="top" wrapText="1"/>
    </x:xf>
    <x:xf numFmtId="0" fontId="27" fillId="47" borderId="33" xfId="0" applyNumberFormat="1" applyFont="1" applyFill="1" applyBorder="1" applyAlignment="1">
      <x:alignment horizontal="center" vertical="center"/>
    </x:xf>
    <x:xf numFmtId="0" fontId="27" fillId="47" borderId="34" xfId="0" applyNumberFormat="1" applyFont="1" applyFill="1" applyBorder="1" applyAlignment="1">
      <x:alignment horizontal="center" vertical="center"/>
    </x:xf>
    <x:xf numFmtId="0" fontId="27" fillId="47" borderId="35" xfId="0" applyNumberFormat="1" applyFont="1" applyFill="1" applyBorder="1" applyAlignment="1">
      <x:alignment horizontal="center" vertical="center"/>
    </x:xf>
    <x:xf numFmtId="0" fontId="20" fillId="46" borderId="36" xfId="0" applyNumberFormat="1" applyFont="1" applyFill="1" applyBorder="1" applyAlignment="1">
      <x:alignment vertical="top" wrapText="1"/>
    </x:xf>
    <x:xf numFmtId="0" fontId="20" fillId="46" borderId="31" xfId="0" applyNumberFormat="1" applyFont="1" applyFill="1" applyBorder="1" applyAlignment="1">
      <x:alignment vertical="top" wrapText="1"/>
    </x:xf>
    <x:xf numFmtId="0" fontId="20" fillId="46" borderId="37" xfId="0" applyNumberFormat="1" applyFont="1" applyFill="1" applyBorder="1" applyAlignment="1">
      <x:alignment vertical="top" wrapText="1"/>
    </x:xf>
  </x:cellXfs>
  <x:cellStyles count="2">
    <x:cellStyle name="Normal" xfId="0"/>
    <x:cellStyle name="Normal 2" xfId="1"/>
  </x:cellStyles>
  <x:dxfs count="50">
    <x:dxf>
      <x:fill>
        <x:patternFill>
          <x:bgColor indexed="64"/>
        </x:patternFill>
      </x:fill>
    </x:dxf>
    <x:dxf/>
    <x:dxf/>
    <x:dxf/>
    <x:dxf/>
    <x:dxf/>
    <x:dxf/>
    <x:dxf/>
    <x:dxf/>
    <x:dxf/>
    <x:dxf>
      <x:font>
        <x:b/>
      </x:font>
    </x:dxf>
    <x:dxf>
      <x:font>
        <x:b/>
      </x:font>
    </x:dxf>
    <x:dxf/>
    <x:dxf/>
    <x:dxf/>
    <x:dxf/>
    <x:dxf/>
    <x:dxf/>
    <x:dxf/>
    <x:dxf/>
    <x:dxf/>
    <x:dxf/>
    <x:dxf/>
    <x:dxf/>
    <x:dxf/>
    <x:dxf/>
    <x:dxf>
      <x:font>
        <x:b/>
      </x:font>
    </x:dxf>
    <x:dxf>
      <x:font>
        <x:b/>
      </x:font>
    </x:dxf>
    <x:dxf/>
    <x:dxf/>
    <x:dxf/>
    <x:dxf/>
    <x:dxf/>
    <x:dxf/>
    <x:dxf/>
    <x:dxf/>
    <x:dxf/>
    <x:dxf/>
    <x:dxf/>
    <x:dxf/>
    <x:dxf/>
    <x:dxf/>
    <x:dxf/>
    <x:dxf/>
    <x:dxf/>
    <x:dxf/>
    <x:dxf/>
    <x:dxf/>
    <x:dxf/>
    <x:dxf>
      <x:font>
        <x:b/>
      </x:font>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5969d959be0249fa" /><Relationship Type="http://schemas.openxmlformats.org/officeDocument/2006/relationships/theme" Target="/xl/theme/theme1.xml" Id="R80d974c1603542e6" /><Relationship Type="http://schemas.openxmlformats.org/officeDocument/2006/relationships/sharedStrings" Target="/xl/sharedStrings.xml" Id="R80d64e8ab39a4839" /><Relationship Type="http://schemas.openxmlformats.org/officeDocument/2006/relationships/worksheet" Target="/xl/worksheets/sheet1.xml" Id="R7ed6984282074eaa" /><Relationship Type="http://schemas.openxmlformats.org/officeDocument/2006/relationships/worksheet" Target="/xl/worksheets/sheet2.xml" Id="Rb5907b878a874081" /><Relationship Type="http://schemas.openxmlformats.org/officeDocument/2006/relationships/worksheet" Target="/xl/worksheets/sheet3.xml" Id="R14ec5f5b67da4836" /><Relationship Type="http://schemas.openxmlformats.org/officeDocument/2006/relationships/worksheet" Target="/xl/worksheets/sheet4.xml" Id="R4d028637549940b0" /><Relationship Type="http://schemas.openxmlformats.org/officeDocument/2006/relationships/worksheet" Target="/xl/worksheets/sheet5.xml" Id="Rc8feaad6c6214299" /><Relationship Type="http://schemas.openxmlformats.org/officeDocument/2006/relationships/worksheet" Target="/xl/worksheets/sheet6.xml" Id="R8e9cd722cba146f3" /><Relationship Type="http://schemas.openxmlformats.org/officeDocument/2006/relationships/worksheet" Target="/xl/worksheets/sheet7.xml" Id="R802415526a284a2d" /><Relationship Type="http://schemas.openxmlformats.org/officeDocument/2006/relationships/worksheet" Target="/xl/worksheets/sheet8.xml" Id="Rd42d85902e8a424e" /><Relationship Type="http://schemas.openxmlformats.org/officeDocument/2006/relationships/worksheet" Target="/xl/worksheets/sheet9.xml" Id="R0dc288365f544979" /><Relationship Type="http://schemas.openxmlformats.org/officeDocument/2006/relationships/worksheet" Target="/xl/worksheets/sheet10.xml" Id="R7245263fd2a74f65" /><Relationship Type="http://schemas.openxmlformats.org/officeDocument/2006/relationships/worksheet" Target="/xl/worksheets/sheet11.xml" Id="Ra33da9e0bd0d431e" /><Relationship Type="http://schemas.openxmlformats.org/officeDocument/2006/relationships/worksheet" Target="/xl/worksheets/sheet12.xml" Id="R35ddebd7ec1642df" /><Relationship Type="http://schemas.openxmlformats.org/officeDocument/2006/relationships/worksheet" Target="/xl/worksheets/sheet13.xml" Id="Rc995a2f06f3b4d0a" /><Relationship Type="http://schemas.openxmlformats.org/officeDocument/2006/relationships/worksheet" Target="/xl/worksheets/sheet14.xml" Id="R5e5c8bf73b4246d6" /><Relationship Type="http://schemas.openxmlformats.org/officeDocument/2006/relationships/worksheet" Target="/xl/worksheets/sheet15.xml" Id="R74072e1ed3fd4231" /><Relationship Type="http://schemas.openxmlformats.org/officeDocument/2006/relationships/worksheet" Target="/xl/worksheets/sheet16.xml" Id="Rcbad01f213e44cec" /><Relationship Type="http://schemas.openxmlformats.org/officeDocument/2006/relationships/worksheet" Target="/xl/worksheets/sheet17.xml" Id="Rfee37330b4af49ba" /><Relationship Type="http://schemas.openxmlformats.org/officeDocument/2006/relationships/worksheet" Target="/xl/worksheets/sheet18.xml" Id="Rd96e851af2564c24" /><Relationship Type="http://schemas.openxmlformats.org/officeDocument/2006/relationships/worksheet" Target="/xl/worksheets/sheet19.xml" Id="R2ca131cf4f6c4cb9" /><Relationship Type="http://schemas.openxmlformats.org/officeDocument/2006/relationships/worksheet" Target="/xl/worksheets/sheet20.xml" Id="R70cd06c753ca42bf" /><Relationship Type="http://schemas.openxmlformats.org/officeDocument/2006/relationships/worksheet" Target="/xl/worksheets/sheet21.xml" Id="R324bbfb63d344737" /><Relationship Type="http://schemas.openxmlformats.org/officeDocument/2006/relationships/worksheet" Target="/xl/worksheets/sheet22.xml" Id="R4f181307fafa4014" /><Relationship Type="http://schemas.openxmlformats.org/officeDocument/2006/relationships/worksheet" Target="/xl/worksheets/sheet23.xml" Id="Rde194b591c034738" /><Relationship Type="http://schemas.openxmlformats.org/officeDocument/2006/relationships/worksheet" Target="/xl/worksheets/sheet24.xml" Id="Re2ab0747ee5c4cc4" /><Relationship Type="http://schemas.openxmlformats.org/officeDocument/2006/relationships/worksheet" Target="/xl/worksheets/sheet25.xml" Id="Ra5f4858357b64d27" /><Relationship Type="http://schemas.openxmlformats.org/officeDocument/2006/relationships/worksheet" Target="/xl/worksheets/sheet26.xml" Id="Ra1cce77a753249fc" /><Relationship Type="http://schemas.openxmlformats.org/officeDocument/2006/relationships/worksheet" Target="/xl/worksheets/sheet27.xml" Id="R50ef4ff442dd4eb9" /><Relationship Type="http://schemas.openxmlformats.org/officeDocument/2006/relationships/worksheet" Target="/xl/worksheets/sheet28.xml" Id="Re2887b8e4f134b8b" /><Relationship Type="http://schemas.openxmlformats.org/officeDocument/2006/relationships/worksheet" Target="/xl/worksheets/sheet29.xml" Id="R1e99adff952444a3" /><Relationship Type="http://schemas.openxmlformats.org/officeDocument/2006/relationships/worksheet" Target="/xl/worksheets/sheet30.xml" Id="R292c3d5f29a749ce" /><Relationship Type="http://schemas.openxmlformats.org/officeDocument/2006/relationships/worksheet" Target="/xl/worksheets/sheet31.xml" Id="Rb9d76b2cd6374e76" /><Relationship Type="http://schemas.openxmlformats.org/officeDocument/2006/relationships/worksheet" Target="/xl/worksheets/sheet32.xml" Id="R20729c3b745b4c55" /><Relationship Type="http://schemas.openxmlformats.org/officeDocument/2006/relationships/worksheet" Target="/xl/worksheets/sheet33.xml" Id="Re14406f506394168" /><Relationship Type="http://schemas.openxmlformats.org/officeDocument/2006/relationships/worksheet" Target="/xl/worksheets/sheet34.xml" Id="Rab4ef59048df4bf5" /><Relationship Type="http://schemas.openxmlformats.org/officeDocument/2006/relationships/worksheet" Target="/xl/worksheets/sheet35.xml" Id="R800c6c3d12db48fe" /><Relationship Type="http://schemas.openxmlformats.org/officeDocument/2006/relationships/worksheet" Target="/xl/worksheets/sheet36.xml" Id="R0169f587024d4bcb" /><Relationship Type="http://schemas.openxmlformats.org/officeDocument/2006/relationships/worksheet" Target="/xl/worksheets/sheet37.xml" Id="Rf24041e8440d4386" /><Relationship Type="http://schemas.openxmlformats.org/officeDocument/2006/relationships/worksheet" Target="/xl/worksheets/sheet38.xml" Id="Radeb6ae2e9ff4de3" /><Relationship Type="http://schemas.openxmlformats.org/officeDocument/2006/relationships/worksheet" Target="/xl/worksheets/sheet39.xml" Id="Rcdf7ed8bae354af6" /><Relationship Type="http://schemas.openxmlformats.org/officeDocument/2006/relationships/worksheet" Target="/xl/worksheets/sheet40.xml" Id="R7fac710ab8ae498f" /><Relationship Type="http://schemas.openxmlformats.org/officeDocument/2006/relationships/worksheet" Target="/xl/worksheets/sheet41.xml" Id="Rb860de28b34d4437" /><Relationship Type="http://schemas.openxmlformats.org/officeDocument/2006/relationships/worksheet" Target="/xl/worksheets/sheet42.xml" Id="R6e4ebbd9fe7d427b" /><Relationship Type="http://schemas.openxmlformats.org/officeDocument/2006/relationships/worksheet" Target="/xl/worksheets/sheet43.xml" Id="R0182420945a04d02" /><Relationship Type="http://schemas.openxmlformats.org/officeDocument/2006/relationships/worksheet" Target="/xl/worksheets/sheet44.xml" Id="R4dfa6d5192b54fe5" /></Relationships>
</file>

<file path=xl/tables/table1.xml><?xml version="1.0" encoding="utf-8"?>
<x:table xmlns:x="http://schemas.openxmlformats.org/spreadsheetml/2006/main" id="1" name="ClaimLedger" displayName="ClaimLedger" ref="A4:U365" headerRowCount="1" totalsRowShown="0" dataDxfId="28">
  <x:autoFilter ref="A4:U365"/>
  <x:tableColumns count="21">
    <x:tableColumn id="1" name="Claim ID" dataDxfId="27"/>
    <x:tableColumn id="2" name="Sec" dataDxfId="48"/>
    <x:tableColumn id="3" name="Domain" dataDxfId="47"/>
    <x:tableColumn id="4" name="Domain Title" dataDxfId="46"/>
    <x:tableColumn id="5" name="Claim Statement" dataDxfId="45"/>
    <x:tableColumn id="6" name="Claim Strength (1-10)" dataDxfId="44"/>
    <x:tableColumn id="7" name="Flags" dataDxfId="43"/>
    <x:tableColumn id="8" name="Definitions" dataDxfId="42"/>
    <x:tableColumn id="9" name="Premises" dataDxfId="41"/>
    <x:tableColumn id="10" name="Formal Conclusion" dataDxfId="40"/>
    <x:tableColumn id="11" name="Informal Argument" dataDxfId="39"/>
    <x:tableColumn id="12" name="Evidence Base" dataDxfId="38"/>
    <x:tableColumn id="13" name="Competing Explanations" dataDxfId="37"/>
    <x:tableColumn id="14" name="Objections" dataDxfId="36"/>
    <x:tableColumn id="15" name="Replies" dataDxfId="35"/>
    <x:tableColumn id="16" name="Dependencies" dataDxfId="34"/>
    <x:tableColumn id="17" name="Downstream Implications" dataDxfId="33"/>
    <x:tableColumn id="18" name="Lean Status" dataDxfId="32"/>
    <x:tableColumn id="19" name="Confidence" dataDxfId="31"/>
    <x:tableColumn id="20" name="Tradition Status" dataDxfId="30"/>
    <x:tableColumn id="21" name="Src Row" dataDxfId="29"/>
  </x:tableColumns>
  <x:tableStyleInfo name="TableStyleMedium2" showFirstColumn="0" showLastColumn="0" showRowStripes="1" showColumnStripes="0"/>
</x:table>
</file>

<file path=xl/tables/table2.xml><?xml version="1.0" encoding="utf-8"?>
<x:table xmlns:x="http://schemas.openxmlformats.org/spreadsheetml/2006/main" id="2" name="ObjectionLedger" displayName="ObjectionLedger" ref="A4:N54" headerRowCount="1" totalsRowShown="0" dataDxfId="12">
  <x:autoFilter ref="A4:N54"/>
  <x:tableColumns count="14">
    <x:tableColumn id="1" name="Obj ID" dataDxfId="11"/>
    <x:tableColumn id="2" name="Objection" dataDxfId="25"/>
    <x:tableColumn id="3" name="Strongest Formulation (steelman)" dataDxfId="24"/>
    <x:tableColumn id="4" name="Formal Structure (premises → conclusion)" dataDxfId="23"/>
    <x:tableColumn id="5" name="Hidden Premises" dataDxfId="22"/>
    <x:tableColumn id="6" name="Evidence Cited" dataDxfId="21"/>
    <x:tableColumn id="7" name="Response Families" dataDxfId="20"/>
    <x:tableColumn id="8" name="Cost of Each Response" dataDxfId="19"/>
    <x:tableColumn id="9" name="Residual Force After Response" dataDxfId="18"/>
    <x:tableColumn id="10" name="Claims Targeted (IDs)" dataDxfId="17"/>
    <x:tableColumn id="11" name="Severity" dataDxfId="16"/>
    <x:tableColumn id="12" name="Lean Status" dataDxfId="15"/>
    <x:tableColumn id="13" name="Owner" dataDxfId="14"/>
    <x:tableColumn id="14" name="Notes" dataDxfId="13"/>
  </x:tableColumns>
  <x:tableStyleInfo name="TableStyleMedium3" showFirstColumn="0" showLastColumn="0" showRowStripes="1" showColumnStripes="0"/>
</x:table>
</file>

<file path=xl/tables/table3.xml><?xml version="1.0" encoding="utf-8"?>
<x:table xmlns:x="http://schemas.openxmlformats.org/spreadsheetml/2006/main" id="3" name="ModuleBacklog" displayName="ModuleBacklog" ref="A4:H112" headerRowCount="1" totalsRowShown="0" dataDxfId="1">
  <x:autoFilter ref="A4:H112"/>
  <x:tableColumns count="8">
    <x:tableColumn id="1" name="Backlog ID" dataDxfId="9"/>
    <x:tableColumn id="2" name="Sec" dataDxfId="8"/>
    <x:tableColumn id="3" name="Domain" dataDxfId="7"/>
    <x:tableColumn id="4" name="Domain Title" dataDxfId="6"/>
    <x:tableColumn id="5" name="Topic / Module" dataDxfId="5"/>
    <x:tableColumn id="6" name="Status" dataDxfId="4"/>
    <x:tableColumn id="7" name="Claim IDs Produced" dataDxfId="3"/>
    <x:tableColumn id="8" name="Src Row" dataDxfId="2"/>
  </x:tableColumns>
  <x:tableStyleInfo name="TableStyleMedium5"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0656b9df5df54f2a" /></Relationships>
</file>

<file path=xl/worksheets/_rels/sheet6.xml.rels>&#65279;<?xml version="1.0" encoding="utf-8"?><Relationships xmlns="http://schemas.openxmlformats.org/package/2006/relationships"><Relationship Type="http://schemas.openxmlformats.org/officeDocument/2006/relationships/table" Target="/xl/tables/table2.xml" Id="Rd13a97f900754866" /></Relationships>
</file>

<file path=xl/worksheets/_rels/sheet13.xml.rels>&#65279;<?xml version="1.0" encoding="utf-8"?><Relationships xmlns="http://schemas.openxmlformats.org/package/2006/relationships"><Relationship Type="http://schemas.openxmlformats.org/officeDocument/2006/relationships/table" Target="/xl/tables/table3.xml" Id="R023a01fb0cf6428c" /></Relationships>
</file>

<file path=xl/worksheets/sheet1.xml><?xml version="1.0" encoding="utf-8"?>
<x:worksheet xmlns:x="http://schemas.openxmlformats.org/spreadsheetml/2006/main">
  <x:sheetFormatPr baseColWidth="8" defaultRowHeight="15"/>
  <x:cols>
    <x:col min="1" max="1" width="12" customWidth="1"/>
    <x:col min="2" max="2" width="14" customWidth="1"/>
  </x:cols>
  <x:sheetData>
    <x:row r="1">
      <x:c r="A1" t="inlineStr">
        <x:is>
          <x:t xml:space="preserve">Lean 4 Canonical Ledger Merge</x:t>
        </x:is>
      </x:c>
    </x:row>
    <x:row r="2">
      <x:c r="A2" t="inlineStr">
        <x:is>
          <x:t xml:space="preserve">run_id</x:t>
        </x:is>
      </x:c>
      <x:c r="B2" t="inlineStr">
        <x:is>
          <x:t xml:space="preserve">lean4-ledger-merge-20260813-052343</x:t>
        </x:is>
      </x:c>
    </x:row>
    <x:row r="3">
      <x:c r="A3" t="inlineStr">
        <x:is>
          <x:t xml:space="preserve">generated_at</x:t>
        </x:is>
      </x:c>
      <x:c r="B3" t="inlineStr">
        <x:is>
          <x:t xml:space="preserve">2026-08-13T05:23:44-05:00</x:t>
        </x:is>
      </x:c>
    </x:row>
    <x:row r="4">
      <x:c r="A4" t="inlineStr">
        <x:is>
          <x:t xml:space="preserve">canonical_policy</x:t>
        </x:is>
      </x:c>
      <x:c r="B4" t="inlineStr">
        <x:is>
          <x:t xml:space="preserve">LEAN 4 Master.xlsx is base; V2 workbooks fingerprinted; addendum sheets copied with ADDENDUM_ prefix.</x:t>
        </x:is>
      </x:c>
    </x:row>
    <x:row r="5">
      <x:c r="A5" t="inlineStr">
        <x:is>
          <x:t xml:space="preserve">cleanup_policy</x:t>
        </x:is>
      </x:c>
      <x:c r="B5" t="inlineStr">
        <x:is>
          <x:t xml:space="preserve">Do not delete source workbooks until this merged workbook is reviewed.</x:t>
        </x:is>
      </x:c>
    </x:row>
    <x:row r="6">
      <x:c r="A6" t="inlineStr">
        <x:is>
          <x:t xml:space="preserve">atom_log</x:t>
        </x:is>
      </x:c>
      <x:c r="B6" t="inlineStr">
        <x:is>
          <x:t xml:space="preserve">D:\GitHub\Faith-through-physics-atoms\_ledger\atoms\tp-lean4-canonical-ledger.json</x:t>
        </x:is>
      </x:c>
    </x:row>
  </x:sheetData>
  <x:pageMargins left="0.7" right="0.7" top="0.75" bottom="0.75" header="0.3" footer="0.3"/>
</x:worksheet>
</file>

<file path=xl/worksheets/sheet2.xml><?xml version="1.0" encoding="utf-8"?>
<x:worksheet xmlns:x="http://schemas.openxmlformats.org/spreadsheetml/2006/main">
  <x:sheetPr>
    <x:tabColor rgb="FF2F5597"/>
  </x:sheetPr>
  <x:sheetFormatPr baseColWidth="8" defaultRowHeight="14.399999618530273"/>
  <x:cols>
    <x:col min="1" max="1" width="61.109375" customWidth="1"/>
    <x:col min="2" max="2" width="111.109375" customWidth="1"/>
  </x:cols>
  <x:sheetData>
    <x:row r="1" ht="21" customHeight="1">
      <x:c r="A1" s="86" t="inlineStr">
        <x:is>
          <x:t xml:space="preserve">FORMAL APOLOGETICS + THEOPHYSICS — MISSION CONTROL</x:t>
        </x:is>
      </x:c>
    </x:row>
    <x:row r="2">
      <x:c r="A2" s="68" t="inlineStr">
        <x:is>
          <x:t xml:space="preserve">One theory, told so it wins by structure, not by size. It states exactly where the conclusion FOLLOWS, where it is only FAVORED, and where it DOES NOT YET FOLLOW.</x:t>
        </x:is>
      </x:c>
    </x:row>
    <x:row r="4">
      <x:c r="A4" s="87" t="inlineStr">
        <x:is>
          <x:t xml:space="preserve">START HERE →  read the ★ THE STORY tab. Everything else is the evidence and machinery behind it.</x:t>
        </x:is>
      </x:c>
    </x:row>
    <x:row r="6" ht="15.600000381469727" customHeight="1">
      <x:c r="A6" s="16" t="inlineStr">
        <x:is>
          <x:t xml:space="preserve">THE TWO HALVES</x:t>
        </x:is>
      </x:c>
      <x:c r="B6" s="17" t="n"/>
    </x:row>
    <x:row r="8" ht="28.799999237060547" customHeight="1">
      <x:c r="A8" s="10" t="inlineStr">
        <x:is>
          <x:t xml:space="preserve">THE ARGUMENT (green tabs 01–10)</x:t>
        </x:is>
      </x:c>
      <x:c r="B8" s="12" t="inlineStr">
        <x:is>
          <x:t xml:space="preserve">The case itself: 361 atomic claims about God, history, and Jesus, their objections, dependencies, and the standard for winning. This carries the real weight.</x:t>
        </x:is>
      </x:c>
    </x:row>
    <x:row r="9" ht="28.799999237060547" customHeight="1">
      <x:c r="A9" s="10" t="inlineStr">
        <x:is>
          <x:t xml:space="preserve">THE FORMAL LAYER (blue tabs)</x:t>
        </x:is>
      </x:c>
      <x:c r="B9" s="12" t="inlineStr">
        <x:is>
          <x:t xml:space="preserve">The Theophysics Lean 4 project: ~1,567 declarations, their proof strength, and the audit machinery that keeps it honest. Proves internal structure — not yet the theology.</x:t>
        </x:is>
      </x:c>
    </x:row>
    <x:row r="10">
      <x:c r="A10" s="10" t="inlineStr">
        <x:is>
          <x:t xml:space="preserve">THE BRIDGE</x:t>
        </x:is>
      </x:c>
      <x:c r="B10" s="12" t="inlineStr">
        <x:is>
          <x:t xml:space="preserve">★ THE STORY ties them together and marks, out loud, where the seam between them is not yet built.</x:t>
        </x:is>
      </x:c>
    </x:row>
    <x:row r="11">
      <x:c r="A11" s="90" t="n"/>
      <x:c r="B11" s="12" t="n"/>
    </x:row>
    <x:row r="12" ht="15.600000381469727" customHeight="1">
      <x:c r="A12" s="88" t="inlineStr">
        <x:is>
          <x:t xml:space="preserve">LIVE COUNTS — THE ARGUMENT</x:t>
        </x:is>
      </x:c>
      <x:c r="B12" s="89" t="n"/>
    </x:row>
    <x:row r="13">
      <x:c r="A13" s="90" t="n"/>
      <x:c r="B13" s="12" t="n"/>
    </x:row>
    <x:row r="14">
      <x:c r="A14" s="90" t="inlineStr">
        <x:is>
          <x:t xml:space="preserve">Atomic claims in ledger</x:t>
        </x:is>
      </x:c>
      <x:c r="B14" s="12" t="n">
        <x:f>COUNTA('02_Claim_Ledger'!A5:A365)</x:f>
        <x:v>361</x:v>
      </x:c>
    </x:row>
    <x:row r="15">
      <x:c r="A15" s="90" t="inlineStr">
        <x:is>
          <x:t xml:space="preserve">Domains populated</x:t>
        </x:is>
      </x:c>
      <x:c r="B15" s="12" t="n">
        <x:f t="array" ref="B15">SUMPRODUCT(--('04_Taxonomy'!D5:D33&gt;0))</x:f>
        <x:v>26</x:v>
      </x:c>
    </x:row>
    <x:row r="16">
      <x:c r="A16" s="90" t="inlineStr">
        <x:is>
          <x:t xml:space="preserve">Claims with strength classified</x:t>
        </x:is>
      </x:c>
      <x:c r="B16" s="12" t="n">
        <x:f>COUNTA('02_Claim_Ledger'!F5:F365)</x:f>
        <x:v>0</x:v>
      </x:c>
    </x:row>
    <x:row r="17">
      <x:c r="A17" s="90" t="inlineStr">
        <x:is>
          <x:t xml:space="preserve">Objections logged / steelmanned</x:t>
        </x:is>
      </x:c>
      <x:c r="B17" s="12" t="str">
        <x:f>COUNTA('03_Objection_Ledger'!A5:A54)&amp;" logged / "&amp;COUNTA('03_Objection_Ledger'!C5:C54)&amp;" steelmanned"</x:f>
        <x:v>50 logged / 0 steelmanned</x:v>
      </x:c>
    </x:row>
    <x:row r="18">
      <x:c r="A18" s="90" t="inlineStr">
        <x:is>
          <x:t xml:space="preserve">Backlog topics awaiting atomization</x:t>
        </x:is>
      </x:c>
      <x:c r="B18" s="12" t="n">
        <x:f>COUNTA('10_Module_Backlog'!A5:A112)</x:f>
        <x:v>108</x:v>
      </x:c>
    </x:row>
    <x:row r="19">
      <x:c r="A19" s="90" t="n"/>
      <x:c r="B19" s="12" t="n"/>
    </x:row>
    <x:row r="20" ht="15.600000381469727" customHeight="1">
      <x:c r="A20" s="88" t="inlineStr">
        <x:is>
          <x:t xml:space="preserve">LIVE COUNTS — THE FORMAL LAYER</x:t>
        </x:is>
      </x:c>
      <x:c r="B20" s="89" t="n"/>
    </x:row>
    <x:row r="21">
      <x:c r="A21" s="90" t="n"/>
      <x:c r="B21" s="12" t="n"/>
    </x:row>
    <x:row r="22">
      <x:c r="A22" s="90" t="inlineStr">
        <x:is>
          <x:t xml:space="preserve">Lean declarations scanned</x:t>
        </x:is>
      </x:c>
      <x:c r="B22" s="12" t="n">
        <x:f>'START HERE'!B5</x:f>
        <x:v>1567</x:v>
      </x:c>
    </x:row>
    <x:row r="23">
      <x:c r="A23" s="90" t="inlineStr">
        <x:is>
          <x:t xml:space="preserve">Substantive / case proofs</x:t>
        </x:is>
      </x:c>
      <x:c r="B23" s="12" t="str">
        <x:f>'Proof Strength Summary'!B7&amp;" of "&amp;SUM('Proof Strength Summary'!B2:B8)</x:f>
        <x:v>43 of 1567</x:v>
      </x:c>
    </x:row>
    <x:row r="24">
      <x:c r="A24" s="90" t="inlineStr">
        <x:is>
          <x:t xml:space="preserve">Declarations compiled in Lean</x:t>
        </x:is>
      </x:c>
      <x:c r="B24" s="12" t="str">
        <x:f>(COUNTA(LEAN_CANONICAL_LEDGER!F5:F888)-COUNTIF(LEAN_CANONICAL_LEDGER!F5:F888,"*PENDING*"))&amp;" compiled of "&amp;COUNTA(LEAN_CANONICAL_LEDGER!F5:F888)&amp;" (rest PENDING_NOT_RUN)"</x:f>
        <x:v>884 compiled of 884 (rest PENDING_NOT_RUN)</x:v>
      </x:c>
    </x:row>
    <x:row r="25">
      <x:c r="A25" s="90" t="inlineStr">
        <x:is>
          <x:t xml:space="preserve">Workbook rows aligned / marked PROVED</x:t>
        </x:is>
      </x:c>
      <x:c r="B25" s="12" t="str">
        <x:f>'Canonical Summary'!B3&amp;" aligned / "&amp;'Canonical Summary'!B4&amp;" PROVED"</x:f>
        <x:v>270 aligned / 139 PROVED</x:v>
      </x:c>
    </x:row>
    <x:row r="26">
      <x:c r="A26" s="90" t="inlineStr">
        <x:is>
          <x:t xml:space="preserve">Missing exact theorem names</x:t>
        </x:is>
      </x:c>
      <x:c r="B26" s="12" t="n">
        <x:f>'START HERE'!B7</x:f>
        <x:v>756</x:v>
      </x:c>
    </x:row>
    <x:row r="27">
      <x:c r="A27" s="90" t="inlineStr">
        <x:is>
          <x:t xml:space="preserve">High proof/claim-risk rows</x:t>
        </x:is>
      </x:c>
      <x:c r="B27" s="12" t="n">
        <x:f>'START HERE'!B8</x:f>
        <x:v>129</x:v>
      </x:c>
    </x:row>
    <x:row r="28">
      <x:c r="A28" s="90" t="n"/>
      <x:c r="B28" s="12" t="n"/>
    </x:row>
    <x:row r="29" ht="15.600000381469727" customHeight="1">
      <x:c r="A29" s="88" t="inlineStr">
        <x:is>
          <x:t xml:space="preserve">TAB GUIDE</x:t>
        </x:is>
      </x:c>
      <x:c r="B29" s="89" t="n"/>
    </x:row>
    <x:row r="30">
      <x:c r="A30" s="90" t="n"/>
      <x:c r="B30" s="12" t="n"/>
    </x:row>
    <x:row r="31">
      <x:c r="A31" s="10" t="inlineStr">
        <x:is>
          <x:t xml:space="preserve">★ THE STORY</x:t>
        </x:is>
      </x:c>
      <x:c r="B31" s="12" t="inlineStr">
        <x:is>
          <x:t xml:space="preserve">The whole argument in 9 movements. Read this first.</x:t>
        </x:is>
      </x:c>
    </x:row>
    <x:row r="32">
      <x:c r="A32" s="10" t="inlineStr">
        <x:is>
          <x:t xml:space="preserve">01_Source_Doc</x:t>
        </x:is>
      </x:c>
      <x:c r="B32" s="12" t="inlineStr">
        <x:is>
          <x:t xml:space="preserve">Original 922-line design document, unaltered.</x:t>
        </x:is>
      </x:c>
    </x:row>
    <x:row r="33">
      <x:c r="A33" s="10" t="inlineStr">
        <x:is>
          <x:t xml:space="preserve">02_Claim_Ledger</x:t>
        </x:is>
      </x:c>
      <x:c r="B33" s="12" t="inlineStr">
        <x:is>
          <x:t xml:space="preserve">MASTER TABLE — 361 atomic claims, 21 audit fields each.</x:t>
        </x:is>
      </x:c>
    </x:row>
    <x:row r="34">
      <x:c r="A34" s="10" t="inlineStr">
        <x:is>
          <x:t xml:space="preserve">03_Objection_Ledger</x:t>
        </x:is>
      </x:c>
      <x:c r="B34" s="12" t="inlineStr">
        <x:is>
          <x:t xml:space="preserve">Negative proofs — 50 objections, each needing steelman → residual force. (Red on purpose: this is the adversary's tab.)</x:t>
        </x:is>
      </x:c>
    </x:row>
    <x:row r="35">
      <x:c r="A35" s="10" t="inlineStr">
        <x:is>
          <x:t xml:space="preserve">04–06</x:t>
        </x:is>
      </x:c>
      <x:c r="B35" s="12" t="inlineStr">
        <x:is>
          <x:t xml:space="preserve">Taxonomy / ID scheme, the 10 strength types, the 9 flags.</x:t>
        </x:is>
      </x:c>
    </x:row>
    <x:row r="36">
      <x:c r="A36" s="10" t="inlineStr">
        <x:is>
          <x:t xml:space="preserve">07_Dependency_Graph</x:t>
        </x:is>
      </x:c>
      <x:c r="B36" s="12" t="inlineStr">
        <x:is>
          <x:t xml:space="preserve">Support chains — every conclusion traced to its premises.</x:t>
        </x:is>
      </x:c>
    </x:row>
    <x:row r="37">
      <x:c r="A37" s="10" t="inlineStr">
        <x:is>
          <x:t xml:space="preserve">08_Lean_Layers</x:t>
        </x:is>
      </x:c>
      <x:c r="B37" s="12" t="inlineStr">
        <x:is>
          <x:t xml:space="preserve">The 4 Lean 4 layers and the honest limit of each.</x:t>
        </x:is>
      </x:c>
    </x:row>
    <x:row r="38">
      <x:c r="A38" s="10" t="inlineStr">
        <x:is>
          <x:t xml:space="preserve">09_Dominance_Standard</x:t>
        </x:is>
      </x:c>
      <x:c r="B38" s="12" t="inlineStr">
        <x:is>
          <x:t xml:space="preserve">The 15-criterion scorecard for "winning."</x:t>
        </x:is>
      </x:c>
    </x:row>
    <x:row r="39">
      <x:c r="A39" s="10" t="inlineStr">
        <x:is>
          <x:t xml:space="preserve">10_Module_Backlog</x:t>
        </x:is>
      </x:c>
      <x:c r="B39" s="12" t="inlineStr">
        <x:is>
          <x:t xml:space="preserve">108 sub-families not yet broken into propositions — the 5× work ahead.</x:t>
        </x:is>
      </x:c>
    </x:row>
    <x:row r="40">
      <x:c r="A40" s="10" t="inlineStr">
        <x:is>
          <x:t xml:space="preserve">START HERE</x:t>
        </x:is>
      </x:c>
      <x:c r="B40" s="12" t="inlineStr">
        <x:is>
          <x:t xml:space="preserve">Lean layer's own rulebook. The immediate rule: don't cite a theorem as public evidence until checked.</x:t>
        </x:is>
      </x:c>
    </x:row>
    <x:row r="41">
      <x:c r="A41" s="10" t="inlineStr">
        <x:is>
          <x:t xml:space="preserve">LEAN_CANONICAL_LEDGER</x:t>
        </x:is>
      </x:c>
      <x:c r="B41" s="12" t="inlineStr">
        <x:is>
          <x:t xml:space="preserve">887 Lean declarations — one canonical owner each; compile status pending.</x:t>
        </x:is>
      </x:c>
    </x:row>
    <x:row r="42">
      <x:c r="A42" s="10" t="inlineStr">
        <x:is>
          <x:t xml:space="preserve">LEAN_CANONICAL_LEDGER_V2</x:t>
        </x:is>
      </x:c>
      <x:c r="B42" s="12" t="inlineStr">
        <x:is>
          <x:t xml:space="preserve">270 public-claim candidates mapped to exact Lean statements.</x:t>
        </x:is>
      </x:c>
    </x:row>
    <x:row r="43">
      <x:c r="A43" s="10" t="inlineStr">
        <x:is>
          <x:t xml:space="preserve">Canonical / Proof Strength / V2 Repair</x:t>
        </x:is>
      </x:c>
      <x:c r="B43" s="12" t="inlineStr">
        <x:is>
          <x:t xml:space="preserve">Roll-up summaries of the formal layer.</x:t>
        </x:is>
      </x:c>
    </x:row>
    <x:row r="44">
      <x:c r="A44" s="10" t="inlineStr">
        <x:is>
          <x:t xml:space="preserve">Alignment · Staging · Missing · Recovered · Add List · Guards · False-Positive · Load-Bearing · Colab Audit</x:t>
        </x:is>
      </x:c>
      <x:c r="B44" s="12" t="inlineStr">
        <x:is>
          <x:t xml:space="preserve">The audit machinery that keeps the formal layer from overclaiming.</x:t>
        </x:is>
      </x:c>
    </x:row>
    <x:row r="45">
      <x:c r="A45" s="90" t="n"/>
      <x:c r="B45" s="12" t="n"/>
    </x:row>
    <x:row r="46">
      <x:c r="A46" s="90" t="inlineStr">
        <x:is>
          <x:t xml:space="preserve">WORKFLOW ORDER</x:t>
        </x:is>
      </x:c>
      <x:c r="B46" s="12" t="n"/>
    </x:row>
    <x:row r="47" ht="15.600000381469727" customHeight="1">
      <x:c r="A47" s="88" t="n">
        <x:v>1</x:v>
      </x:c>
      <x:c r="B47" s="89" t="inlineStr">
        <x:is>
          <x:t xml:space="preserve">Classify strength on every claim (02). This decides which claims are theorems and which are evidence records.</x:t>
        </x:is>
      </x:c>
    </x:row>
    <x:row r="48">
      <x:c r="A48" s="91" t="n">
        <x:v>2</x:v>
      </x:c>
      <x:c r="B48" s="12" t="inlineStr">
        <x:is>
          <x:t xml:space="preserve">Split summary-level rows into atomic propositions; log new IDs at +10 increments.</x:t>
        </x:is>
      </x:c>
    </x:row>
    <x:row r="49">
      <x:c r="A49" s="91" t="n">
        <x:v>3</x:v>
      </x:c>
      <x:c r="B49" s="12" t="inlineStr">
        <x:is>
          <x:t xml:space="preserve">Steelman the objections (03) — best case first, response second, residual force always.</x:t>
        </x:is>
      </x:c>
    </x:row>
    <x:row r="50">
      <x:c r="A50" s="91" t="n">
        <x:v>4</x:v>
      </x:c>
      <x:c r="B50" s="12" t="inlineStr">
        <x:is>
          <x:t xml:space="preserve">Wire the dependency graph (07) for resurrection, incarnation, atonement.</x:t>
        </x:is>
      </x:c>
    </x:row>
    <x:row r="51">
      <x:c r="A51" s="91" t="n">
        <x:v>5</x:v>
      </x:c>
      <x:c r="B51" s="12" t="inlineStr">
        <x:is>
          <x:t xml:space="preserve">Pick the handful of Strength-1 claims worth running through Lean; record failures and countermodels as results.</x:t>
        </x:is>
      </x:c>
    </x:row>
    <x:row r="52">
      <x:c r="A52" s="91" t="n">
        <x:v>6</x:v>
      </x:c>
      <x:c r="B52" s="12" t="inlineStr">
        <x:is>
          <x:t xml:space="preserve">Shrink the seam in ★ THE STORY, Movement VIII — move beats from "does not yet follow" toward "follows."</x:t>
        </x:is>
      </x:c>
    </x:row>
  </x:sheetData>
  <x:pageMargins left="0.7" right="0.7" top="0.75" bottom="0.75" header="0.3" footer="0.3"/>
</x:worksheet>
</file>

<file path=xl/worksheets/sheet3.xml><?xml version="1.0" encoding="utf-8"?>
<x:worksheet xmlns:x="http://schemas.openxmlformats.org/spreadsheetml/2006/main">
  <x:sheetPr>
    <x:tabColor rgb="FF7030A0"/>
  </x:sheetPr>
  <x:sheetFormatPr baseColWidth="8" defaultRowHeight="14.399999618530273"/>
  <x:cols>
    <x:col min="1" max="1" width="9.6640625" customWidth="1"/>
    <x:col min="2" max="2" width="35.21875" customWidth="1"/>
    <x:col min="3" max="3" width="96.33203125" customWidth="1"/>
    <x:col min="4" max="5" width="42.5546875" customWidth="1"/>
    <x:col min="6" max="6" width="38.88671875" customWidth="1"/>
  </x:cols>
  <x:sheetData>
    <x:row r="1" ht="23.399999618530273" customHeight="1">
      <x:c r="A1" s="66" t="inlineStr">
        <x:is>
          <x:t xml:space="preserve">THE ARGUMENT — one read-through</x:t>
        </x:is>
      </x:c>
    </x:row>
    <x:row r="2" ht="54" customHeight="1">
      <x:c r="A2" s="69" t="inlineStr">
        <x:is>
          <x:t xml:space="preserve">The most formally complete case is not the one that claims the most. It states exactly where the conclusion FOLLOWS, where it is only FAVORED, and where it DOES NOT YET FOLLOW — and it never inflates. That refusal to overclaim is the strategy, not a weakness.</x:t>
        </x:is>
      </x:c>
    </x:row>
    <x:row r="4">
      <x:c r="A4" s="70" t="inlineStr">
        <x:is>
          <x:t xml:space="preserve">#</x:t>
        </x:is>
      </x:c>
      <x:c r="B4" s="70" t="inlineStr">
        <x:is>
          <x:t xml:space="preserve">Movement</x:t>
        </x:is>
      </x:c>
      <x:c r="C4" s="70" t="inlineStr">
        <x:is>
          <x:t xml:space="preserve">The beat — in plain words</x:t>
        </x:is>
      </x:c>
      <x:c r="D4" s="70" t="inlineStr">
        <x:is>
          <x:t xml:space="preserve">Rests on</x:t>
        </x:is>
      </x:c>
      <x:c r="E4" s="70" t="inlineStr">
        <x:is>
          <x:t xml:space="preserve">What actually backs it now</x:t>
        </x:is>
      </x:c>
      <x:c r="F4" s="70" t="inlineStr">
        <x:is>
          <x:t xml:space="preserve">Honest status</x:t>
        </x:is>
      </x:c>
    </x:row>
    <x:row r="5" ht="28.799999237060547" customHeight="1">
      <x:c r="A5" s="71" t="inlineStr">
        <x:is>
          <x:t xml:space="preserve">I.0</x:t>
        </x:is>
      </x:c>
      <x:c r="B5" s="72" t="inlineStr">
        <x:is>
          <x:t xml:space="preserve">I · The Covenant</x:t>
        </x:is>
      </x:c>
      <x:c r="C5" s="73" t="inlineStr">
        <x:is>
          <x:t xml:space="preserve">This document wins by structure, not size. Nothing is cited as proof until its exact statement, proof strength, and claim class are checked.</x:t>
        </x:is>
      </x:c>
      <x:c r="D5" s="73" t="inlineStr">
        <x:is>
          <x:t xml:space="preserve">09_Dominance_Standard · START HERE</x:t>
        </x:is>
      </x:c>
      <x:c r="E5" s="73" t="inlineStr">
        <x:is>
          <x:t xml:space="preserve">The guardrails you already wrote</x:t>
        </x:is>
      </x:c>
      <x:c r="F5" s="74" t="inlineStr">
        <x:is>
          <x:t xml:space="preserve">Method</x:t>
        </x:is>
      </x:c>
    </x:row>
    <x:row r="6">
      <x:c r="A6" s="71" t="inlineStr">
        <x:is>
          <x:t xml:space="preserve">II.1</x:t>
        </x:is>
      </x:c>
      <x:c r="B6" s="72" t="inlineStr">
        <x:is>
          <x:t xml:space="preserve">II · Foundations</x:t>
        </x:is>
      </x:c>
      <x:c r="C6" s="73" t="inlineStr">
        <x:is>
          <x:t xml:space="preserve">Some propositions are objectively true. Denying it asserts it.</x:t>
        </x:is>
      </x:c>
      <x:c r="D6" s="73" t="inlineStr">
        <x:is>
          <x:t xml:space="preserve">02 · LOG-0010</x:t>
        </x:is>
      </x:c>
      <x:c r="E6" s="73" t="inlineStr">
        <x:is>
          <x:t xml:space="preserve">Self-refutation of the denial</x:t>
        </x:is>
      </x:c>
      <x:c r="F6" s="75" t="inlineStr">
        <x:is>
          <x:t xml:space="preserve">Follows (deductive)</x:t>
        </x:is>
      </x:c>
    </x:row>
    <x:row r="7">
      <x:c r="A7" s="71" t="inlineStr">
        <x:is>
          <x:t xml:space="preserve">II.2</x:t>
        </x:is>
      </x:c>
      <x:c r="B7" s="72" t="n"/>
      <x:c r="C7" s="73" t="inlineStr">
        <x:is>
          <x:t xml:space="preserve">Contradictory propositions cannot both be true in the same respect.</x:t>
        </x:is>
      </x:c>
      <x:c r="D7" s="73" t="inlineStr">
        <x:is>
          <x:t xml:space="preserve">02 · LOG-0020</x:t>
        </x:is>
      </x:c>
      <x:c r="E7" s="73" t="inlineStr">
        <x:is>
          <x:t xml:space="preserve">Law of non-contradiction</x:t>
        </x:is>
      </x:c>
      <x:c r="F7" s="75" t="inlineStr">
        <x:is>
          <x:t xml:space="preserve">Follows (deductive)</x:t>
        </x:is>
      </x:c>
    </x:row>
    <x:row r="8">
      <x:c r="A8" s="71" t="inlineStr">
        <x:is>
          <x:t xml:space="preserve">II.3</x:t>
        </x:is>
      </x:c>
      <x:c r="B8" s="72" t="n"/>
      <x:c r="C8" s="73" t="inlineStr">
        <x:is>
          <x:t xml:space="preserve">Reason is only trustworthy if mind is more than blind matter grinding.</x:t>
        </x:is>
      </x:c>
      <x:c r="D8" s="73" t="inlineStr">
        <x:is>
          <x:t xml:space="preserve">02 · MND domain</x:t>
        </x:is>
      </x:c>
      <x:c r="E8" s="73" t="inlineStr">
        <x:is>
          <x:t xml:space="preserve">Argument from reason</x:t>
        </x:is>
      </x:c>
      <x:c r="F8" s="76" t="inlineStr">
        <x:is>
          <x:t xml:space="preserve">Favored (abductive)</x:t>
        </x:is>
      </x:c>
    </x:row>
    <x:row r="9">
      <x:c r="A9" s="71" t="inlineStr">
        <x:is>
          <x:t xml:space="preserve">III.1</x:t>
        </x:is>
      </x:c>
      <x:c r="B9" s="72" t="inlineStr">
        <x:is>
          <x:t xml:space="preserve">III · A world that asks a question</x:t>
        </x:is>
      </x:c>
      <x:c r="C9" s="73" t="inlineStr">
        <x:is>
          <x:t xml:space="preserve">Contingent reality exists and does not explain itself; it points beyond itself.</x:t>
        </x:is>
      </x:c>
      <x:c r="D9" s="73" t="inlineStr">
        <x:is>
          <x:t xml:space="preserve">02 · MET / COS</x:t>
        </x:is>
      </x:c>
      <x:c r="E9" s="73" t="inlineStr">
        <x:is>
          <x:t xml:space="preserve">Cosmological / contingency argument</x:t>
        </x:is>
      </x:c>
      <x:c r="F9" s="76" t="inlineStr">
        <x:is>
          <x:t xml:space="preserve">Favored (abductive)</x:t>
        </x:is>
      </x:c>
    </x:row>
    <x:row r="10">
      <x:c r="A10" s="71" t="inlineStr">
        <x:is>
          <x:t xml:space="preserve">III.2</x:t>
        </x:is>
      </x:c>
      <x:c r="B10" s="72" t="n"/>
      <x:c r="C10" s="73" t="inlineStr">
        <x:is>
          <x:t xml:space="preserve">The constants that permit life sit in a narrow, unforced band.</x:t>
        </x:is>
      </x:c>
      <x:c r="D10" s="73" t="inlineStr">
        <x:is>
          <x:t xml:space="preserve">02 · FTN domain</x:t>
        </x:is>
      </x:c>
      <x:c r="E10" s="73" t="inlineStr">
        <x:is>
          <x:t xml:space="preserve">Observationally supported; interpretation disputed</x:t>
        </x:is>
      </x:c>
      <x:c r="F10" s="76" t="inlineStr">
        <x:is>
          <x:t xml:space="preserve">Favored · contested</x:t>
        </x:is>
      </x:c>
    </x:row>
    <x:row r="11">
      <x:c r="A11" s="71" t="inlineStr">
        <x:is>
          <x:t xml:space="preserve">III.3</x:t>
        </x:is>
      </x:c>
      <x:c r="B11" s="72" t="n"/>
      <x:c r="C11" s="73" t="inlineStr">
        <x:is>
          <x:t xml:space="preserve">Objective moral obligation is real and needs a ground adequate to it.</x:t>
        </x:is>
      </x:c>
      <x:c r="D11" s="73" t="inlineStr">
        <x:is>
          <x:t xml:space="preserve">02 · MOR domain</x:t>
        </x:is>
      </x:c>
      <x:c r="E11" s="73" t="inlineStr">
        <x:is>
          <x:t xml:space="preserve">Moral argument</x:t>
        </x:is>
      </x:c>
      <x:c r="F11" s="76" t="inlineStr">
        <x:is>
          <x:t xml:space="preserve">Favored (abductive)</x:t>
        </x:is>
      </x:c>
    </x:row>
    <x:row r="12" ht="28.799999237060547" customHeight="1">
      <x:c r="A12" s="71" t="inlineStr">
        <x:is>
          <x:t xml:space="preserve">IV.1</x:t>
        </x:is>
      </x:c>
      <x:c r="B12" s="72" t="inlineStr">
        <x:is>
          <x:t xml:space="preserve">IV · The formal skeleton (Theophysics)</x:t>
        </x:is>
      </x:c>
      <x:c r="C12" s="73" t="inlineStr">
        <x:is>
          <x:t xml:space="preserve">The system distinguishes two coupling states, C0 and C1 — they are structurally distinct.</x:t>
        </x:is>
      </x:c>
      <x:c r="D12" s="73" t="inlineStr">
        <x:is>
          <x:t xml:space="preserve">LEAN_CANONICAL_LEDGER_V2 · theorem C0_ne_C1</x:t>
        </x:is>
      </x:c>
      <x:c r="E12" s="73" t="inlineStr">
        <x:is>
          <x:t xml:space="preserve">Proved inside the declared system (FINITE_DECIDABLE)</x:t>
        </x:is>
      </x:c>
      <x:c r="F12" s="77" t="inlineStr">
        <x:is>
          <x:t xml:space="preserve">Formal-internal only · not yet compiled</x:t>
        </x:is>
      </x:c>
    </x:row>
    <x:row r="13" ht="28.799999237060547" customHeight="1">
      <x:c r="A13" s="71" t="inlineStr">
        <x:is>
          <x:t xml:space="preserve">IV.2</x:t>
        </x:is>
      </x:c>
      <x:c r="B13" s="72" t="n"/>
      <x:c r="C13" s="73" t="inlineStr">
        <x:is>
          <x:t xml:space="preserve">The C0→C1 transition is one-way. There is no constructor back. Irreversibility is built in.</x:t>
        </x:is>
      </x:c>
      <x:c r="D13" s="73" t="inlineStr">
        <x:is>
          <x:t xml:space="preserve">V2 · coupling_modification_irreversible</x:t>
        </x:is>
      </x:c>
      <x:c r="E13" s="73" t="inlineStr">
        <x:is>
          <x:t xml:space="preserve">Proved inside the system (WRAPPER_OR_IMPORTED)</x:t>
        </x:is>
      </x:c>
      <x:c r="F13" s="77" t="inlineStr">
        <x:is>
          <x:t xml:space="preserve">Formal-internal only · not yet compiled</x:t>
        </x:is>
      </x:c>
    </x:row>
    <x:row r="14">
      <x:c r="A14" s="71" t="inlineStr">
        <x:is>
          <x:t xml:space="preserve">IV.3</x:t>
        </x:is>
      </x:c>
      <x:c r="B14" s="72" t="n"/>
      <x:c r="C14" s="73" t="inlineStr">
        <x:is>
          <x:t xml:space="preserve">The χ product collapses to zero if any single factor Q is zero. One missing factor kills the whole.</x:t>
        </x:is>
      </x:c>
      <x:c r="D14" s="73" t="inlineStr">
        <x:is>
          <x:t xml:space="preserve">V2 · Q_zero_collapses_chi</x:t>
        </x:is>
      </x:c>
      <x:c r="E14" s="73" t="inlineStr">
        <x:is>
          <x:t xml:space="preserve">Proved inside the system (SIMPLIFICATION)</x:t>
        </x:is>
      </x:c>
      <x:c r="F14" s="77" t="inlineStr">
        <x:is>
          <x:t xml:space="preserve">Formal-internal only · not yet compiled</x:t>
        </x:is>
      </x:c>
    </x:row>
    <x:row r="15" ht="28.799999237060547" customHeight="1">
      <x:c r="A15" s="71" t="inlineStr">
        <x:is>
          <x:t xml:space="preserve">IV.4</x:t>
        </x:is>
      </x:c>
      <x:c r="B15" s="72" t="n"/>
      <x:c r="C15" s="73" t="inlineStr">
        <x:is>
          <x:t xml:space="preserve">These are structural correspondence candidates — a skeleton, not yet cashed out. Every empirical / numerical / interpretive field is still staged PLACEHOLDER.</x:t>
        </x:is>
      </x:c>
      <x:c r="D15" s="73" t="inlineStr">
        <x:is>
          <x:t xml:space="preserve">V2 · definition_status = PLACEHOLDER</x:t>
        </x:is>
      </x:c>
      <x:c r="E15" s="73" t="inlineStr">
        <x:is>
          <x:t xml:space="preserve">Honest self-label in the ledger</x:t>
        </x:is>
      </x:c>
      <x:c r="F15" s="78" t="inlineStr">
        <x:is>
          <x:t xml:space="preserve">Does not yet follow — staged</x:t>
        </x:is>
      </x:c>
    </x:row>
    <x:row r="16">
      <x:c r="A16" s="71" t="inlineStr">
        <x:is>
          <x:t xml:space="preserve">V.1</x:t>
        </x:is>
      </x:c>
      <x:c r="B16" s="72" t="inlineStr">
        <x:is>
          <x:t xml:space="preserve">V · Something entered history</x:t>
        </x:is>
      </x:c>
      <x:c r="C16" s="73" t="inlineStr">
        <x:is>
          <x:t xml:space="preserve">A first-century figure, Jesus of Nazareth, made relevant religious claims about himself.</x:t>
        </x:is>
      </x:c>
      <x:c r="D16" s="73" t="inlineStr">
        <x:is>
          <x:t xml:space="preserve">02 · HJE · HJ-300</x:t>
        </x:is>
      </x:c>
      <x:c r="E16" s="73" t="inlineStr">
        <x:is>
          <x:t xml:space="preserve">Multiple-source historical testimony</x:t>
        </x:is>
      </x:c>
      <x:c r="F16" s="79" t="inlineStr">
        <x:is>
          <x:t xml:space="preserve">Historically supported</x:t>
        </x:is>
      </x:c>
    </x:row>
    <x:row r="17" ht="28.799999237060547" customHeight="1">
      <x:c r="A17" s="71" t="inlineStr">
        <x:is>
          <x:t xml:space="preserve">V.2</x:t>
        </x:is>
      </x:c>
      <x:c r="B17" s="72" t="n"/>
      <x:c r="C17" s="73" t="inlineStr">
        <x:is>
          <x:t xml:space="preserve">He died by crucifixion.</x:t>
        </x:is>
      </x:c>
      <x:c r="D17" s="73" t="inlineStr">
        <x:is>
          <x:t xml:space="preserve">02 · HJ-410</x:t>
        </x:is>
      </x:c>
      <x:c r="E17" s="73" t="inlineStr">
        <x:is>
          <x:t xml:space="preserve">Near-consensus of historians, hostile sources included</x:t>
        </x:is>
      </x:c>
      <x:c r="F17" s="79" t="inlineStr">
        <x:is>
          <x:t xml:space="preserve">Historically supported</x:t>
        </x:is>
      </x:c>
    </x:row>
    <x:row r="18">
      <x:c r="A18" s="71" t="inlineStr">
        <x:is>
          <x:t xml:space="preserve">VI.1</x:t>
        </x:is>
      </x:c>
      <x:c r="B18" s="72" t="inlineStr">
        <x:is>
          <x:t xml:space="preserve">VI · The empirical crux</x:t>
        </x:is>
      </x:c>
      <x:c r="C18" s="73" t="inlineStr">
        <x:is>
          <x:t xml:space="preserve">The earliest resurrection belief is too early to be explained by slow legendary development.</x:t>
        </x:is>
      </x:c>
      <x:c r="D18" s="73" t="inlineStr">
        <x:is>
          <x:t xml:space="preserve">02 · RES-0142 [H][A][C]</x:t>
        </x:is>
      </x:c>
      <x:c r="E18" s="73" t="inlineStr">
        <x:is>
          <x:t xml:space="preserve">Early creed / dating argument</x:t>
        </x:is>
      </x:c>
      <x:c r="F18" s="76" t="inlineStr">
        <x:is>
          <x:t xml:space="preserve">Favored · contested</x:t>
        </x:is>
      </x:c>
    </x:row>
    <x:row r="19">
      <x:c r="A19" s="71" t="inlineStr">
        <x:is>
          <x:t xml:space="preserve">VI.2</x:t>
        </x:is>
      </x:c>
      <x:c r="B19" s="72" t="n"/>
      <x:c r="C19" s="73" t="inlineStr">
        <x:is>
          <x:t xml:space="preserve">Rival explanations — hallucination, theft, myth — are comparatively weaker.</x:t>
        </x:is>
      </x:c>
      <x:c r="D19" s="73" t="inlineStr">
        <x:is>
          <x:t xml:space="preserve">02 · RES-190</x:t>
        </x:is>
      </x:c>
      <x:c r="E19" s="73" t="inlineStr">
        <x:is>
          <x:t xml:space="preserve">Comparative abductive case</x:t>
        </x:is>
      </x:c>
      <x:c r="F19" s="76" t="inlineStr">
        <x:is>
          <x:t xml:space="preserve">Favored · contested</x:t>
        </x:is>
      </x:c>
    </x:row>
    <x:row r="20" ht="28.799999237060547" customHeight="1">
      <x:c r="A20" s="71" t="inlineStr">
        <x:is>
          <x:t xml:space="preserve">VI.3</x:t>
        </x:is>
      </x:c>
      <x:c r="B20" s="72" t="n"/>
      <x:c r="C20" s="73" t="inlineStr">
        <x:is>
          <x:t xml:space="preserve">Therefore God raised Jesus.</x:t>
        </x:is>
      </x:c>
      <x:c r="D20" s="73" t="inlineStr">
        <x:is>
          <x:t xml:space="preserve">07_Dependency_Graph · C-RES-240</x:t>
        </x:is>
      </x:c>
      <x:c r="E20" s="73" t="inlineStr">
        <x:is>
          <x:t xml:space="preserve">Does NOT follow deductively. Best explanation ONLY if theism is already live (III).</x:t>
        </x:is>
      </x:c>
      <x:c r="F20" s="76" t="inlineStr">
        <x:is>
          <x:t xml:space="preserve">Favored, conditional — not proved</x:t>
        </x:is>
      </x:c>
    </x:row>
    <x:row r="21">
      <x:c r="A21" s="71" t="inlineStr">
        <x:is>
          <x:t xml:space="preserve">VII.1</x:t>
        </x:is>
      </x:c>
      <x:c r="B21" s="72" t="inlineStr">
        <x:is>
          <x:t xml:space="preserve">VII · The person it points to</x:t>
        </x:is>
      </x:c>
      <x:c r="C21" s="73" t="inlineStr">
        <x:is>
          <x:t xml:space="preserve">If he was raised, his authority is divinely vindicated.</x:t>
        </x:is>
      </x:c>
      <x:c r="D21" s="73" t="inlineStr">
        <x:is>
          <x:t xml:space="preserve">07 · C-CHR-500</x:t>
        </x:is>
      </x:c>
      <x:c r="E21" s="73" t="inlineStr">
        <x:is>
          <x:t xml:space="preserve">Conditional on VI + V.1</x:t>
        </x:is>
      </x:c>
      <x:c r="F21" s="75" t="inlineStr">
        <x:is>
          <x:t xml:space="preserve">Follows conditionally</x:t>
        </x:is>
      </x:c>
    </x:row>
    <x:row r="22">
      <x:c r="A22" s="71" t="inlineStr">
        <x:is>
          <x:t xml:space="preserve">VII.2</x:t>
        </x:is>
      </x:c>
      <x:c r="B22" s="72" t="n"/>
      <x:c r="C22" s="73" t="inlineStr">
        <x:is>
          <x:t xml:space="preserve">Incarnation and atonement are the doctrine built on that vindication.</x:t>
        </x:is>
      </x:c>
      <x:c r="D22" s="73" t="inlineStr">
        <x:is>
          <x:t xml:space="preserve">02 · INC / ATO</x:t>
        </x:is>
      </x:c>
      <x:c r="E22" s="73" t="inlineStr">
        <x:is>
          <x:t xml:space="preserve">Doctrinal construction on a chosen framework</x:t>
        </x:is>
      </x:c>
      <x:c r="F22" s="80" t="inlineStr">
        <x:is>
          <x:t xml:space="preserve">Doctrinal · tradition-flagged</x:t>
        </x:is>
      </x:c>
    </x:row>
    <x:row r="23">
      <x:c r="A23" s="71" t="inlineStr">
        <x:is>
          <x:t xml:space="preserve">VIII.1</x:t>
        </x:is>
      </x:c>
      <x:c r="B23" s="72" t="inlineStr">
        <x:is>
          <x:t xml:space="preserve">VIII · The honest ledger</x:t>
        </x:is>
      </x:c>
      <x:c r="C23" s="73" t="str">
        <x:f>"Of "&amp;SUM('Proof Strength Summary'!B2:B8)&amp;" formal declarations, only "&amp;'Proof Strength Summary'!B7&amp;" are substantive proofs. The rest are definitional, trivial, wrappers, or unknown."</x:f>
        <x:v>Of 1567 formal declarations, only 43 are substantive proofs. The rest are definitional, trivial, wrappers, or unknown.</x:v>
      </x:c>
      <x:c r="D23" s="73" t="inlineStr">
        <x:is>
          <x:t xml:space="preserve">Proof Strength Summary</x:t>
        </x:is>
      </x:c>
      <x:c r="E23" s="73" t="inlineStr">
        <x:is>
          <x:t xml:space="preserve">Live count</x:t>
        </x:is>
      </x:c>
      <x:c r="F23" s="81" t="inlineStr">
        <x:is>
          <x:t xml:space="preserve">Fact</x:t>
        </x:is>
      </x:c>
    </x:row>
    <x:row r="24">
      <x:c r="A24" s="71" t="inlineStr">
        <x:is>
          <x:t xml:space="preserve">VIII.2</x:t>
        </x:is>
      </x:c>
      <x:c r="B24" s="72" t="n"/>
      <x:c r="C24" s="73" t="inlineStr">
        <x:is>
          <x:t xml:space="preserve">Nothing has been run through Lean yet. Every declaration is PENDING_NOT_RUN.</x:t>
        </x:is>
      </x:c>
      <x:c r="D24" s="73" t="inlineStr">
        <x:is>
          <x:t xml:space="preserve">LEAN_CANONICAL_LEDGER · compile_status</x:t>
        </x:is>
      </x:c>
      <x:c r="E24" s="73" t="inlineStr">
        <x:is>
          <x:t xml:space="preserve">Static scan only</x:t>
        </x:is>
      </x:c>
      <x:c r="F24" s="81" t="inlineStr">
        <x:is>
          <x:t xml:space="preserve">Fact</x:t>
        </x:is>
      </x:c>
    </x:row>
    <x:row r="25">
      <x:c r="A25" s="71" t="inlineStr">
        <x:is>
          <x:t xml:space="preserve">VIII.3</x:t>
        </x:is>
      </x:c>
      <x:c r="B25" s="72" t="n"/>
      <x:c r="C25" s="73" t="str">
        <x:f>"Exact Lean statements are still unmatched for "&amp;'START HERE'!B7&amp;" of the referenced theorem names."</x:f>
        <x:v>Exact Lean statements are still unmatched for 756 of the referenced theorem names.</x:v>
      </x:c>
      <x:c r="D25" s="73" t="inlineStr">
        <x:is>
          <x:t xml:space="preserve">START HERE!B7</x:t>
        </x:is>
      </x:c>
      <x:c r="E25" s="73" t="inlineStr">
        <x:is>
          <x:t xml:space="preserve">Live count</x:t>
        </x:is>
      </x:c>
      <x:c r="F25" s="81" t="inlineStr">
        <x:is>
          <x:t xml:space="preserve">Fact</x:t>
        </x:is>
      </x:c>
    </x:row>
    <x:row r="26">
      <x:c r="A26" s="71" t="inlineStr">
        <x:is>
          <x:t xml:space="preserve">VIII.4</x:t>
        </x:is>
      </x:c>
      <x:c r="B26" s="72" t="n"/>
      <x:c r="C26" s="73" t="str">
        <x:f>"Objections logged: "&amp;COUNTA('03_Objection_Ledger'!A5:A54)&amp;". Steelmanned so far: "&amp;COUNTA('03_Objection_Ledger'!C5:C54)&amp;". The defence is scaffolded, not yet written."</x:f>
        <x:v>Objections logged: 50. Steelmanned so far: 0. The defence is scaffolded, not yet written.</x:v>
      </x:c>
      <x:c r="D26" s="73" t="inlineStr">
        <x:is>
          <x:t xml:space="preserve">03_Objection_Ledger</x:t>
        </x:is>
      </x:c>
      <x:c r="E26" s="73" t="inlineStr">
        <x:is>
          <x:t xml:space="preserve">Live count</x:t>
        </x:is>
      </x:c>
      <x:c r="F26" s="81" t="inlineStr">
        <x:is>
          <x:t xml:space="preserve">Fact</x:t>
        </x:is>
      </x:c>
    </x:row>
    <x:row r="27" ht="28.799999237060547" customHeight="1">
      <x:c r="A27" s="71" t="inlineStr">
        <x:is>
          <x:t xml:space="preserve">VIII.5</x:t>
        </x:is>
      </x:c>
      <x:c r="B27" s="72" t="n"/>
      <x:c r="C27" s="73" t="inlineStr">
        <x:is>
          <x:t xml:space="preserve">Verdict: the formal layer secures internal structure; the historical layer carries the weight for Jesus; the bridge between them is not yet built — and the theory says so out loud.</x:t>
        </x:is>
      </x:c>
      <x:c r="D27" s="73" t="inlineStr">
        <x:is>
          <x:t xml:space="preserve">This tab</x:t>
        </x:is>
      </x:c>
      <x:c r="E27" s="73" t="inlineStr">
        <x:is>
          <x:t xml:space="preserve">Synthesis</x:t>
        </x:is>
      </x:c>
      <x:c r="F27" s="75" t="inlineStr">
        <x:is>
          <x:t xml:space="preserve">Follows / Favored / Not-yet, stated openly</x:t>
        </x:is>
      </x:c>
    </x:row>
    <x:row r="28" ht="28.799999237060547" customHeight="1">
      <x:c r="A28" s="82" t="inlineStr">
        <x:is>
          <x:t xml:space="preserve">IX.1</x:t>
        </x:is>
      </x:c>
      <x:c r="B28" s="83" t="inlineStr">
        <x:is>
          <x:t xml:space="preserve">IX · Why it cannot be waved away</x:t>
        </x:is>
      </x:c>
      <x:c r="C28" s="84" t="inlineStr">
        <x:is>
          <x:t xml:space="preserve">Even where it only favors rather than proves, a structure that never inflates cannot be dismissed as inflation. Exact premises, visible inferences, honest gaps.</x:t>
        </x:is>
      </x:c>
      <x:c r="D28" s="84" t="inlineStr">
        <x:is>
          <x:t xml:space="preserve">09_Dominance_Standard</x:t>
        </x:is>
      </x:c>
      <x:c r="E28" s="84" t="inlineStr">
        <x:is>
          <x:t xml:space="preserve">The whole workbook</x:t>
        </x:is>
      </x:c>
      <x:c r="F28" s="85" t="inlineStr">
        <x:is>
          <x:t xml:space="preserve">Method</x:t>
        </x:is>
      </x:c>
    </x:row>
  </x:sheetData>
  <x:mergeCells>
    <x:mergeCell ref="A2:F2"/>
  </x:mergeCells>
  <x:pageMargins left="0.7" right="0.7" top="0.75" bottom="0.75" header="0.3" footer="0.3"/>
</x:worksheet>
</file>

<file path=xl/worksheets/sheet4.xml><?xml version="1.0" encoding="utf-8"?>
<x:worksheet xmlns:x="http://schemas.openxmlformats.org/spreadsheetml/2006/main">
  <x:sheetPr>
    <x:tabColor rgb="FFA9D08E"/>
  </x:sheetPr>
  <x:sheetFormatPr baseColWidth="8" defaultRowHeight="14.399999618530273"/>
  <x:cols>
    <x:col min="1" max="1" width="129.6640625" customWidth="1"/>
  </x:cols>
  <x:sheetData>
    <x:row r="3" ht="23.399999618530273" customHeight="1">
      <x:c r="A3" s="2" t="inlineStr">
        <x:is>
          <x:t xml:space="preserve">The system you need</x:t>
        </x:is>
      </x:c>
    </x:row>
    <x:row r="5">
      <x:c r="A5" t="inlineStr">
        <x:is>
          <x:t xml:space="preserve">Every entry should contain at least:</x:t>
        </x:is>
      </x:c>
    </x:row>
    <x:row r="6">
      <x:c r="A6" s="1" t="n"/>
    </x:row>
    <x:row r="7">
      <x:c r="A7" s="3" t="inlineStr">
        <x:is>
          <x:t xml:space="preserve">Claim ID</x:t>
        </x:is>
      </x:c>
    </x:row>
    <x:row r="8">
      <x:c r="A8" s="3" t="inlineStr">
        <x:is>
          <x:t xml:space="preserve">Claim statement</x:t>
        </x:is>
      </x:c>
    </x:row>
    <x:row r="9">
      <x:c r="A9" s="3" t="inlineStr">
        <x:is>
          <x:t xml:space="preserve">Claim category</x:t>
        </x:is>
      </x:c>
    </x:row>
    <x:row r="10">
      <x:c r="A10" s="3" t="inlineStr">
        <x:is>
          <x:t xml:space="preserve">Claim strength</x:t>
        </x:is>
      </x:c>
    </x:row>
    <x:row r="11">
      <x:c r="A11" s="3" t="inlineStr">
        <x:is>
          <x:t xml:space="preserve">Definitions</x:t>
        </x:is>
      </x:c>
    </x:row>
    <x:row r="12">
      <x:c r="A12" s="3" t="inlineStr">
        <x:is>
          <x:t xml:space="preserve">Premises</x:t>
        </x:is>
      </x:c>
    </x:row>
    <x:row r="13">
      <x:c r="A13" s="3" t="inlineStr">
        <x:is>
          <x:t xml:space="preserve">Formal conclusion</x:t>
        </x:is>
      </x:c>
    </x:row>
    <x:row r="14">
      <x:c r="A14" s="3" t="inlineStr">
        <x:is>
          <x:t xml:space="preserve">Informal argument</x:t>
        </x:is>
      </x:c>
    </x:row>
    <x:row r="15">
      <x:c r="A15" s="3" t="inlineStr">
        <x:is>
          <x:t xml:space="preserve">Evidence base</x:t>
        </x:is>
      </x:c>
    </x:row>
    <x:row r="16">
      <x:c r="A16" s="3" t="inlineStr">
        <x:is>
          <x:t xml:space="preserve">Competing explanations</x:t>
        </x:is>
      </x:c>
    </x:row>
    <x:row r="17">
      <x:c r="A17" s="3" t="inlineStr">
        <x:is>
          <x:t xml:space="preserve">Objections</x:t>
        </x:is>
      </x:c>
    </x:row>
    <x:row r="18">
      <x:c r="A18" s="3" t="inlineStr">
        <x:is>
          <x:t xml:space="preserve">Replies</x:t>
        </x:is>
      </x:c>
    </x:row>
    <x:row r="19">
      <x:c r="A19" s="3" t="inlineStr">
        <x:is>
          <x:t xml:space="preserve">Dependencies</x:t>
        </x:is>
      </x:c>
    </x:row>
    <x:row r="20">
      <x:c r="A20" s="3" t="inlineStr">
        <x:is>
          <x:t xml:space="preserve">Downstream implications</x:t>
        </x:is>
      </x:c>
    </x:row>
    <x:row r="21">
      <x:c r="A21" s="3" t="inlineStr">
        <x:is>
          <x:t xml:space="preserve">Lean status</x:t>
        </x:is>
      </x:c>
    </x:row>
    <x:row r="22">
      <x:c r="A22" s="3" t="inlineStr">
        <x:is>
          <x:t xml:space="preserve">Confidence level</x:t>
        </x:is>
      </x:c>
    </x:row>
    <x:row r="23">
      <x:c r="A23" s="3" t="inlineStr">
        <x:is>
          <x:t xml:space="preserve">Tradition-specific status</x:t>
        </x:is>
      </x:c>
    </x:row>
    <x:row r="25">
      <x:c r="A25" t="inlineStr">
        <x:is>
          <x:t xml:space="preserve">The most important field is claim strength:</x:t>
        </x:is>
      </x:c>
    </x:row>
    <x:row r="26">
      <x:c r="A26" s="4" t="n"/>
    </x:row>
    <x:row r="27">
      <x:c r="A27" s="6" t="inlineStr">
        <x:is>
          <x:t xml:space="preserve">1. Deductive theorem — the conclusion follows necessarily from the premises.</x:t>
        </x:is>
      </x:c>
    </x:row>
    <x:row r="28">
      <x:c r="A28" s="6" t="inlineStr">
        <x:is>
          <x:t xml:space="preserve">2. Conceptual result — follows from definitions or metaphysical commitments.</x:t>
        </x:is>
      </x:c>
    </x:row>
    <x:row r="29">
      <x:c r="A29" s="6" t="inlineStr">
        <x:is>
          <x:t xml:space="preserve">3. Probabilistic claim — evidence raises or lowers probability.</x:t>
        </x:is>
      </x:c>
    </x:row>
    <x:row r="30">
      <x:c r="A30" s="6" t="inlineStr">
        <x:is>
          <x:t xml:space="preserve">4. Abductive claim — Christianity is argued to be the best explanation.</x:t>
        </x:is>
      </x:c>
    </x:row>
    <x:row r="31">
      <x:c r="A31" s="6" t="inlineStr">
        <x:is>
          <x:t xml:space="preserve">5. Historical claim — supported through testimony, documents, archaeology, and historical method.</x:t>
        </x:is>
      </x:c>
    </x:row>
    <x:row r="32">
      <x:c r="A32" s="6" t="inlineStr">
        <x:is>
          <x:t xml:space="preserve">6. Interpretive claim — concerns the meaning of a text or event.</x:t>
        </x:is>
      </x:c>
    </x:row>
    <x:row r="33">
      <x:c r="A33" s="6" t="inlineStr">
        <x:is>
          <x:t xml:space="preserve">7. Doctrinal construction — derives doctrine from a chosen scriptural and theological framework.</x:t>
        </x:is>
      </x:c>
    </x:row>
    <x:row r="34">
      <x:c r="A34" s="6" t="inlineStr">
        <x:is>
          <x:t xml:space="preserve">8. Internal-coherence claim — shows that Christian beliefs are mutually consistent.</x:t>
        </x:is>
      </x:c>
    </x:row>
    <x:row r="35">
      <x:c r="A35" s="6" t="inlineStr">
        <x:is>
          <x:t xml:space="preserve">9. Comparative claim — compares Christianity with rival worldviews.</x:t>
        </x:is>
      </x:c>
    </x:row>
    <x:row r="36">
      <x:c r="A36" s="6" t="inlineStr">
        <x:is>
          <x:t xml:space="preserve">10. Defeater-response claim — answers an objection or alleged contradiction.</x:t>
        </x:is>
      </x:c>
    </x:row>
    <x:row r="38">
      <x:c r="A38" t="inlineStr">
        <x:is>
          <x:t xml:space="preserve">That classification protects the work from overclaiming.</x:t>
        </x:is>
      </x:c>
    </x:row>
    <x:row r="40" ht="31.200000762939453" customHeight="1">
      <x:c r="A40" s="7" t="inlineStr">
        <x:is>
          <x:t xml:space="preserve">Master claim universe</x:t>
        </x:is>
      </x:c>
    </x:row>
    <x:row r="42">
      <x:c r="A42" t="inlineStr">
        <x:is>
          <x:t xml:space="preserve">Below is the broad structure I would use to “lock down the genre.”</x:t>
        </x:is>
      </x:c>
    </x:row>
    <x:row r="44" ht="23.399999618530273" customHeight="1">
      <x:c r="A44" s="2" t="inlineStr">
        <x:is>
          <x:t xml:space="preserve">I. Logic, reason, and worldview foundations</x:t>
        </x:is>
      </x:c>
    </x:row>
    <x:row r="46">
      <x:c r="A46" t="inlineStr">
        <x:is>
          <x:t xml:space="preserve">This section establishes the intellectual machinery used by every later argument.</x:t>
        </x:is>
      </x:c>
    </x:row>
    <x:row r="48">
      <x:c r="A48" t="inlineStr">
        <x:is>
          <x:t xml:space="preserve">Claims would include:</x:t>
        </x:is>
      </x:c>
    </x:row>
    <x:row r="49">
      <x:c r="A49" s="4" t="n"/>
    </x:row>
    <x:row r="50">
      <x:c r="A50" s="4" t="inlineStr">
        <x:is>
          <x:t xml:space="preserve">Truth exists.</x:t>
        </x:is>
      </x:c>
    </x:row>
    <x:row r="51">
      <x:c r="A51" s="4" t="inlineStr">
        <x:is>
          <x:t xml:space="preserve">Some propositions are objectively true.</x:t>
        </x:is>
      </x:c>
    </x:row>
    <x:row r="52">
      <x:c r="A52" s="4" t="inlineStr">
        <x:is>
          <x:t xml:space="preserve">Contradictory propositions cannot both be true in the same respect.</x:t>
        </x:is>
      </x:c>
    </x:row>
    <x:row r="53">
      <x:c r="A53" s="4" t="inlineStr">
        <x:is>
          <x:t xml:space="preserve">Rational inference can produce knowledge.</x:t>
        </x:is>
      </x:c>
    </x:row>
    <x:row r="54">
      <x:c r="A54" s="4" t="inlineStr">
        <x:is>
          <x:t xml:space="preserve">Human reasoning is at least partially reliable.</x:t>
        </x:is>
      </x:c>
    </x:row>
    <x:row r="55">
      <x:c r="A55" s="4" t="inlineStr">
        <x:is>
          <x:t xml:space="preserve">Evidence can rationally change belief.</x:t>
        </x:is>
      </x:c>
    </x:row>
    <x:row r="56">
      <x:c r="A56" s="4" t="inlineStr">
        <x:is>
          <x:t xml:space="preserve">Explanatory simplicity has epistemic value.</x:t>
        </x:is>
      </x:c>
    </x:row>
    <x:row r="57">
      <x:c r="A57" s="4" t="inlineStr">
        <x:is>
          <x:t xml:space="preserve">An argument is not refuted merely because its conclusion has religious implications.</x:t>
        </x:is>
      </x:c>
    </x:row>
    <x:row r="58">
      <x:c r="A58" s="4" t="inlineStr">
        <x:is>
          <x:t xml:space="preserve">Methodological naturalism does not logically entail metaphysical naturalism.</x:t>
        </x:is>
      </x:c>
    </x:row>
    <x:row r="59">
      <x:c r="A59" s="4" t="inlineStr">
        <x:is>
          <x:t xml:space="preserve">Science does not establish that only scientifically testable statements are meaningful.</x:t>
        </x:is>
      </x:c>
    </x:row>
    <x:row r="60">
      <x:c r="A60" s="4" t="inlineStr">
        <x:is>
          <x:t xml:space="preserve">Historical knowledge does not require repeatable experimentation.</x:t>
        </x:is>
      </x:c>
    </x:row>
    <x:row r="61">
      <x:c r="A61" s="4" t="inlineStr">
        <x:is>
          <x:t xml:space="preserve">Testimony can provide knowledge.</x:t>
        </x:is>
      </x:c>
    </x:row>
    <x:row r="62">
      <x:c r="A62" s="4" t="inlineStr">
        <x:is>
          <x:t xml:space="preserve">Extraordinary claims do not automatically require impossibly strong evidence.</x:t>
        </x:is>
      </x:c>
    </x:row>
    <x:row r="63">
      <x:c r="A63" s="4" t="inlineStr">
        <x:is>
          <x:t xml:space="preserve">Prior probability cannot be assigned without worldview assumptions.</x:t>
        </x:is>
      </x:c>
    </x:row>
    <x:row r="64">
      <x:c r="A64" s="4" t="inlineStr">
        <x:is>
          <x:t xml:space="preserve">A miracle claim cannot be rejected solely by defining miracles as impossible.</x:t>
        </x:is>
      </x:c>
    </x:row>
    <x:row r="65">
      <x:c r="A65" s="4" t="inlineStr">
        <x:is>
          <x:t xml:space="preserve">Absence of evidence is evidential only where evidence should reasonably be expected.</x:t>
        </x:is>
      </x:c>
    </x:row>
    <x:row r="66">
      <x:c r="A66" s="4" t="inlineStr">
        <x:is>
          <x:t xml:space="preserve">A worldview may be evaluated by coherence, explanatory scope, explanatory power, plausibility, and existential adequacy.</x:t>
        </x:is>
      </x:c>
    </x:row>
    <x:row r="67">
      <x:c r="A67" s="4" t="inlineStr">
        <x:is>
          <x:t xml:space="preserve">Circularity occurs in degrees; not every foundational commitment is viciously circular.</x:t>
        </x:is>
      </x:c>
    </x:row>
    <x:row r="68">
      <x:c r="A68" s="4" t="inlineStr">
        <x:is>
          <x:t xml:space="preserve">Every total worldview eventually depends on basic commitments that are not demonstrated from a more fundamental worldview-neutral position.</x:t>
        </x:is>
      </x:c>
    </x:row>
    <x:row r="70">
      <x:c r="A70" t="inlineStr">
        <x:is>
          <x:t xml:space="preserve">These are highly formalizable.</x:t>
        </x:is>
      </x:c>
    </x:row>
    <x:row r="72" ht="23.399999618530273" customHeight="1">
      <x:c r="A72" s="2" t="inlineStr">
        <x:is>
          <x:t xml:space="preserve">II. Metaphysics of existence</x:t>
        </x:is>
      </x:c>
    </x:row>
    <x:row r="74">
      <x:c r="A74" t="inlineStr">
        <x:is>
          <x:t xml:space="preserve">This contains cosmological and contingency arguments.</x:t>
        </x:is>
      </x:c>
    </x:row>
    <x:row r="76">
      <x:c r="A76" t="inlineStr">
        <x:is>
          <x:t xml:space="preserve">Potential claims:</x:t>
        </x:is>
      </x:c>
    </x:row>
    <x:row r="77">
      <x:c r="A77" s="4" t="n"/>
    </x:row>
    <x:row r="78">
      <x:c r="A78" s="4" t="inlineStr">
        <x:is>
          <x:t xml:space="preserve">Something exists.</x:t>
        </x:is>
      </x:c>
    </x:row>
    <x:row r="79">
      <x:c r="A79" s="4" t="inlineStr">
        <x:is>
          <x:t xml:space="preserve">Nothing cannot produce something.</x:t>
        </x:is>
      </x:c>
    </x:row>
    <x:row r="80">
      <x:c r="A80" s="4" t="inlineStr">
        <x:is>
          <x:t xml:space="preserve">A contingent reality does not contain the complete explanation of its own existence merely by existing.</x:t>
        </x:is>
      </x:c>
    </x:row>
    <x:row r="81">
      <x:c r="A81" s="4" t="inlineStr">
        <x:is>
          <x:t xml:space="preserve">A collection of contingent things is not automatically self-explanatory.</x:t>
        </x:is>
      </x:c>
    </x:row>
    <x:row r="82">
      <x:c r="A82" s="4" t="inlineStr">
        <x:is>
          <x:t xml:space="preserve">An infinite regress of dependent explanations may fail to provide a sufficient explanation.</x:t>
        </x:is>
      </x:c>
    </x:row>
    <x:row r="83">
      <x:c r="A83" s="4" t="inlineStr">
        <x:is>
          <x:t xml:space="preserve">If all concrete reality were contingent, reality would lack an ultimate non-contingent explanation.</x:t>
        </x:is>
      </x:c>
    </x:row>
    <x:row r="84">
      <x:c r="A84" s="4" t="inlineStr">
        <x:is>
          <x:t xml:space="preserve">A necessary foundation of contingent reality is metaphysically possible.</x:t>
        </x:is>
      </x:c>
    </x:row>
    <x:row r="85">
      <x:c r="A85" s="4" t="inlineStr">
        <x:is>
          <x:t xml:space="preserve">A necessary being would not depend on external material causes.</x:t>
        </x:is>
      </x:c>
    </x:row>
    <x:row r="86">
      <x:c r="A86" s="4" t="inlineStr">
        <x:is>
          <x:t xml:space="preserve">A necessary being cannot begin to exist in the ordinary contingent sense.</x:t>
        </x:is>
      </x:c>
    </x:row>
    <x:row r="87">
      <x:c r="A87" s="4" t="inlineStr">
        <x:is>
          <x:t xml:space="preserve">The ultimate foundation of physical reality cannot itself be merely one more dependent physical object.</x:t>
        </x:is>
      </x:c>
    </x:row>
    <x:row r="88">
      <x:c r="A88" s="4" t="inlineStr">
        <x:is>
          <x:t xml:space="preserve">If time began with the physical universe, the cause of the universe need not exist at an earlier physical time.</x:t>
        </x:is>
      </x:c>
    </x:row>
    <x:row r="89">
      <x:c r="A89" s="4" t="inlineStr">
        <x:is>
          <x:t xml:space="preserve">Atemporal causation is not self-contradictory merely because ordinary physical causation is temporal.</x:t>
        </x:is>
      </x:c>
    </x:row>
    <x:row r="90">
      <x:c r="A90" s="4" t="inlineStr">
        <x:is>
          <x:t xml:space="preserve">The origin of a temporal universe from a timeless cause may imply agent causation or a relevant asymmetry in causal conditions.</x:t>
        </x:is>
      </x:c>
    </x:row>
    <x:row r="91">
      <x:c r="A91" s="4" t="inlineStr">
        <x:is>
          <x:t xml:space="preserve">A necessary, immaterial, powerful cause is more consonant with theism than with ordinary naturalism.</x:t>
        </x:is>
      </x:c>
    </x:row>
    <x:row r="92">
      <x:c r="A92" s="4" t="inlineStr">
        <x:is>
          <x:t xml:space="preserve">Cosmological reasoning does not by itself establish Christianity.</x:t>
        </x:is>
      </x:c>
    </x:row>
    <x:row r="93">
      <x:c r="A93" s="4" t="inlineStr">
        <x:is>
          <x:t xml:space="preserve">Cosmological reasoning may contribute to a cumulative case for classical theism.</x:t>
        </x:is>
      </x:c>
    </x:row>
    <x:row r="95">
      <x:c r="A95" t="inlineStr">
        <x:is>
          <x:t xml:space="preserve">Subfamilies should include:</x:t>
        </x:is>
      </x:c>
    </x:row>
    <x:row r="96">
      <x:c r="A96" s="4" t="n"/>
    </x:row>
    <x:row r="97">
      <x:c r="A97" s="4" t="inlineStr">
        <x:is>
          <x:t xml:space="preserve">Kalam cosmological arguments.</x:t>
        </x:is>
      </x:c>
    </x:row>
    <x:row r="98">
      <x:c r="A98" s="4" t="inlineStr">
        <x:is>
          <x:t xml:space="preserve">Leibnizian contingency arguments.</x:t>
        </x:is>
      </x:c>
    </x:row>
    <x:row r="99">
      <x:c r="A99" s="4" t="inlineStr">
        <x:is>
          <x:t xml:space="preserve">Thomistic act–potency arguments.</x:t>
        </x:is>
      </x:c>
    </x:row>
    <x:row r="100">
      <x:c r="A100" s="4" t="inlineStr">
        <x:is>
          <x:t xml:space="preserve">Arguments from composition.</x:t>
        </x:is>
      </x:c>
    </x:row>
    <x:row r="101">
      <x:c r="A101" s="4" t="inlineStr">
        <x:is>
          <x:t xml:space="preserve">Arguments from sustaining causation.</x:t>
        </x:is>
      </x:c>
    </x:row>
    <x:row r="102">
      <x:c r="A102" s="4" t="inlineStr">
        <x:is>
          <x:t xml:space="preserve">Arguments from sufficient reason.</x:t>
        </x:is>
      </x:c>
    </x:row>
    <x:row r="103">
      <x:c r="A103" s="4" t="inlineStr">
        <x:is>
          <x:t xml:space="preserve">Arguments from the intelligibility of being.</x:t>
        </x:is>
      </x:c>
    </x:row>
    <x:row r="105" ht="23.399999618530273" customHeight="1">
      <x:c r="A105" s="2" t="inlineStr">
        <x:is>
          <x:t xml:space="preserve">III. Divine attributes</x:t>
        </x:is>
      </x:c>
    </x:row>
    <x:row r="107">
      <x:c r="A107" t="inlineStr">
        <x:is>
          <x:t xml:space="preserve">Once some ultimate foundation is proposed, you need a separate dependency tree for its properties.</x:t>
        </x:is>
      </x:c>
    </x:row>
    <x:row r="109">
      <x:c r="A109" t="inlineStr">
        <x:is>
          <x:t xml:space="preserve">Claims might include:</x:t>
        </x:is>
      </x:c>
    </x:row>
    <x:row r="110">
      <x:c r="A110" s="4" t="n"/>
    </x:row>
    <x:row r="111">
      <x:c r="A111" s="4" t="inlineStr">
        <x:is>
          <x:t xml:space="preserve">A necessary being does not derive existence from another.</x:t>
        </x:is>
      </x:c>
    </x:row>
    <x:row r="112">
      <x:c r="A112" s="4" t="inlineStr">
        <x:is>
          <x:t xml:space="preserve">An absolutely fundamental being is not composed of independently existing metaphysical parts.</x:t>
        </x:is>
      </x:c>
    </x:row>
    <x:row r="113">
      <x:c r="A113" s="4" t="inlineStr">
        <x:is>
          <x:t xml:space="preserve">A non-composite necessary being may be immutable in its essential nature.</x:t>
        </x:is>
      </x:c>
    </x:row>
    <x:row r="114">
      <x:c r="A114" s="4" t="inlineStr">
        <x:is>
          <x:t xml:space="preserve">The cause of all physical reality must possess sufficient causal power for physical reality.</x:t>
        </x:is>
      </x:c>
    </x:row>
    <x:row r="115">
      <x:c r="A115" s="4" t="inlineStr">
        <x:is>
          <x:t xml:space="preserve">An ultimate source of all finite actuality cannot possess actuality merely derivatively.</x:t>
        </x:is>
      </x:c>
    </x:row>
    <x:row r="116">
      <x:c r="A116" s="4" t="inlineStr">
        <x:is>
          <x:t xml:space="preserve">If there is one absolutely unlimited necessary foundation, two such foundations may be indistinguishable or metaphysically impossible.</x:t>
        </x:is>
      </x:c>
    </x:row>
    <x:row r="117">
      <x:c r="A117" s="4" t="inlineStr">
        <x:is>
          <x:t xml:space="preserve">Divine omnipotence does not include performing logical contradictions.</x:t>
        </x:is>
      </x:c>
    </x:row>
    <x:row r="118">
      <x:c r="A118" s="4" t="inlineStr">
        <x:is>
          <x:t xml:space="preserve">Omniscience means knowledge of every truth, not belief in falsehoods.</x:t>
        </x:is>
      </x:c>
    </x:row>
    <x:row r="119">
      <x:c r="A119" s="4" t="inlineStr">
        <x:is>
          <x:t xml:space="preserve">Perfect goodness is not equivalent to maximizing immediate pleasure.</x:t>
        </x:is>
      </x:c>
    </x:row>
    <x:row r="120">
      <x:c r="A120" s="4" t="inlineStr">
        <x:is>
          <x:t xml:space="preserve">Divine timelessness and divine temporality are competing models rather than identical doctrines.</x:t>
        </x:is>
      </x:c>
    </x:row>
    <x:row r="121">
      <x:c r="A121" s="4" t="inlineStr">
        <x:is>
          <x:t xml:space="preserve">Divine simplicity, impassibility, immutability, and timelessness require careful distinctions.</x:t>
        </x:is>
      </x:c>
    </x:row>
    <x:row r="122">
      <x:c r="A122" s="4" t="inlineStr">
        <x:is>
          <x:t xml:space="preserve">Classical theism and theistic personalism make different claims about God.</x:t>
        </x:is>
      </x:c>
    </x:row>
    <x:row r="123">
      <x:c r="A123" s="4" t="inlineStr">
        <x:is>
          <x:t xml:space="preserve">Not every apologetic argument commits one to every feature of classical theism.</x:t>
        </x:is>
      </x:c>
    </x:row>
    <x:row r="125">
      <x:c r="A125" t="inlineStr">
        <x:is>
          <x:t xml:space="preserve">These should be tagged by theological tradition.</x:t>
        </x:is>
      </x:c>
    </x:row>
    <x:row r="127" ht="23.399999618530273" customHeight="1">
      <x:c r="A127" s="2" t="inlineStr">
        <x:is>
          <x:t xml:space="preserve">IV. Order, intelligibility, and fine-tuning</x:t>
        </x:is>
      </x:c>
    </x:row>
    <x:row r="129">
      <x:c r="A129" t="inlineStr">
        <x:is>
          <x:t xml:space="preserve">Claims:</x:t>
        </x:is>
      </x:c>
    </x:row>
    <x:row r="130">
      <x:c r="A130" s="4" t="n"/>
    </x:row>
    <x:row r="131">
      <x:c r="A131" s="4" t="inlineStr">
        <x:is>
          <x:t xml:space="preserve">The universe exhibits mathematically describable regularities.</x:t>
        </x:is>
      </x:c>
    </x:row>
    <x:row r="132">
      <x:c r="A132" s="4" t="inlineStr">
        <x:is>
          <x:t xml:space="preserve">The applicability of mathematics to physical reality is philosophically significant.</x:t>
        </x:is>
      </x:c>
    </x:row>
    <x:row r="133">
      <x:c r="A133" s="4" t="inlineStr">
        <x:is>
          <x:t xml:space="preserve">The existence of stable laws is not logically guaranteed by the bare existence of matter.</x:t>
        </x:is>
      </x:c>
    </x:row>
    <x:row r="134">
      <x:c r="A134" s="4" t="inlineStr">
        <x:is>
          <x:t xml:space="preserve">Fine-tuning arguments concern ranges compatible with embodied life, not merely the fact that humans enjoy present conditions.</x:t>
        </x:is>
      </x:c>
    </x:row>
    <x:row r="135">
      <x:c r="A135" s="4" t="inlineStr">
        <x:is>
          <x:t xml:space="preserve">Fine-tuning can be formulated using constants, initial conditions, laws, or higher-level structural features.</x:t>
        </x:is>
      </x:c>
    </x:row>
    <x:row r="136">
      <x:c r="A136" s="4" t="inlineStr">
        <x:is>
          <x:t xml:space="preserve">Design, necessity, chance, multiverse hypotheses, and selection effects are competing explanatory categories.</x:t>
        </x:is>
      </x:c>
    </x:row>
    <x:row r="137">
      <x:c r="A137" s="4" t="inlineStr">
        <x:is>
          <x:t xml:space="preserve">Observer selection effects explain why observers observe observer-permitting conditions, but do not necessarily explain why an observer-permitting domain exists.</x:t>
        </x:is>
      </x:c>
    </x:row>
    <x:row r="138">
      <x:c r="A138" s="4" t="inlineStr">
        <x:is>
          <x:t xml:space="preserve">A multiverse does not automatically eliminate questions concerning the generating mechanism.</x:t>
        </x:is>
      </x:c>
    </x:row>
    <x:row r="139">
      <x:c r="A139" s="4" t="inlineStr">
        <x:is>
          <x:t xml:space="preserve">A multiverse may weaken some design inferences while leaving others untouched.</x:t>
        </x:is>
      </x:c>
    </x:row>
    <x:row r="140">
      <x:c r="A140" s="4" t="inlineStr">
        <x:is>
          <x:t xml:space="preserve">Probability claims about constants require a justified probability measure.</x:t>
        </x:is>
      </x:c>
    </x:row>
    <x:row r="141">
      <x:c r="A141" s="4" t="inlineStr">
        <x:is>
          <x:t xml:space="preserve">Fine-tuning does not deductively prove God.</x:t>
        </x:is>
      </x:c>
    </x:row>
    <x:row r="142">
      <x:c r="A142" s="4" t="inlineStr">
        <x:is>
          <x:t xml:space="preserve">Fine-tuning may provide abductive evidence for purposive explanation under specified assumptions.</x:t>
        </x:is>
      </x:c>
    </x:row>
    <x:row r="143">
      <x:c r="A143" s="4" t="inlineStr">
        <x:is>
          <x:t xml:space="preserve">Theism may predict an intelligible and life-permitting universe better than some forms of naturalism.</x:t>
        </x:is>
      </x:c>
    </x:row>
    <x:row r="144">
      <x:c r="A144" s="4" t="inlineStr">
        <x:is>
          <x:t xml:space="preserve">The existence of suffering and apparently wasteful cosmic processes can reduce the force of simplistic design arguments.</x:t>
        </x:is>
      </x:c>
    </x:row>
    <x:row r="145">
      <x:c r="A145" s="4" t="inlineStr">
        <x:is>
          <x:t xml:space="preserve">A refined design case must address both apparent order and apparent disorder.</x:t>
        </x:is>
      </x:c>
    </x:row>
    <x:row r="147" ht="23.399999618530273" customHeight="1">
      <x:c r="A147" s="2" t="inlineStr">
        <x:is>
          <x:t xml:space="preserve">V. Life, biological information, and teleology</x:t>
        </x:is>
      </x:c>
    </x:row>
    <x:row r="149">
      <x:c r="A149" t="inlineStr">
        <x:is>
          <x:t xml:space="preserve">This area requires exceptional discipline because apologetic claims are often overstated.</x:t>
        </x:is>
      </x:c>
    </x:row>
    <x:row r="151">
      <x:c r="A151" t="inlineStr">
        <x:is>
          <x:t xml:space="preserve">Claims should be divided into:</x:t>
        </x:is>
      </x:c>
    </x:row>
    <x:row r="152">
      <x:c r="A152" s="4" t="n"/>
    </x:row>
    <x:row r="153">
      <x:c r="A153" s="4" t="inlineStr">
        <x:is>
          <x:t xml:space="preserve">Origin-of-life claims.</x:t>
        </x:is>
      </x:c>
    </x:row>
    <x:row r="154">
      <x:c r="A154" s="4" t="inlineStr">
        <x:is>
          <x:t xml:space="preserve">Evolutionary claims.</x:t>
        </x:is>
      </x:c>
    </x:row>
    <x:row r="155">
      <x:c r="A155" s="4" t="inlineStr">
        <x:is>
          <x:t xml:space="preserve">Information-theoretic claims.</x:t>
        </x:is>
      </x:c>
    </x:row>
    <x:row r="156">
      <x:c r="A156" s="4" t="inlineStr">
        <x:is>
          <x:t xml:space="preserve">Teleology claims.</x:t>
        </x:is>
      </x:c>
    </x:row>
    <x:row r="157">
      <x:c r="A157" s="4" t="inlineStr">
        <x:is>
          <x:t xml:space="preserve">Philosophy-of-biology claims.</x:t>
        </x:is>
      </x:c>
    </x:row>
    <x:row r="159">
      <x:c r="A159" t="inlineStr">
        <x:is>
          <x:t xml:space="preserve">Examples:</x:t>
        </x:is>
      </x:c>
    </x:row>
    <x:row r="160">
      <x:c r="A160" s="4" t="n"/>
    </x:row>
    <x:row r="161">
      <x:c r="A161" s="4" t="inlineStr">
        <x:is>
          <x:t xml:space="preserve">Biological evolution and Christian theism are not logically contradictory.</x:t>
        </x:is>
      </x:c>
    </x:row>
    <x:row r="162">
      <x:c r="A162" s="4" t="inlineStr">
        <x:is>
          <x:t xml:space="preserve">Common ancestry does not by itself entail metaphysical naturalism.</x:t>
        </x:is>
      </x:c>
    </x:row>
    <x:row r="163">
      <x:c r="A163" s="4" t="inlineStr">
        <x:is>
          <x:t xml:space="preserve">Natural selection explains differential survival given replicating systems; it is not by itself a complete theory of the first replicator.</x:t>
        </x:is>
      </x:c>
    </x:row>
    <x:row r="164">
      <x:c r="A164" s="4" t="inlineStr">
        <x:is>
          <x:t xml:space="preserve">Origin-of-life research and evolutionary biology address overlapping but distinct questions.</x:t>
        </x:is>
      </x:c>
    </x:row>
    <x:row r="165">
      <x:c r="A165" s="4" t="inlineStr">
        <x:is>
          <x:t xml:space="preserve">“Information” has multiple technical and nontechnical meanings.</x:t>
        </x:is>
      </x:c>
    </x:row>
    <x:row r="166">
      <x:c r="A166" s="4" t="inlineStr">
        <x:is>
          <x:t xml:space="preserve">Shannon information does not by itself imply semantic meaning or intelligent authorship.</x:t>
        </x:is>
      </x:c>
    </x:row>
    <x:row r="167">
      <x:c r="A167" s="4" t="inlineStr">
        <x:is>
          <x:t xml:space="preserve">Functional biological organization may raise questions not settled merely by measuring Shannon information.</x:t>
        </x:is>
      </x:c>
    </x:row>
    <x:row r="168">
      <x:c r="A168" s="4" t="inlineStr">
        <x:is>
          <x:t xml:space="preserve">Gaps in present scientific knowledge are not positive demonstrations of divine action.</x:t>
        </x:is>
      </x:c>
    </x:row>
    <x:row r="169">
      <x:c r="A169" s="4" t="inlineStr">
        <x:is>
          <x:t xml:space="preserve">A design argument should not depend solely on current scientific ignorance.</x:t>
        </x:is>
      </x:c>
    </x:row>
    <x:row r="170">
      <x:c r="A170" s="4" t="inlineStr">
        <x:is>
          <x:t xml:space="preserve">Theism may be compatible with law-governed secondary causes.</x:t>
        </x:is>
      </x:c>
    </x:row>
    <x:row r="171">
      <x:c r="A171" s="4" t="inlineStr">
        <x:is>
          <x:t xml:space="preserve">Christian doctrine does not require one universally accepted position on the age of the Earth.</x:t>
        </x:is>
      </x:c>
    </x:row>
    <x:row r="172">
      <x:c r="A172" s="4" t="inlineStr">
        <x:is>
          <x:t xml:space="preserve">Christian traditions differ concerning Adam, death before the Fall, and the interpretation of Genesis.</x:t>
        </x:is>
      </x:c>
    </x:row>
    <x:row r="173">
      <x:c r="A173" s="4" t="inlineStr">
        <x:is>
          <x:t xml:space="preserve">Scientific evidence must not be altered to protect a predetermined interpretation.</x:t>
        </x:is>
      </x:c>
    </x:row>
    <x:row r="175" ht="23.399999618530273" customHeight="1">
      <x:c r="A175" s="2" t="inlineStr">
        <x:is>
          <x:t xml:space="preserve">VI. Consciousness, mind, and rationality</x:t>
        </x:is>
      </x:c>
    </x:row>
    <x:row r="177">
      <x:c r="A177" t="inlineStr">
        <x:is>
          <x:t xml:space="preserve">Potential claims:</x:t>
        </x:is>
      </x:c>
    </x:row>
    <x:row r="178">
      <x:c r="A178" s="4" t="n"/>
    </x:row>
    <x:row r="179">
      <x:c r="A179" s="4" t="inlineStr">
        <x:is>
          <x:t xml:space="preserve">First-person conscious experience exists.</x:t>
        </x:is>
      </x:c>
    </x:row>
    <x:row r="180">
      <x:c r="A180" s="4" t="inlineStr">
        <x:is>
          <x:t xml:space="preserve">A complete inventory of third-person physical facts may not transparently entail first-person qualitative experience.</x:t>
        </x:is>
      </x:c>
    </x:row>
    <x:row r="181">
      <x:c r="A181" s="4" t="inlineStr">
        <x:is>
          <x:t xml:space="preserve">The hard problem of consciousness remains conceptually distinct from explaining cognitive functions.</x:t>
        </x:is>
      </x:c>
    </x:row>
    <x:row r="182">
      <x:c r="A182" s="4" t="inlineStr">
        <x:is>
          <x:t xml:space="preserve">Substance dualism, property dualism, hylomorphism, idealism, panpsychism, and physicalism are competing models.</x:t>
        </x:is>
      </x:c>
    </x:row>
    <x:row r="183">
      <x:c r="A183" s="4" t="inlineStr">
        <x:is>
          <x:t xml:space="preserve">Correlation between brain states and mental states does not by itself establish identity.</x:t>
        </x:is>
      </x:c>
    </x:row>
    <x:row r="184">
      <x:c r="A184" s="4" t="inlineStr">
        <x:is>
          <x:t xml:space="preserve">Dependence of mental function on the brain does not alone disprove every form of dualism.</x:t>
        </x:is>
      </x:c>
    </x:row>
    <x:row r="185">
      <x:c r="A185" s="4" t="inlineStr">
        <x:is>
          <x:t xml:space="preserve">Physicalism does not necessarily entail eliminativism.</x:t>
        </x:is>
      </x:c>
    </x:row>
    <x:row r="186">
      <x:c r="A186" s="4" t="inlineStr">
        <x:is>
          <x:t xml:space="preserve">Intentionality—the “aboutness” of thought—requires explanation.</x:t>
        </x:is>
      </x:c>
    </x:row>
    <x:row r="187">
      <x:c r="A187" s="4" t="inlineStr">
        <x:is>
          <x:t xml:space="preserve">Logical validity is normative rather than merely descriptive.</x:t>
        </x:is>
      </x:c>
    </x:row>
    <x:row r="188">
      <x:c r="A188" s="4" t="inlineStr">
        <x:is>
          <x:t xml:space="preserve">Evolutionary explanations of cognition may explain adaptive behavior without automatically establishing truth-tracking in every domain.</x:t>
        </x:is>
      </x:c>
    </x:row>
    <x:row r="189">
      <x:c r="A189" s="4" t="inlineStr">
        <x:is>
          <x:t xml:space="preserve">An evolutionary argument against naturalism must distinguish global skepticism from limited cognitive fallibility.</x:t>
        </x:is>
      </x:c>
    </x:row>
    <x:row r="190">
      <x:c r="A190" s="4" t="inlineStr">
        <x:is>
          <x:t xml:space="preserve">Theism may provide resources for explaining rational minds in an intelligible universe.</x:t>
        </x:is>
      </x:c>
    </x:row>
    <x:row r="191">
      <x:c r="A191" s="4" t="inlineStr">
        <x:is>
          <x:t xml:space="preserve">The existence of consciousness does not deductively establish the Christian God.</x:t>
        </x:is>
      </x:c>
    </x:row>
    <x:row r="192">
      <x:c r="A192" s="4" t="inlineStr">
        <x:is>
          <x:t xml:space="preserve">Reports of near-death experiences require careful evidential assessment and should not be treated as automatic proof of an afterlife.</x:t>
        </x:is>
      </x:c>
    </x:row>
    <x:row r="193">
      <x:c r="A193" s="4" t="inlineStr">
        <x:is>
          <x:t xml:space="preserve">Personal identity over time raises questions for both physicalist and dualist models.</x:t>
        </x:is>
      </x:c>
    </x:row>
    <x:row r="194">
      <x:c r="A194" s="4" t="inlineStr">
        <x:is>
          <x:t xml:space="preserve">Resurrection is conceptually distinct from the immortality of an immaterial soul.</x:t>
        </x:is>
      </x:c>
    </x:row>
    <x:row r="196" ht="23.399999618530273" customHeight="1">
      <x:c r="A196" s="2" t="inlineStr">
        <x:is>
          <x:t xml:space="preserve">VII. Morality and value</x:t>
        </x:is>
      </x:c>
    </x:row>
    <x:row r="198">
      <x:c r="A198" t="inlineStr">
        <x:is>
          <x:t xml:space="preserve">This should include moral ontology, moral epistemology, motivation, and divine-command questions.</x:t>
        </x:is>
      </x:c>
    </x:row>
    <x:row r="200">
      <x:c r="A200" t="inlineStr">
        <x:is>
          <x:t xml:space="preserve">Claims:</x:t>
        </x:is>
      </x:c>
    </x:row>
    <x:row r="201">
      <x:c r="A201" s="4" t="n"/>
    </x:row>
    <x:row r="202">
      <x:c r="A202" s="4" t="inlineStr">
        <x:is>
          <x:t xml:space="preserve">Some actions may be objectively wrong regardless of individual approval.</x:t>
        </x:is>
      </x:c>
    </x:row>
    <x:row r="203">
      <x:c r="A203" s="4" t="inlineStr">
        <x:is>
          <x:t xml:space="preserve">Moral realism is not equivalent to theism.</x:t>
        </x:is>
      </x:c>
    </x:row>
    <x:row r="204">
      <x:c r="A204" s="4" t="inlineStr">
        <x:is>
          <x:t xml:space="preserve">Atheists can know and act on moral truths.</x:t>
        </x:is>
      </x:c>
    </x:row>
    <x:row r="205">
      <x:c r="A205" s="4" t="inlineStr">
        <x:is>
          <x:t xml:space="preserve">The moral argument concerns the grounding of objective moral facts, not whether nonbelievers behave morally.</x:t>
        </x:is>
      </x:c>
    </x:row>
    <x:row r="206">
      <x:c r="A206" s="4" t="inlineStr">
        <x:is>
          <x:t xml:space="preserve">Evolutionary accounts can explain moral beliefs without necessarily explaining whether moral propositions are objectively true.</x:t>
        </x:is>
      </x:c>
    </x:row>
    <x:row r="207">
      <x:c r="A207" s="4" t="inlineStr">
        <x:is>
          <x:t xml:space="preserve">Social consensus does not make every moral judgment true.</x:t>
        </x:is>
      </x:c>
    </x:row>
    <x:row r="208">
      <x:c r="A208" s="4" t="inlineStr">
        <x:is>
          <x:t xml:space="preserve">Moral disagreement does not prove that no objective moral truth exists.</x:t>
        </x:is>
      </x:c>
    </x:row>
    <x:row r="209">
      <x:c r="A209" s="4" t="inlineStr">
        <x:is>
          <x:t xml:space="preserve">If objective moral obligations exist, their authority requires explanation.</x:t>
        </x:is>
      </x:c>
    </x:row>
    <x:row r="210">
      <x:c r="A210" s="4" t="inlineStr">
        <x:is>
          <x:t xml:space="preserve">Divine-command theories must answer the Euthyphro dilemma.</x:t>
        </x:is>
      </x:c>
    </x:row>
    <x:row r="211">
      <x:c r="A211" s="4" t="inlineStr">
        <x:is>
          <x:t xml:space="preserve">A modified divine-command theory may ground obligation in commands flowing from an essentially good divine nature.</x:t>
        </x:is>
      </x:c>
    </x:row>
    <x:row r="212">
      <x:c r="A212" s="4" t="inlineStr">
        <x:is>
          <x:t xml:space="preserve">“God is good” must not be reduced to “God does whatever God does.”</x:t>
        </x:is>
      </x:c>
    </x:row>
    <x:row r="213">
      <x:c r="A213" s="4" t="inlineStr">
        <x:is>
          <x:t xml:space="preserve">Moral value, moral duty, and moral accountability are distinct.</x:t>
        </x:is>
      </x:c>
    </x:row>
    <x:row r="214">
      <x:c r="A214" s="4" t="inlineStr">
        <x:is>
          <x:t xml:space="preserve">Human dignity may be grounded in the image of God within Christianity.</x:t>
        </x:is>
      </x:c>
    </x:row>
    <x:row r="215">
      <x:c r="A215" s="4" t="inlineStr">
        <x:is>
          <x:t xml:space="preserve">Secular theories can offer alternative accounts of dignity and must be compared fairly.</x:t>
        </x:is>
      </x:c>
    </x:row>
    <x:row r="216">
      <x:c r="A216" s="4" t="inlineStr">
        <x:is>
          <x:t xml:space="preserve">Final moral justice is more expected under some forms of theism than under impersonal naturalism.</x:t>
        </x:is>
      </x:c>
    </x:row>
    <x:row r="217">
      <x:c r="A217" s="4" t="inlineStr">
        <x:is>
          <x:t xml:space="preserve">The existence of moral evil creates both an argument for objective morality and an objection to divine governance.</x:t>
        </x:is>
      </x:c>
    </x:row>
    <x:row r="218">
      <x:c r="A218" s="4" t="inlineStr">
        <x:is>
          <x:t xml:space="preserve">A Christian moral case must address difficult biblical moral texts rather than ignore them.</x:t>
        </x:is>
      </x:c>
    </x:row>
    <x:row r="220" ht="23.399999618530273" customHeight="1">
      <x:c r="A220" s="2" t="inlineStr">
        <x:is>
          <x:t xml:space="preserve">VIII. Meaning, purpose, beauty, and existential fit</x:t>
        </x:is>
      </x:c>
    </x:row>
    <x:row r="222">
      <x:c r="A222" t="inlineStr">
        <x:is>
          <x:t xml:space="preserve">Claims:</x:t>
        </x:is>
      </x:c>
    </x:row>
    <x:row r="223">
      <x:c r="A223" s="4" t="n"/>
    </x:row>
    <x:row r="224">
      <x:c r="A224" s="4" t="inlineStr">
        <x:is>
          <x:t xml:space="preserve">Subjective meaning and objective purpose are not identical.</x:t>
        </x:is>
      </x:c>
    </x:row>
    <x:row r="225">
      <x:c r="A225" s="4" t="inlineStr">
        <x:is>
          <x:t xml:space="preserve">A person may experience meaningfulness even if no cosmic purpose exists.</x:t>
        </x:is>
      </x:c>
    </x:row>
    <x:row r="226">
      <x:c r="A226" s="4" t="inlineStr">
        <x:is>
          <x:t xml:space="preserve">The Christian claim is stronger: human life possesses objective purpose grounded in divine intention.</x:t>
        </x:is>
      </x:c>
    </x:row>
    <x:row r="227">
      <x:c r="A227" s="4" t="inlineStr">
        <x:is>
          <x:t xml:space="preserve">Finite goods may provide genuine but limited meaning.</x:t>
        </x:is>
      </x:c>
    </x:row>
    <x:row r="228">
      <x:c r="A228" s="4" t="inlineStr">
        <x:is>
          <x:t xml:space="preserve">Death threatens some conceptions of ultimate significance more than others.</x:t>
        </x:is>
      </x:c>
    </x:row>
    <x:row r="229">
      <x:c r="A229" s="4" t="inlineStr">
        <x:is>
          <x:t xml:space="preserve">Christianity interprets beauty, creativity, love, sacrifice, and hope within a purposive metaphysical framework.</x:t>
        </x:is>
      </x:c>
    </x:row>
    <x:row r="230">
      <x:c r="A230" s="4" t="inlineStr">
        <x:is>
          <x:t xml:space="preserve">Existential attractiveness does not prove truth.</x:t>
        </x:is>
      </x:c>
    </x:row>
    <x:row r="231">
      <x:c r="A231" s="4" t="inlineStr">
        <x:is>
          <x:t xml:space="preserve">Existential coherence may nevertheless form part of a cumulative worldview comparison.</x:t>
        </x:is>
      </x:c>
    </x:row>
    <x:row r="232">
      <x:c r="A232" s="4" t="inlineStr">
        <x:is>
          <x:t xml:space="preserve">Human longing does not deductively demonstrate that its object exists.</x:t>
        </x:is>
      </x:c>
    </x:row>
    <x:row r="233">
      <x:c r="A233" s="4" t="inlineStr">
        <x:is>
          <x:t xml:space="preserve">Persistent desires may still have evidential relevance under certain theories of human nature.</x:t>
        </x:is>
      </x:c>
    </x:row>
    <x:row r="234">
      <x:c r="A234" s="4" t="inlineStr">
        <x:is>
          <x:t xml:space="preserve">The aesthetic structure of the world may be interpreted theistically, naturalistically, or Platonically.</x:t>
        </x:is>
      </x:c>
    </x:row>
    <x:row r="235">
      <x:c r="A235" s="4" t="inlineStr">
        <x:is>
          <x:t xml:space="preserve">Theism may unify truth, goodness, and beauty in one ultimate source.</x:t>
        </x:is>
      </x:c>
    </x:row>
    <x:row r="237" ht="23.399999618530273" customHeight="1">
      <x:c r="A237" s="2" t="inlineStr">
        <x:is>
          <x:t xml:space="preserve">IX. Religious experience and revelation</x:t>
        </x:is>
      </x:c>
    </x:row>
    <x:row r="239">
      <x:c r="A239" t="inlineStr">
        <x:is>
          <x:t xml:space="preserve">Claims:</x:t>
        </x:is>
      </x:c>
    </x:row>
    <x:row r="240">
      <x:c r="A240" s="4" t="n"/>
    </x:row>
    <x:row r="241">
      <x:c r="A241" s="4" t="inlineStr">
        <x:is>
          <x:t xml:space="preserve">Religious experiences occur across cultures.</x:t>
        </x:is>
      </x:c>
    </x:row>
    <x:row r="242">
      <x:c r="A242" s="4" t="inlineStr">
        <x:is>
          <x:t xml:space="preserve">The existence of conflicting religious experiences does not show that every such experience is false.</x:t>
        </x:is>
      </x:c>
    </x:row>
    <x:row r="243">
      <x:c r="A243" s="4" t="inlineStr">
        <x:is>
          <x:t xml:space="preserve">Religious experience may have prima facie evidential force for the subject.</x:t>
        </x:is>
      </x:c>
    </x:row>
    <x:row r="244">
      <x:c r="A244" s="4" t="inlineStr">
        <x:is>
          <x:t xml:space="preserve">Psychological or neurological mediation does not by itself prove that an experience is delusive.</x:t>
        </x:is>
      </x:c>
    </x:row>
    <x:row r="245">
      <x:c r="A245" s="4" t="inlineStr">
        <x:is>
          <x:t xml:space="preserve">Natural explanations and divine explanations need not always be mutually exclusive.</x:t>
        </x:is>
      </x:c>
    </x:row>
    <x:row r="246">
      <x:c r="A246" s="4" t="inlineStr">
        <x:is>
          <x:t xml:space="preserve">Religious experiences require screening for deception, pathology, suggestion, social reinforcement, and expectation.</x:t>
        </x:is>
      </x:c>
    </x:row>
    <x:row r="247">
      <x:c r="A247" s="4" t="inlineStr">
        <x:is>
          <x:t xml:space="preserve">Corporate experiences differ evidentially from solitary private experiences.</x:t>
        </x:is>
      </x:c>
    </x:row>
    <x:row r="248">
      <x:c r="A248" s="4" t="inlineStr">
        <x:is>
          <x:t xml:space="preserve">Transformative effects may support sincerity but do not guarantee truth.</x:t>
        </x:is>
      </x:c>
    </x:row>
    <x:row r="249">
      <x:c r="A249" s="4" t="inlineStr">
        <x:is>
          <x:t xml:space="preserve">Christian religious experience must be assessed together with public claims about Jesus, not in isolation.</x:t>
        </x:is>
      </x:c>
    </x:row>
    <x:row r="250">
      <x:c r="A250" s="4" t="inlineStr">
        <x:is>
          <x:t xml:space="preserve">Claims of revelation require criteria for authenticity.</x:t>
        </x:is>
      </x:c>
    </x:row>
    <x:row r="251">
      <x:c r="A251" s="4" t="inlineStr">
        <x:is>
          <x:t xml:space="preserve">A revelation claim should be evaluated for coherence, moral character, historical anchoring, predictive content, and explanatory integration.</x:t>
        </x:is>
      </x:c>
    </x:row>
    <x:row r="252">
      <x:c r="A252" s="4" t="inlineStr">
        <x:is>
          <x:t xml:space="preserve">Divine hiddenness presents a serious challenge to claims that God desires relationship with all persons.</x:t>
        </x:is>
      </x:c>
    </x:row>
    <x:row r="253">
      <x:c r="A253" s="4" t="inlineStr">
        <x:is>
          <x:t xml:space="preserve">Christian responses include free-will, epistemic-distance, soul-making, nonresistant-disbelief, and eschatological models.</x:t>
        </x:is>
      </x:c>
    </x:row>
    <x:row r="254">
      <x:c r="A254" s="4" t="inlineStr">
        <x:is>
          <x:t xml:space="preserve">No single hiddenness response should be assumed sufficient without analysis.</x:t>
        </x:is>
      </x:c>
    </x:row>
    <x:row r="256" ht="23.399999618530273" customHeight="1">
      <x:c r="A256" s="2" t="inlineStr">
        <x:is>
          <x:t xml:space="preserve">X. General historical method</x:t>
        </x:is>
      </x:c>
    </x:row>
    <x:row r="258">
      <x:c r="A258" t="inlineStr">
        <x:is>
          <x:t xml:space="preserve">Before addressing Jesus, formalize what counts as responsible history.</x:t>
        </x:is>
      </x:c>
    </x:row>
    <x:row r="260">
      <x:c r="A260" t="inlineStr">
        <x:is>
          <x:t xml:space="preserve">Claims:</x:t>
        </x:is>
      </x:c>
    </x:row>
    <x:row r="261">
      <x:c r="A261" s="4" t="n"/>
    </x:row>
    <x:row r="262">
      <x:c r="A262" s="4" t="inlineStr">
        <x:is>
          <x:t xml:space="preserve">Historical events can be rationally known without direct observation.</x:t>
        </x:is>
      </x:c>
    </x:row>
    <x:row r="263">
      <x:c r="A263" s="4" t="inlineStr">
        <x:is>
          <x:t xml:space="preserve">Historical conclusions are generally probabilistic rather than deductively certain.</x:t>
        </x:is>
      </x:c>
    </x:row>
    <x:row r="264">
      <x:c r="A264" s="4" t="inlineStr">
        <x:is>
          <x:t xml:space="preserve">Multiple attestation can increase confidence but is not mechanically decisive.</x:t>
        </x:is>
      </x:c>
    </x:row>
    <x:row r="265">
      <x:c r="A265" s="4" t="inlineStr">
        <x:is>
          <x:t xml:space="preserve">Early attestation may improve evidential value.</x:t>
        </x:is>
      </x:c>
    </x:row>
    <x:row r="266">
      <x:c r="A266" s="4" t="inlineStr">
        <x:is>
          <x:t xml:space="preserve">Independent attestation must not be assumed where literary dependence is possible.</x:t>
        </x:is>
      </x:c>
    </x:row>
    <x:row r="267">
      <x:c r="A267" s="4" t="inlineStr">
        <x:is>
          <x:t xml:space="preserve">Embarrassment can sometimes support authenticity but is context-sensitive.</x:t>
        </x:is>
      </x:c>
    </x:row>
    <x:row r="268">
      <x:c r="A268" s="4" t="inlineStr">
        <x:is>
          <x:t xml:space="preserve">Enemy attestation can be evidentially valuable.</x:t>
        </x:is>
      </x:c>
    </x:row>
    <x:row r="269">
      <x:c r="A269" s="4" t="inlineStr">
        <x:is>
          <x:t xml:space="preserve">Memory can preserve central events while altering details.</x:t>
        </x:is>
      </x:c>
    </x:row>
    <x:row r="270">
      <x:c r="A270" s="4" t="inlineStr">
        <x:is>
          <x:t xml:space="preserve">Oral transmission can contain both stability and variation.</x:t>
        </x:is>
      </x:c>
    </x:row>
    <x:row r="271">
      <x:c r="A271" s="4" t="inlineStr">
        <x:is>
          <x:t xml:space="preserve">Legendary development is not uniform and cannot be assigned a universal timetable.</x:t>
        </x:is>
      </x:c>
    </x:row>
    <x:row r="272">
      <x:c r="A272" s="4" t="inlineStr">
        <x:is>
          <x:t xml:space="preserve">Theological purpose does not automatically eliminate historical content.</x:t>
        </x:is>
      </x:c>
    </x:row>
    <x:row r="273">
      <x:c r="A273" s="4" t="inlineStr">
        <x:is>
          <x:t xml:space="preserve">A source may contain both historically reliable and unreliable elements.</x:t>
        </x:is>
      </x:c>
    </x:row>
    <x:row r="274">
      <x:c r="A274" s="4" t="inlineStr">
        <x:is>
          <x:t xml:space="preserve">Differences between accounts are not automatically contradictions.</x:t>
        </x:is>
      </x:c>
    </x:row>
    <x:row r="275">
      <x:c r="A275" s="4" t="inlineStr">
        <x:is>
          <x:t xml:space="preserve">Harmonization is not automatically legitimate.</x:t>
        </x:is>
      </x:c>
    </x:row>
    <x:row r="276">
      <x:c r="A276" s="4" t="inlineStr">
        <x:is>
          <x:t xml:space="preserve">A contradiction requires that two claims assert incompatible propositions under the same relevant conditions.</x:t>
        </x:is>
      </x:c>
    </x:row>
    <x:row r="277">
      <x:c r="A277" s="4" t="inlineStr">
        <x:is>
          <x:t xml:space="preserve">Silence in one source does not automatically contradict inclusion in another.</x:t>
        </x:is>
      </x:c>
    </x:row>
    <x:row r="278">
      <x:c r="A278" s="4" t="inlineStr">
        <x:is>
          <x:t xml:space="preserve">Prior worldview commitments influence miracle assessment.</x:t>
        </x:is>
      </x:c>
    </x:row>
    <x:row r="279">
      <x:c r="A279" s="4" t="inlineStr">
        <x:is>
          <x:t xml:space="preserve">Historians may establish reported experiences and beliefs more readily than supernatural causation.</x:t>
        </x:is>
      </x:c>
    </x:row>
    <x:row r="280">
      <x:c r="A280" s="4" t="inlineStr">
        <x:is>
          <x:t xml:space="preserve">A resurrection argument should distinguish historical facts from the metaphysical explanation of those facts.</x:t>
        </x:is>
      </x:c>
    </x:row>
    <x:row r="282" ht="23.399999618530273" customHeight="1">
      <x:c r="A282" s="2" t="inlineStr">
        <x:is>
          <x:t xml:space="preserve">XI. The historical Jesus</x:t>
        </x:is>
      </x:c>
    </x:row>
    <x:row r="284">
      <x:c r="A284" t="inlineStr">
        <x:is>
          <x:t xml:space="preserve">A major repository would catalogue claims about:</x:t>
        </x:is>
      </x:c>
    </x:row>
    <x:row r="285">
      <x:c r="A285" s="4" t="n"/>
    </x:row>
    <x:row r="286">
      <x:c r="A286" s="4" t="inlineStr">
        <x:is>
          <x:t xml:space="preserve">Jesus’ existence.</x:t>
        </x:is>
      </x:c>
    </x:row>
    <x:row r="287">
      <x:c r="A287" s="4" t="inlineStr">
        <x:is>
          <x:t xml:space="preserve">Chronology.</x:t>
        </x:is>
      </x:c>
    </x:row>
    <x:row r="288">
      <x:c r="A288" s="4" t="inlineStr">
        <x:is>
          <x:t xml:space="preserve">Geographic setting.</x:t>
        </x:is>
      </x:c>
    </x:row>
    <x:row r="289">
      <x:c r="A289" s="4" t="inlineStr">
        <x:is>
          <x:t xml:space="preserve">Jewish context.</x:t>
        </x:is>
      </x:c>
    </x:row>
    <x:row r="290">
      <x:c r="A290" s="4" t="inlineStr">
        <x:is>
          <x:t xml:space="preserve">Baptism by John.</x:t>
        </x:is>
      </x:c>
    </x:row>
    <x:row r="291">
      <x:c r="A291" s="4" t="inlineStr">
        <x:is>
          <x:t xml:space="preserve">Public ministry.</x:t>
        </x:is>
      </x:c>
    </x:row>
    <x:row r="292">
      <x:c r="A292" s="4" t="inlineStr">
        <x:is>
          <x:t xml:space="preserve">Teaching about the kingdom of God.</x:t>
        </x:is>
      </x:c>
    </x:row>
    <x:row r="293">
      <x:c r="A293" s="4" t="inlineStr">
        <x:is>
          <x:t xml:space="preserve">Use of parables.</x:t>
        </x:is>
      </x:c>
    </x:row>
    <x:row r="294">
      <x:c r="A294" s="4" t="inlineStr">
        <x:is>
          <x:t xml:space="preserve">Reputation as healer or exorcist.</x:t>
        </x:is>
      </x:c>
    </x:row>
    <x:row r="295">
      <x:c r="A295" s="4" t="inlineStr">
        <x:is>
          <x:t xml:space="preserve">Selection of disciples.</x:t>
        </x:is>
      </x:c>
    </x:row>
    <x:row r="296">
      <x:c r="A296" s="4" t="inlineStr">
        <x:is>
          <x:t xml:space="preserve">Symbolic actions.</x:t>
        </x:is>
      </x:c>
    </x:row>
    <x:row r="297">
      <x:c r="A297" s="4" t="inlineStr">
        <x:is>
          <x:t xml:space="preserve">Conflict with authorities.</x:t>
        </x:is>
      </x:c>
    </x:row>
    <x:row r="298">
      <x:c r="A298" s="4" t="inlineStr">
        <x:is>
          <x:t xml:space="preserve">Final entry into Jerusalem.</x:t>
        </x:is>
      </x:c>
    </x:row>
    <x:row r="299">
      <x:c r="A299" s="4" t="inlineStr">
        <x:is>
          <x:t xml:space="preserve">Temple action.</x:t>
        </x:is>
      </x:c>
    </x:row>
    <x:row r="300">
      <x:c r="A300" s="4" t="inlineStr">
        <x:is>
          <x:t xml:space="preserve">Last meal.</x:t>
        </x:is>
      </x:c>
    </x:row>
    <x:row r="301">
      <x:c r="A301" s="4" t="inlineStr">
        <x:is>
          <x:t xml:space="preserve">Arrest.</x:t>
        </x:is>
      </x:c>
    </x:row>
    <x:row r="302">
      <x:c r="A302" s="4" t="inlineStr">
        <x:is>
          <x:t xml:space="preserve">Trial traditions.</x:t>
        </x:is>
      </x:c>
    </x:row>
    <x:row r="303">
      <x:c r="A303" s="4" t="inlineStr">
        <x:is>
          <x:t xml:space="preserve">Crucifixion under Pontius Pilate.</x:t>
        </x:is>
      </x:c>
    </x:row>
    <x:row r="304">
      <x:c r="A304" s="4" t="inlineStr">
        <x:is>
          <x:t xml:space="preserve">Death by crucifixion.</x:t>
        </x:is>
      </x:c>
    </x:row>
    <x:row r="305">
      <x:c r="A305" s="4" t="inlineStr">
        <x:is>
          <x:t xml:space="preserve">Burial traditions.</x:t>
        </x:is>
      </x:c>
    </x:row>
    <x:row r="306">
      <x:c r="A306" s="4" t="inlineStr">
        <x:is>
          <x:t xml:space="preserve">Empty-tomb traditions.</x:t>
        </x:is>
      </x:c>
    </x:row>
    <x:row r="307">
      <x:c r="A307" s="4" t="inlineStr">
        <x:is>
          <x:t xml:space="preserve">Postmortem appearance claims.</x:t>
        </x:is>
      </x:c>
    </x:row>
    <x:row r="308">
      <x:c r="A308" s="4" t="inlineStr">
        <x:is>
          <x:t xml:space="preserve">Formation of the earliest resurrection belief.</x:t>
        </x:is>
      </x:c>
    </x:row>
    <x:row r="309">
      <x:c r="A309" s="4" t="inlineStr">
        <x:is>
          <x:t xml:space="preserve">Development of Christology.</x:t>
        </x:is>
      </x:c>
    </x:row>
    <x:row r="310">
      <x:c r="A310" s="4" t="inlineStr">
        <x:is>
          <x:t xml:space="preserve">Jesus’ self-understanding.</x:t>
        </x:is>
      </x:c>
    </x:row>
    <x:row r="311">
      <x:c r="A311" s="4" t="inlineStr">
        <x:is>
          <x:t xml:space="preserve">Use of “Son of Man.”</x:t>
        </x:is>
      </x:c>
    </x:row>
    <x:row r="312">
      <x:c r="A312" s="4" t="inlineStr">
        <x:is>
          <x:t xml:space="preserve">Messianic claims.</x:t>
        </x:is>
      </x:c>
    </x:row>
    <x:row r="313">
      <x:c r="A313" s="4" t="inlineStr">
        <x:is>
          <x:t xml:space="preserve">Divine-identity claims.</x:t>
        </x:is>
      </x:c>
    </x:row>
    <x:row r="314">
      <x:c r="A314" s="4" t="inlineStr">
        <x:is>
          <x:t xml:space="preserve">Relationship between the Synoptic Gospels and John.</x:t>
        </x:is>
      </x:c>
    </x:row>
    <x:row r="316">
      <x:c r="A316" t="inlineStr">
        <x:is>
          <x:t xml:space="preserve">Every claim should have multiple graded formulations:</x:t>
        </x:is>
      </x:c>
    </x:row>
    <x:row r="317">
      <x:c r="A317" s="1" t="n"/>
    </x:row>
    <x:row r="318">
      <x:c r="A318" s="3" t="inlineStr">
        <x:is>
          <x:t xml:space="preserve">Minimal claim</x:t>
        </x:is>
      </x:c>
    </x:row>
    <x:row r="319">
      <x:c r="A319" s="3" t="inlineStr">
        <x:is>
          <x:t xml:space="preserve">Moderate claim</x:t>
        </x:is>
      </x:c>
    </x:row>
    <x:row r="320">
      <x:c r="A320" s="3" t="inlineStr">
        <x:is>
          <x:t xml:space="preserve">Strong claim</x:t>
        </x:is>
      </x:c>
    </x:row>
    <x:row r="321">
      <x:c r="A321" s="3" t="inlineStr">
        <x:is>
          <x:t xml:space="preserve">Confessional claim</x:t>
        </x:is>
      </x:c>
    </x:row>
    <x:row r="323">
      <x:c r="A323" t="inlineStr">
        <x:is>
          <x:t xml:space="preserve">For example:</x:t>
        </x:is>
      </x:c>
    </x:row>
    <x:row r="324">
      <x:c r="A324" s="1" t="n"/>
    </x:row>
    <x:row r="325">
      <x:c r="A325" s="3" t="inlineStr">
        <x:is>
          <x:t xml:space="preserve">Minimal: Jesus was executed by Roman crucifixion.</x:t>
        </x:is>
      </x:c>
    </x:row>
    <x:row r="326">
      <x:c r="A326" s="3" t="inlineStr">
        <x:is>
          <x:t xml:space="preserve">Moderate: Jesus died by crucifixion under Pontius Pilate.</x:t>
        </x:is>
      </x:c>
    </x:row>
    <x:row r="327">
      <x:c r="A327" s="3" t="inlineStr">
        <x:is>
          <x:t xml:space="preserve">Strong: Jesus knowingly interpreted his death as salvific.</x:t>
        </x:is>
      </x:c>
    </x:row>
    <x:row r="328">
      <x:c r="A328" s="3" t="inlineStr">
        <x:is>
          <x:t xml:space="preserve">Confessional: Jesus voluntarily offered himself as an atoning sacrifice.</x:t>
        </x:is>
      </x:c>
    </x:row>
    <x:row r="330">
      <x:c r="A330" t="inlineStr">
        <x:is>
          <x:t xml:space="preserve">That prevents historical and theological conclusions from being conflated.</x:t>
        </x:is>
      </x:c>
    </x:row>
    <x:row r="332" ht="23.399999618530273" customHeight="1">
      <x:c r="A332" s="2" t="inlineStr">
        <x:is>
          <x:t xml:space="preserve">XII. Resurrection case</x:t>
        </x:is>
      </x:c>
    </x:row>
    <x:row r="334">
      <x:c r="A334" t="inlineStr">
        <x:is>
          <x:t xml:space="preserve">This should become its own enormous module.</x:t>
        </x:is>
      </x:c>
    </x:row>
    <x:row r="336">
      <x:c r="A336" t="inlineStr">
        <x:is>
          <x:t xml:space="preserve">Claims and subclaims:</x:t>
        </x:is>
      </x:c>
    </x:row>
    <x:row r="337">
      <x:c r="A337" s="4" t="n"/>
    </x:row>
    <x:row r="338">
      <x:c r="A338" s="4" t="inlineStr">
        <x:is>
          <x:t xml:space="preserve">Jesus died by crucifixion.</x:t>
        </x:is>
      </x:c>
    </x:row>
    <x:row r="339">
      <x:c r="A339" s="4" t="inlineStr">
        <x:is>
          <x:t xml:space="preserve">The earliest disciples sincerely believed Jesus appeared to them after death.</x:t>
        </x:is>
      </x:c>
    </x:row>
    <x:row r="340">
      <x:c r="A340" s="4" t="inlineStr">
        <x:is>
          <x:t xml:space="preserve">Resurrection proclamation arose very early.</x:t>
        </x:is>
      </x:c>
    </x:row>
    <x:row r="341">
      <x:c r="A341" s="4" t="inlineStr">
        <x:is>
          <x:t xml:space="preserve">Paul received and transmitted earlier resurrection tradition.</x:t>
        </x:is>
      </x:c>
    </x:row>
    <x:row r="342">
      <x:c r="A342" s="4" t="inlineStr">
        <x:is>
          <x:t xml:space="preserve">Paul claimed an experience he interpreted as an appearance of the risen Jesus.</x:t>
        </x:is>
      </x:c>
    </x:row>
    <x:row r="343">
      <x:c r="A343" s="4" t="inlineStr">
        <x:is>
          <x:t xml:space="preserve">James became associated with the resurrection-witness tradition.</x:t>
        </x:is>
      </x:c>
    </x:row>
    <x:row r="344">
      <x:c r="A344" s="4" t="inlineStr">
        <x:is>
          <x:t xml:space="preserve">The empty tomb has multiple proposed historical arguments.</x:t>
        </x:is>
      </x:c>
    </x:row>
    <x:row r="345">
      <x:c r="A345" s="4" t="inlineStr">
        <x:is>
          <x:t xml:space="preserve">The empty tomb has significant scholarly objections.</x:t>
        </x:is>
      </x:c>
    </x:row>
    <x:row r="346">
      <x:c r="A346" s="4" t="inlineStr">
        <x:is>
          <x:t xml:space="preserve">Appearance traditions vary in form and location.</x:t>
        </x:is>
      </x:c>
    </x:row>
    <x:row r="347">
      <x:c r="A347" s="4" t="inlineStr">
        <x:is>
          <x:t xml:space="preserve">Group-appearance claims require analysis distinct from individual visionary experiences.</x:t>
        </x:is>
      </x:c>
    </x:row>
    <x:row r="348">
      <x:c r="A348" s="4" t="inlineStr">
        <x:is>
          <x:t xml:space="preserve">Hallucination hypotheses may explain some experiences but face questions about diversity, groups, and empty-tomb traditions.</x:t>
        </x:is>
      </x:c>
    </x:row>
    <x:row r="349">
      <x:c r="A349" s="4" t="inlineStr">
        <x:is>
          <x:t xml:space="preserve">Cognitive dissonance may explain reinterpretation after failed expectations but does not automatically explain the specific resurrection form.</x:t>
        </x:is>
      </x:c>
    </x:row>
    <x:row r="350">
      <x:c r="A350" s="4" t="inlineStr">
        <x:is>
          <x:t xml:space="preserve">Legend hypotheses must account for the dating and transmission of the earliest claims.</x:t>
        </x:is>
      </x:c>
    </x:row>
    <x:row r="351">
      <x:c r="A351" s="4" t="inlineStr">
        <x:is>
          <x:t xml:space="preserve">Body-removal hypotheses must explain motives, access, later proclamation, and evidential gaps.</x:t>
        </x:is>
      </x:c>
    </x:row>
    <x:row r="352">
      <x:c r="A352" s="4" t="inlineStr">
        <x:is>
          <x:t xml:space="preserve">Apparent-death hypotheses face medical and historical difficulties.</x:t>
        </x:is>
      </x:c>
    </x:row>
    <x:row r="353">
      <x:c r="A353" s="4" t="inlineStr">
        <x:is>
          <x:t xml:space="preserve">Spiritual-resurrection interpretations must be compared with Jewish resurrection concepts.</x:t>
        </x:is>
      </x:c>
    </x:row>
    <x:row r="354">
      <x:c r="A354" s="4" t="inlineStr">
        <x:is>
          <x:t xml:space="preserve">The resurrection hypothesis has substantial prior-probability disputes.</x:t>
        </x:is>
      </x:c>
    </x:row>
    <x:row r="355">
      <x:c r="A355" s="4" t="inlineStr">
        <x:is>
          <x:t xml:space="preserve">The resurrection cannot be inferred without broader metaphysical arguments permitting divine action.</x:t>
        </x:is>
      </x:c>
    </x:row>
    <x:row r="356">
      <x:c r="A356" s="4" t="inlineStr">
        <x:is>
          <x:t xml:space="preserve">The cumulative argument may combine theism, Jesus’ ministry, death, appearances, empty-tomb evidence, and movement emergence.</x:t>
        </x:is>
      </x:c>
    </x:row>
    <x:row r="357">
      <x:c r="A357" s="4" t="inlineStr">
        <x:is>
          <x:t xml:space="preserve">The conclusion “God raised Jesus” is abductive unless divine premises make it deductive.</x:t>
        </x:is>
      </x:c>
    </x:row>
    <x:row r="358">
      <x:c r="A358" s="4" t="inlineStr">
        <x:is>
          <x:t xml:space="preserve">Even if a resurrection occurred, further argument is needed to establish every later Christian doctrine.</x:t>
        </x:is>
      </x:c>
    </x:row>
    <x:row r="359">
      <x:c r="A359" s="4" t="inlineStr">
        <x:is>
          <x:t xml:space="preserve">Resurrection would strongly vindicate Jesus but interpretation of that vindication still requires theological analysis.</x:t>
        </x:is>
      </x:c>
    </x:row>
    <x:row r="361" ht="23.399999618530273" customHeight="1">
      <x:c r="A361" s="2" t="inlineStr">
        <x:is>
          <x:t xml:space="preserve">XIII. Reliability and formation of the New Testament</x:t>
        </x:is>
      </x:c>
    </x:row>
    <x:row r="363">
      <x:c r="A363" t="inlineStr">
        <x:is>
          <x:t xml:space="preserve">Claims:</x:t>
        </x:is>
      </x:c>
    </x:row>
    <x:row r="364">
      <x:c r="A364" s="4" t="n"/>
    </x:row>
    <x:row r="365">
      <x:c r="A365" s="4" t="inlineStr">
        <x:is>
          <x:t xml:space="preserve">The New Testament consists of multiple genres.</x:t>
        </x:is>
      </x:c>
    </x:row>
    <x:row r="366">
      <x:c r="A366" s="4" t="inlineStr">
        <x:is>
          <x:t xml:space="preserve">Textual transmission and historical reliability are related but distinct questions.</x:t>
        </x:is>
      </x:c>
    </x:row>
    <x:row r="367">
      <x:c r="A367" s="4" t="inlineStr">
        <x:is>
          <x:t xml:space="preserve">The existence of textual variants does not imply that the original wording is unknowable everywhere.</x:t>
        </x:is>
      </x:c>
    </x:row>
    <x:row r="368">
      <x:c r="A368" s="4" t="inlineStr">
        <x:is>
          <x:t xml:space="preserve">Some passages have substantially greater textual uncertainty than others.</x:t>
        </x:is>
      </x:c>
    </x:row>
    <x:row r="369">
      <x:c r="A369" s="4" t="inlineStr">
        <x:is>
          <x:t xml:space="preserve">Textual criticism often identifies earlier readings with high confidence.</x:t>
        </x:is>
      </x:c>
    </x:row>
    <x:row r="370">
      <x:c r="A370" s="4" t="inlineStr">
        <x:is>
          <x:t xml:space="preserve">Manuscript quantity is not identical to manuscript quality.</x:t>
        </x:is>
      </x:c>
    </x:row>
    <x:row r="371">
      <x:c r="A371" s="4" t="inlineStr">
        <x:is>
          <x:t xml:space="preserve">A late manuscript may preserve an early reading.</x:t>
        </x:is>
      </x:c>
    </x:row>
    <x:row r="372">
      <x:c r="A372" s="4" t="inlineStr">
        <x:is>
          <x:t xml:space="preserve">Canonical status does not by itself prove authorship.</x:t>
        </x:is>
      </x:c>
    </x:row>
    <x:row r="373">
      <x:c r="A373" s="4" t="inlineStr">
        <x:is>
          <x:t xml:space="preserve">Traditional authorship claims must be evaluated book by book.</x:t>
        </x:is>
      </x:c>
    </x:row>
    <x:row r="374">
      <x:c r="A374" s="4" t="inlineStr">
        <x:is>
          <x:t xml:space="preserve">Anonymous composition does not automatically imply historical unreliability.</x:t>
        </x:is>
      </x:c>
    </x:row>
    <x:row r="375">
      <x:c r="A375" s="4" t="inlineStr">
        <x:is>
          <x:t xml:space="preserve">Pseudonymity, anonymity, and disputed authorship are distinct.</x:t>
        </x:is>
      </x:c>
    </x:row>
    <x:row r="376">
      <x:c r="A376" s="4" t="inlineStr">
        <x:is>
          <x:t xml:space="preserve">Gospel literary dependence affects claims of independence.</x:t>
        </x:is>
      </x:c>
    </x:row>
    <x:row r="377">
      <x:c r="A377" s="4" t="inlineStr">
        <x:is>
          <x:t xml:space="preserve">The Synoptic Problem permits several models.</x:t>
        </x:is>
      </x:c>
    </x:row>
    <x:row r="378">
      <x:c r="A378" s="4" t="inlineStr">
        <x:is>
          <x:t xml:space="preserve">John may preserve independent traditions while also displaying developed theology.</x:t>
        </x:is>
      </x:c>
    </x:row>
    <x:row r="379">
      <x:c r="A379" s="4" t="inlineStr">
        <x:is>
          <x:t xml:space="preserve">Acts and Paul must be compared rather than assumed either perfectly harmonious or irreconcilable.</x:t>
        </x:is>
      </x:c>
    </x:row>
    <x:row r="380">
      <x:c r="A380" s="4" t="inlineStr">
        <x:is>
          <x:t xml:space="preserve">Paul’s letters provide early evidence for Christian belief.</x:t>
        </x:is>
      </x:c>
    </x:row>
    <x:row r="381">
      <x:c r="A381" s="4" t="inlineStr">
        <x:is>
          <x:t xml:space="preserve">Early Christology does not automatically prove high Christology in every earliest community.</x:t>
        </x:is>
      </x:c>
    </x:row>
    <x:row r="382">
      <x:c r="A382" s="4" t="inlineStr">
        <x:is>
          <x:t xml:space="preserve">High Christology appears earlier than older developmental models sometimes assumed.</x:t>
        </x:is>
      </x:c>
    </x:row>
    <x:row r="383">
      <x:c r="A383" s="4" t="inlineStr">
        <x:is>
          <x:t xml:space="preserve">The canon emerged through a historical process rather than dropping as a completed list.</x:t>
        </x:is>
      </x:c>
    </x:row>
    <x:row r="384">
      <x:c r="A384" s="4" t="inlineStr">
        <x:is>
          <x:t xml:space="preserve">Recognition of canon and inspiration of texts are conceptually distinct.</x:t>
        </x:is>
      </x:c>
    </x:row>
    <x:row r="385">
      <x:c r="A385" s="4" t="inlineStr">
        <x:is>
          <x:t xml:space="preserve">Noncanonical writings vary greatly in date, genre, and historical value.</x:t>
        </x:is>
      </x:c>
    </x:row>
    <x:row r="386">
      <x:c r="A386" s="4" t="inlineStr">
        <x:is>
          <x:t xml:space="preserve">“The Bible was changed” is too vague to function as one proposition.</x:t>
        </x:is>
      </x:c>
    </x:row>
    <x:row r="387">
      <x:c r="A387" s="4" t="inlineStr">
        <x:is>
          <x:t xml:space="preserve">Specific alteration claims must identify the text, reading, date, manuscript evidence, and doctrinal consequence.</x:t>
        </x:is>
      </x:c>
    </x:row>
    <x:row r="389" ht="23.399999618530273" customHeight="1">
      <x:c r="A389" s="2" t="inlineStr">
        <x:is>
          <x:t xml:space="preserve">XIV. Old Testament, Hebrew Bible, and messianic interpretation</x:t>
        </x:is>
      </x:c>
    </x:row>
    <x:row r="391">
      <x:c r="A391" t="inlineStr">
        <x:is>
          <x:t xml:space="preserve">Modules should include:</x:t>
        </x:is>
      </x:c>
    </x:row>
    <x:row r="392">
      <x:c r="A392" s="4" t="n"/>
    </x:row>
    <x:row r="393">
      <x:c r="A393" s="4" t="inlineStr">
        <x:is>
          <x:t xml:space="preserve">Textual traditions: Masoretic Text, Septuagint, Dead Sea Scrolls, Samaritan Pentateuch.</x:t>
        </x:is>
      </x:c>
    </x:row>
    <x:row r="394">
      <x:c r="A394" s="4" t="inlineStr">
        <x:is>
          <x:t xml:space="preserve">Canon differences.</x:t>
        </x:is>
      </x:c>
    </x:row>
    <x:row r="395">
      <x:c r="A395" s="4" t="inlineStr">
        <x:is>
          <x:t xml:space="preserve">Ancient Near Eastern context.</x:t>
        </x:is>
      </x:c>
    </x:row>
    <x:row r="396">
      <x:c r="A396" s="4" t="inlineStr">
        <x:is>
          <x:t xml:space="preserve">Torah formation.</x:t>
        </x:is>
      </x:c>
    </x:row>
    <x:row r="397">
      <x:c r="A397" s="4" t="inlineStr">
        <x:is>
          <x:t xml:space="preserve">Prophetic literature.</x:t>
        </x:is>
      </x:c>
    </x:row>
    <x:row r="398">
      <x:c r="A398" s="4" t="inlineStr">
        <x:is>
          <x:t xml:space="preserve">Wisdom literature.</x:t>
        </x:is>
      </x:c>
    </x:row>
    <x:row r="399">
      <x:c r="A399" s="4" t="inlineStr">
        <x:is>
          <x:t xml:space="preserve">Psalms.</x:t>
        </x:is>
      </x:c>
    </x:row>
    <x:row r="400">
      <x:c r="A400" s="4" t="inlineStr">
        <x:is>
          <x:t xml:space="preserve">Apocalyptic literature.</x:t>
        </x:is>
      </x:c>
    </x:row>
    <x:row r="401">
      <x:c r="A401" s="4" t="inlineStr">
        <x:is>
          <x:t xml:space="preserve">Messianic expectation.</x:t>
        </x:is>
      </x:c>
    </x:row>
    <x:row r="402">
      <x:c r="A402" s="4" t="inlineStr">
        <x:is>
          <x:t xml:space="preserve">Typology.</x:t>
        </x:is>
      </x:c>
    </x:row>
    <x:row r="403">
      <x:c r="A403" s="4" t="inlineStr">
        <x:is>
          <x:t xml:space="preserve">Direct prediction.</x:t>
        </x:is>
      </x:c>
    </x:row>
    <x:row r="404">
      <x:c r="A404" s="4" t="inlineStr">
        <x:is>
          <x:t xml:space="preserve">Corporate and individual readings.</x:t>
        </x:is>
      </x:c>
    </x:row>
    <x:row r="405">
      <x:c r="A405" s="4" t="inlineStr">
        <x:is>
          <x:t xml:space="preserve">Second Temple Jewish interpretation.</x:t>
        </x:is>
      </x:c>
    </x:row>
    <x:row r="406">
      <x:c r="A406" s="4" t="inlineStr">
        <x:is>
          <x:t xml:space="preserve">New Testament use of the Old Testament.</x:t>
        </x:is>
      </x:c>
    </x:row>
    <x:row r="408">
      <x:c r="A408" t="inlineStr">
        <x:is>
          <x:t xml:space="preserve">Claims:</x:t>
        </x:is>
      </x:c>
    </x:row>
    <x:row r="409">
      <x:c r="A409" s="4" t="n"/>
    </x:row>
    <x:row r="410">
      <x:c r="A410" s="4" t="inlineStr">
        <x:is>
          <x:t xml:space="preserve">Christian messianic arguments use more than direct prediction.</x:t>
        </x:is>
      </x:c>
    </x:row>
    <x:row r="411">
      <x:c r="A411" s="4" t="inlineStr">
        <x:is>
          <x:t xml:space="preserve">Typology differs from simple prediction-and-fulfilment.</x:t>
        </x:is>
      </x:c>
    </x:row>
    <x:row r="412">
      <x:c r="A412" s="4" t="inlineStr">
        <x:is>
          <x:t xml:space="preserve">A text can possess an original historical referent and later canonical application.</x:t>
        </x:is>
      </x:c>
    </x:row>
    <x:row r="413">
      <x:c r="A413" s="4" t="inlineStr">
        <x:is>
          <x:t xml:space="preserve">New Testament authors sometimes use interpretive methods found in Second Temple Judaism.</x:t>
        </x:is>
      </x:c>
    </x:row>
    <x:row r="414">
      <x:c r="A414" s="4" t="inlineStr">
        <x:is>
          <x:t xml:space="preserve">Not every Christian proof text is equally defensible.</x:t>
        </x:is>
      </x:c>
    </x:row>
    <x:row r="415">
      <x:c r="A415" s="4" t="inlineStr">
        <x:is>
          <x:t xml:space="preserve">Some alleged prophecies depend on translation choices.</x:t>
        </x:is>
      </x:c>
    </x:row>
    <x:row r="416">
      <x:c r="A416" s="4" t="inlineStr">
        <x:is>
          <x:t xml:space="preserve">A cumulative messianic case is stronger than careless probability calculations based on arbitrarily selected prophecies.</x:t>
        </x:is>
      </x:c>
    </x:row>
    <x:row r="417">
      <x:c r="A417" s="4" t="inlineStr">
        <x:is>
          <x:t xml:space="preserve">Isaiah 7, Isaiah 53, Psalm 22, Daniel 7 and 9, Micah 5, Psalm 110, and Zechariah require individual contextual studies.</x:t>
        </x:is>
      </x:c>
    </x:row>
    <x:row r="418">
      <x:c r="A418" s="4" t="inlineStr">
        <x:is>
          <x:t xml:space="preserve">Jewish objections must be represented in their strongest form.</x:t>
        </x:is>
      </x:c>
    </x:row>
    <x:row r="419">
      <x:c r="A419" s="4" t="inlineStr">
        <x:is>
          <x:t xml:space="preserve">Christian readings should distinguish lexical, historical, canonical, typological, and theological arguments.</x:t>
        </x:is>
      </x:c>
    </x:row>
    <x:row r="421" ht="23.399999618530273" customHeight="1">
      <x:c r="A421" s="2" t="inlineStr">
        <x:is>
          <x:t xml:space="preserve">XV. Doctrine of God and Trinity</x:t>
        </x:is>
      </x:c>
    </x:row>
    <x:row r="423">
      <x:c r="A423" t="inlineStr">
        <x:is>
          <x:t xml:space="preserve">Claims:</x:t>
        </x:is>
      </x:c>
    </x:row>
    <x:row r="424">
      <x:c r="A424" s="4" t="n"/>
    </x:row>
    <x:row r="425">
      <x:c r="A425" s="4" t="inlineStr">
        <x:is>
          <x:t xml:space="preserve">Christianity teaches one God.</x:t>
        </x:is>
      </x:c>
    </x:row>
    <x:row r="426">
      <x:c r="A426" s="4" t="inlineStr">
        <x:is>
          <x:t xml:space="preserve">The Father is identified as God.</x:t>
        </x:is>
      </x:c>
    </x:row>
    <x:row r="427">
      <x:c r="A427" s="4" t="inlineStr">
        <x:is>
          <x:t xml:space="preserve">The Son is identified with divine functions, titles, honour, or identity in significant New Testament texts.</x:t>
        </x:is>
      </x:c>
    </x:row>
    <x:row r="428">
      <x:c r="A428" s="4" t="inlineStr">
        <x:is>
          <x:t xml:space="preserve">The Spirit is portrayed personally in significant texts.</x:t>
        </x:is>
      </x:c>
    </x:row>
    <x:row r="429">
      <x:c r="A429" s="4" t="inlineStr">
        <x:is>
          <x:t xml:space="preserve">Trinitarian doctrine distinguishes being from person.</x:t>
        </x:is>
      </x:c>
    </x:row>
    <x:row r="430">
      <x:c r="A430" s="4" t="inlineStr">
        <x:is>
          <x:t xml:space="preserve">The Trinity does not formally assert that God is one person and three persons in the same respect.</x:t>
        </x:is>
      </x:c>
    </x:row>
    <x:row r="431">
      <x:c r="A431" s="4" t="inlineStr">
        <x:is>
          <x:t xml:space="preserve">The doctrine is not a simple violation of noncontradiction.</x:t>
        </x:is>
      </x:c>
    </x:row>
    <x:row r="432">
      <x:c r="A432" s="4" t="inlineStr">
        <x:is>
          <x:t xml:space="preserve">Avoiding contradiction does not by itself demonstrate that the doctrine is true.</x:t>
        </x:is>
      </x:c>
    </x:row>
    <x:row r="433">
      <x:c r="A433" s="4" t="inlineStr">
        <x:is>
          <x:t xml:space="preserve">Modalism, tritheism, partialism, and subordinationism differ from Nicene trinitarianism.</x:t>
        </x:is>
      </x:c>
    </x:row>
    <x:row r="434">
      <x:c r="A434" s="4" t="inlineStr">
        <x:is>
          <x:t xml:space="preserve">The development of technical terminology does not automatically imply invention of the underlying belief.</x:t>
        </x:is>
      </x:c>
    </x:row>
    <x:row r="435">
      <x:c r="A435" s="4" t="inlineStr">
        <x:is>
          <x:t xml:space="preserve">Doctrinal development and doctrinal corruption must be distinguished.</x:t>
        </x:is>
      </x:c>
    </x:row>
    <x:row r="436">
      <x:c r="A436" s="4" t="inlineStr">
        <x:is>
          <x:t xml:space="preserve">Conciliar formulations arose partly to constrain interpretations judged incompatible with worship and Scripture.</x:t>
        </x:is>
      </x:c>
    </x:row>
    <x:row r="437">
      <x:c r="A437" s="4" t="inlineStr">
        <x:is>
          <x:t xml:space="preserve">Social and Latin models of the Trinity emphasize different conceptual resources.</x:t>
        </x:is>
      </x:c>
    </x:row>
    <x:row r="438">
      <x:c r="A438" s="4" t="inlineStr">
        <x:is>
          <x:t xml:space="preserve">Perfect explanatory comprehension is not required for logical coherence.</x:t>
        </x:is>
      </x:c>
    </x:row>
    <x:row r="439">
      <x:c r="A439" s="4" t="inlineStr">
        <x:is>
          <x:t xml:space="preserve">Appeals to mystery cannot license formal contradiction.</x:t>
        </x:is>
      </x:c>
    </x:row>
    <x:row r="441">
      <x:c r="A441" t="inlineStr">
        <x:is>
          <x:t xml:space="preserve">This is an ideal domain for Lean consistency models, though no formal model would capture the whole theological reality claimed.</x:t>
        </x:is>
      </x:c>
    </x:row>
    <x:row r="443" ht="23.399999618530273" customHeight="1">
      <x:c r="A443" s="2" t="inlineStr">
        <x:is>
          <x:t xml:space="preserve">XVI. Incarnation and Christology</x:t>
        </x:is>
      </x:c>
    </x:row>
    <x:row r="445">
      <x:c r="A445" t="inlineStr">
        <x:is>
          <x:t xml:space="preserve">Claims:</x:t>
        </x:is>
      </x:c>
    </x:row>
    <x:row r="446">
      <x:c r="A446" s="4" t="n"/>
    </x:row>
    <x:row r="447">
      <x:c r="A447" s="4" t="inlineStr">
        <x:is>
          <x:t xml:space="preserve">Classical Christology asserts one person with divine and human natures.</x:t>
        </x:is>
      </x:c>
    </x:row>
    <x:row r="448">
      <x:c r="A448" s="4" t="inlineStr">
        <x:is>
          <x:t xml:space="preserve">It does not assert that one nature is both finite and infinite in the same respect.</x:t>
        </x:is>
      </x:c>
    </x:row>
    <x:row r="449">
      <x:c r="A449" s="4" t="inlineStr">
        <x:is>
          <x:t xml:space="preserve">Predication about Christ requires distinction between person and nature.</x:t>
        </x:is>
      </x:c>
    </x:row>
    <x:row r="450">
      <x:c r="A450" s="4" t="inlineStr">
        <x:is>
          <x:t xml:space="preserve">Divine immutability and incarnation require a model of relational or assumed-human change.</x:t>
        </x:is>
      </x:c>
    </x:row>
    <x:row r="451">
      <x:c r="A451" s="4" t="inlineStr">
        <x:is>
          <x:t xml:space="preserve">Kenosis has multiple interpretations.</x:t>
        </x:is>
      </x:c>
    </x:row>
    <x:row r="452">
      <x:c r="A452" s="4" t="inlineStr">
        <x:is>
          <x:t xml:space="preserve">Jesus’ human limitations do not automatically disprove divine identity under a two-natures model.</x:t>
        </x:is>
      </x:c>
    </x:row>
    <x:row r="453">
      <x:c r="A453" s="4" t="inlineStr">
        <x:is>
          <x:t xml:space="preserve">Temptation can be meaningful even where sinlessness is affirmed, depending on the account of freedom.</x:t>
        </x:is>
      </x:c>
    </x:row>
    <x:row r="454">
      <x:c r="A454" s="4" t="inlineStr">
        <x:is>
          <x:t xml:space="preserve">Christological doctrine developed in response to competing interpretations.</x:t>
        </x:is>
      </x:c>
    </x:row>
    <x:row r="455">
      <x:c r="A455" s="4" t="inlineStr">
        <x:is>
          <x:t xml:space="preserve">Chalcedonian terminology seeks to exclude confusion, change, division, and separation.</x:t>
        </x:is>
      </x:c>
    </x:row>
    <x:row r="456">
      <x:c r="A456" s="4" t="inlineStr">
        <x:is>
          <x:t xml:space="preserve">Logical coherence is not identical to historical truth.</x:t>
        </x:is>
      </x:c>
    </x:row>
    <x:row r="457">
      <x:c r="A457" s="4" t="inlineStr">
        <x:is>
          <x:t xml:space="preserve">The incarnation may connect divine transcendence and human accessibility.</x:t>
        </x:is>
      </x:c>
    </x:row>
    <x:row r="458">
      <x:c r="A458" s="4" t="inlineStr">
        <x:is>
          <x:t xml:space="preserve">Atonement theories depend on Christological assumptions.</x:t>
        </x:is>
      </x:c>
    </x:row>
    <x:row r="460" ht="23.399999618530273" customHeight="1">
      <x:c r="A460" s="2" t="inlineStr">
        <x:is>
          <x:t xml:space="preserve">XVII. Sin, freedom, and human nature</x:t>
        </x:is>
      </x:c>
    </x:row>
    <x:row r="462">
      <x:c r="A462" t="inlineStr">
        <x:is>
          <x:t xml:space="preserve">Claims:</x:t>
        </x:is>
      </x:c>
    </x:row>
    <x:row r="463">
      <x:c r="A463" s="4" t="n"/>
    </x:row>
    <x:row r="464">
      <x:c r="A464" s="4" t="inlineStr">
        <x:is>
          <x:t xml:space="preserve">Moral responsibility requires some meaningful relation between agency and action.</x:t>
        </x:is>
      </x:c>
    </x:row>
    <x:row r="465">
      <x:c r="A465" s="4" t="inlineStr">
        <x:is>
          <x:t xml:space="preserve">Libertarian, compatibilist, and sourcehood accounts of freedom differ.</x:t>
        </x:is>
      </x:c>
    </x:row>
    <x:row r="466">
      <x:c r="A466" s="4" t="inlineStr">
        <x:is>
          <x:t xml:space="preserve">Original sin has multiple theological models.</x:t>
        </x:is>
      </x:c>
    </x:row>
    <x:row r="467">
      <x:c r="A467" s="4" t="inlineStr">
        <x:is>
          <x:t xml:space="preserve">Inherited guilt, inherited corruption, mortality, social sin, and solidarity in Adam must be distinguished.</x:t>
        </x:is>
      </x:c>
    </x:row>
    <x:row r="468">
      <x:c r="A468" s="4" t="inlineStr">
        <x:is>
          <x:t xml:space="preserve">Human depravity does not entail that every person is maximally evil.</x:t>
        </x:is>
      </x:c>
    </x:row>
    <x:row r="469">
      <x:c r="A469" s="4" t="inlineStr">
        <x:is>
          <x:t xml:space="preserve">Christian traditions disagree about the extent of fallen human freedom.</x:t>
        </x:is>
      </x:c>
    </x:row>
    <x:row r="470">
      <x:c r="A470" s="4" t="inlineStr">
        <x:is>
          <x:t xml:space="preserve">Sin may be understood as act, condition, power, relationship, and social structure.</x:t>
        </x:is>
      </x:c>
    </x:row>
    <x:row r="471">
      <x:c r="A471" s="4" t="inlineStr">
        <x:is>
          <x:t xml:space="preserve">A doctrine of sin attempts to explain both individual wrongdoing and pervasive systemic disorder.</x:t>
        </x:is>
      </x:c>
    </x:row>
    <x:row r="472">
      <x:c r="A472" s="4" t="inlineStr">
        <x:is>
          <x:t xml:space="preserve">Evolutionary accounts of human origins create challenges for some formulations of an ancestral Fall.</x:t>
        </x:is>
      </x:c>
    </x:row>
    <x:row r="473">
      <x:c r="A473" s="4" t="inlineStr">
        <x:is>
          <x:t xml:space="preserve">Alternative models must be assessed for scriptural and doctrinal coherence.</x:t>
        </x:is>
      </x:c>
    </x:row>
    <x:row r="474">
      <x:c r="A474" s="4" t="inlineStr">
        <x:is>
          <x:t xml:space="preserve">Divine foreknowledge and human freedom require separate treatment.</x:t>
        </x:is>
      </x:c>
    </x:row>
    <x:row r="475">
      <x:c r="A475" s="4" t="inlineStr">
        <x:is>
          <x:t xml:space="preserve">Knowing an act does not obviously cause the act.</x:t>
        </x:is>
      </x:c>
    </x:row>
    <x:row r="476">
      <x:c r="A476" s="4" t="inlineStr">
        <x:is>
          <x:t xml:space="preserve">Infallible foreknowledge and alternative possibilities generate a real modal problem.</x:t>
        </x:is>
      </x:c>
    </x:row>
    <x:row r="477">
      <x:c r="A477" s="4" t="inlineStr">
        <x:is>
          <x:t xml:space="preserve">Molinist, Thomist, open-theist, simple-foreknowledge, and eternalist solutions differ.</x:t>
        </x:is>
      </x:c>
    </x:row>
    <x:row r="479" ht="23.399999618530273" customHeight="1">
      <x:c r="A479" s="2" t="inlineStr">
        <x:is>
          <x:t xml:space="preserve">XVIII. Atonement and salvation</x:t>
        </x:is>
      </x:c>
    </x:row>
    <x:row r="481">
      <x:c r="A481" t="inlineStr">
        <x:is>
          <x:t xml:space="preserve">Claims:</x:t>
        </x:is>
      </x:c>
    </x:row>
    <x:row r="482">
      <x:c r="A482" s="4" t="n"/>
    </x:row>
    <x:row r="483">
      <x:c r="A483" s="4" t="inlineStr">
        <x:is>
          <x:t xml:space="preserve">The New Testament uses multiple salvation metaphors.</x:t>
        </x:is>
      </x:c>
    </x:row>
    <x:row r="484">
      <x:c r="A484" s="4" t="inlineStr">
        <x:is>
          <x:t xml:space="preserve">Penal substitution, Christus Victor, satisfaction, moral influence, recapitulation, ransom, participation, and governmental models are not necessarily mutually exclusive.</x:t>
        </x:is>
      </x:c>
    </x:row>
    <x:row r="485">
      <x:c r="A485" s="4" t="inlineStr">
        <x:is>
          <x:t xml:space="preserve">Punishment of an unwilling innocent differs morally from voluntary self-giving by a divine person.</x:t>
        </x:is>
      </x:c>
    </x:row>
    <x:row r="486">
      <x:c r="A486" s="4" t="inlineStr">
        <x:is>
          <x:t xml:space="preserve">Trinitarian unity is relevant to objections that the Father punishes an unrelated third party.</x:t>
        </x:is>
      </x:c>
    </x:row>
    <x:row r="487">
      <x:c r="A487" s="4" t="inlineStr">
        <x:is>
          <x:t xml:space="preserve">Forgiveness and satisfaction may be compatible under some theories of justice.</x:t>
        </x:is>
      </x:c>
    </x:row>
    <x:row r="488">
      <x:c r="A488" s="4" t="inlineStr">
        <x:is>
          <x:t xml:space="preserve">Atonement theories must explain divine forgiveness, justice, transformation, union, victory, and reconciliation.</x:t>
        </x:is>
      </x:c>
    </x:row>
    <x:row r="489">
      <x:c r="A489" s="4" t="inlineStr">
        <x:is>
          <x:t xml:space="preserve">Salvation by grace does not imply that conduct is irrelevant.</x:t>
        </x:is>
      </x:c>
    </x:row>
    <x:row r="490">
      <x:c r="A490" s="4" t="inlineStr">
        <x:is>
          <x:t xml:space="preserve">Faith and works disputes depend partly on definitions and covenantal frameworks.</x:t>
        </x:is>
      </x:c>
    </x:row>
    <x:row r="491">
      <x:c r="A491" s="4" t="inlineStr">
        <x:is>
          <x:t xml:space="preserve">Justification, sanctification, regeneration, adoption, reconciliation, and glorification are distinct.</x:t>
        </x:is>
      </x:c>
    </x:row>
    <x:row r="492">
      <x:c r="A492" s="4" t="inlineStr">
        <x:is>
          <x:t xml:space="preserve">Catholic, Orthodox, Lutheran, Reformed, Wesleyan, and other accounts require separate formal maps.</x:t>
        </x:is>
      </x:c>
    </x:row>
    <x:row r="493">
      <x:c r="A493" s="4" t="inlineStr">
        <x:is>
          <x:t xml:space="preserve">Universalism, conditional immortality, and eternal-conscious-punishment models should be distinguished.</x:t>
        </x:is>
      </x:c>
    </x:row>
    <x:row r="494">
      <x:c r="A494" s="4" t="inlineStr">
        <x:is>
          <x:t xml:space="preserve">Claims of exclusivity require analysis of revelation, responsibility, access, and divine justice.</x:t>
        </x:is>
      </x:c>
    </x:row>
    <x:row r="495">
      <x:c r="A495" s="4" t="inlineStr">
        <x:is>
          <x:t xml:space="preserve">Inclusivism and exclusivism are families of positions, not single views.</x:t>
        </x:is>
      </x:c>
    </x:row>
    <x:row r="497" ht="23.399999618530273" customHeight="1">
      <x:c r="A497" s="2" t="inlineStr">
        <x:is>
          <x:t xml:space="preserve">XIX. Problem of evil and suffering</x:t>
        </x:is>
      </x:c>
    </x:row>
    <x:row r="499">
      <x:c r="A499" t="inlineStr">
        <x:is>
          <x:t xml:space="preserve">This needs one of the largest modules.</x:t>
        </x:is>
      </x:c>
    </x:row>
    <x:row r="501">
      <x:c r="A501" t="inlineStr">
        <x:is>
          <x:t xml:space="preserve">Claims:</x:t>
        </x:is>
      </x:c>
    </x:row>
    <x:row r="502">
      <x:c r="A502" s="4" t="n"/>
    </x:row>
    <x:row r="503">
      <x:c r="A503" s="4" t="inlineStr">
        <x:is>
          <x:t xml:space="preserve">The logical problem of evil and evidential problem of evil are distinct.</x:t>
        </x:is>
      </x:c>
    </x:row>
    <x:row r="504">
      <x:c r="A504" s="4" t="inlineStr">
        <x:is>
          <x:t xml:space="preserve">The existence of any evil is not formally contradictory with an omnipotent, omniscient, perfectly good God unless additional premises are supplied.</x:t>
        </x:is>
      </x:c>
    </x:row>
    <x:row r="505">
      <x:c r="A505" s="4" t="inlineStr">
        <x:is>
          <x:t xml:space="preserve">A morally sufficient reason need not be known by the observer to exist.</x:t>
        </x:is>
      </x:c>
    </x:row>
    <x:row r="506">
      <x:c r="A506" s="4" t="inlineStr">
        <x:is>
          <x:t xml:space="preserve">Skeptical theism can block some inferences but may create broader epistemic costs.</x:t>
        </x:is>
      </x:c>
    </x:row>
    <x:row r="507">
      <x:c r="A507" s="4" t="inlineStr">
        <x:is>
          <x:t xml:space="preserve">Free will may explain some moral evil but not all natural evil.</x:t>
        </x:is>
      </x:c>
    </x:row>
    <x:row r="508">
      <x:c r="A508" s="4" t="inlineStr">
        <x:is>
          <x:t xml:space="preserve">Soul-making may explain some suffering but risks instrumentalizing victims.</x:t>
        </x:is>
      </x:c>
    </x:row>
    <x:row r="509">
      <x:c r="A509" s="4" t="inlineStr">
        <x:is>
          <x:t xml:space="preserve">Stable natural laws may make meaningful agency possible while also permitting harm.</x:t>
        </x:is>
      </x:c>
    </x:row>
    <x:row r="510">
      <x:c r="A510" s="4" t="inlineStr">
        <x:is>
          <x:t xml:space="preserve">Evolutionary creation raises questions concerning animal suffering before humans.</x:t>
        </x:is>
      </x:c>
    </x:row>
    <x:row r="511">
      <x:c r="A511" s="4" t="inlineStr">
        <x:is>
          <x:t xml:space="preserve">Eschatological compensation does not make every act that caused suffering morally permissible.</x:t>
        </x:is>
      </x:c>
    </x:row>
    <x:row r="512">
      <x:c r="A512" s="4" t="inlineStr">
        <x:is>
          <x:t xml:space="preserve">Redemption of suffering differs from justification of the wrongdoing that produced it.</x:t>
        </x:is>
      </x:c>
    </x:row>
    <x:row r="513">
      <x:c r="A513" s="4" t="inlineStr">
        <x:is>
          <x:t xml:space="preserve">The cross is Christianity’s central internal response to divine distance from suffering.</x:t>
        </x:is>
      </x:c>
    </x:row>
    <x:row r="514">
      <x:c r="A514" s="4" t="inlineStr">
        <x:is>
          <x:t xml:space="preserve">Divine participation in suffering does not alone explain why suffering was permitted.</x:t>
        </x:is>
      </x:c>
    </x:row>
    <x:row r="515">
      <x:c r="A515" s="4" t="inlineStr">
        <x:is>
          <x:t xml:space="preserve">Gratuitous evil is difficult to establish because of epistemic limitations, but those limitations do not eliminate evidential force.</x:t>
        </x:is>
      </x:c>
    </x:row>
    <x:row r="516">
      <x:c r="A516" s="4" t="inlineStr">
        <x:is>
          <x:t xml:space="preserve">Horrendous evils require more than generic free-will responses.</x:t>
        </x:is>
      </x:c>
    </x:row>
    <x:row r="517">
      <x:c r="A517" s="4" t="inlineStr">
        <x:is>
          <x:t xml:space="preserve">Lament and protest are present within Christian Scripture and need not represent unbelief.</x:t>
        </x:is>
      </x:c>
    </x:row>
    <x:row r="518">
      <x:c r="A518" s="4" t="inlineStr">
        <x:is>
          <x:t xml:space="preserve">The problem of evil may count against theism while moral experience and other evidence count for it.</x:t>
        </x:is>
      </x:c>
    </x:row>
    <x:row r="519">
      <x:c r="A519" s="4" t="inlineStr">
        <x:is>
          <x:t xml:space="preserve">Cumulative assessment must consider both directions.</x:t>
        </x:is>
      </x:c>
    </x:row>
    <x:row r="521" ht="23.399999618530273" customHeight="1">
      <x:c r="A521" s="2" t="inlineStr">
        <x:is>
          <x:t xml:space="preserve">XX. Divine hiddenness, prayer, and providence</x:t>
        </x:is>
      </x:c>
    </x:row>
    <x:row r="523">
      <x:c r="A523" t="inlineStr">
        <x:is>
          <x:t xml:space="preserve">Claims:</x:t>
        </x:is>
      </x:c>
    </x:row>
    <x:row r="524">
      <x:c r="A524" s="4" t="n"/>
    </x:row>
    <x:row r="525">
      <x:c r="A525" s="4" t="inlineStr">
        <x:is>
          <x:t xml:space="preserve">Nonresistant nonbelief is a significant challenge to a perfectly loving God.</x:t>
        </x:is>
      </x:c>
    </x:row>
    <x:row r="526">
      <x:c r="A526" s="4" t="inlineStr">
        <x:is>
          <x:t xml:space="preserve">Some unbelief may involve resistance, but not all unbelief can be assumed culpable.</x:t>
        </x:is>
      </x:c>
    </x:row>
    <x:row r="527">
      <x:c r="A527" s="4" t="inlineStr">
        <x:is>
          <x:t xml:space="preserve">Divine relationship may not require overwhelming public evidence.</x:t>
        </x:is>
      </x:c>
    </x:row>
    <x:row r="528">
      <x:c r="A528" s="4" t="inlineStr">
        <x:is>
          <x:t xml:space="preserve">Coercion and epistemic certainty are not identical.</x:t>
        </x:is>
      </x:c>
    </x:row>
    <x:row r="529">
      <x:c r="A529" s="4" t="inlineStr">
        <x:is>
          <x:t xml:space="preserve">Greater evidence does not automatically destroy freedom.</x:t>
        </x:is>
      </x:c>
    </x:row>
    <x:row r="530">
      <x:c r="A530" s="4" t="inlineStr">
        <x:is>
          <x:t xml:space="preserve">Hiddenness responses must explain uneven religious access.</x:t>
        </x:is>
      </x:c>
    </x:row>
    <x:row r="531">
      <x:c r="A531" s="4" t="inlineStr">
        <x:is>
          <x:t xml:space="preserve">Petitionary prayer presents questions concerning foreknowledge, providence, and causal interaction.</x:t>
        </x:is>
      </x:c>
    </x:row>
    <x:row r="532">
      <x:c r="A532" s="4" t="inlineStr">
        <x:is>
          <x:t xml:space="preserve">Unanswered prayer does not logically disprove God.</x:t>
        </x:is>
      </x:c>
    </x:row>
    <x:row r="533">
      <x:c r="A533" s="4" t="inlineStr">
        <x:is>
          <x:t xml:space="preserve">Any account that treats every possible outcome as confirmation risks unfalsifiability.</x:t>
        </x:is>
      </x:c>
    </x:row>
    <x:row r="534">
      <x:c r="A534" s="4" t="inlineStr">
        <x:is>
          <x:t xml:space="preserve">Prayer studies cannot capture every theological claim about prayer.</x:t>
        </x:is>
      </x:c>
    </x:row>
    <x:row r="535">
      <x:c r="A535" s="4" t="inlineStr">
        <x:is>
          <x:t xml:space="preserve">Providence can be modeled as meticulous control, concurrence, permission, middle knowledge, open interaction, or general governance.</x:t>
        </x:is>
      </x:c>
    </x:row>
    <x:row r="536">
      <x:c r="A536" s="4" t="inlineStr">
        <x:is>
          <x:t xml:space="preserve">Different models create different responses to evil and prayer.</x:t>
        </x:is>
      </x:c>
    </x:row>
    <x:row r="537">
      <x:c r="A537" s="4" t="inlineStr">
        <x:is>
          <x:t xml:space="preserve">Christian testimony about prayer requires the same care regarding selection bias, coincidence, memory, and alternative explanation as other testimony.</x:t>
        </x:is>
      </x:c>
    </x:row>
    <x:row r="539" ht="23.399999618530273" customHeight="1">
      <x:c r="A539" s="2" t="inlineStr">
        <x:is>
          <x:t xml:space="preserve">XXI. Miracles</x:t>
        </x:is>
      </x:c>
    </x:row>
    <x:row r="541">
      <x:c r="A541" t="inlineStr">
        <x:is>
          <x:t xml:space="preserve">Claims:</x:t>
        </x:is>
      </x:c>
    </x:row>
    <x:row r="542">
      <x:c r="A542" s="4" t="n"/>
    </x:row>
    <x:row r="543">
      <x:c r="A543" s="4" t="inlineStr">
        <x:is>
          <x:t xml:space="preserve">A miracle is not necessarily a violation of a law of nature.</x:t>
        </x:is>
      </x:c>
    </x:row>
    <x:row r="544">
      <x:c r="A544" s="4" t="inlineStr">
        <x:is>
          <x:t xml:space="preserve">Laws of nature describe regularities or governing structures under specified conditions.</x:t>
        </x:is>
      </x:c>
    </x:row>
    <x:row r="545">
      <x:c r="A545" s="4" t="inlineStr">
        <x:is>
          <x:t xml:space="preserve">Divine action may introduce a cause not included in a closed physical description.</x:t>
        </x:is>
      </x:c>
    </x:row>
    <x:row r="546">
      <x:c r="A546" s="4" t="inlineStr">
        <x:is>
          <x:t xml:space="preserve">A miracle claim requires both evidence for an event and argument for divine causation.</x:t>
        </x:is>
      </x:c>
    </x:row>
    <x:row r="547">
      <x:c r="A547" s="4" t="inlineStr">
        <x:is>
          <x:t xml:space="preserve">Unusual events are not automatically miracles.</x:t>
        </x:is>
      </x:c>
    </x:row>
    <x:row r="548">
      <x:c r="A548" s="4" t="inlineStr">
        <x:is>
          <x:t xml:space="preserve">Medical recovery claims require diagnosis, prognosis, timing, documentation, and alternative explanations.</x:t>
        </x:is>
      </x:c>
    </x:row>
    <x:row r="549">
      <x:c r="A549" s="4" t="inlineStr">
        <x:is>
          <x:t xml:space="preserve">Fraud, exaggeration, psychosomatic effects, spontaneous remission, and unknown natural causes must be considered.</x:t>
        </x:is>
      </x:c>
    </x:row>
    <x:row r="550">
      <x:c r="A550" s="4" t="inlineStr">
        <x:is>
          <x:t xml:space="preserve">Multiple independent, well-documented cases would have greater force than anecdotal reports.</x:t>
        </x:is>
      </x:c>
    </x:row>
    <x:row r="551">
      <x:c r="A551" s="4" t="inlineStr">
        <x:is>
          <x:t xml:space="preserve">Miracle testimony cannot be dismissed merely because it reports a miracle.</x:t>
        </x:is>
      </x:c>
    </x:row>
    <x:row r="552">
      <x:c r="A552" s="4" t="inlineStr">
        <x:is>
          <x:t xml:space="preserve">Humean objections can be interpreted probabilistically rather than as absolute prohibitions.</x:t>
        </x:is>
      </x:c>
    </x:row>
    <x:row r="553">
      <x:c r="A553" s="4" t="inlineStr">
        <x:is>
          <x:t xml:space="preserve">The prior probability of miracles depends partly on whether God exists and has reason to act.</x:t>
        </x:is>
      </x:c>
    </x:row>
    <x:row r="554">
      <x:c r="A554" s="4" t="inlineStr">
        <x:is>
          <x:t xml:space="preserve">Christian miracle claims are strongest when embedded in a revelatory context rather than functioning as isolated anomalies.</x:t>
        </x:is>
      </x:c>
    </x:row>
    <x:row r="556" ht="23.399999618530273" customHeight="1">
      <x:c r="A556" s="2" t="inlineStr">
        <x:is>
          <x:t xml:space="preserve">XXII. Church history and doctrinal development</x:t>
        </x:is>
      </x:c>
    </x:row>
    <x:row r="558">
      <x:c r="A558" t="inlineStr">
        <x:is>
          <x:t xml:space="preserve">Claims:</x:t>
        </x:is>
      </x:c>
    </x:row>
    <x:row r="559">
      <x:c r="A559" s="4" t="n"/>
    </x:row>
    <x:row r="560">
      <x:c r="A560" s="4" t="inlineStr">
        <x:is>
          <x:t xml:space="preserve">Early Christianity was diverse but not infinitely plastic.</x:t>
        </x:is>
      </x:c>
    </x:row>
    <x:row r="561">
      <x:c r="A561" s="4" t="inlineStr">
        <x:is>
          <x:t xml:space="preserve">Diversity does not prove the absence of boundaries.</x:t>
        </x:is>
      </x:c>
    </x:row>
    <x:row r="562">
      <x:c r="A562" s="4" t="inlineStr">
        <x:is>
          <x:t xml:space="preserve">Orthodoxy and heresy developed through historical interaction.</x:t>
        </x:is>
      </x:c>
    </x:row>
    <x:row r="563">
      <x:c r="A563" s="4" t="inlineStr">
        <x:is>
          <x:t xml:space="preserve">Political involvement in councils does not by itself invalidate doctrinal conclusions.</x:t>
        </x:is>
      </x:c>
    </x:row>
    <x:row r="564">
      <x:c r="A564" s="4" t="inlineStr">
        <x:is>
          <x:t xml:space="preserve">Constantine did not invent the divinity of Christ.</x:t>
        </x:is>
      </x:c>
    </x:row>
    <x:row r="565">
      <x:c r="A565" s="4" t="inlineStr">
        <x:is>
          <x:t xml:space="preserve">Imperial influence affected church institutions and conflicts.</x:t>
        </x:is>
      </x:c>
    </x:row>
    <x:row r="566">
      <x:c r="A566" s="4" t="inlineStr">
        <x:is>
          <x:t xml:space="preserve">Development of doctrine can preserve, clarify, expand, or distort earlier beliefs.</x:t>
        </x:is>
      </x:c>
    </x:row>
    <x:row r="567">
      <x:c r="A567" s="4" t="inlineStr">
        <x:is>
          <x:t xml:space="preserve">Apostolic succession has historical and theological dimensions.</x:t>
        </x:is>
      </x:c>
    </x:row>
    <x:row r="568">
      <x:c r="A568" s="4" t="inlineStr">
        <x:is>
          <x:t xml:space="preserve">The papacy developed historically; disagreement concerns whether the development is legitimate.</x:t>
        </x:is>
      </x:c>
    </x:row>
    <x:row r="569">
      <x:c r="A569" s="4" t="inlineStr">
        <x:is>
          <x:t xml:space="preserve">The East–West Schism had theological, political, linguistic, and cultural causes.</x:t>
        </x:is>
      </x:c>
    </x:row>
    <x:row r="570">
      <x:c r="A570" s="4" t="inlineStr">
        <x:is>
          <x:t xml:space="preserve">The Reformation involved doctrinal, pastoral, political, economic, and technological factors.</x:t>
        </x:is>
      </x:c>
    </x:row>
    <x:row r="571">
      <x:c r="A571" s="4" t="inlineStr">
        <x:is>
          <x:t xml:space="preserve">Institutional corruption does not logically disprove Christianity.</x:t>
        </x:is>
      </x:c>
    </x:row>
    <x:row r="572">
      <x:c r="A572" s="4" t="inlineStr">
        <x:is>
          <x:t xml:space="preserve">Institutional holiness claims must nevertheless face historical wrongdoing.</x:t>
        </x:is>
      </x:c>
    </x:row>
    <x:row r="573">
      <x:c r="A573" s="4" t="inlineStr">
        <x:is>
          <x:t xml:space="preserve">Crusades, inquisitions, colonialism, antisemitism, slavery, and abuse must be addressed individually rather than defended or condemned through slogans.</x:t>
        </x:is>
      </x:c>
    </x:row>
    <x:row r="574">
      <x:c r="A574" s="4" t="inlineStr">
        <x:is>
          <x:t xml:space="preserve">Christian movements contributed both to oppressive systems and to reform movements.</x:t>
        </x:is>
      </x:c>
    </x:row>
    <x:row r="575">
      <x:c r="A575" s="4" t="inlineStr">
        <x:is>
          <x:t xml:space="preserve">Historical moral failure can function as evidence against claims of distinctive transformation unless adequately contextualized.</x:t>
        </x:is>
      </x:c>
    </x:row>
    <x:row r="576">
      <x:c r="A576" s="4" t="inlineStr">
        <x:is>
          <x:t xml:space="preserve">Repentance and institutional reform are relevant Christian responses but do not erase victims’ harms.</x:t>
        </x:is>
      </x:c>
    </x:row>
    <x:row r="578" ht="23.399999618530273" customHeight="1">
      <x:c r="A578" s="2" t="inlineStr">
        <x:is>
          <x:t xml:space="preserve">XXIII. Scripture, inspiration, inerrancy, and interpretation</x:t>
        </x:is>
      </x:c>
    </x:row>
    <x:row r="580">
      <x:c r="A580" t="inlineStr">
        <x:is>
          <x:t xml:space="preserve">Claims:</x:t>
        </x:is>
      </x:c>
    </x:row>
    <x:row r="581">
      <x:c r="A581" s="4" t="n"/>
    </x:row>
    <x:row r="582">
      <x:c r="A582" s="4" t="inlineStr">
        <x:is>
          <x:t xml:space="preserve">Inspiration, authority, infallibility, and inerrancy are distinct concepts.</x:t>
        </x:is>
      </x:c>
    </x:row>
    <x:row r="583">
      <x:c r="A583" s="4" t="inlineStr">
        <x:is>
          <x:t xml:space="preserve">The Bible is a collection rather than one literary genre.</x:t>
        </x:is>
      </x:c>
    </x:row>
    <x:row r="584">
      <x:c r="A584" s="4" t="inlineStr">
        <x:is>
          <x:t xml:space="preserve">Meaning depends on genre, language, context, authorship, audience, and canonical placement.</x:t>
        </x:is>
      </x:c>
    </x:row>
    <x:row r="585">
      <x:c r="A585" s="4" t="inlineStr">
        <x:is>
          <x:t xml:space="preserve">Literal interpretation is not equivalent to literalistic interpretation.</x:t>
        </x:is>
      </x:c>
    </x:row>
    <x:row r="586">
      <x:c r="A586" s="4" t="inlineStr">
        <x:is>
          <x:t xml:space="preserve">Metaphor can communicate truth.</x:t>
        </x:is>
      </x:c>
    </x:row>
    <x:row r="587">
      <x:c r="A587" s="4" t="inlineStr">
        <x:is>
          <x:t xml:space="preserve">Ancient historiography need not follow modern conventions.</x:t>
        </x:is>
      </x:c>
    </x:row>
    <x:row r="588">
      <x:c r="A588" s="4" t="inlineStr">
        <x:is>
          <x:t xml:space="preserve">Inerrancy requires specification of scope, originals, genre, intention, and textual transmission.</x:t>
        </x:is>
      </x:c>
    </x:row>
    <x:row r="589">
      <x:c r="A589" s="4" t="inlineStr">
        <x:is>
          <x:t xml:space="preserve">Apparent discrepancies require case-by-case analysis.</x:t>
        </x:is>
      </x:c>
    </x:row>
    <x:row r="590">
      <x:c r="A590" s="4" t="inlineStr">
        <x:is>
          <x:t xml:space="preserve">Some harmonizations are plausible; others are ad hoc.</x:t>
        </x:is>
      </x:c>
    </x:row>
    <x:row r="591">
      <x:c r="A591" s="4" t="inlineStr">
        <x:is>
          <x:t xml:space="preserve">A doctrine should not be protected by redefining every counterexample after the fact.</x:t>
        </x:is>
      </x:c>
    </x:row>
    <x:row r="592">
      <x:c r="A592" s="4" t="inlineStr">
        <x:is>
          <x:t xml:space="preserve">Theological interpretation and historical-critical study need not be mutually exclusive.</x:t>
        </x:is>
      </x:c>
    </x:row>
    <x:row r="593">
      <x:c r="A593" s="4" t="inlineStr">
        <x:is>
          <x:t xml:space="preserve">Private interpretation and ecclesial authority represent different epistemic models.</x:t>
        </x:is>
      </x:c>
    </x:row>
    <x:row r="594">
      <x:c r="A594" s="4" t="inlineStr">
        <x:is>
          <x:t xml:space="preserve">Perspicuity does not mean every biblical passage is equally clear.</x:t>
        </x:is>
      </x:c>
    </x:row>
    <x:row r="595">
      <x:c r="A595" s="4" t="inlineStr">
        <x:is>
          <x:t xml:space="preserve">Canonical disagreement creates a challenge for simplistic Bible-only arguments.</x:t>
        </x:is>
      </x:c>
    </x:row>
    <x:row r="596">
      <x:c r="A596" s="4" t="inlineStr">
        <x:is>
          <x:t xml:space="preserve">Claims about biblical authority ultimately depend on Christology, church authority, religious experience, internal qualities, historical process, or some combination.</x:t>
        </x:is>
      </x:c>
    </x:row>
    <x:row r="598" ht="23.399999618530273" customHeight="1">
      <x:c r="A598" s="2" t="inlineStr">
        <x:is>
          <x:t xml:space="preserve">XXIV. Christian ethics and difficult texts</x:t>
        </x:is>
      </x:c>
    </x:row>
    <x:row r="600">
      <x:c r="A600" t="inlineStr">
        <x:is>
          <x:t xml:space="preserve">Modules should cover:</x:t>
        </x:is>
      </x:c>
    </x:row>
    <x:row r="601">
      <x:c r="A601" s="4" t="n"/>
    </x:row>
    <x:row r="602">
      <x:c r="A602" s="4" t="inlineStr">
        <x:is>
          <x:t xml:space="preserve">Violence in the Old Testament.</x:t>
        </x:is>
      </x:c>
    </x:row>
    <x:row r="603">
      <x:c r="A603" s="4" t="inlineStr">
        <x:is>
          <x:t xml:space="preserve">Conquest narratives.</x:t>
        </x:is>
      </x:c>
    </x:row>
    <x:row r="604">
      <x:c r="A604" s="4" t="inlineStr">
        <x:is>
          <x:t xml:space="preserve">Slavery.</x:t>
        </x:is>
      </x:c>
    </x:row>
    <x:row r="605">
      <x:c r="A605" s="4" t="inlineStr">
        <x:is>
          <x:t xml:space="preserve">Women.</x:t>
        </x:is>
      </x:c>
    </x:row>
    <x:row r="606">
      <x:c r="A606" s="4" t="inlineStr">
        <x:is>
          <x:t xml:space="preserve">Sexual ethics.</x:t>
        </x:is>
      </x:c>
    </x:row>
    <x:row r="607">
      <x:c r="A607" s="4" t="inlineStr">
        <x:is>
          <x:t xml:space="preserve">Warfare.</x:t>
        </x:is>
      </x:c>
    </x:row>
    <x:row r="608">
      <x:c r="A608" s="4" t="inlineStr">
        <x:is>
          <x:t xml:space="preserve">Capital punishment.</x:t>
        </x:is>
      </x:c>
    </x:row>
    <x:row r="609">
      <x:c r="A609" s="4" t="inlineStr">
        <x:is>
          <x:t xml:space="preserve">Religious liberty.</x:t>
        </x:is>
      </x:c>
    </x:row>
    <x:row r="610">
      <x:c r="A610" s="4" t="inlineStr">
        <x:is>
          <x:t xml:space="preserve">Wealth and poverty.</x:t>
        </x:is>
      </x:c>
    </x:row>
    <x:row r="611">
      <x:c r="A611" s="4" t="inlineStr">
        <x:is>
          <x:t xml:space="preserve">Race and ethnicity.</x:t>
        </x:is>
      </x:c>
    </x:row>
    <x:row r="612">
      <x:c r="A612" s="4" t="inlineStr">
        <x:is>
          <x:t xml:space="preserve">Disability.</x:t>
        </x:is>
      </x:c>
    </x:row>
    <x:row r="613">
      <x:c r="A613" s="4" t="inlineStr">
        <x:is>
          <x:t xml:space="preserve">Ecology.</x:t>
        </x:is>
      </x:c>
    </x:row>
    <x:row r="614">
      <x:c r="A614" s="4" t="inlineStr">
        <x:is>
          <x:t xml:space="preserve">Bioethics.</x:t>
        </x:is>
      </x:c>
    </x:row>
    <x:row r="615">
      <x:c r="A615" s="4" t="inlineStr">
        <x:is>
          <x:t xml:space="preserve">Political authority.</x:t>
        </x:is>
      </x:c>
    </x:row>
    <x:row r="617">
      <x:c r="A617" t="inlineStr">
        <x:is>
          <x:t xml:space="preserve">Claims:</x:t>
        </x:is>
      </x:c>
    </x:row>
    <x:row r="618">
      <x:c r="A618" s="4" t="n"/>
    </x:row>
    <x:row r="619">
      <x:c r="A619" s="4" t="inlineStr">
        <x:is>
          <x:t xml:space="preserve">Description is not automatically prescription.</x:t>
        </x:is>
      </x:c>
    </x:row>
    <x:row r="620">
      <x:c r="A620" s="4" t="inlineStr">
        <x:is>
          <x:t xml:space="preserve">Divine commands reported in a text require historical, literary, and theological analysis.</x:t>
        </x:is>
      </x:c>
    </x:row>
    <x:row r="621">
      <x:c r="A621" s="4" t="inlineStr">
        <x:is>
          <x:t xml:space="preserve">Ancient servitude and modern race-based chattel slavery overlap in some respects but are not identical.</x:t>
        </x:is>
      </x:c>
    </x:row>
    <x:row r="622">
      <x:c r="A622" s="4" t="inlineStr">
        <x:is>
          <x:t xml:space="preserve">Distinction does not excuse all biblical servitude practices.</x:t>
        </x:is>
      </x:c>
    </x:row>
    <x:row r="623">
      <x:c r="A623" s="4" t="inlineStr">
        <x:is>
          <x:t xml:space="preserve">Progressive-revelation arguments require criteria that are not arbitrary.</x:t>
        </x:is>
      </x:c>
    </x:row>
    <x:row r="624">
      <x:c r="A624" s="4" t="inlineStr">
        <x:is>
          <x:t xml:space="preserve">Christian moral reasoning draws from creation, covenant, Christ, apostolic teaching, virtue, natural law, community, and eschatology.</x:t>
        </x:is>
      </x:c>
    </x:row>
    <x:row r="625">
      <x:c r="A625" s="4" t="inlineStr">
        <x:is>
          <x:t xml:space="preserve">Appeals to cultural context can clarify a command but can also be abused to avoid difficult teachings.</x:t>
        </x:is>
      </x:c>
    </x:row>
    <x:row r="626">
      <x:c r="A626" s="4" t="inlineStr">
        <x:is>
          <x:t xml:space="preserve">Consistency requires applying interpretive principles across preferred and disfavoured passages.</x:t>
        </x:is>
      </x:c>
    </x:row>
    <x:row r="627">
      <x:c r="A627" s="4" t="inlineStr">
        <x:is>
          <x:t xml:space="preserve">Christian ethical claims must distinguish moral principle from civil enforcement.</x:t>
        </x:is>
      </x:c>
    </x:row>
    <x:row r="628">
      <x:c r="A628" s="4" t="inlineStr">
        <x:is>
          <x:t xml:space="preserve">Disagreement among Christians weakens simplistic claims of perfect ethical clarity but does not prove that no interpretation is better supported.</x:t>
        </x:is>
      </x:c>
    </x:row>
    <x:row r="630" ht="23.399999618530273" customHeight="1">
      <x:c r="A630" s="2" t="inlineStr">
        <x:is>
          <x:t xml:space="preserve">XXV. Comparative worldview analysis</x:t>
        </x:is>
      </x:c>
    </x:row>
    <x:row r="632">
      <x:c r="A632" t="inlineStr">
        <x:is>
          <x:t xml:space="preserve">Each rival should receive its strongest formulation.</x:t>
        </x:is>
      </x:c>
    </x:row>
    <x:row r="634">
      <x:c r="A634" t="inlineStr">
        <x:is>
          <x:t xml:space="preserve">Modules:</x:t>
        </x:is>
      </x:c>
    </x:row>
    <x:row r="635">
      <x:c r="A635" s="4" t="n"/>
    </x:row>
    <x:row r="636">
      <x:c r="A636" s="4" t="inlineStr">
        <x:is>
          <x:t xml:space="preserve">Naturalism.</x:t>
        </x:is>
      </x:c>
    </x:row>
    <x:row r="637">
      <x:c r="A637" s="4" t="inlineStr">
        <x:is>
          <x:t xml:space="preserve">Physicalism.</x:t>
        </x:is>
      </x:c>
    </x:row>
    <x:row r="638">
      <x:c r="A638" s="4" t="inlineStr">
        <x:is>
          <x:t xml:space="preserve">Humanism.</x:t>
        </x:is>
      </x:c>
    </x:row>
    <x:row r="639">
      <x:c r="A639" s="4" t="inlineStr">
        <x:is>
          <x:t xml:space="preserve">Platonism.</x:t>
        </x:is>
      </x:c>
    </x:row>
    <x:row r="640">
      <x:c r="A640" s="4" t="inlineStr">
        <x:is>
          <x:t xml:space="preserve">Deism.</x:t>
        </x:is>
      </x:c>
    </x:row>
    <x:row r="641">
      <x:c r="A641" s="4" t="inlineStr">
        <x:is>
          <x:t xml:space="preserve">Pantheism.</x:t>
        </x:is>
      </x:c>
    </x:row>
    <x:row r="642">
      <x:c r="A642" s="4" t="inlineStr">
        <x:is>
          <x:t xml:space="preserve">Panentheism.</x:t>
        </x:is>
      </x:c>
    </x:row>
    <x:row r="643">
      <x:c r="A643" s="4" t="inlineStr">
        <x:is>
          <x:t xml:space="preserve">Judaism.</x:t>
        </x:is>
      </x:c>
    </x:row>
    <x:row r="644">
      <x:c r="A644" s="4" t="inlineStr">
        <x:is>
          <x:t xml:space="preserve">Islam.</x:t>
        </x:is>
      </x:c>
    </x:row>
    <x:row r="645">
      <x:c r="A645" s="4" t="inlineStr">
        <x:is>
          <x:t xml:space="preserve">Hindu traditions.</x:t>
        </x:is>
      </x:c>
    </x:row>
    <x:row r="646">
      <x:c r="A646" s="4" t="inlineStr">
        <x:is>
          <x:t xml:space="preserve">Buddhist traditions.</x:t>
        </x:is>
      </x:c>
    </x:row>
    <x:row r="647">
      <x:c r="A647" s="4" t="inlineStr">
        <x:is>
          <x:t xml:space="preserve">Sikhism.</x:t>
        </x:is>
      </x:c>
    </x:row>
    <x:row r="648">
      <x:c r="A648" s="4" t="inlineStr">
        <x:is>
          <x:t xml:space="preserve">Bahá’í.</x:t>
        </x:is>
      </x:c>
    </x:row>
    <x:row r="649">
      <x:c r="A649" s="4" t="inlineStr">
        <x:is>
          <x:t xml:space="preserve">New religious movements.</x:t>
        </x:is>
      </x:c>
    </x:row>
    <x:row r="650">
      <x:c r="A650" s="4" t="inlineStr">
        <x:is>
          <x:t xml:space="preserve">Religious pluralism.</x:t>
        </x:is>
      </x:c>
    </x:row>
    <x:row r="651">
      <x:c r="A651" s="4" t="inlineStr">
        <x:is>
          <x:t xml:space="preserve">Agnosticism.</x:t>
        </x:is>
      </x:c>
    </x:row>
    <x:row r="652">
      <x:c r="A652" s="4" t="inlineStr">
        <x:is>
          <x:t xml:space="preserve">Skepticism.</x:t>
        </x:is>
      </x:c>
    </x:row>
    <x:row r="654">
      <x:c r="A654" t="inlineStr">
        <x:is>
          <x:t xml:space="preserve">Comparative claims should evaluate:</x:t>
        </x:is>
      </x:c>
    </x:row>
    <x:row r="655">
      <x:c r="A655" s="4" t="n"/>
    </x:row>
    <x:row r="656">
      <x:c r="A656" s="4" t="inlineStr">
        <x:is>
          <x:t xml:space="preserve">Ultimate reality.</x:t>
        </x:is>
      </x:c>
    </x:row>
    <x:row r="657">
      <x:c r="A657" s="4" t="inlineStr">
        <x:is>
          <x:t xml:space="preserve">Why anything exists.</x:t>
        </x:is>
      </x:c>
    </x:row>
    <x:row r="658">
      <x:c r="A658" s="4" t="inlineStr">
        <x:is>
          <x:t xml:space="preserve">Order and laws.</x:t>
        </x:is>
      </x:c>
    </x:row>
    <x:row r="659">
      <x:c r="A659" s="4" t="inlineStr">
        <x:is>
          <x:t xml:space="preserve">Consciousness.</x:t>
        </x:is>
      </x:c>
    </x:row>
    <x:row r="660">
      <x:c r="A660" s="4" t="inlineStr">
        <x:is>
          <x:t xml:space="preserve">Reason.</x:t>
        </x:is>
      </x:c>
    </x:row>
    <x:row r="661">
      <x:c r="A661" s="4" t="inlineStr">
        <x:is>
          <x:t xml:space="preserve">morality.</x:t>
        </x:is>
      </x:c>
    </x:row>
    <x:row r="662">
      <x:c r="A662" s="4" t="inlineStr">
        <x:is>
          <x:t xml:space="preserve">Human dignity.</x:t>
        </x:is>
      </x:c>
    </x:row>
    <x:row r="663">
      <x:c r="A663" s="4" t="inlineStr">
        <x:is>
          <x:t xml:space="preserve">Evil.</x:t>
        </x:is>
      </x:c>
    </x:row>
    <x:row r="664">
      <x:c r="A664" s="4" t="inlineStr">
        <x:is>
          <x:t xml:space="preserve">Religious diversity.</x:t>
        </x:is>
      </x:c>
    </x:row>
    <x:row r="665">
      <x:c r="A665" s="4" t="inlineStr">
        <x:is>
          <x:t xml:space="preserve">Salvation or liberation.</x:t>
        </x:is>
      </x:c>
    </x:row>
    <x:row r="666">
      <x:c r="A666" s="4" t="inlineStr">
        <x:is>
          <x:t xml:space="preserve">History.</x:t>
        </x:is>
      </x:c>
    </x:row>
    <x:row r="667">
      <x:c r="A667" s="4" t="inlineStr">
        <x:is>
          <x:t xml:space="preserve">Death.</x:t>
        </x:is>
      </x:c>
    </x:row>
    <x:row r="668">
      <x:c r="A668" s="4" t="inlineStr">
        <x:is>
          <x:t xml:space="preserve">Meaning.</x:t>
        </x:is>
      </x:c>
    </x:row>
    <x:row r="669">
      <x:c r="A669" s="4" t="inlineStr">
        <x:is>
          <x:t xml:space="preserve">Spiritual experience.</x:t>
        </x:is>
      </x:c>
    </x:row>
    <x:row r="670">
      <x:c r="A670" s="4" t="inlineStr">
        <x:is>
          <x:t xml:space="preserve">Internal coherence.</x:t>
        </x:is>
      </x:c>
    </x:row>
    <x:row r="671">
      <x:c r="A671" s="4" t="inlineStr">
        <x:is>
          <x:t xml:space="preserve">Evidential fit.</x:t>
        </x:is>
      </x:c>
    </x:row>
    <x:row r="673">
      <x:c r="A673" t="inlineStr">
        <x:is>
          <x:t xml:space="preserve">The goal is not “Christianity has an answer and therefore wins.” Every worldview can produce answers. The real analysis asks:</x:t>
        </x:is>
      </x:c>
    </x:row>
    <x:row r="674">
      <x:c r="A674" s="1" t="n"/>
    </x:row>
    <x:row r="675">
      <x:c r="A675" s="3" t="inlineStr">
        <x:is>
          <x:t xml:space="preserve">What does the worldview predict?</x:t>
        </x:is>
      </x:c>
    </x:row>
    <x:row r="676">
      <x:c r="A676" s="3" t="inlineStr">
        <x:is>
          <x:t xml:space="preserve">What does it explain?</x:t>
        </x:is>
      </x:c>
    </x:row>
    <x:row r="677">
      <x:c r="A677" s="3" t="inlineStr">
        <x:is>
          <x:t xml:space="preserve">What must it treat as brute?</x:t>
        </x:is>
      </x:c>
    </x:row>
    <x:row r="678">
      <x:c r="A678" s="3" t="inlineStr">
        <x:is>
          <x:t xml:space="preserve">What tensions arise internally?</x:t>
        </x:is>
      </x:c>
    </x:row>
    <x:row r="679">
      <x:c r="A679" s="3" t="inlineStr">
        <x:is>
          <x:t xml:space="preserve">How many auxiliary assumptions are required?</x:t>
        </x:is>
      </x:c>
    </x:row>
    <x:row r="680">
      <x:c r="A680" s="3" t="inlineStr">
        <x:is>
          <x:t xml:space="preserve">What evidence is surprising under it?</x:t>
        </x:is>
      </x:c>
    </x:row>
    <x:row r="681">
      <x:c r="A681" s="3" t="inlineStr">
        <x:is>
          <x:t xml:space="preserve">What evidence is expected under it?</x:t>
        </x:is>
      </x:c>
    </x:row>
    <x:row r="683" ht="23.399999618530273" customHeight="1">
      <x:c r="A683" s="2" t="inlineStr">
        <x:is>
          <x:t xml:space="preserve">XXVI. Arguments against Christianity</x:t>
        </x:is>
      </x:c>
    </x:row>
    <x:row r="685">
      <x:c r="A685" t="inlineStr">
        <x:is>
          <x:t xml:space="preserve">You need to own the objection space as thoroughly as the positive case.</x:t>
        </x:is>
      </x:c>
    </x:row>
    <x:row r="687">
      <x:c r="A687" t="inlineStr">
        <x:is>
          <x:t xml:space="preserve">The repository should include:</x:t>
        </x:is>
      </x:c>
    </x:row>
    <x:row r="688">
      <x:c r="A688" s="4" t="n"/>
    </x:row>
    <x:row r="689">
      <x:c r="A689" s="4" t="inlineStr">
        <x:is>
          <x:t xml:space="preserve">Logical and evidential evil.</x:t>
        </x:is>
      </x:c>
    </x:row>
    <x:row r="690">
      <x:c r="A690" s="4" t="inlineStr">
        <x:is>
          <x:t xml:space="preserve">Divine hiddenness.</x:t>
        </x:is>
      </x:c>
    </x:row>
    <x:row r="691">
      <x:c r="A691" s="4" t="inlineStr">
        <x:is>
          <x:t xml:space="preserve">Religious diversity.</x:t>
        </x:is>
      </x:c>
    </x:row>
    <x:row r="692">
      <x:c r="A692" s="4" t="inlineStr">
        <x:is>
          <x:t xml:space="preserve">Hell.</x:t>
        </x:is>
      </x:c>
    </x:row>
    <x:row r="693">
      <x:c r="A693" s="4" t="inlineStr">
        <x:is>
          <x:t xml:space="preserve">Exclusivity.</x:t>
        </x:is>
      </x:c>
    </x:row>
    <x:row r="694">
      <x:c r="A694" s="4" t="inlineStr">
        <x:is>
          <x:t xml:space="preserve">Biblical violence.</x:t>
        </x:is>
      </x:c>
    </x:row>
    <x:row r="695">
      <x:c r="A695" s="4" t="inlineStr">
        <x:is>
          <x:t xml:space="preserve">Slavery.</x:t>
        </x:is>
      </x:c>
    </x:row>
    <x:row r="696">
      <x:c r="A696" s="4" t="inlineStr">
        <x:is>
          <x:t xml:space="preserve">Gender ethics.</x:t>
        </x:is>
      </x:c>
    </x:row>
    <x:row r="697">
      <x:c r="A697" s="4" t="inlineStr">
        <x:is>
          <x:t xml:space="preserve">Sexual ethics.</x:t>
        </x:is>
      </x:c>
    </x:row>
    <x:row r="698">
      <x:c r="A698" s="4" t="inlineStr">
        <x:is>
          <x:t xml:space="preserve">Scientific conflict.</x:t>
        </x:is>
      </x:c>
    </x:row>
    <x:row r="699">
      <x:c r="A699" s="4" t="inlineStr">
        <x:is>
          <x:t xml:space="preserve">Evolution.</x:t>
        </x:is>
      </x:c>
    </x:row>
    <x:row r="700">
      <x:c r="A700" s="4" t="inlineStr">
        <x:is>
          <x:t xml:space="preserve">Genesis.</x:t>
        </x:is>
      </x:c>
    </x:row>
    <x:row r="701">
      <x:c r="A701" s="4" t="inlineStr">
        <x:is>
          <x:t xml:space="preserve">Historical Adam.</x:t>
        </x:is>
      </x:c>
    </x:row>
    <x:row r="702">
      <x:c r="A702" s="4" t="inlineStr">
        <x:is>
          <x:t xml:space="preserve">Gospel contradictions.</x:t>
        </x:is>
      </x:c>
    </x:row>
    <x:row r="703">
      <x:c r="A703" s="4" t="inlineStr">
        <x:is>
          <x:t xml:space="preserve">Failed prophecy.</x:t>
        </x:is>
      </x:c>
    </x:row>
    <x:row r="704">
      <x:c r="A704" s="4" t="inlineStr">
        <x:is>
          <x:t xml:space="preserve">Unfulfilled eschatological expectation.</x:t>
        </x:is>
      </x:c>
    </x:row>
    <x:row r="705">
      <x:c r="A705" s="4" t="inlineStr">
        <x:is>
          <x:t xml:space="preserve">Textual variants.</x:t>
        </x:is>
      </x:c>
    </x:row>
    <x:row r="706">
      <x:c r="A706" s="4" t="inlineStr">
        <x:is>
          <x:t xml:space="preserve">Canon formation.</x:t>
        </x:is>
      </x:c>
    </x:row>
    <x:row r="707">
      <x:c r="A707" s="4" t="inlineStr">
        <x:is>
          <x:t xml:space="preserve">Anonymous or disputed authorship.</x:t>
        </x:is>
      </x:c>
    </x:row>
    <x:row r="708">
      <x:c r="A708" s="4" t="inlineStr">
        <x:is>
          <x:t xml:space="preserve">Legendary development.</x:t>
        </x:is>
      </x:c>
    </x:row>
    <x:row r="709">
      <x:c r="A709" s="4" t="inlineStr">
        <x:is>
          <x:t xml:space="preserve">Pagan-parallel claims.</x:t>
        </x:is>
      </x:c>
    </x:row>
    <x:row r="710">
      <x:c r="A710" s="4" t="inlineStr">
        <x:is>
          <x:t xml:space="preserve">Trinity contradiction.</x:t>
        </x:is>
      </x:c>
    </x:row>
    <x:row r="711">
      <x:c r="A711" s="4" t="inlineStr">
        <x:is>
          <x:t xml:space="preserve">Incarnation contradiction.</x:t>
        </x:is>
      </x:c>
    </x:row>
    <x:row r="712">
      <x:c r="A712" s="4" t="inlineStr">
        <x:is>
          <x:t xml:space="preserve">Atonement injustice.</x:t>
        </x:is>
      </x:c>
    </x:row>
    <x:row r="713">
      <x:c r="A713" s="4" t="inlineStr">
        <x:is>
          <x:t xml:space="preserve">Foreknowledge and freedom.</x:t>
        </x:is>
      </x:c>
    </x:row>
    <x:row r="714">
      <x:c r="A714" s="4" t="inlineStr">
        <x:is>
          <x:t xml:space="preserve">Prayer and divine immutability.</x:t>
        </x:is>
      </x:c>
    </x:row>
    <x:row r="715">
      <x:c r="A715" s="4" t="inlineStr">
        <x:is>
          <x:t xml:space="preserve">Miracles and natural law.</x:t>
        </x:is>
      </x:c>
    </x:row>
    <x:row r="716">
      <x:c r="A716" s="4" t="inlineStr">
        <x:is>
          <x:t xml:space="preserve">Church corruption.</x:t>
        </x:is>
      </x:c>
    </x:row>
    <x:row r="717">
      <x:c r="A717" s="4" t="inlineStr">
        <x:is>
          <x:t xml:space="preserve">Abuse and institutional concealment.</x:t>
        </x:is>
      </x:c>
    </x:row>
    <x:row r="718">
      <x:c r="A718" s="4" t="inlineStr">
        <x:is>
          <x:t xml:space="preserve">Christian nationalism.</x:t>
        </x:is>
      </x:c>
    </x:row>
    <x:row r="719">
      <x:c r="A719" s="4" t="inlineStr">
        <x:is>
          <x:t xml:space="preserve">Colonialism.</x:t>
        </x:is>
      </x:c>
    </x:row>
    <x:row r="720">
      <x:c r="A720" s="4" t="inlineStr">
        <x:is>
          <x:t xml:space="preserve">Antisemitism.</x:t>
        </x:is>
      </x:c>
    </x:row>
    <x:row r="721">
      <x:c r="A721" s="4" t="inlineStr">
        <x:is>
          <x:t xml:space="preserve">Psychological explanations of belief.</x:t>
        </x:is>
      </x:c>
    </x:row>
    <x:row r="722">
      <x:c r="A722" s="4" t="inlineStr">
        <x:is>
          <x:t xml:space="preserve">Evolutionary explanations of religion.</x:t>
        </x:is>
      </x:c>
    </x:row>
    <x:row r="723">
      <x:c r="A723" s="4" t="inlineStr">
        <x:is>
          <x:t xml:space="preserve">Neuroscientific explanations of religious experience.</x:t>
        </x:is>
      </x:c>
    </x:row>
    <x:row r="724">
      <x:c r="A724" s="4" t="inlineStr">
        <x:is>
          <x:t xml:space="preserve">Sociological transmission.</x:t>
        </x:is>
      </x:c>
    </x:row>
    <x:row r="725">
      <x:c r="A725" s="4" t="inlineStr">
        <x:is>
          <x:t xml:space="preserve">Wish fulfilment.</x:t>
        </x:is>
      </x:c>
    </x:row>
    <x:row r="726">
      <x:c r="A726" s="4" t="inlineStr">
        <x:is>
          <x:t xml:space="preserve">Fear of death.</x:t>
        </x:is>
      </x:c>
    </x:row>
    <x:row r="727">
      <x:c r="A727" s="4" t="inlineStr">
        <x:is>
          <x:t xml:space="preserve">Cognitive bias.</x:t>
        </x:is>
      </x:c>
    </x:row>
    <x:row r="728">
      <x:c r="A728" s="4" t="inlineStr">
        <x:is>
          <x:t xml:space="preserve">Argument from inconsistent revelations.</x:t>
        </x:is>
      </x:c>
    </x:row>
    <x:row r="729">
      <x:c r="A729" s="4" t="inlineStr">
        <x:is>
          <x:t xml:space="preserve">Argument from reasonable unbelief.</x:t>
        </x:is>
      </x:c>
    </x:row>
    <x:row r="730">
      <x:c r="A730" s="4" t="inlineStr">
        <x:is>
          <x:t xml:space="preserve">Argument from poor divine communication.</x:t>
        </x:is>
      </x:c>
    </x:row>
    <x:row r="731">
      <x:c r="A731" s="4" t="inlineStr">
        <x:is>
          <x:t xml:space="preserve">Argument from apparently pointless biological history.</x:t>
        </x:is>
      </x:c>
    </x:row>
    <x:row r="732">
      <x:c r="A732" s="4" t="inlineStr">
        <x:is>
          <x:t xml:space="preserve">Argument from animal suffering.</x:t>
        </x:is>
      </x:c>
    </x:row>
    <x:row r="733">
      <x:c r="A733" s="4" t="inlineStr">
        <x:is>
          <x:t xml:space="preserve">Argument from eternal punishment.</x:t>
        </x:is>
      </x:c>
    </x:row>
    <x:row r="734">
      <x:c r="A734" s="4" t="inlineStr">
        <x:is>
          <x:t xml:space="preserve">Argument from luck in religious birthplace.</x:t>
        </x:is>
      </x:c>
    </x:row>
    <x:row r="735">
      <x:c r="A735" s="4" t="inlineStr">
        <x:is>
          <x:t xml:space="preserve">Argument from doctrinal confusion.</x:t>
        </x:is>
      </x:c>
    </x:row>
    <x:row r="736">
      <x:c r="A736" s="4" t="inlineStr">
        <x:is>
          <x:t xml:space="preserve">Argument from divine silence during atrocities.</x:t>
        </x:is>
      </x:c>
    </x:row>
    <x:row r="738">
      <x:c r="A738" t="inlineStr">
        <x:is>
          <x:t xml:space="preserve">Each objection needs:</x:t>
        </x:is>
      </x:c>
    </x:row>
    <x:row r="739">
      <x:c r="A739" s="1" t="n"/>
    </x:row>
    <x:row r="740">
      <x:c r="A740" s="3" t="inlineStr">
        <x:is>
          <x:t xml:space="preserve">Strongest formulation</x:t>
        </x:is>
      </x:c>
    </x:row>
    <x:row r="741">
      <x:c r="A741" s="3" t="inlineStr">
        <x:is>
          <x:t xml:space="preserve">Formal structure</x:t>
        </x:is>
      </x:c>
    </x:row>
    <x:row r="742">
      <x:c r="A742" s="3" t="inlineStr">
        <x:is>
          <x:t xml:space="preserve">Hidden premises</x:t>
        </x:is>
      </x:c>
    </x:row>
    <x:row r="743">
      <x:c r="A743" s="3" t="inlineStr">
        <x:is>
          <x:t xml:space="preserve">Evidence cited</x:t>
        </x:is>
      </x:c>
    </x:row>
    <x:row r="744">
      <x:c r="A744" s="3" t="inlineStr">
        <x:is>
          <x:t xml:space="preserve">Christian response families</x:t>
        </x:is>
      </x:c>
    </x:row>
    <x:row r="745">
      <x:c r="A745" s="3" t="inlineStr">
        <x:is>
          <x:t xml:space="preserve">Cost of each response</x:t>
        </x:is>
      </x:c>
    </x:row>
    <x:row r="746">
      <x:c r="A746" s="3" t="inlineStr">
        <x:is>
          <x:t xml:space="preserve">Residual force after response</x:t>
        </x:is>
      </x:c>
    </x:row>
    <x:row r="748">
      <x:c r="A748" t="inlineStr">
        <x:is>
          <x:t xml:space="preserve">A response should not automatically be marked “successful.” Some objections may remain genuinely forceful.</x:t>
        </x:is>
      </x:c>
    </x:row>
    <x:row r="750" ht="31.200000762939453" customHeight="1">
      <x:c r="A750" s="7" t="inlineStr">
        <x:is>
          <x:t xml:space="preserve">How to formalize this in Lean 4</x:t>
        </x:is>
      </x:c>
    </x:row>
    <x:row r="752">
      <x:c r="A752" t="inlineStr">
        <x:is>
          <x:t xml:space="preserve">You should build several layers.</x:t>
        </x:is>
      </x:c>
    </x:row>
    <x:row r="754" ht="23.399999618530273" customHeight="1">
      <x:c r="A754" s="2" t="inlineStr">
        <x:is>
          <x:t xml:space="preserve">Layer 1: Pure logical forms</x:t>
        </x:is>
      </x:c>
    </x:row>
    <x:row r="756">
      <x:c r="A756" t="inlineStr">
        <x:is>
          <x:t xml:space="preserve">Example:</x:t>
        </x:is>
      </x:c>
    </x:row>
    <x:row r="757">
      <x:c r="A757" s="1" t="n"/>
    </x:row>
    <x:row r="758">
      <x:c r="A758" s="3" t="inlineStr">
        <x:is>
          <x:t xml:space="preserve">structure CosmologicalPremises where</x:t>
        </x:is>
      </x:c>
    </x:row>
    <x:row r="759">
      <x:c r="A759" s="3" t="inlineStr">
        <x:is>
          <x:t xml:space="preserve">  contingentRealityExists : Prop</x:t>
        </x:is>
      </x:c>
    </x:row>
    <x:row r="760">
      <x:c r="A760" s="3" t="inlineStr">
        <x:is>
          <x:t xml:space="preserve">  contingentRequiresExplanation : Prop</x:t>
        </x:is>
      </x:c>
    </x:row>
    <x:row r="761">
      <x:c r="A761" s="3" t="inlineStr">
        <x:is>
          <x:t xml:space="preserve">  noCircularUltimateExplanation : Prop</x:t>
        </x:is>
      </x:c>
    </x:row>
    <x:row r="762">
      <x:c r="A762" s="1" t="n"/>
    </x:row>
    <x:row r="763">
      <x:c r="A763" s="3" t="inlineStr">
        <x:is>
          <x:t xml:space="preserve">axiom explanation_argument</x:t>
        </x:is>
      </x:c>
    </x:row>
    <x:row r="764">
      <x:c r="A764" s="3" t="inlineStr">
        <x:is>
          <x:t xml:space="preserve">    (P : CosmologicalPremises)</x:t>
        </x:is>
      </x:c>
    </x:row>
    <x:row r="765">
      <x:c r="A765" s="3" t="inlineStr">
        <x:is>
          <x:t xml:space="preserve">    (h₁ : P.contingentRealityExists)</x:t>
        </x:is>
      </x:c>
    </x:row>
    <x:row r="766">
      <x:c r="A766" s="3" t="inlineStr">
        <x:is>
          <x:t xml:space="preserve">    (h₂ : P.contingentRequiresExplanation)</x:t>
        </x:is>
      </x:c>
    </x:row>
    <x:row r="767">
      <x:c r="A767" s="3" t="inlineStr">
        <x:is>
          <x:t xml:space="preserve">    (h₃ : P.noCircularUltimateExplanation) :</x:t>
        </x:is>
      </x:c>
    </x:row>
    <x:row r="768">
      <x:c r="A768" s="3" t="inlineStr">
        <x:is>
          <x:t xml:space="preserve">    ∃ x, IsNonContingent x</x:t>
        </x:is>
      </x:c>
    </x:row>
    <x:row r="770">
      <x:c r="A770" t="inlineStr">
        <x:is>
          <x:t xml:space="preserve">But the axiom above merely hides the argument. A mature version must define contingency, dependence, explanation, grounding, and regress, then prove the result from explicit principles.</x:t>
        </x:is>
      </x:c>
    </x:row>
    <x:row r="772" ht="23.399999618530273" customHeight="1">
      <x:c r="A772" s="2" t="inlineStr">
        <x:is>
          <x:t xml:space="preserve">Layer 2: Argument schemas</x:t>
        </x:is>
      </x:c>
    </x:row>
    <x:row r="773">
      <x:c r="A773" s="1" t="n"/>
    </x:row>
    <x:row r="774">
      <x:c r="A774" s="3" t="inlineStr">
        <x:is>
          <x:t xml:space="preserve">structure AbductiveHypothesis where</x:t>
        </x:is>
      </x:c>
    </x:row>
    <x:row r="775">
      <x:c r="A775" s="3" t="inlineStr">
        <x:is>
          <x:t xml:space="preserve">  name : String</x:t>
        </x:is>
      </x:c>
    </x:row>
    <x:row r="776">
      <x:c r="A776" s="3" t="inlineStr">
        <x:is>
          <x:t xml:space="preserve">  predicts : Evidence → ℝ</x:t>
        </x:is>
      </x:c>
    </x:row>
    <x:row r="777">
      <x:c r="A777" s="3" t="inlineStr">
        <x:is>
          <x:t xml:space="preserve">  prior : ℝ</x:t>
        </x:is>
      </x:c>
    </x:row>
    <x:row r="778">
      <x:c r="A778" s="1" t="n"/>
    </x:row>
    <x:row r="779">
      <x:c r="A779" s="3" t="inlineStr">
        <x:is>
          <x:t xml:space="preserve">def posteriorWeight</x:t>
        </x:is>
      </x:c>
    </x:row>
    <x:row r="780">
      <x:c r="A780" s="3" t="inlineStr">
        <x:is>
          <x:t xml:space="preserve">    (h : AbductiveHypothesis)</x:t>
        </x:is>
      </x:c>
    </x:row>
    <x:row r="781">
      <x:c r="A781" s="3" t="inlineStr">
        <x:is>
          <x:t xml:space="preserve">    (e : Evidence) : ℝ :=</x:t>
        </x:is>
      </x:c>
    </x:row>
    <x:row r="782">
      <x:c r="A782" s="3" t="inlineStr">
        <x:is>
          <x:t xml:space="preserve">  h.prior * h.predicts e</x:t>
        </x:is>
      </x:c>
    </x:row>
    <x:row r="784">
      <x:c r="A784" t="inlineStr">
        <x:is>
          <x:t xml:space="preserve">Lean can verify that calculations obey your stated model. It cannot tell you whether the assigned priors are objectively correct.</x:t>
        </x:is>
      </x:c>
    </x:row>
    <x:row r="786" ht="23.399999618530273" customHeight="1">
      <x:c r="A786" s="2" t="inlineStr">
        <x:is>
          <x:t xml:space="preserve">Layer 3: Historical evidence records</x:t>
        </x:is>
      </x:c>
    </x:row>
    <x:row r="787">
      <x:c r="A787" s="1" t="n"/>
    </x:row>
    <x:row r="788">
      <x:c r="A788" s="3" t="inlineStr">
        <x:is>
          <x:t xml:space="preserve">structure HistoricalClaim where</x:t>
        </x:is>
      </x:c>
    </x:row>
    <x:row r="789">
      <x:c r="A789" s="3" t="inlineStr">
        <x:is>
          <x:t xml:space="preserve">  proposition : Prop</x:t>
        </x:is>
      </x:c>
    </x:row>
    <x:row r="790">
      <x:c r="A790" s="3" t="inlineStr">
        <x:is>
          <x:t xml:space="preserve">  sourceCount : Nat</x:t>
        </x:is>
      </x:c>
    </x:row>
    <x:row r="791">
      <x:c r="A791" s="3" t="inlineStr">
        <x:is>
          <x:t xml:space="preserve">  earlyAttestation : Bool</x:t>
        </x:is>
      </x:c>
    </x:row>
    <x:row r="792">
      <x:c r="A792" s="3" t="inlineStr">
        <x:is>
          <x:t xml:space="preserve">  independenceScore : Float</x:t>
        </x:is>
      </x:c>
    </x:row>
    <x:row r="793">
      <x:c r="A793" s="3" t="inlineStr">
        <x:is>
          <x:t xml:space="preserve">  hostileAttestation : Bool</x:t>
        </x:is>
      </x:c>
    </x:row>
    <x:row r="794">
      <x:c r="A794" s="3" t="inlineStr">
        <x:is>
          <x:t xml:space="preserve">  explanatoryAlternatives : List String</x:t>
        </x:is>
      </x:c>
    </x:row>
    <x:row r="796">
      <x:c r="A796" t="inlineStr">
        <x:is>
          <x:t xml:space="preserve">This layer records evidence rather than magically converting history into certainty.</x:t>
        </x:is>
      </x:c>
    </x:row>
    <x:row r="798" ht="23.399999618530273" customHeight="1">
      <x:c r="A798" s="2" t="inlineStr">
        <x:is>
          <x:t xml:space="preserve">Layer 4: Dependency graph</x:t>
        </x:is>
      </x:c>
    </x:row>
    <x:row r="800">
      <x:c r="A800" t="inlineStr">
        <x:is>
          <x:t xml:space="preserve">For example:</x:t>
        </x:is>
      </x:c>
    </x:row>
    <x:row r="801">
      <x:c r="A801" s="1" t="n"/>
    </x:row>
    <x:row r="802">
      <x:c r="A802" s="3" t="inlineStr">
        <x:is>
          <x:t xml:space="preserve">C-RES-240: God raised Jesus</x:t>
        </x:is>
      </x:c>
    </x:row>
    <x:row r="803">
      <x:c r="A803" s="3" t="inlineStr">
        <x:is>
          <x:t xml:space="preserve">depends on:</x:t>
        </x:is>
      </x:c>
    </x:row>
    <x:row r="804">
      <x:c r="A804" s="3" t="inlineStr">
        <x:is>
          <x:t xml:space="preserve">  C-GOD-010: God exists</x:t>
        </x:is>
      </x:c>
    </x:row>
    <x:row r="805">
      <x:c r="A805" s="3" t="inlineStr">
        <x:is>
          <x:t xml:space="preserve">  C-MIR-030: Divine action in history is possible</x:t>
        </x:is>
      </x:c>
    </x:row>
    <x:row r="806">
      <x:c r="A806" s="3" t="inlineStr">
        <x:is>
          <x:t xml:space="preserve">  C-HJ-410: Jesus died by crucifixion</x:t>
        </x:is>
      </x:c>
    </x:row>
    <x:row r="807">
      <x:c r="A807" s="3" t="inlineStr">
        <x:is>
          <x:t xml:space="preserve">  C-RES-110: Disciples reported appearances</x:t>
        </x:is>
      </x:c>
    </x:row>
    <x:row r="808">
      <x:c r="A808" s="3" t="inlineStr">
        <x:is>
          <x:t xml:space="preserve">  C-RES-150: Earliest resurrection belief is early</x:t>
        </x:is>
      </x:c>
    </x:row>
    <x:row r="809">
      <x:c r="A809" s="3" t="inlineStr">
        <x:is>
          <x:t xml:space="preserve">  C-RES-190: Rival explanations are comparatively weaker</x:t>
        </x:is>
      </x:c>
    </x:row>
    <x:row r="811">
      <x:c r="A811" t="inlineStr">
        <x:is>
          <x:t xml:space="preserve">Then:</x:t>
        </x:is>
      </x:c>
    </x:row>
    <x:row r="812">
      <x:c r="A812" s="1" t="n"/>
    </x:row>
    <x:row r="813">
      <x:c r="A813" s="3" t="inlineStr">
        <x:is>
          <x:t xml:space="preserve">C-CHR-500: Jesus’ authority is divinely vindicated</x:t>
        </x:is>
      </x:c>
    </x:row>
    <x:row r="814">
      <x:c r="A814" s="3" t="inlineStr">
        <x:is>
          <x:t xml:space="preserve">depends on:</x:t>
        </x:is>
      </x:c>
    </x:row>
    <x:row r="815">
      <x:c r="A815" s="3" t="inlineStr">
        <x:is>
          <x:t xml:space="preserve">  C-RES-240</x:t>
        </x:is>
      </x:c>
    </x:row>
    <x:row r="816">
      <x:c r="A816" s="3" t="inlineStr">
        <x:is>
          <x:t xml:space="preserve">  C-HJ-300: Jesus made relevant religious claims</x:t>
        </x:is>
      </x:c>
    </x:row>
    <x:row r="818">
      <x:c r="A818" t="inlineStr">
        <x:is>
          <x:t xml:space="preserve">That is how the corpus becomes difficult to outflank: every major conclusion has an explicit support chain.</x:t>
        </x:is>
      </x:c>
    </x:row>
    <x:row r="820" ht="31.200000762939453" customHeight="1">
      <x:c r="A820" s="7" t="inlineStr">
        <x:is>
          <x:t xml:space="preserve">The standard for “winning”</x:t>
        </x:is>
      </x:c>
    </x:row>
    <x:row r="822">
      <x:c r="A822" t="inlineStr">
        <x:is>
          <x:t xml:space="preserve">The repository should not be measured only by number of claims. A million weak claims would be worse than ten thousand carefully structured ones.</x:t>
        </x:is>
      </x:c>
    </x:row>
    <x:row r="824">
      <x:c r="A824" t="inlineStr">
        <x:is>
          <x:t xml:space="preserve">A serious dominance standard would be:</x:t>
        </x:is>
      </x:c>
    </x:row>
    <x:row r="825">
      <x:c r="A825" s="4" t="n"/>
    </x:row>
    <x:row r="826">
      <x:c r="A826" s="6" t="inlineStr">
        <x:is>
          <x:t xml:space="preserve">Breadth: nearly every recognized argument and objection is represented.</x:t>
        </x:is>
      </x:c>
    </x:row>
    <x:row r="827">
      <x:c r="A827" s="6" t="inlineStr">
        <x:is>
          <x:t xml:space="preserve">Granularity: claims are split into the smallest useful propositions.</x:t>
        </x:is>
      </x:c>
    </x:row>
    <x:row r="828">
      <x:c r="A828" s="6" t="inlineStr">
        <x:is>
          <x:t xml:space="preserve">Traceability: every conclusion has visible dependencies.</x:t>
        </x:is>
      </x:c>
    </x:row>
    <x:row r="829">
      <x:c r="A829" s="6" t="inlineStr">
        <x:is>
          <x:t xml:space="preserve">Formal validity: deductive steps are machine-checked.</x:t>
        </x:is>
      </x:c>
    </x:row>
    <x:row r="830">
      <x:c r="A830" s="6" t="inlineStr">
        <x:is>
          <x:t xml:space="preserve">Evidential honesty: empirical premises are not relabelled as theorems.</x:t>
        </x:is>
      </x:c>
    </x:row>
    <x:row r="831">
      <x:c r="A831" s="6" t="inlineStr">
        <x:is>
          <x:t xml:space="preserve">Steel-manning: opponents’ best cases are included.</x:t>
        </x:is>
      </x:c>
    </x:row>
    <x:row r="832">
      <x:c r="A832" s="6" t="inlineStr">
        <x:is>
          <x:t xml:space="preserve">Tradition mapping: Catholic, Orthodox, Protestant, and other positions are distinguished.</x:t>
        </x:is>
      </x:c>
    </x:row>
    <x:row r="833">
      <x:c r="A833" s="6" t="inlineStr">
        <x:is>
          <x:t xml:space="preserve">Version control: every revision and defeated argument is retained.</x:t>
        </x:is>
      </x:c>
    </x:row>
    <x:row r="834">
      <x:c r="A834" s="6" t="inlineStr">
        <x:is>
          <x:t xml:space="preserve">Confidence calibration: certainty is not fabricated.</x:t>
        </x:is>
      </x:c>
    </x:row>
    <x:row r="835">
      <x:c r="A835" s="6" t="inlineStr">
        <x:is>
          <x:t xml:space="preserve">Interoperability: claims can be exported to prose, debates, books, databases, and Lean files.</x:t>
        </x:is>
      </x:c>
    </x:row>
    <x:row r="836">
      <x:c r="A836" s="6" t="inlineStr">
        <x:is>
          <x:t xml:space="preserve">Negative results: failed proofs and inconsistent premise sets are recorded.</x:t>
        </x:is>
      </x:c>
    </x:row>
    <x:row r="837">
      <x:c r="A837" s="6" t="inlineStr">
        <x:is>
          <x:t xml:space="preserve">Countermodel search: where a conclusion does not follow, the system shows why.</x:t>
        </x:is>
      </x:c>
    </x:row>
    <x:row r="838">
      <x:c r="A838" s="6" t="inlineStr">
        <x:is>
          <x:t xml:space="preserve">Minimal-premise extraction: determine the weakest premise set sufficient for each conclusion.</x:t>
        </x:is>
      </x:c>
    </x:row>
    <x:row r="839">
      <x:c r="A839" s="6" t="inlineStr">
        <x:is>
          <x:t xml:space="preserve">Contradiction detection: identify where two apologetic claims cannot both be maintained.</x:t>
        </x:is>
      </x:c>
    </x:row>
    <x:row r="840">
      <x:c r="A840" s="6" t="inlineStr">
        <x:is>
          <x:t xml:space="preserve">Argument comparison: rank arguments by validity, premise defensibility, scope, and dialectical usefulness.</x:t>
        </x:is>
      </x:c>
    </x:row>
    <x:row r="842" ht="31.200000762939453" customHeight="1">
      <x:c r="A842" s="7" t="inlineStr">
        <x:is>
          <x:t xml:space="preserve">A practical numbering system</x:t>
        </x:is>
      </x:c>
    </x:row>
    <x:row r="844">
      <x:c r="A844" t="inlineStr">
        <x:is>
          <x:t xml:space="preserve">Use identifiers such as:</x:t>
        </x:is>
      </x:c>
    </x:row>
    <x:row r="845">
      <x:c r="A845" s="1" t="n"/>
    </x:row>
    <x:row r="846">
      <x:c r="A846" s="3" t="inlineStr">
        <x:is>
          <x:t xml:space="preserve">LOG-0001       Logic and epistemology</x:t>
        </x:is>
      </x:c>
    </x:row>
    <x:row r="847">
      <x:c r="A847" s="3" t="inlineStr">
        <x:is>
          <x:t xml:space="preserve">MET-0001       Metaphysics</x:t>
        </x:is>
      </x:c>
    </x:row>
    <x:row r="848">
      <x:c r="A848" s="3" t="inlineStr">
        <x:is>
          <x:t xml:space="preserve">COS-0001       Cosmological arguments</x:t>
        </x:is>
      </x:c>
    </x:row>
    <x:row r="849">
      <x:c r="A849" s="3" t="inlineStr">
        <x:is>
          <x:t xml:space="preserve">DIV-0001       Divine attributes</x:t>
        </x:is>
      </x:c>
    </x:row>
    <x:row r="850">
      <x:c r="A850" s="3" t="inlineStr">
        <x:is>
          <x:t xml:space="preserve">FTN-0001       Fine-tuning</x:t>
        </x:is>
      </x:c>
    </x:row>
    <x:row r="851">
      <x:c r="A851" s="3" t="inlineStr">
        <x:is>
          <x:t xml:space="preserve">BIO-0001       Biology</x:t>
        </x:is>
      </x:c>
    </x:row>
    <x:row r="852">
      <x:c r="A852" s="3" t="inlineStr">
        <x:is>
          <x:t xml:space="preserve">MND-0001       Mind and consciousness</x:t>
        </x:is>
      </x:c>
    </x:row>
    <x:row r="853">
      <x:c r="A853" s="3" t="inlineStr">
        <x:is>
          <x:t xml:space="preserve">MOR-0001       Morality</x:t>
        </x:is>
      </x:c>
    </x:row>
    <x:row r="854">
      <x:c r="A854" s="3" t="inlineStr">
        <x:is>
          <x:t xml:space="preserve">EXP-0001       Religious experience</x:t>
        </x:is>
      </x:c>
    </x:row>
    <x:row r="855">
      <x:c r="A855" s="3" t="inlineStr">
        <x:is>
          <x:t xml:space="preserve">HIS-0001       Historical method</x:t>
        </x:is>
      </x:c>
    </x:row>
    <x:row r="856">
      <x:c r="A856" s="3" t="inlineStr">
        <x:is>
          <x:t xml:space="preserve">HJE-0001       Historical Jesus</x:t>
        </x:is>
      </x:c>
    </x:row>
    <x:row r="857">
      <x:c r="A857" s="3" t="inlineStr">
        <x:is>
          <x:t xml:space="preserve">RES-0001       Resurrection</x:t>
        </x:is>
      </x:c>
    </x:row>
    <x:row r="858">
      <x:c r="A858" s="3" t="inlineStr">
        <x:is>
          <x:t xml:space="preserve">NTX-0001       New Testament text</x:t>
        </x:is>
      </x:c>
    </x:row>
    <x:row r="859">
      <x:c r="A859" s="3" t="inlineStr">
        <x:is>
          <x:t xml:space="preserve">OTX-0001       Old Testament text</x:t>
        </x:is>
      </x:c>
    </x:row>
    <x:row r="860">
      <x:c r="A860" s="3" t="inlineStr">
        <x:is>
          <x:t xml:space="preserve">TRI-0001       Trinity</x:t>
        </x:is>
      </x:c>
    </x:row>
    <x:row r="861">
      <x:c r="A861" s="3" t="inlineStr">
        <x:is>
          <x:t xml:space="preserve">INC-0001       Incarnation</x:t>
        </x:is>
      </x:c>
    </x:row>
    <x:row r="862">
      <x:c r="A862" s="3" t="inlineStr">
        <x:is>
          <x:t xml:space="preserve">SIN-0001       Sin and anthropology</x:t>
        </x:is>
      </x:c>
    </x:row>
    <x:row r="863">
      <x:c r="A863" s="3" t="inlineStr">
        <x:is>
          <x:t xml:space="preserve">ATO-0001       Atonement</x:t>
        </x:is>
      </x:c>
    </x:row>
    <x:row r="864">
      <x:c r="A864" s="3" t="inlineStr">
        <x:is>
          <x:t xml:space="preserve">SAL-0001       Salvation</x:t>
        </x:is>
      </x:c>
    </x:row>
    <x:row r="865">
      <x:c r="A865" s="3" t="inlineStr">
        <x:is>
          <x:t xml:space="preserve">EVL-0001       Evil</x:t>
        </x:is>
      </x:c>
    </x:row>
    <x:row r="866">
      <x:c r="A866" s="3" t="inlineStr">
        <x:is>
          <x:t xml:space="preserve">HID-0001       Hiddenness</x:t>
        </x:is>
      </x:c>
    </x:row>
    <x:row r="867">
      <x:c r="A867" s="3" t="inlineStr">
        <x:is>
          <x:t xml:space="preserve">MIR-0001       Miracles</x:t>
        </x:is>
      </x:c>
    </x:row>
    <x:row r="868">
      <x:c r="A868" s="3" t="inlineStr">
        <x:is>
          <x:t xml:space="preserve">SCR-0001       Scripture</x:t>
        </x:is>
      </x:c>
    </x:row>
    <x:row r="869">
      <x:c r="A869" s="3" t="inlineStr">
        <x:is>
          <x:t xml:space="preserve">CHH-0001       Church history</x:t>
        </x:is>
      </x:c>
    </x:row>
    <x:row r="870">
      <x:c r="A870" s="3" t="inlineStr">
        <x:is>
          <x:t xml:space="preserve">ETH-0001       Ethics</x:t>
        </x:is>
      </x:c>
    </x:row>
    <x:row r="871">
      <x:c r="A871" s="3" t="inlineStr">
        <x:is>
          <x:t xml:space="preserve">CMP-0001       Comparative religion</x:t>
        </x:is>
      </x:c>
    </x:row>
    <x:row r="872">
      <x:c r="A872" s="3" t="inlineStr">
        <x:is>
          <x:t xml:space="preserve">OBJ-0001       Objections</x:t>
        </x:is>
      </x:c>
    </x:row>
    <x:row r="873">
      <x:c r="A873" s="3" t="inlineStr">
        <x:is>
          <x:t xml:space="preserve">METR-0001      Meta-apologetics</x:t>
        </x:is>
      </x:c>
    </x:row>
    <x:row r="875">
      <x:c r="A875" t="inlineStr">
        <x:is>
          <x:t xml:space="preserve">Each claim can also carry flags:</x:t>
        </x:is>
      </x:c>
    </x:row>
    <x:row r="876">
      <x:c r="A876" s="1" t="n"/>
    </x:row>
    <x:row r="877">
      <x:c r="A877" s="3" t="inlineStr">
        <x:is>
          <x:t xml:space="preserve">[D] deductive</x:t>
        </x:is>
      </x:c>
    </x:row>
    <x:row r="878">
      <x:c r="A878" s="3" t="inlineStr">
        <x:is>
          <x:t xml:space="preserve">[P] probabilistic</x:t>
        </x:is>
      </x:c>
    </x:row>
    <x:row r="879">
      <x:c r="A879" s="3" t="inlineStr">
        <x:is>
          <x:t xml:space="preserve">[A] abductive</x:t>
        </x:is>
      </x:c>
    </x:row>
    <x:row r="880">
      <x:c r="A880" s="3" t="inlineStr">
        <x:is>
          <x:t xml:space="preserve">[H] historical</x:t>
        </x:is>
      </x:c>
    </x:row>
    <x:row r="881">
      <x:c r="A881" s="3" t="inlineStr">
        <x:is>
          <x:t xml:space="preserve">[I] interpretive</x:t>
        </x:is>
      </x:c>
    </x:row>
    <x:row r="882">
      <x:c r="A882" s="3" t="inlineStr">
        <x:is>
          <x:t xml:space="preserve">[T] tradition-specific</x:t>
        </x:is>
      </x:c>
    </x:row>
    <x:row r="883">
      <x:c r="A883" s="3" t="inlineStr">
        <x:is>
          <x:t xml:space="preserve">[C] contested</x:t>
        </x:is>
      </x:c>
    </x:row>
    <x:row r="884">
      <x:c r="A884" s="3" t="inlineStr">
        <x:is>
          <x:t xml:space="preserve">[F] formally verified</x:t>
        </x:is>
      </x:c>
    </x:row>
    <x:row r="885">
      <x:c r="A885" s="3" t="inlineStr">
        <x:is>
          <x:t xml:space="preserve">[E] evidence pending</x:t>
        </x:is>
      </x:c>
    </x:row>
    <x:row r="887">
      <x:c r="A887" t="inlineStr">
        <x:is>
          <x:t xml:space="preserve">Example:</x:t>
        </x:is>
      </x:c>
    </x:row>
    <x:row r="888">
      <x:c r="A888" s="1" t="n"/>
    </x:row>
    <x:row r="889">
      <x:c r="A889" s="3" t="inlineStr">
        <x:is>
          <x:t xml:space="preserve">RES-0142 [H][A][C]</x:t>
        </x:is>
      </x:c>
    </x:row>
    <x:row r="890">
      <x:c r="A890" s="3" t="inlineStr">
        <x:is>
          <x:t xml:space="preserve">The earliest resurrection belief is too early to be adequately explained</x:t>
        </x:is>
      </x:c>
    </x:row>
    <x:row r="891">
      <x:c r="A891" s="3" t="inlineStr">
        <x:is>
          <x:t xml:space="preserve">by a long, uncontrolled process of legendary development.</x:t>
        </x:is>
      </x:c>
    </x:row>
    <x:row r="893" ht="31.200000762939453" customHeight="1">
      <x:c r="A893" s="7" t="inlineStr">
        <x:is>
          <x:t xml:space="preserve">What “almost everything” realistically means</x:t>
        </x:is>
      </x:c>
    </x:row>
    <x:row r="895">
      <x:c r="A895" t="inlineStr">
        <x:is>
          <x:t xml:space="preserve">A genuinely comprehensive corpus would likely contain:</x:t>
        </x:is>
      </x:c>
    </x:row>
    <x:row r="896">
      <x:c r="A896" s="4" t="n"/>
    </x:row>
    <x:row r="897">
      <x:c r="A897" s="4" t="inlineStr">
        <x:is>
          <x:t xml:space="preserve">Thousands of primary claims.</x:t>
        </x:is>
      </x:c>
    </x:row>
    <x:row r="898">
      <x:c r="A898" s="4" t="inlineStr">
        <x:is>
          <x:t xml:space="preserve">Tens of thousands of subclaims.</x:t>
        </x:is>
      </x:c>
    </x:row>
    <x:row r="899">
      <x:c r="A899" s="4" t="inlineStr">
        <x:is>
          <x:t xml:space="preserve">Hundreds of argument schemas.</x:t>
        </x:is>
      </x:c>
    </x:row>
    <x:row r="900">
      <x:c r="A900" s="4" t="inlineStr">
        <x:is>
          <x:t xml:space="preserve">Thousands of objections and replies.</x:t>
        </x:is>
      </x:c>
    </x:row>
    <x:row r="901">
      <x:c r="A901" s="4" t="inlineStr">
        <x:is>
          <x:t xml:space="preserve">Multiple theological-tradition branches.</x:t>
        </x:is>
      </x:c>
    </x:row>
    <x:row r="902">
      <x:c r="A902" s="4" t="inlineStr">
        <x:is>
          <x:t xml:space="preserve">Formal proofs for logical portions.</x:t>
        </x:is>
      </x:c>
    </x:row>
    <x:row r="903">
      <x:c r="A903" s="4" t="inlineStr">
        <x:is>
          <x:t xml:space="preserve">Structured evidence records for historical portions.</x:t>
        </x:is>
      </x:c>
    </x:row>
    <x:row r="904">
      <x:c r="A904" s="4" t="inlineStr">
        <x:is>
          <x:t xml:space="preserve">Explicit uncertainty for contested matters.</x:t>
        </x:is>
      </x:c>
    </x:row>
    <x:row r="906">
      <x:c r="A906" t="inlineStr">
        <x:is>
          <x:t xml:space="preserve">The most powerful version would not say, “Christianity is proven because this file is enormous.”</x:t>
        </x:is>
      </x:c>
    </x:row>
    <x:row r="908">
      <x:c r="A908" t="inlineStr">
        <x:is>
          <x:t xml:space="preserve">It would say:</x:t>
        </x:is>
      </x:c>
    </x:row>
    <x:row r="909">
      <x:c r="A909" s="4" t="n"/>
    </x:row>
    <x:row r="910">
      <x:c r="A910" s="4" t="inlineStr">
        <x:is>
          <x:t xml:space="preserve">Here are the exact premises.</x:t>
        </x:is>
      </x:c>
    </x:row>
    <x:row r="911">
      <x:c r="A911" s="4" t="inlineStr">
        <x:is>
          <x:t xml:space="preserve">Here is the exact inference.</x:t>
        </x:is>
      </x:c>
    </x:row>
    <x:row r="912">
      <x:c r="A912" s="4" t="inlineStr">
        <x:is>
          <x:t xml:space="preserve">Here is what is historically established.</x:t>
        </x:is>
      </x:c>
    </x:row>
    <x:row r="913">
      <x:c r="A913" s="4" t="inlineStr">
        <x:is>
          <x:t xml:space="preserve">Here is what is merely plausible.</x:t>
        </x:is>
      </x:c>
    </x:row>
    <x:row r="914">
      <x:c r="A914" s="4" t="inlineStr">
        <x:is>
          <x:t xml:space="preserve">Here is what remains disputed.</x:t>
        </x:is>
      </x:c>
    </x:row>
    <x:row r="915">
      <x:c r="A915" s="4" t="inlineStr">
        <x:is>
          <x:t xml:space="preserve">Here is the strongest rival explanation.</x:t>
        </x:is>
      </x:c>
    </x:row>
    <x:row r="916">
      <x:c r="A916" s="4" t="inlineStr">
        <x:is>
          <x:t xml:space="preserve">Here is where the Christian conclusion follows, where it is only favoured, and where it does not yet follow.</x:t>
        </x:is>
      </x:c>
    </x:row>
    <x:row r="918">
      <x:c r="A918" t="inlineStr">
        <x:is>
          <x:t xml:space="preserve">That kind of system could become unusually large, rigorous, and hard to dismiss because it would not rely on rhetorical inflation.</x:t>
        </x:is>
      </x:c>
    </x:row>
    <x:row r="920">
      <x:c r="A920" t="inlineStr">
        <x:is>
          <x:t xml:space="preserve">The Lean 4.0 management document currently attached does not provide theological evidence or a formal-apologetics framework; it concerns Lean management and Industry 4.0, so it cannot substantively support this project.</x:t>
        </x:is>
      </x:c>
    </x:row>
    <x:row r="922">
      <x:c r="A922" t="inlineStr">
        <x:is>
          <x:t xml:space="preserve">Content provided by Atoxor Ltd.</x:t>
        </x:is>
      </x:c>
    </x:row>
  </x:sheetData>
  <x:pageMargins left="0.7" right="0.7" top="0.75" bottom="0.75" header="0.3" footer="0.3"/>
</x:worksheet>
</file>

<file path=xl/worksheets/sheet5.xml><?xml version="1.0" encoding="utf-8"?>
<x:worksheet xmlns:x="http://schemas.openxmlformats.org/spreadsheetml/2006/main">
  <x:sheetPr>
    <x:tabColor rgb="FF548235"/>
  </x:sheetPr>
  <x:sheetFormatPr baseColWidth="8" defaultRowHeight="14.399999618530273"/>
  <x:cols>
    <x:col min="1" max="1" width="16.33203125" customWidth="1"/>
    <x:col min="2" max="2" width="7" customWidth="1"/>
    <x:col min="3" max="3" width="10.33203125" customWidth="1"/>
    <x:col min="4" max="4" width="27.77734375" customWidth="1"/>
    <x:col min="5" max="5" width="79.6640625" customWidth="1"/>
    <x:col min="6" max="6" width="14.44140625" customWidth="1"/>
    <x:col min="7" max="7" width="11.109375" customWidth="1"/>
    <x:col min="8" max="15" width="27.77734375" customWidth="1"/>
    <x:col min="16" max="16" width="24.109375" customWidth="1"/>
    <x:col min="17" max="17" width="27.77734375" customWidth="1"/>
    <x:col min="18" max="18" width="15.88671875" customWidth="1"/>
    <x:col min="19" max="19" width="14.77734375" customWidth="1"/>
    <x:col min="20" max="20" width="17.77734375" customWidth="1"/>
    <x:col min="21" max="21" width="10.33203125" customWidth="1"/>
  </x:cols>
  <x:sheetData>
    <x:row r="1" ht="18" customHeight="1">
      <x:c r="A1" s="8" t="inlineStr">
        <x:is>
          <x:t xml:space="preserve">THEOPHYSICS / FORMAL APOLOGETICS — MASTER CLAIM LEDGER</x:t>
        </x:is>
      </x:c>
    </x:row>
    <x:row r="2">
      <x:c r="A2" s="14" t="inlineStr">
        <x:is>
          <x:t xml:space="preserve">One row per atomic claim. Every field below the statement is the audit trail. Blank = not yet built.</x:t>
        </x:is>
      </x:c>
    </x:row>
    <x:row r="4" ht="28.799999237060547" customHeight="1">
      <x:c r="A4" s="9" t="inlineStr">
        <x:is>
          <x:t xml:space="preserve">Claim ID</x:t>
        </x:is>
      </x:c>
      <x:c r="B4" s="9" t="inlineStr">
        <x:is>
          <x:t xml:space="preserve">Sec</x:t>
        </x:is>
      </x:c>
      <x:c r="C4" s="9" t="inlineStr">
        <x:is>
          <x:t xml:space="preserve">Domain</x:t>
        </x:is>
      </x:c>
      <x:c r="D4" s="9" t="inlineStr">
        <x:is>
          <x:t xml:space="preserve">Domain Title</x:t>
        </x:is>
      </x:c>
      <x:c r="E4" s="9" t="inlineStr">
        <x:is>
          <x:t xml:space="preserve">Claim Statement</x:t>
        </x:is>
      </x:c>
      <x:c r="F4" s="9" t="inlineStr">
        <x:is>
          <x:t xml:space="preserve">Claim Strength (1-10)</x:t>
        </x:is>
      </x:c>
      <x:c r="G4" s="9" t="inlineStr">
        <x:is>
          <x:t xml:space="preserve">Flags</x:t>
        </x:is>
      </x:c>
      <x:c r="H4" s="9" t="inlineStr">
        <x:is>
          <x:t xml:space="preserve">Definitions</x:t>
        </x:is>
      </x:c>
      <x:c r="I4" s="9" t="inlineStr">
        <x:is>
          <x:t xml:space="preserve">Premises</x:t>
        </x:is>
      </x:c>
      <x:c r="J4" s="9" t="inlineStr">
        <x:is>
          <x:t xml:space="preserve">Formal Conclusion</x:t>
        </x:is>
      </x:c>
      <x:c r="K4" s="9" t="inlineStr">
        <x:is>
          <x:t xml:space="preserve">Informal Argument</x:t>
        </x:is>
      </x:c>
      <x:c r="L4" s="9" t="inlineStr">
        <x:is>
          <x:t xml:space="preserve">Evidence Base</x:t>
        </x:is>
      </x:c>
      <x:c r="M4" s="9" t="inlineStr">
        <x:is>
          <x:t xml:space="preserve">Competing Explanations</x:t>
        </x:is>
      </x:c>
      <x:c r="N4" s="9" t="inlineStr">
        <x:is>
          <x:t xml:space="preserve">Objections</x:t>
        </x:is>
      </x:c>
      <x:c r="O4" s="9" t="inlineStr">
        <x:is>
          <x:t xml:space="preserve">Replies</x:t>
        </x:is>
      </x:c>
      <x:c r="P4" s="9" t="inlineStr">
        <x:is>
          <x:t xml:space="preserve">Dependencies</x:t>
        </x:is>
      </x:c>
      <x:c r="Q4" s="9" t="inlineStr">
        <x:is>
          <x:t xml:space="preserve">Downstream Implications</x:t>
        </x:is>
      </x:c>
      <x:c r="R4" s="9" t="inlineStr">
        <x:is>
          <x:t xml:space="preserve">Lean Status</x:t>
        </x:is>
      </x:c>
      <x:c r="S4" s="9" t="inlineStr">
        <x:is>
          <x:t xml:space="preserve">Confidence</x:t>
        </x:is>
      </x:c>
      <x:c r="T4" s="9" t="inlineStr">
        <x:is>
          <x:t xml:space="preserve">Tradition Status</x:t>
        </x:is>
      </x:c>
      <x:c r="U4" s="9" t="inlineStr">
        <x:is>
          <x:t xml:space="preserve">Src Row</x:t>
        </x:is>
      </x:c>
    </x:row>
    <x:row r="5" ht="28.799999237060547" customHeight="1">
      <x:c r="A5" s="13" t="inlineStr">
        <x:is>
          <x:t xml:space="preserve">LOG-0010</x:t>
        </x:is>
      </x:c>
      <x:c r="B5" s="12" t="inlineStr">
        <x:is>
          <x:t xml:space="preserve">I</x:t>
        </x:is>
      </x:c>
      <x:c r="C5" s="12" t="inlineStr">
        <x:is>
          <x:t xml:space="preserve">LOG</x:t>
        </x:is>
      </x:c>
      <x:c r="D5" s="12" t="inlineStr">
        <x:is>
          <x:t xml:space="preserve">Logic, reason, and worldview foundations</x:t>
        </x:is>
      </x:c>
      <x:c r="E5" s="12" t="inlineStr">
        <x:is>
          <x:t xml:space="preserve">Some propositions are objectively true.</x:t>
        </x:is>
      </x:c>
      <x:c r="F5" s="12" t="n"/>
      <x:c r="G5" s="12" t="n"/>
      <x:c r="H5" s="12" t="n"/>
      <x:c r="I5" s="12" t="n"/>
      <x:c r="J5" s="12" t="n"/>
      <x:c r="K5" s="12" t="n"/>
      <x:c r="L5" s="12" t="n"/>
      <x:c r="M5" s="12" t="n"/>
      <x:c r="N5" s="12" t="n"/>
      <x:c r="O5" s="12" t="n"/>
      <x:c r="P5" s="12" t="n"/>
      <x:c r="Q5" s="12" t="n"/>
      <x:c r="R5" s="12" t="inlineStr">
        <x:is>
          <x:t xml:space="preserve">Not started</x:t>
        </x:is>
      </x:c>
      <x:c r="S5" s="12" t="n"/>
      <x:c r="T5" s="12" t="n"/>
      <x:c r="U5" s="12" t="n">
        <x:v>51</x:v>
      </x:c>
    </x:row>
    <x:row r="6" ht="28.799999237060547" customHeight="1">
      <x:c r="A6" s="13" t="inlineStr">
        <x:is>
          <x:t xml:space="preserve">LOG-0020</x:t>
        </x:is>
      </x:c>
      <x:c r="B6" s="12" t="inlineStr">
        <x:is>
          <x:t xml:space="preserve">I</x:t>
        </x:is>
      </x:c>
      <x:c r="C6" s="12" t="inlineStr">
        <x:is>
          <x:t xml:space="preserve">LOG</x:t>
        </x:is>
      </x:c>
      <x:c r="D6" s="12" t="inlineStr">
        <x:is>
          <x:t xml:space="preserve">Logic, reason, and worldview foundations</x:t>
        </x:is>
      </x:c>
      <x:c r="E6" s="12" t="inlineStr">
        <x:is>
          <x:t xml:space="preserve">Contradictory propositions cannot both be true in the same respect.</x:t>
        </x:is>
      </x:c>
      <x:c r="F6" s="12" t="n"/>
      <x:c r="G6" s="12" t="n"/>
      <x:c r="H6" s="12" t="n"/>
      <x:c r="I6" s="12" t="n"/>
      <x:c r="J6" s="12" t="n"/>
      <x:c r="K6" s="12" t="n"/>
      <x:c r="L6" s="12" t="n"/>
      <x:c r="M6" s="12" t="n"/>
      <x:c r="N6" s="12" t="n"/>
      <x:c r="O6" s="12" t="n"/>
      <x:c r="P6" s="12" t="n"/>
      <x:c r="Q6" s="12" t="n"/>
      <x:c r="R6" s="12" t="inlineStr">
        <x:is>
          <x:t xml:space="preserve">Not started</x:t>
        </x:is>
      </x:c>
      <x:c r="S6" s="12" t="n"/>
      <x:c r="T6" s="12" t="n"/>
      <x:c r="U6" s="12" t="n">
        <x:v>52</x:v>
      </x:c>
    </x:row>
    <x:row r="7" ht="28.799999237060547" customHeight="1">
      <x:c r="A7" s="13" t="inlineStr">
        <x:is>
          <x:t xml:space="preserve">LOG-0030</x:t>
        </x:is>
      </x:c>
      <x:c r="B7" s="12" t="inlineStr">
        <x:is>
          <x:t xml:space="preserve">I</x:t>
        </x:is>
      </x:c>
      <x:c r="C7" s="12" t="inlineStr">
        <x:is>
          <x:t xml:space="preserve">LOG</x:t>
        </x:is>
      </x:c>
      <x:c r="D7" s="12" t="inlineStr">
        <x:is>
          <x:t xml:space="preserve">Logic, reason, and worldview foundations</x:t>
        </x:is>
      </x:c>
      <x:c r="E7" s="12" t="inlineStr">
        <x:is>
          <x:t xml:space="preserve">Rational inference can produce knowledge.</x:t>
        </x:is>
      </x:c>
      <x:c r="F7" s="12" t="n"/>
      <x:c r="G7" s="12" t="n"/>
      <x:c r="H7" s="12" t="n"/>
      <x:c r="I7" s="12" t="n"/>
      <x:c r="J7" s="12" t="n"/>
      <x:c r="K7" s="12" t="n"/>
      <x:c r="L7" s="12" t="n"/>
      <x:c r="M7" s="12" t="n"/>
      <x:c r="N7" s="12" t="n"/>
      <x:c r="O7" s="12" t="n"/>
      <x:c r="P7" s="12" t="n"/>
      <x:c r="Q7" s="12" t="n"/>
      <x:c r="R7" s="12" t="inlineStr">
        <x:is>
          <x:t xml:space="preserve">Not started</x:t>
        </x:is>
      </x:c>
      <x:c r="S7" s="12" t="n"/>
      <x:c r="T7" s="12" t="n"/>
      <x:c r="U7" s="12" t="n">
        <x:v>53</x:v>
      </x:c>
    </x:row>
    <x:row r="8" ht="28.799999237060547" customHeight="1">
      <x:c r="A8" s="13" t="inlineStr">
        <x:is>
          <x:t xml:space="preserve">LOG-0040</x:t>
        </x:is>
      </x:c>
      <x:c r="B8" s="12" t="inlineStr">
        <x:is>
          <x:t xml:space="preserve">I</x:t>
        </x:is>
      </x:c>
      <x:c r="C8" s="12" t="inlineStr">
        <x:is>
          <x:t xml:space="preserve">LOG</x:t>
        </x:is>
      </x:c>
      <x:c r="D8" s="12" t="inlineStr">
        <x:is>
          <x:t xml:space="preserve">Logic, reason, and worldview foundations</x:t>
        </x:is>
      </x:c>
      <x:c r="E8" s="12" t="inlineStr">
        <x:is>
          <x:t xml:space="preserve">Human reasoning is at least partially reliable.</x:t>
        </x:is>
      </x:c>
      <x:c r="F8" s="12" t="n"/>
      <x:c r="G8" s="12" t="n"/>
      <x:c r="H8" s="12" t="n"/>
      <x:c r="I8" s="12" t="n"/>
      <x:c r="J8" s="12" t="n"/>
      <x:c r="K8" s="12" t="n"/>
      <x:c r="L8" s="12" t="n"/>
      <x:c r="M8" s="12" t="n"/>
      <x:c r="N8" s="12" t="n"/>
      <x:c r="O8" s="12" t="n"/>
      <x:c r="P8" s="12" t="n"/>
      <x:c r="Q8" s="12" t="n"/>
      <x:c r="R8" s="12" t="inlineStr">
        <x:is>
          <x:t xml:space="preserve">Not started</x:t>
        </x:is>
      </x:c>
      <x:c r="S8" s="12" t="n"/>
      <x:c r="T8" s="12" t="n"/>
      <x:c r="U8" s="12" t="n">
        <x:v>54</x:v>
      </x:c>
    </x:row>
    <x:row r="9" ht="28.799999237060547" customHeight="1">
      <x:c r="A9" s="13" t="inlineStr">
        <x:is>
          <x:t xml:space="preserve">LOG-0050</x:t>
        </x:is>
      </x:c>
      <x:c r="B9" s="12" t="inlineStr">
        <x:is>
          <x:t xml:space="preserve">I</x:t>
        </x:is>
      </x:c>
      <x:c r="C9" s="12" t="inlineStr">
        <x:is>
          <x:t xml:space="preserve">LOG</x:t>
        </x:is>
      </x:c>
      <x:c r="D9" s="12" t="inlineStr">
        <x:is>
          <x:t xml:space="preserve">Logic, reason, and worldview foundations</x:t>
        </x:is>
      </x:c>
      <x:c r="E9" s="12" t="inlineStr">
        <x:is>
          <x:t xml:space="preserve">Evidence can rationally change belief.</x:t>
        </x:is>
      </x:c>
      <x:c r="F9" s="12" t="n"/>
      <x:c r="G9" s="12" t="n"/>
      <x:c r="H9" s="12" t="n"/>
      <x:c r="I9" s="12" t="n"/>
      <x:c r="J9" s="12" t="n"/>
      <x:c r="K9" s="12" t="n"/>
      <x:c r="L9" s="12" t="n"/>
      <x:c r="M9" s="12" t="n"/>
      <x:c r="N9" s="12" t="n"/>
      <x:c r="O9" s="12" t="n"/>
      <x:c r="P9" s="12" t="n"/>
      <x:c r="Q9" s="12" t="n"/>
      <x:c r="R9" s="12" t="inlineStr">
        <x:is>
          <x:t xml:space="preserve">Not started</x:t>
        </x:is>
      </x:c>
      <x:c r="S9" s="12" t="n"/>
      <x:c r="T9" s="12" t="n"/>
      <x:c r="U9" s="12" t="n">
        <x:v>55</x:v>
      </x:c>
    </x:row>
    <x:row r="10" ht="28.799999237060547" customHeight="1">
      <x:c r="A10" s="13" t="inlineStr">
        <x:is>
          <x:t xml:space="preserve">LOG-0060</x:t>
        </x:is>
      </x:c>
      <x:c r="B10" s="12" t="inlineStr">
        <x:is>
          <x:t xml:space="preserve">I</x:t>
        </x:is>
      </x:c>
      <x:c r="C10" s="12" t="inlineStr">
        <x:is>
          <x:t xml:space="preserve">LOG</x:t>
        </x:is>
      </x:c>
      <x:c r="D10" s="12" t="inlineStr">
        <x:is>
          <x:t xml:space="preserve">Logic, reason, and worldview foundations</x:t>
        </x:is>
      </x:c>
      <x:c r="E10" s="12" t="inlineStr">
        <x:is>
          <x:t xml:space="preserve">Explanatory simplicity has epistemic value.</x:t>
        </x:is>
      </x:c>
      <x:c r="F10" s="12" t="n"/>
      <x:c r="G10" s="12" t="n"/>
      <x:c r="H10" s="12" t="n"/>
      <x:c r="I10" s="12" t="n"/>
      <x:c r="J10" s="12" t="n"/>
      <x:c r="K10" s="12" t="n"/>
      <x:c r="L10" s="12" t="n"/>
      <x:c r="M10" s="12" t="n"/>
      <x:c r="N10" s="12" t="n"/>
      <x:c r="O10" s="12" t="n"/>
      <x:c r="P10" s="12" t="n"/>
      <x:c r="Q10" s="12" t="n"/>
      <x:c r="R10" s="12" t="inlineStr">
        <x:is>
          <x:t xml:space="preserve">Not started</x:t>
        </x:is>
      </x:c>
      <x:c r="S10" s="12" t="n"/>
      <x:c r="T10" s="12" t="n"/>
      <x:c r="U10" s="12" t="n">
        <x:v>56</x:v>
      </x:c>
    </x:row>
    <x:row r="11" ht="28.799999237060547" customHeight="1">
      <x:c r="A11" s="13" t="inlineStr">
        <x:is>
          <x:t xml:space="preserve">LOG-0070</x:t>
        </x:is>
      </x:c>
      <x:c r="B11" s="12" t="inlineStr">
        <x:is>
          <x:t xml:space="preserve">I</x:t>
        </x:is>
      </x:c>
      <x:c r="C11" s="12" t="inlineStr">
        <x:is>
          <x:t xml:space="preserve">LOG</x:t>
        </x:is>
      </x:c>
      <x:c r="D11" s="12" t="inlineStr">
        <x:is>
          <x:t xml:space="preserve">Logic, reason, and worldview foundations</x:t>
        </x:is>
      </x:c>
      <x:c r="E11" s="12" t="inlineStr">
        <x:is>
          <x:t xml:space="preserve">An argument is not refuted merely because its conclusion has religious implications.</x:t>
        </x:is>
      </x:c>
      <x:c r="F11" s="12" t="n"/>
      <x:c r="G11" s="12" t="n"/>
      <x:c r="H11" s="12" t="n"/>
      <x:c r="I11" s="12" t="n"/>
      <x:c r="J11" s="12" t="n"/>
      <x:c r="K11" s="12" t="n"/>
      <x:c r="L11" s="12" t="n"/>
      <x:c r="M11" s="12" t="n"/>
      <x:c r="N11" s="12" t="n"/>
      <x:c r="O11" s="12" t="n"/>
      <x:c r="P11" s="12" t="n"/>
      <x:c r="Q11" s="12" t="n"/>
      <x:c r="R11" s="12" t="inlineStr">
        <x:is>
          <x:t xml:space="preserve">Not started</x:t>
        </x:is>
      </x:c>
      <x:c r="S11" s="12" t="n"/>
      <x:c r="T11" s="12" t="n"/>
      <x:c r="U11" s="12" t="n">
        <x:v>57</x:v>
      </x:c>
    </x:row>
    <x:row r="12" ht="28.799999237060547" customHeight="1">
      <x:c r="A12" s="13" t="inlineStr">
        <x:is>
          <x:t xml:space="preserve">LOG-0080</x:t>
        </x:is>
      </x:c>
      <x:c r="B12" s="12" t="inlineStr">
        <x:is>
          <x:t xml:space="preserve">I</x:t>
        </x:is>
      </x:c>
      <x:c r="C12" s="12" t="inlineStr">
        <x:is>
          <x:t xml:space="preserve">LOG</x:t>
        </x:is>
      </x:c>
      <x:c r="D12" s="12" t="inlineStr">
        <x:is>
          <x:t xml:space="preserve">Logic, reason, and worldview foundations</x:t>
        </x:is>
      </x:c>
      <x:c r="E12" s="12" t="inlineStr">
        <x:is>
          <x:t xml:space="preserve">Methodological naturalism does not logically entail metaphysical naturalism.</x:t>
        </x:is>
      </x:c>
      <x:c r="F12" s="12" t="n"/>
      <x:c r="G12" s="12" t="n"/>
      <x:c r="H12" s="12" t="n"/>
      <x:c r="I12" s="12" t="n"/>
      <x:c r="J12" s="12" t="n"/>
      <x:c r="K12" s="12" t="n"/>
      <x:c r="L12" s="12" t="n"/>
      <x:c r="M12" s="12" t="n"/>
      <x:c r="N12" s="12" t="n"/>
      <x:c r="O12" s="12" t="n"/>
      <x:c r="P12" s="12" t="n"/>
      <x:c r="Q12" s="12" t="n"/>
      <x:c r="R12" s="12" t="inlineStr">
        <x:is>
          <x:t xml:space="preserve">Not started</x:t>
        </x:is>
      </x:c>
      <x:c r="S12" s="12" t="n"/>
      <x:c r="T12" s="12" t="n"/>
      <x:c r="U12" s="12" t="n">
        <x:v>58</x:v>
      </x:c>
    </x:row>
    <x:row r="13" ht="28.799999237060547" customHeight="1">
      <x:c r="A13" s="13" t="inlineStr">
        <x:is>
          <x:t xml:space="preserve">LOG-0090</x:t>
        </x:is>
      </x:c>
      <x:c r="B13" s="12" t="inlineStr">
        <x:is>
          <x:t xml:space="preserve">I</x:t>
        </x:is>
      </x:c>
      <x:c r="C13" s="12" t="inlineStr">
        <x:is>
          <x:t xml:space="preserve">LOG</x:t>
        </x:is>
      </x:c>
      <x:c r="D13" s="12" t="inlineStr">
        <x:is>
          <x:t xml:space="preserve">Logic, reason, and worldview foundations</x:t>
        </x:is>
      </x:c>
      <x:c r="E13" s="12" t="inlineStr">
        <x:is>
          <x:t xml:space="preserve">Science does not establish that only scientifically testable statements are meaningful.</x:t>
        </x:is>
      </x:c>
      <x:c r="F13" s="12" t="n"/>
      <x:c r="G13" s="12" t="n"/>
      <x:c r="H13" s="12" t="n"/>
      <x:c r="I13" s="12" t="n"/>
      <x:c r="J13" s="12" t="n"/>
      <x:c r="K13" s="12" t="n"/>
      <x:c r="L13" s="12" t="n"/>
      <x:c r="M13" s="12" t="n"/>
      <x:c r="N13" s="12" t="n"/>
      <x:c r="O13" s="12" t="n"/>
      <x:c r="P13" s="12" t="n"/>
      <x:c r="Q13" s="12" t="n"/>
      <x:c r="R13" s="12" t="inlineStr">
        <x:is>
          <x:t xml:space="preserve">Not started</x:t>
        </x:is>
      </x:c>
      <x:c r="S13" s="12" t="n"/>
      <x:c r="T13" s="12" t="n"/>
      <x:c r="U13" s="12" t="n">
        <x:v>59</x:v>
      </x:c>
    </x:row>
    <x:row r="14" ht="28.799999237060547" customHeight="1">
      <x:c r="A14" s="13" t="inlineStr">
        <x:is>
          <x:t xml:space="preserve">LOG-0100</x:t>
        </x:is>
      </x:c>
      <x:c r="B14" s="12" t="inlineStr">
        <x:is>
          <x:t xml:space="preserve">I</x:t>
        </x:is>
      </x:c>
      <x:c r="C14" s="12" t="inlineStr">
        <x:is>
          <x:t xml:space="preserve">LOG</x:t>
        </x:is>
      </x:c>
      <x:c r="D14" s="12" t="inlineStr">
        <x:is>
          <x:t xml:space="preserve">Logic, reason, and worldview foundations</x:t>
        </x:is>
      </x:c>
      <x:c r="E14" s="12" t="inlineStr">
        <x:is>
          <x:t xml:space="preserve">Historical knowledge does not require repeatable experimentation.</x:t>
        </x:is>
      </x:c>
      <x:c r="F14" s="12" t="n"/>
      <x:c r="G14" s="12" t="n"/>
      <x:c r="H14" s="12" t="n"/>
      <x:c r="I14" s="12" t="n"/>
      <x:c r="J14" s="12" t="n"/>
      <x:c r="K14" s="12" t="n"/>
      <x:c r="L14" s="12" t="n"/>
      <x:c r="M14" s="12" t="n"/>
      <x:c r="N14" s="12" t="n"/>
      <x:c r="O14" s="12" t="n"/>
      <x:c r="P14" s="12" t="n"/>
      <x:c r="Q14" s="12" t="n"/>
      <x:c r="R14" s="12" t="inlineStr">
        <x:is>
          <x:t xml:space="preserve">Not started</x:t>
        </x:is>
      </x:c>
      <x:c r="S14" s="12" t="n"/>
      <x:c r="T14" s="12" t="n"/>
      <x:c r="U14" s="12" t="n">
        <x:v>60</x:v>
      </x:c>
    </x:row>
    <x:row r="15" ht="28.799999237060547" customHeight="1">
      <x:c r="A15" s="13" t="inlineStr">
        <x:is>
          <x:t xml:space="preserve">LOG-0110</x:t>
        </x:is>
      </x:c>
      <x:c r="B15" s="12" t="inlineStr">
        <x:is>
          <x:t xml:space="preserve">I</x:t>
        </x:is>
      </x:c>
      <x:c r="C15" s="12" t="inlineStr">
        <x:is>
          <x:t xml:space="preserve">LOG</x:t>
        </x:is>
      </x:c>
      <x:c r="D15" s="12" t="inlineStr">
        <x:is>
          <x:t xml:space="preserve">Logic, reason, and worldview foundations</x:t>
        </x:is>
      </x:c>
      <x:c r="E15" s="12" t="inlineStr">
        <x:is>
          <x:t xml:space="preserve">Extraordinary claims do not automatically require impossibly strong evidence.</x:t>
        </x:is>
      </x:c>
      <x:c r="F15" s="12" t="n"/>
      <x:c r="G15" s="12" t="n"/>
      <x:c r="H15" s="12" t="n"/>
      <x:c r="I15" s="12" t="n"/>
      <x:c r="J15" s="12" t="n"/>
      <x:c r="K15" s="12" t="n"/>
      <x:c r="L15" s="12" t="n"/>
      <x:c r="M15" s="12" t="n"/>
      <x:c r="N15" s="12" t="n"/>
      <x:c r="O15" s="12" t="n"/>
      <x:c r="P15" s="12" t="n"/>
      <x:c r="Q15" s="12" t="n"/>
      <x:c r="R15" s="12" t="inlineStr">
        <x:is>
          <x:t xml:space="preserve">Not started</x:t>
        </x:is>
      </x:c>
      <x:c r="S15" s="12" t="n"/>
      <x:c r="T15" s="12" t="n"/>
      <x:c r="U15" s="12" t="n">
        <x:v>62</x:v>
      </x:c>
    </x:row>
    <x:row r="16" ht="28.799999237060547" customHeight="1">
      <x:c r="A16" s="13" t="inlineStr">
        <x:is>
          <x:t xml:space="preserve">LOG-0120</x:t>
        </x:is>
      </x:c>
      <x:c r="B16" s="12" t="inlineStr">
        <x:is>
          <x:t xml:space="preserve">I</x:t>
        </x:is>
      </x:c>
      <x:c r="C16" s="12" t="inlineStr">
        <x:is>
          <x:t xml:space="preserve">LOG</x:t>
        </x:is>
      </x:c>
      <x:c r="D16" s="12" t="inlineStr">
        <x:is>
          <x:t xml:space="preserve">Logic, reason, and worldview foundations</x:t>
        </x:is>
      </x:c>
      <x:c r="E16" s="12" t="inlineStr">
        <x:is>
          <x:t xml:space="preserve">Prior probability cannot be assigned without worldview assumptions.</x:t>
        </x:is>
      </x:c>
      <x:c r="F16" s="12" t="n"/>
      <x:c r="G16" s="12" t="n"/>
      <x:c r="H16" s="12" t="n"/>
      <x:c r="I16" s="12" t="n"/>
      <x:c r="J16" s="12" t="n"/>
      <x:c r="K16" s="12" t="n"/>
      <x:c r="L16" s="12" t="n"/>
      <x:c r="M16" s="12" t="n"/>
      <x:c r="N16" s="12" t="n"/>
      <x:c r="O16" s="12" t="n"/>
      <x:c r="P16" s="12" t="n"/>
      <x:c r="Q16" s="12" t="n"/>
      <x:c r="R16" s="12" t="inlineStr">
        <x:is>
          <x:t xml:space="preserve">Not started</x:t>
        </x:is>
      </x:c>
      <x:c r="S16" s="12" t="n"/>
      <x:c r="T16" s="12" t="n"/>
      <x:c r="U16" s="12" t="n">
        <x:v>63</x:v>
      </x:c>
    </x:row>
    <x:row r="17" ht="28.799999237060547" customHeight="1">
      <x:c r="A17" s="13" t="inlineStr">
        <x:is>
          <x:t xml:space="preserve">LOG-0130</x:t>
        </x:is>
      </x:c>
      <x:c r="B17" s="12" t="inlineStr">
        <x:is>
          <x:t xml:space="preserve">I</x:t>
        </x:is>
      </x:c>
      <x:c r="C17" s="12" t="inlineStr">
        <x:is>
          <x:t xml:space="preserve">LOG</x:t>
        </x:is>
      </x:c>
      <x:c r="D17" s="12" t="inlineStr">
        <x:is>
          <x:t xml:space="preserve">Logic, reason, and worldview foundations</x:t>
        </x:is>
      </x:c>
      <x:c r="E17" s="12" t="inlineStr">
        <x:is>
          <x:t xml:space="preserve">A miracle claim cannot be rejected solely by defining miracles as impossible.</x:t>
        </x:is>
      </x:c>
      <x:c r="F17" s="12" t="n"/>
      <x:c r="G17" s="12" t="n"/>
      <x:c r="H17" s="12" t="n"/>
      <x:c r="I17" s="12" t="n"/>
      <x:c r="J17" s="12" t="n"/>
      <x:c r="K17" s="12" t="n"/>
      <x:c r="L17" s="12" t="n"/>
      <x:c r="M17" s="12" t="n"/>
      <x:c r="N17" s="12" t="n"/>
      <x:c r="O17" s="12" t="n"/>
      <x:c r="P17" s="12" t="n"/>
      <x:c r="Q17" s="12" t="n"/>
      <x:c r="R17" s="12" t="inlineStr">
        <x:is>
          <x:t xml:space="preserve">Not started</x:t>
        </x:is>
      </x:c>
      <x:c r="S17" s="12" t="n"/>
      <x:c r="T17" s="12" t="n"/>
      <x:c r="U17" s="12" t="n">
        <x:v>64</x:v>
      </x:c>
    </x:row>
    <x:row r="18" ht="28.799999237060547" customHeight="1">
      <x:c r="A18" s="13" t="inlineStr">
        <x:is>
          <x:t xml:space="preserve">LOG-0140</x:t>
        </x:is>
      </x:c>
      <x:c r="B18" s="12" t="inlineStr">
        <x:is>
          <x:t xml:space="preserve">I</x:t>
        </x:is>
      </x:c>
      <x:c r="C18" s="12" t="inlineStr">
        <x:is>
          <x:t xml:space="preserve">LOG</x:t>
        </x:is>
      </x:c>
      <x:c r="D18" s="12" t="inlineStr">
        <x:is>
          <x:t xml:space="preserve">Logic, reason, and worldview foundations</x:t>
        </x:is>
      </x:c>
      <x:c r="E18" s="12" t="inlineStr">
        <x:is>
          <x:t xml:space="preserve">Absence of evidence is evidential only where evidence should reasonably be expected.</x:t>
        </x:is>
      </x:c>
      <x:c r="F18" s="12" t="n"/>
      <x:c r="G18" s="12" t="n"/>
      <x:c r="H18" s="12" t="n"/>
      <x:c r="I18" s="12" t="n"/>
      <x:c r="J18" s="12" t="n"/>
      <x:c r="K18" s="12" t="n"/>
      <x:c r="L18" s="12" t="n"/>
      <x:c r="M18" s="12" t="n"/>
      <x:c r="N18" s="12" t="n"/>
      <x:c r="O18" s="12" t="n"/>
      <x:c r="P18" s="12" t="n"/>
      <x:c r="Q18" s="12" t="n"/>
      <x:c r="R18" s="12" t="inlineStr">
        <x:is>
          <x:t xml:space="preserve">Not started</x:t>
        </x:is>
      </x:c>
      <x:c r="S18" s="12" t="n"/>
      <x:c r="T18" s="12" t="n"/>
      <x:c r="U18" s="12" t="n">
        <x:v>65</x:v>
      </x:c>
    </x:row>
    <x:row r="19" ht="28.799999237060547" customHeight="1">
      <x:c r="A19" s="13" t="inlineStr">
        <x:is>
          <x:t xml:space="preserve">LOG-0150</x:t>
        </x:is>
      </x:c>
      <x:c r="B19" s="12" t="inlineStr">
        <x:is>
          <x:t xml:space="preserve">I</x:t>
        </x:is>
      </x:c>
      <x:c r="C19" s="12" t="inlineStr">
        <x:is>
          <x:t xml:space="preserve">LOG</x:t>
        </x:is>
      </x:c>
      <x:c r="D19" s="12" t="inlineStr">
        <x:is>
          <x:t xml:space="preserve">Logic, reason, and worldview foundations</x:t>
        </x:is>
      </x:c>
      <x:c r="E19" s="12" t="inlineStr">
        <x:is>
          <x:t xml:space="preserve">A worldview may be evaluated by coherence, explanatory scope, explanatory power, plausibility, and existential adequacy.</x:t>
        </x:is>
      </x:c>
      <x:c r="F19" s="12" t="n"/>
      <x:c r="G19" s="12" t="n"/>
      <x:c r="H19" s="12" t="n"/>
      <x:c r="I19" s="12" t="n"/>
      <x:c r="J19" s="12" t="n"/>
      <x:c r="K19" s="12" t="n"/>
      <x:c r="L19" s="12" t="n"/>
      <x:c r="M19" s="12" t="n"/>
      <x:c r="N19" s="12" t="n"/>
      <x:c r="O19" s="12" t="n"/>
      <x:c r="P19" s="12" t="n"/>
      <x:c r="Q19" s="12" t="n"/>
      <x:c r="R19" s="12" t="inlineStr">
        <x:is>
          <x:t xml:space="preserve">Not started</x:t>
        </x:is>
      </x:c>
      <x:c r="S19" s="12" t="n"/>
      <x:c r="T19" s="12" t="n"/>
      <x:c r="U19" s="12" t="n">
        <x:v>66</x:v>
      </x:c>
    </x:row>
    <x:row r="20" ht="28.799999237060547" customHeight="1">
      <x:c r="A20" s="13" t="inlineStr">
        <x:is>
          <x:t xml:space="preserve">LOG-0160</x:t>
        </x:is>
      </x:c>
      <x:c r="B20" s="12" t="inlineStr">
        <x:is>
          <x:t xml:space="preserve">I</x:t>
        </x:is>
      </x:c>
      <x:c r="C20" s="12" t="inlineStr">
        <x:is>
          <x:t xml:space="preserve">LOG</x:t>
        </x:is>
      </x:c>
      <x:c r="D20" s="12" t="inlineStr">
        <x:is>
          <x:t xml:space="preserve">Logic, reason, and worldview foundations</x:t>
        </x:is>
      </x:c>
      <x:c r="E20" s="12" t="inlineStr">
        <x:is>
          <x:t xml:space="preserve">Circularity occurs in degrees; not every foundational commitment is viciously circular.</x:t>
        </x:is>
      </x:c>
      <x:c r="F20" s="12" t="n"/>
      <x:c r="G20" s="12" t="n"/>
      <x:c r="H20" s="12" t="n"/>
      <x:c r="I20" s="12" t="n"/>
      <x:c r="J20" s="12" t="n"/>
      <x:c r="K20" s="12" t="n"/>
      <x:c r="L20" s="12" t="n"/>
      <x:c r="M20" s="12" t="n"/>
      <x:c r="N20" s="12" t="n"/>
      <x:c r="O20" s="12" t="n"/>
      <x:c r="P20" s="12" t="n"/>
      <x:c r="Q20" s="12" t="n"/>
      <x:c r="R20" s="12" t="inlineStr">
        <x:is>
          <x:t xml:space="preserve">Not started</x:t>
        </x:is>
      </x:c>
      <x:c r="S20" s="12" t="n"/>
      <x:c r="T20" s="12" t="n"/>
      <x:c r="U20" s="12" t="n">
        <x:v>67</x:v>
      </x:c>
    </x:row>
    <x:row r="21" ht="28.799999237060547" customHeight="1">
      <x:c r="A21" s="13" t="inlineStr">
        <x:is>
          <x:t xml:space="preserve">LOG-0170</x:t>
        </x:is>
      </x:c>
      <x:c r="B21" s="12" t="inlineStr">
        <x:is>
          <x:t xml:space="preserve">I</x:t>
        </x:is>
      </x:c>
      <x:c r="C21" s="12" t="inlineStr">
        <x:is>
          <x:t xml:space="preserve">LOG</x:t>
        </x:is>
      </x:c>
      <x:c r="D21" s="12" t="inlineStr">
        <x:is>
          <x:t xml:space="preserve">Logic, reason, and worldview foundations</x:t>
        </x:is>
      </x:c>
      <x:c r="E21" s="12" t="inlineStr">
        <x:is>
          <x:t xml:space="preserve">Every total worldview eventually depends on basic commitments that are not demonstrated from a more fundamental worldview-neutral position.</x:t>
        </x:is>
      </x:c>
      <x:c r="F21" s="12" t="n"/>
      <x:c r="G21" s="12" t="n"/>
      <x:c r="H21" s="12" t="n"/>
      <x:c r="I21" s="12" t="n"/>
      <x:c r="J21" s="12" t="n"/>
      <x:c r="K21" s="12" t="n"/>
      <x:c r="L21" s="12" t="n"/>
      <x:c r="M21" s="12" t="n"/>
      <x:c r="N21" s="12" t="n"/>
      <x:c r="O21" s="12" t="n"/>
      <x:c r="P21" s="12" t="n"/>
      <x:c r="Q21" s="12" t="n"/>
      <x:c r="R21" s="12" t="inlineStr">
        <x:is>
          <x:t xml:space="preserve">Not started</x:t>
        </x:is>
      </x:c>
      <x:c r="S21" s="12" t="n"/>
      <x:c r="T21" s="12" t="n"/>
      <x:c r="U21" s="12" t="n">
        <x:v>68</x:v>
      </x:c>
    </x:row>
    <x:row r="22" ht="28.799999237060547" customHeight="1">
      <x:c r="A22" s="13" t="inlineStr">
        <x:is>
          <x:t xml:space="preserve">MET-0010</x:t>
        </x:is>
      </x:c>
      <x:c r="B22" s="12" t="inlineStr">
        <x:is>
          <x:t xml:space="preserve">II</x:t>
        </x:is>
      </x:c>
      <x:c r="C22" s="12" t="inlineStr">
        <x:is>
          <x:t xml:space="preserve">MET</x:t>
        </x:is>
      </x:c>
      <x:c r="D22" s="12" t="inlineStr">
        <x:is>
          <x:t xml:space="preserve">Metaphysics of existence</x:t>
        </x:is>
      </x:c>
      <x:c r="E22" s="12" t="inlineStr">
        <x:is>
          <x:t xml:space="preserve">A contingent reality does not contain the complete explanation of its own existence merely by existing.</x:t>
        </x:is>
      </x:c>
      <x:c r="F22" s="12" t="n"/>
      <x:c r="G22" s="12" t="n"/>
      <x:c r="H22" s="12" t="n"/>
      <x:c r="I22" s="12" t="n"/>
      <x:c r="J22" s="12" t="n"/>
      <x:c r="K22" s="12" t="n"/>
      <x:c r="L22" s="12" t="n"/>
      <x:c r="M22" s="12" t="n"/>
      <x:c r="N22" s="12" t="n"/>
      <x:c r="O22" s="12" t="n"/>
      <x:c r="P22" s="12" t="n"/>
      <x:c r="Q22" s="12" t="n"/>
      <x:c r="R22" s="12" t="inlineStr">
        <x:is>
          <x:t xml:space="preserve">Not started</x:t>
        </x:is>
      </x:c>
      <x:c r="S22" s="12" t="n"/>
      <x:c r="T22" s="12" t="n"/>
      <x:c r="U22" s="12" t="n">
        <x:v>80</x:v>
      </x:c>
    </x:row>
    <x:row r="23">
      <x:c r="A23" s="13" t="inlineStr">
        <x:is>
          <x:t xml:space="preserve">MET-0020</x:t>
        </x:is>
      </x:c>
      <x:c r="B23" s="12" t="inlineStr">
        <x:is>
          <x:t xml:space="preserve">II</x:t>
        </x:is>
      </x:c>
      <x:c r="C23" s="12" t="inlineStr">
        <x:is>
          <x:t xml:space="preserve">MET</x:t>
        </x:is>
      </x:c>
      <x:c r="D23" s="12" t="inlineStr">
        <x:is>
          <x:t xml:space="preserve">Metaphysics of existence</x:t>
        </x:is>
      </x:c>
      <x:c r="E23" s="12" t="inlineStr">
        <x:is>
          <x:t xml:space="preserve">A collection of contingent things is not automatically self-explanatory.</x:t>
        </x:is>
      </x:c>
      <x:c r="F23" s="12" t="n"/>
      <x:c r="G23" s="12" t="n"/>
      <x:c r="H23" s="12" t="n"/>
      <x:c r="I23" s="12" t="n"/>
      <x:c r="J23" s="12" t="n"/>
      <x:c r="K23" s="12" t="n"/>
      <x:c r="L23" s="12" t="n"/>
      <x:c r="M23" s="12" t="n"/>
      <x:c r="N23" s="12" t="n"/>
      <x:c r="O23" s="12" t="n"/>
      <x:c r="P23" s="12" t="n"/>
      <x:c r="Q23" s="12" t="n"/>
      <x:c r="R23" s="12" t="inlineStr">
        <x:is>
          <x:t xml:space="preserve">Not started</x:t>
        </x:is>
      </x:c>
      <x:c r="S23" s="12" t="n"/>
      <x:c r="T23" s="12" t="n"/>
      <x:c r="U23" s="12" t="n">
        <x:v>81</x:v>
      </x:c>
    </x:row>
    <x:row r="24">
      <x:c r="A24" s="13" t="inlineStr">
        <x:is>
          <x:t xml:space="preserve">MET-0030</x:t>
        </x:is>
      </x:c>
      <x:c r="B24" s="12" t="inlineStr">
        <x:is>
          <x:t xml:space="preserve">II</x:t>
        </x:is>
      </x:c>
      <x:c r="C24" s="12" t="inlineStr">
        <x:is>
          <x:t xml:space="preserve">MET</x:t>
        </x:is>
      </x:c>
      <x:c r="D24" s="12" t="inlineStr">
        <x:is>
          <x:t xml:space="preserve">Metaphysics of existence</x:t>
        </x:is>
      </x:c>
      <x:c r="E24" s="12" t="inlineStr">
        <x:is>
          <x:t xml:space="preserve">An infinite regress of dependent explanations may fail to provide a sufficient explanation.</x:t>
        </x:is>
      </x:c>
      <x:c r="F24" s="12" t="n"/>
      <x:c r="G24" s="12" t="n"/>
      <x:c r="H24" s="12" t="n"/>
      <x:c r="I24" s="12" t="n"/>
      <x:c r="J24" s="12" t="n"/>
      <x:c r="K24" s="12" t="n"/>
      <x:c r="L24" s="12" t="n"/>
      <x:c r="M24" s="12" t="n"/>
      <x:c r="N24" s="12" t="n"/>
      <x:c r="O24" s="12" t="n"/>
      <x:c r="P24" s="12" t="n"/>
      <x:c r="Q24" s="12" t="n"/>
      <x:c r="R24" s="12" t="inlineStr">
        <x:is>
          <x:t xml:space="preserve">Not started</x:t>
        </x:is>
      </x:c>
      <x:c r="S24" s="12" t="n"/>
      <x:c r="T24" s="12" t="n"/>
      <x:c r="U24" s="12" t="n">
        <x:v>82</x:v>
      </x:c>
    </x:row>
    <x:row r="25">
      <x:c r="A25" s="13" t="inlineStr">
        <x:is>
          <x:t xml:space="preserve">MET-0040</x:t>
        </x:is>
      </x:c>
      <x:c r="B25" s="12" t="inlineStr">
        <x:is>
          <x:t xml:space="preserve">II</x:t>
        </x:is>
      </x:c>
      <x:c r="C25" s="12" t="inlineStr">
        <x:is>
          <x:t xml:space="preserve">MET</x:t>
        </x:is>
      </x:c>
      <x:c r="D25" s="12" t="inlineStr">
        <x:is>
          <x:t xml:space="preserve">Metaphysics of existence</x:t>
        </x:is>
      </x:c>
      <x:c r="E25" s="12" t="inlineStr">
        <x:is>
          <x:t xml:space="preserve">If all concrete reality were contingent, reality would lack an ultimate non-contingent explanation.</x:t>
        </x:is>
      </x:c>
      <x:c r="F25" s="12" t="n"/>
      <x:c r="G25" s="12" t="n"/>
      <x:c r="H25" s="12" t="n"/>
      <x:c r="I25" s="12" t="n"/>
      <x:c r="J25" s="12" t="n"/>
      <x:c r="K25" s="12" t="n"/>
      <x:c r="L25" s="12" t="n"/>
      <x:c r="M25" s="12" t="n"/>
      <x:c r="N25" s="12" t="n"/>
      <x:c r="O25" s="12" t="n"/>
      <x:c r="P25" s="12" t="n"/>
      <x:c r="Q25" s="12" t="n"/>
      <x:c r="R25" s="12" t="inlineStr">
        <x:is>
          <x:t xml:space="preserve">Not started</x:t>
        </x:is>
      </x:c>
      <x:c r="S25" s="12" t="n"/>
      <x:c r="T25" s="12" t="n"/>
      <x:c r="U25" s="12" t="n">
        <x:v>83</x:v>
      </x:c>
    </x:row>
    <x:row r="26">
      <x:c r="A26" s="13" t="inlineStr">
        <x:is>
          <x:t xml:space="preserve">MET-0050</x:t>
        </x:is>
      </x:c>
      <x:c r="B26" s="12" t="inlineStr">
        <x:is>
          <x:t xml:space="preserve">II</x:t>
        </x:is>
      </x:c>
      <x:c r="C26" s="12" t="inlineStr">
        <x:is>
          <x:t xml:space="preserve">MET</x:t>
        </x:is>
      </x:c>
      <x:c r="D26" s="12" t="inlineStr">
        <x:is>
          <x:t xml:space="preserve">Metaphysics of existence</x:t>
        </x:is>
      </x:c>
      <x:c r="E26" s="12" t="inlineStr">
        <x:is>
          <x:t xml:space="preserve">A necessary foundation of contingent reality is metaphysically possible.</x:t>
        </x:is>
      </x:c>
      <x:c r="F26" s="12" t="n"/>
      <x:c r="G26" s="12" t="n"/>
      <x:c r="H26" s="12" t="n"/>
      <x:c r="I26" s="12" t="n"/>
      <x:c r="J26" s="12" t="n"/>
      <x:c r="K26" s="12" t="n"/>
      <x:c r="L26" s="12" t="n"/>
      <x:c r="M26" s="12" t="n"/>
      <x:c r="N26" s="12" t="n"/>
      <x:c r="O26" s="12" t="n"/>
      <x:c r="P26" s="12" t="n"/>
      <x:c r="Q26" s="12" t="n"/>
      <x:c r="R26" s="12" t="inlineStr">
        <x:is>
          <x:t xml:space="preserve">Not started</x:t>
        </x:is>
      </x:c>
      <x:c r="S26" s="12" t="n"/>
      <x:c r="T26" s="12" t="n"/>
      <x:c r="U26" s="12" t="n">
        <x:v>84</x:v>
      </x:c>
    </x:row>
    <x:row r="27">
      <x:c r="A27" s="13" t="inlineStr">
        <x:is>
          <x:t xml:space="preserve">MET-0060</x:t>
        </x:is>
      </x:c>
      <x:c r="B27" s="12" t="inlineStr">
        <x:is>
          <x:t xml:space="preserve">II</x:t>
        </x:is>
      </x:c>
      <x:c r="C27" s="12" t="inlineStr">
        <x:is>
          <x:t xml:space="preserve">MET</x:t>
        </x:is>
      </x:c>
      <x:c r="D27" s="12" t="inlineStr">
        <x:is>
          <x:t xml:space="preserve">Metaphysics of existence</x:t>
        </x:is>
      </x:c>
      <x:c r="E27" s="12" t="inlineStr">
        <x:is>
          <x:t xml:space="preserve">A necessary being would not depend on external material causes.</x:t>
        </x:is>
      </x:c>
      <x:c r="F27" s="12" t="n"/>
      <x:c r="G27" s="12" t="n"/>
      <x:c r="H27" s="12" t="n"/>
      <x:c r="I27" s="12" t="n"/>
      <x:c r="J27" s="12" t="n"/>
      <x:c r="K27" s="12" t="n"/>
      <x:c r="L27" s="12" t="n"/>
      <x:c r="M27" s="12" t="n"/>
      <x:c r="N27" s="12" t="n"/>
      <x:c r="O27" s="12" t="n"/>
      <x:c r="P27" s="12" t="n"/>
      <x:c r="Q27" s="12" t="n"/>
      <x:c r="R27" s="12" t="inlineStr">
        <x:is>
          <x:t xml:space="preserve">Not started</x:t>
        </x:is>
      </x:c>
      <x:c r="S27" s="12" t="n"/>
      <x:c r="T27" s="12" t="n"/>
      <x:c r="U27" s="12" t="n">
        <x:v>85</x:v>
      </x:c>
    </x:row>
    <x:row r="28">
      <x:c r="A28" s="13" t="inlineStr">
        <x:is>
          <x:t xml:space="preserve">MET-0070</x:t>
        </x:is>
      </x:c>
      <x:c r="B28" s="12" t="inlineStr">
        <x:is>
          <x:t xml:space="preserve">II</x:t>
        </x:is>
      </x:c>
      <x:c r="C28" s="12" t="inlineStr">
        <x:is>
          <x:t xml:space="preserve">MET</x:t>
        </x:is>
      </x:c>
      <x:c r="D28" s="12" t="inlineStr">
        <x:is>
          <x:t xml:space="preserve">Metaphysics of existence</x:t>
        </x:is>
      </x:c>
      <x:c r="E28" s="12" t="inlineStr">
        <x:is>
          <x:t xml:space="preserve">A necessary being cannot begin to exist in the ordinary contingent sense.</x:t>
        </x:is>
      </x:c>
      <x:c r="F28" s="12" t="n"/>
      <x:c r="G28" s="12" t="n"/>
      <x:c r="H28" s="12" t="n"/>
      <x:c r="I28" s="12" t="n"/>
      <x:c r="J28" s="12" t="n"/>
      <x:c r="K28" s="12" t="n"/>
      <x:c r="L28" s="12" t="n"/>
      <x:c r="M28" s="12" t="n"/>
      <x:c r="N28" s="12" t="n"/>
      <x:c r="O28" s="12" t="n"/>
      <x:c r="P28" s="12" t="n"/>
      <x:c r="Q28" s="12" t="n"/>
      <x:c r="R28" s="12" t="inlineStr">
        <x:is>
          <x:t xml:space="preserve">Not started</x:t>
        </x:is>
      </x:c>
      <x:c r="S28" s="12" t="n"/>
      <x:c r="T28" s="12" t="n"/>
      <x:c r="U28" s="12" t="n">
        <x:v>86</x:v>
      </x:c>
    </x:row>
    <x:row r="29" ht="28.799999237060547" customHeight="1">
      <x:c r="A29" s="13" t="inlineStr">
        <x:is>
          <x:t xml:space="preserve">MET-0080</x:t>
        </x:is>
      </x:c>
      <x:c r="B29" s="12" t="inlineStr">
        <x:is>
          <x:t xml:space="preserve">II</x:t>
        </x:is>
      </x:c>
      <x:c r="C29" s="12" t="inlineStr">
        <x:is>
          <x:t xml:space="preserve">MET</x:t>
        </x:is>
      </x:c>
      <x:c r="D29" s="12" t="inlineStr">
        <x:is>
          <x:t xml:space="preserve">Metaphysics of existence</x:t>
        </x:is>
      </x:c>
      <x:c r="E29" s="12" t="inlineStr">
        <x:is>
          <x:t xml:space="preserve">The ultimate foundation of physical reality cannot itself be merely one more dependent physical object.</x:t>
        </x:is>
      </x:c>
      <x:c r="F29" s="12" t="n"/>
      <x:c r="G29" s="12" t="n"/>
      <x:c r="H29" s="12" t="n"/>
      <x:c r="I29" s="12" t="n"/>
      <x:c r="J29" s="12" t="n"/>
      <x:c r="K29" s="12" t="n"/>
      <x:c r="L29" s="12" t="n"/>
      <x:c r="M29" s="12" t="n"/>
      <x:c r="N29" s="12" t="n"/>
      <x:c r="O29" s="12" t="n"/>
      <x:c r="P29" s="12" t="n"/>
      <x:c r="Q29" s="12" t="n"/>
      <x:c r="R29" s="12" t="inlineStr">
        <x:is>
          <x:t xml:space="preserve">Not started</x:t>
        </x:is>
      </x:c>
      <x:c r="S29" s="12" t="n"/>
      <x:c r="T29" s="12" t="n"/>
      <x:c r="U29" s="12" t="n">
        <x:v>87</x:v>
      </x:c>
    </x:row>
    <x:row r="30" ht="28.799999237060547" customHeight="1">
      <x:c r="A30" s="13" t="inlineStr">
        <x:is>
          <x:t xml:space="preserve">MET-0090</x:t>
        </x:is>
      </x:c>
      <x:c r="B30" s="12" t="inlineStr">
        <x:is>
          <x:t xml:space="preserve">II</x:t>
        </x:is>
      </x:c>
      <x:c r="C30" s="12" t="inlineStr">
        <x:is>
          <x:t xml:space="preserve">MET</x:t>
        </x:is>
      </x:c>
      <x:c r="D30" s="12" t="inlineStr">
        <x:is>
          <x:t xml:space="preserve">Metaphysics of existence</x:t>
        </x:is>
      </x:c>
      <x:c r="E30" s="12" t="inlineStr">
        <x:is>
          <x:t xml:space="preserve">If time began with the physical universe, the cause of the universe need not exist at an earlier physical time.</x:t>
        </x:is>
      </x:c>
      <x:c r="F30" s="12" t="n"/>
      <x:c r="G30" s="12" t="n"/>
      <x:c r="H30" s="12" t="n"/>
      <x:c r="I30" s="12" t="n"/>
      <x:c r="J30" s="12" t="n"/>
      <x:c r="K30" s="12" t="n"/>
      <x:c r="L30" s="12" t="n"/>
      <x:c r="M30" s="12" t="n"/>
      <x:c r="N30" s="12" t="n"/>
      <x:c r="O30" s="12" t="n"/>
      <x:c r="P30" s="12" t="n"/>
      <x:c r="Q30" s="12" t="n"/>
      <x:c r="R30" s="12" t="inlineStr">
        <x:is>
          <x:t xml:space="preserve">Not started</x:t>
        </x:is>
      </x:c>
      <x:c r="S30" s="12" t="n"/>
      <x:c r="T30" s="12" t="n"/>
      <x:c r="U30" s="12" t="n">
        <x:v>88</x:v>
      </x:c>
    </x:row>
    <x:row r="31" ht="28.799999237060547" customHeight="1">
      <x:c r="A31" s="13" t="inlineStr">
        <x:is>
          <x:t xml:space="preserve">MET-0100</x:t>
        </x:is>
      </x:c>
      <x:c r="B31" s="12" t="inlineStr">
        <x:is>
          <x:t xml:space="preserve">II</x:t>
        </x:is>
      </x:c>
      <x:c r="C31" s="12" t="inlineStr">
        <x:is>
          <x:t xml:space="preserve">MET</x:t>
        </x:is>
      </x:c>
      <x:c r="D31" s="12" t="inlineStr">
        <x:is>
          <x:t xml:space="preserve">Metaphysics of existence</x:t>
        </x:is>
      </x:c>
      <x:c r="E31" s="12" t="inlineStr">
        <x:is>
          <x:t xml:space="preserve">Atemporal causation is not self-contradictory merely because ordinary physical causation is temporal.</x:t>
        </x:is>
      </x:c>
      <x:c r="F31" s="12" t="n"/>
      <x:c r="G31" s="12" t="n"/>
      <x:c r="H31" s="12" t="n"/>
      <x:c r="I31" s="12" t="n"/>
      <x:c r="J31" s="12" t="n"/>
      <x:c r="K31" s="12" t="n"/>
      <x:c r="L31" s="12" t="n"/>
      <x:c r="M31" s="12" t="n"/>
      <x:c r="N31" s="12" t="n"/>
      <x:c r="O31" s="12" t="n"/>
      <x:c r="P31" s="12" t="n"/>
      <x:c r="Q31" s="12" t="n"/>
      <x:c r="R31" s="12" t="inlineStr">
        <x:is>
          <x:t xml:space="preserve">Not started</x:t>
        </x:is>
      </x:c>
      <x:c r="S31" s="12" t="n"/>
      <x:c r="T31" s="12" t="n"/>
      <x:c r="U31" s="12" t="n">
        <x:v>89</x:v>
      </x:c>
    </x:row>
    <x:row r="32" ht="28.799999237060547" customHeight="1">
      <x:c r="A32" s="13" t="inlineStr">
        <x:is>
          <x:t xml:space="preserve">MET-0110</x:t>
        </x:is>
      </x:c>
      <x:c r="B32" s="12" t="inlineStr">
        <x:is>
          <x:t xml:space="preserve">II</x:t>
        </x:is>
      </x:c>
      <x:c r="C32" s="12" t="inlineStr">
        <x:is>
          <x:t xml:space="preserve">MET</x:t>
        </x:is>
      </x:c>
      <x:c r="D32" s="12" t="inlineStr">
        <x:is>
          <x:t xml:space="preserve">Metaphysics of existence</x:t>
        </x:is>
      </x:c>
      <x:c r="E32" s="12" t="inlineStr">
        <x:is>
          <x:t xml:space="preserve">The origin of a temporal universe from a timeless cause may imply agent causation or a relevant asymmetry in causal conditions.</x:t>
        </x:is>
      </x:c>
      <x:c r="F32" s="12" t="n"/>
      <x:c r="G32" s="12" t="n"/>
      <x:c r="H32" s="12" t="n"/>
      <x:c r="I32" s="12" t="n"/>
      <x:c r="J32" s="12" t="n"/>
      <x:c r="K32" s="12" t="n"/>
      <x:c r="L32" s="12" t="n"/>
      <x:c r="M32" s="12" t="n"/>
      <x:c r="N32" s="12" t="n"/>
      <x:c r="O32" s="12" t="n"/>
      <x:c r="P32" s="12" t="n"/>
      <x:c r="Q32" s="12" t="n"/>
      <x:c r="R32" s="12" t="inlineStr">
        <x:is>
          <x:t xml:space="preserve">Not started</x:t>
        </x:is>
      </x:c>
      <x:c r="S32" s="12" t="n"/>
      <x:c r="T32" s="12" t="n"/>
      <x:c r="U32" s="12" t="n">
        <x:v>90</x:v>
      </x:c>
    </x:row>
    <x:row r="33" ht="28.799999237060547" customHeight="1">
      <x:c r="A33" s="13" t="inlineStr">
        <x:is>
          <x:t xml:space="preserve">MET-0120</x:t>
        </x:is>
      </x:c>
      <x:c r="B33" s="12" t="inlineStr">
        <x:is>
          <x:t xml:space="preserve">II</x:t>
        </x:is>
      </x:c>
      <x:c r="C33" s="12" t="inlineStr">
        <x:is>
          <x:t xml:space="preserve">MET</x:t>
        </x:is>
      </x:c>
      <x:c r="D33" s="12" t="inlineStr">
        <x:is>
          <x:t xml:space="preserve">Metaphysics of existence</x:t>
        </x:is>
      </x:c>
      <x:c r="E33" s="12" t="inlineStr">
        <x:is>
          <x:t xml:space="preserve">A necessary, immaterial, powerful cause is more consonant with theism than with ordinary naturalism.</x:t>
        </x:is>
      </x:c>
      <x:c r="F33" s="12" t="n"/>
      <x:c r="G33" s="12" t="n"/>
      <x:c r="H33" s="12" t="n"/>
      <x:c r="I33" s="12" t="n"/>
      <x:c r="J33" s="12" t="n"/>
      <x:c r="K33" s="12" t="n"/>
      <x:c r="L33" s="12" t="n"/>
      <x:c r="M33" s="12" t="n"/>
      <x:c r="N33" s="12" t="n"/>
      <x:c r="O33" s="12" t="n"/>
      <x:c r="P33" s="12" t="n"/>
      <x:c r="Q33" s="12" t="n"/>
      <x:c r="R33" s="12" t="inlineStr">
        <x:is>
          <x:t xml:space="preserve">Not started</x:t>
        </x:is>
      </x:c>
      <x:c r="S33" s="12" t="n"/>
      <x:c r="T33" s="12" t="n"/>
      <x:c r="U33" s="12" t="n">
        <x:v>91</x:v>
      </x:c>
    </x:row>
    <x:row r="34">
      <x:c r="A34" s="13" t="inlineStr">
        <x:is>
          <x:t xml:space="preserve">MET-0130</x:t>
        </x:is>
      </x:c>
      <x:c r="B34" s="12" t="inlineStr">
        <x:is>
          <x:t xml:space="preserve">II</x:t>
        </x:is>
      </x:c>
      <x:c r="C34" s="12" t="inlineStr">
        <x:is>
          <x:t xml:space="preserve">MET</x:t>
        </x:is>
      </x:c>
      <x:c r="D34" s="12" t="inlineStr">
        <x:is>
          <x:t xml:space="preserve">Metaphysics of existence</x:t>
        </x:is>
      </x:c>
      <x:c r="E34" s="12" t="inlineStr">
        <x:is>
          <x:t xml:space="preserve">Cosmological reasoning does not by itself establish Christianity.</x:t>
        </x:is>
      </x:c>
      <x:c r="F34" s="12" t="n"/>
      <x:c r="G34" s="12" t="n"/>
      <x:c r="H34" s="12" t="n"/>
      <x:c r="I34" s="12" t="n"/>
      <x:c r="J34" s="12" t="n"/>
      <x:c r="K34" s="12" t="n"/>
      <x:c r="L34" s="12" t="n"/>
      <x:c r="M34" s="12" t="n"/>
      <x:c r="N34" s="12" t="n"/>
      <x:c r="O34" s="12" t="n"/>
      <x:c r="P34" s="12" t="n"/>
      <x:c r="Q34" s="12" t="n"/>
      <x:c r="R34" s="12" t="inlineStr">
        <x:is>
          <x:t xml:space="preserve">Not started</x:t>
        </x:is>
      </x:c>
      <x:c r="S34" s="12" t="n"/>
      <x:c r="T34" s="12" t="n"/>
      <x:c r="U34" s="12" t="n">
        <x:v>92</x:v>
      </x:c>
    </x:row>
    <x:row r="35">
      <x:c r="A35" s="13" t="inlineStr">
        <x:is>
          <x:t xml:space="preserve">MET-0140</x:t>
        </x:is>
      </x:c>
      <x:c r="B35" s="12" t="inlineStr">
        <x:is>
          <x:t xml:space="preserve">II</x:t>
        </x:is>
      </x:c>
      <x:c r="C35" s="12" t="inlineStr">
        <x:is>
          <x:t xml:space="preserve">MET</x:t>
        </x:is>
      </x:c>
      <x:c r="D35" s="12" t="inlineStr">
        <x:is>
          <x:t xml:space="preserve">Metaphysics of existence</x:t>
        </x:is>
      </x:c>
      <x:c r="E35" s="12" t="inlineStr">
        <x:is>
          <x:t xml:space="preserve">Cosmological reasoning may contribute to a cumulative case for classical theism.</x:t>
        </x:is>
      </x:c>
      <x:c r="F35" s="12" t="n"/>
      <x:c r="G35" s="12" t="n"/>
      <x:c r="H35" s="12" t="n"/>
      <x:c r="I35" s="12" t="n"/>
      <x:c r="J35" s="12" t="n"/>
      <x:c r="K35" s="12" t="n"/>
      <x:c r="L35" s="12" t="n"/>
      <x:c r="M35" s="12" t="n"/>
      <x:c r="N35" s="12" t="n"/>
      <x:c r="O35" s="12" t="n"/>
      <x:c r="P35" s="12" t="n"/>
      <x:c r="Q35" s="12" t="n"/>
      <x:c r="R35" s="12" t="inlineStr">
        <x:is>
          <x:t xml:space="preserve">Not started</x:t>
        </x:is>
      </x:c>
      <x:c r="S35" s="12" t="n"/>
      <x:c r="T35" s="12" t="n"/>
      <x:c r="U35" s="12" t="n">
        <x:v>93</x:v>
      </x:c>
    </x:row>
    <x:row r="36">
      <x:c r="A36" s="13" t="inlineStr">
        <x:is>
          <x:t xml:space="preserve">MET-0150</x:t>
        </x:is>
      </x:c>
      <x:c r="B36" s="12" t="inlineStr">
        <x:is>
          <x:t xml:space="preserve">II</x:t>
        </x:is>
      </x:c>
      <x:c r="C36" s="12" t="inlineStr">
        <x:is>
          <x:t xml:space="preserve">MET</x:t>
        </x:is>
      </x:c>
      <x:c r="D36" s="12" t="inlineStr">
        <x:is>
          <x:t xml:space="preserve">Metaphysics of existence</x:t>
        </x:is>
      </x:c>
      <x:c r="E36" s="12" t="inlineStr">
        <x:is>
          <x:t xml:space="preserve">Arguments from the intelligibility of being.</x:t>
        </x:is>
      </x:c>
      <x:c r="F36" s="12" t="n"/>
      <x:c r="G36" s="12" t="n"/>
      <x:c r="H36" s="12" t="n"/>
      <x:c r="I36" s="12" t="n"/>
      <x:c r="J36" s="12" t="n"/>
      <x:c r="K36" s="12" t="n"/>
      <x:c r="L36" s="12" t="n"/>
      <x:c r="M36" s="12" t="n"/>
      <x:c r="N36" s="12" t="n"/>
      <x:c r="O36" s="12" t="n"/>
      <x:c r="P36" s="12" t="n"/>
      <x:c r="Q36" s="12" t="n"/>
      <x:c r="R36" s="12" t="inlineStr">
        <x:is>
          <x:t xml:space="preserve">Not started</x:t>
        </x:is>
      </x:c>
      <x:c r="S36" s="12" t="n"/>
      <x:c r="T36" s="12" t="n"/>
      <x:c r="U36" s="12" t="n">
        <x:v>103</x:v>
      </x:c>
    </x:row>
    <x:row r="37">
      <x:c r="A37" s="13" t="inlineStr">
        <x:is>
          <x:t xml:space="preserve">DIV-0010</x:t>
        </x:is>
      </x:c>
      <x:c r="B37" s="12" t="inlineStr">
        <x:is>
          <x:t xml:space="preserve">III</x:t>
        </x:is>
      </x:c>
      <x:c r="C37" s="12" t="inlineStr">
        <x:is>
          <x:t xml:space="preserve">DIV</x:t>
        </x:is>
      </x:c>
      <x:c r="D37" s="12" t="inlineStr">
        <x:is>
          <x:t xml:space="preserve">Divine attributes</x:t>
        </x:is>
      </x:c>
      <x:c r="E37" s="12" t="inlineStr">
        <x:is>
          <x:t xml:space="preserve">A necessary being does not derive existence from another.</x:t>
        </x:is>
      </x:c>
      <x:c r="F37" s="12" t="n"/>
      <x:c r="G37" s="12" t="n"/>
      <x:c r="H37" s="12" t="n"/>
      <x:c r="I37" s="12" t="n"/>
      <x:c r="J37" s="12" t="n"/>
      <x:c r="K37" s="12" t="n"/>
      <x:c r="L37" s="12" t="n"/>
      <x:c r="M37" s="12" t="n"/>
      <x:c r="N37" s="12" t="n"/>
      <x:c r="O37" s="12" t="n"/>
      <x:c r="P37" s="12" t="n"/>
      <x:c r="Q37" s="12" t="n"/>
      <x:c r="R37" s="12" t="inlineStr">
        <x:is>
          <x:t xml:space="preserve">Not started</x:t>
        </x:is>
      </x:c>
      <x:c r="S37" s="12" t="n"/>
      <x:c r="T37" s="12" t="n"/>
      <x:c r="U37" s="12" t="n">
        <x:v>111</x:v>
      </x:c>
    </x:row>
    <x:row r="38">
      <x:c r="A38" s="13" t="inlineStr">
        <x:is>
          <x:t xml:space="preserve">DIV-0020</x:t>
        </x:is>
      </x:c>
      <x:c r="B38" s="12" t="inlineStr">
        <x:is>
          <x:t xml:space="preserve">III</x:t>
        </x:is>
      </x:c>
      <x:c r="C38" s="12" t="inlineStr">
        <x:is>
          <x:t xml:space="preserve">DIV</x:t>
        </x:is>
      </x:c>
      <x:c r="D38" s="12" t="inlineStr">
        <x:is>
          <x:t xml:space="preserve">Divine attributes</x:t>
        </x:is>
      </x:c>
      <x:c r="E38" s="12" t="inlineStr">
        <x:is>
          <x:t xml:space="preserve">An absolutely fundamental being is not composed of independently existing metaphysical parts.</x:t>
        </x:is>
      </x:c>
      <x:c r="F38" s="12" t="n"/>
      <x:c r="G38" s="12" t="n"/>
      <x:c r="H38" s="12" t="n"/>
      <x:c r="I38" s="12" t="n"/>
      <x:c r="J38" s="12" t="n"/>
      <x:c r="K38" s="12" t="n"/>
      <x:c r="L38" s="12" t="n"/>
      <x:c r="M38" s="12" t="n"/>
      <x:c r="N38" s="12" t="n"/>
      <x:c r="O38" s="12" t="n"/>
      <x:c r="P38" s="12" t="n"/>
      <x:c r="Q38" s="12" t="n"/>
      <x:c r="R38" s="12" t="inlineStr">
        <x:is>
          <x:t xml:space="preserve">Not started</x:t>
        </x:is>
      </x:c>
      <x:c r="S38" s="12" t="n"/>
      <x:c r="T38" s="12" t="n"/>
      <x:c r="U38" s="12" t="n">
        <x:v>112</x:v>
      </x:c>
    </x:row>
    <x:row r="39">
      <x:c r="A39" s="13" t="inlineStr">
        <x:is>
          <x:t xml:space="preserve">DIV-0030</x:t>
        </x:is>
      </x:c>
      <x:c r="B39" s="12" t="inlineStr">
        <x:is>
          <x:t xml:space="preserve">III</x:t>
        </x:is>
      </x:c>
      <x:c r="C39" s="12" t="inlineStr">
        <x:is>
          <x:t xml:space="preserve">DIV</x:t>
        </x:is>
      </x:c>
      <x:c r="D39" s="12" t="inlineStr">
        <x:is>
          <x:t xml:space="preserve">Divine attributes</x:t>
        </x:is>
      </x:c>
      <x:c r="E39" s="12" t="inlineStr">
        <x:is>
          <x:t xml:space="preserve">A non-composite necessary being may be immutable in its essential nature.</x:t>
        </x:is>
      </x:c>
      <x:c r="F39" s="12" t="n"/>
      <x:c r="G39" s="12" t="n"/>
      <x:c r="H39" s="12" t="n"/>
      <x:c r="I39" s="12" t="n"/>
      <x:c r="J39" s="12" t="n"/>
      <x:c r="K39" s="12" t="n"/>
      <x:c r="L39" s="12" t="n"/>
      <x:c r="M39" s="12" t="n"/>
      <x:c r="N39" s="12" t="n"/>
      <x:c r="O39" s="12" t="n"/>
      <x:c r="P39" s="12" t="n"/>
      <x:c r="Q39" s="12" t="n"/>
      <x:c r="R39" s="12" t="inlineStr">
        <x:is>
          <x:t xml:space="preserve">Not started</x:t>
        </x:is>
      </x:c>
      <x:c r="S39" s="12" t="n"/>
      <x:c r="T39" s="12" t="n"/>
      <x:c r="U39" s="12" t="n">
        <x:v>113</x:v>
      </x:c>
    </x:row>
    <x:row r="40">
      <x:c r="A40" s="13" t="inlineStr">
        <x:is>
          <x:t xml:space="preserve">DIV-0040</x:t>
        </x:is>
      </x:c>
      <x:c r="B40" s="12" t="inlineStr">
        <x:is>
          <x:t xml:space="preserve">III</x:t>
        </x:is>
      </x:c>
      <x:c r="C40" s="12" t="inlineStr">
        <x:is>
          <x:t xml:space="preserve">DIV</x:t>
        </x:is>
      </x:c>
      <x:c r="D40" s="12" t="inlineStr">
        <x:is>
          <x:t xml:space="preserve">Divine attributes</x:t>
        </x:is>
      </x:c>
      <x:c r="E40" s="12" t="inlineStr">
        <x:is>
          <x:t xml:space="preserve">The cause of all physical reality must possess sufficient causal power for physical reality.</x:t>
        </x:is>
      </x:c>
      <x:c r="F40" s="12" t="n"/>
      <x:c r="G40" s="12" t="n"/>
      <x:c r="H40" s="12" t="n"/>
      <x:c r="I40" s="12" t="n"/>
      <x:c r="J40" s="12" t="n"/>
      <x:c r="K40" s="12" t="n"/>
      <x:c r="L40" s="12" t="n"/>
      <x:c r="M40" s="12" t="n"/>
      <x:c r="N40" s="12" t="n"/>
      <x:c r="O40" s="12" t="n"/>
      <x:c r="P40" s="12" t="n"/>
      <x:c r="Q40" s="12" t="n"/>
      <x:c r="R40" s="12" t="inlineStr">
        <x:is>
          <x:t xml:space="preserve">Not started</x:t>
        </x:is>
      </x:c>
      <x:c r="S40" s="12" t="n"/>
      <x:c r="T40" s="12" t="n"/>
      <x:c r="U40" s="12" t="n">
        <x:v>114</x:v>
      </x:c>
    </x:row>
    <x:row r="41">
      <x:c r="A41" s="13" t="inlineStr">
        <x:is>
          <x:t xml:space="preserve">DIV-0050</x:t>
        </x:is>
      </x:c>
      <x:c r="B41" s="12" t="inlineStr">
        <x:is>
          <x:t xml:space="preserve">III</x:t>
        </x:is>
      </x:c>
      <x:c r="C41" s="12" t="inlineStr">
        <x:is>
          <x:t xml:space="preserve">DIV</x:t>
        </x:is>
      </x:c>
      <x:c r="D41" s="12" t="inlineStr">
        <x:is>
          <x:t xml:space="preserve">Divine attributes</x:t>
        </x:is>
      </x:c>
      <x:c r="E41" s="12" t="inlineStr">
        <x:is>
          <x:t xml:space="preserve">An ultimate source of all finite actuality cannot possess actuality merely derivatively.</x:t>
        </x:is>
      </x:c>
      <x:c r="F41" s="12" t="n"/>
      <x:c r="G41" s="12" t="n"/>
      <x:c r="H41" s="12" t="n"/>
      <x:c r="I41" s="12" t="n"/>
      <x:c r="J41" s="12" t="n"/>
      <x:c r="K41" s="12" t="n"/>
      <x:c r="L41" s="12" t="n"/>
      <x:c r="M41" s="12" t="n"/>
      <x:c r="N41" s="12" t="n"/>
      <x:c r="O41" s="12" t="n"/>
      <x:c r="P41" s="12" t="n"/>
      <x:c r="Q41" s="12" t="n"/>
      <x:c r="R41" s="12" t="inlineStr">
        <x:is>
          <x:t xml:space="preserve">Not started</x:t>
        </x:is>
      </x:c>
      <x:c r="S41" s="12" t="n"/>
      <x:c r="T41" s="12" t="n"/>
      <x:c r="U41" s="12" t="n">
        <x:v>115</x:v>
      </x:c>
    </x:row>
    <x:row r="42" ht="28.799999237060547" customHeight="1">
      <x:c r="A42" s="13" t="inlineStr">
        <x:is>
          <x:t xml:space="preserve">DIV-0060</x:t>
        </x:is>
      </x:c>
      <x:c r="B42" s="12" t="inlineStr">
        <x:is>
          <x:t xml:space="preserve">III</x:t>
        </x:is>
      </x:c>
      <x:c r="C42" s="12" t="inlineStr">
        <x:is>
          <x:t xml:space="preserve">DIV</x:t>
        </x:is>
      </x:c>
      <x:c r="D42" s="12" t="inlineStr">
        <x:is>
          <x:t xml:space="preserve">Divine attributes</x:t>
        </x:is>
      </x:c>
      <x:c r="E42" s="12" t="inlineStr">
        <x:is>
          <x:t xml:space="preserve">If there is one absolutely unlimited necessary foundation, two such foundations may be indistinguishable or metaphysically impossible.</x:t>
        </x:is>
      </x:c>
      <x:c r="F42" s="12" t="n"/>
      <x:c r="G42" s="12" t="n"/>
      <x:c r="H42" s="12" t="n"/>
      <x:c r="I42" s="12" t="n"/>
      <x:c r="J42" s="12" t="n"/>
      <x:c r="K42" s="12" t="n"/>
      <x:c r="L42" s="12" t="n"/>
      <x:c r="M42" s="12" t="n"/>
      <x:c r="N42" s="12" t="n"/>
      <x:c r="O42" s="12" t="n"/>
      <x:c r="P42" s="12" t="n"/>
      <x:c r="Q42" s="12" t="n"/>
      <x:c r="R42" s="12" t="inlineStr">
        <x:is>
          <x:t xml:space="preserve">Not started</x:t>
        </x:is>
      </x:c>
      <x:c r="S42" s="12" t="n"/>
      <x:c r="T42" s="12" t="n"/>
      <x:c r="U42" s="12" t="n">
        <x:v>116</x:v>
      </x:c>
    </x:row>
    <x:row r="43">
      <x:c r="A43" s="13" t="inlineStr">
        <x:is>
          <x:t xml:space="preserve">DIV-0070</x:t>
        </x:is>
      </x:c>
      <x:c r="B43" s="12" t="inlineStr">
        <x:is>
          <x:t xml:space="preserve">III</x:t>
        </x:is>
      </x:c>
      <x:c r="C43" s="12" t="inlineStr">
        <x:is>
          <x:t xml:space="preserve">DIV</x:t>
        </x:is>
      </x:c>
      <x:c r="D43" s="12" t="inlineStr">
        <x:is>
          <x:t xml:space="preserve">Divine attributes</x:t>
        </x:is>
      </x:c>
      <x:c r="E43" s="12" t="inlineStr">
        <x:is>
          <x:t xml:space="preserve">Divine omnipotence does not include performing logical contradictions.</x:t>
        </x:is>
      </x:c>
      <x:c r="F43" s="12" t="n"/>
      <x:c r="G43" s="12" t="n"/>
      <x:c r="H43" s="12" t="n"/>
      <x:c r="I43" s="12" t="n"/>
      <x:c r="J43" s="12" t="n"/>
      <x:c r="K43" s="12" t="n"/>
      <x:c r="L43" s="12" t="n"/>
      <x:c r="M43" s="12" t="n"/>
      <x:c r="N43" s="12" t="n"/>
      <x:c r="O43" s="12" t="n"/>
      <x:c r="P43" s="12" t="n"/>
      <x:c r="Q43" s="12" t="n"/>
      <x:c r="R43" s="12" t="inlineStr">
        <x:is>
          <x:t xml:space="preserve">Not started</x:t>
        </x:is>
      </x:c>
      <x:c r="S43" s="12" t="n"/>
      <x:c r="T43" s="12" t="n"/>
      <x:c r="U43" s="12" t="n">
        <x:v>117</x:v>
      </x:c>
    </x:row>
    <x:row r="44">
      <x:c r="A44" s="13" t="inlineStr">
        <x:is>
          <x:t xml:space="preserve">DIV-0080</x:t>
        </x:is>
      </x:c>
      <x:c r="B44" s="12" t="inlineStr">
        <x:is>
          <x:t xml:space="preserve">III</x:t>
        </x:is>
      </x:c>
      <x:c r="C44" s="12" t="inlineStr">
        <x:is>
          <x:t xml:space="preserve">DIV</x:t>
        </x:is>
      </x:c>
      <x:c r="D44" s="12" t="inlineStr">
        <x:is>
          <x:t xml:space="preserve">Divine attributes</x:t>
        </x:is>
      </x:c>
      <x:c r="E44" s="12" t="inlineStr">
        <x:is>
          <x:t xml:space="preserve">Omniscience means knowledge of every truth, not belief in falsehoods.</x:t>
        </x:is>
      </x:c>
      <x:c r="F44" s="12" t="n"/>
      <x:c r="G44" s="12" t="n"/>
      <x:c r="H44" s="12" t="n"/>
      <x:c r="I44" s="12" t="n"/>
      <x:c r="J44" s="12" t="n"/>
      <x:c r="K44" s="12" t="n"/>
      <x:c r="L44" s="12" t="n"/>
      <x:c r="M44" s="12" t="n"/>
      <x:c r="N44" s="12" t="n"/>
      <x:c r="O44" s="12" t="n"/>
      <x:c r="P44" s="12" t="n"/>
      <x:c r="Q44" s="12" t="n"/>
      <x:c r="R44" s="12" t="inlineStr">
        <x:is>
          <x:t xml:space="preserve">Not started</x:t>
        </x:is>
      </x:c>
      <x:c r="S44" s="12" t="n"/>
      <x:c r="T44" s="12" t="n"/>
      <x:c r="U44" s="12" t="n">
        <x:v>118</x:v>
      </x:c>
    </x:row>
    <x:row r="45">
      <x:c r="A45" s="13" t="inlineStr">
        <x:is>
          <x:t xml:space="preserve">DIV-0090</x:t>
        </x:is>
      </x:c>
      <x:c r="B45" s="12" t="inlineStr">
        <x:is>
          <x:t xml:space="preserve">III</x:t>
        </x:is>
      </x:c>
      <x:c r="C45" s="12" t="inlineStr">
        <x:is>
          <x:t xml:space="preserve">DIV</x:t>
        </x:is>
      </x:c>
      <x:c r="D45" s="12" t="inlineStr">
        <x:is>
          <x:t xml:space="preserve">Divine attributes</x:t>
        </x:is>
      </x:c>
      <x:c r="E45" s="12" t="inlineStr">
        <x:is>
          <x:t xml:space="preserve">Perfect goodness is not equivalent to maximizing immediate pleasure.</x:t>
        </x:is>
      </x:c>
      <x:c r="F45" s="12" t="n"/>
      <x:c r="G45" s="12" t="n"/>
      <x:c r="H45" s="12" t="n"/>
      <x:c r="I45" s="12" t="n"/>
      <x:c r="J45" s="12" t="n"/>
      <x:c r="K45" s="12" t="n"/>
      <x:c r="L45" s="12" t="n"/>
      <x:c r="M45" s="12" t="n"/>
      <x:c r="N45" s="12" t="n"/>
      <x:c r="O45" s="12" t="n"/>
      <x:c r="P45" s="12" t="n"/>
      <x:c r="Q45" s="12" t="n"/>
      <x:c r="R45" s="12" t="inlineStr">
        <x:is>
          <x:t xml:space="preserve">Not started</x:t>
        </x:is>
      </x:c>
      <x:c r="S45" s="12" t="n"/>
      <x:c r="T45" s="12" t="n"/>
      <x:c r="U45" s="12" t="n">
        <x:v>119</x:v>
      </x:c>
    </x:row>
    <x:row r="46">
      <x:c r="A46" s="13" t="inlineStr">
        <x:is>
          <x:t xml:space="preserve">DIV-0100</x:t>
        </x:is>
      </x:c>
      <x:c r="B46" s="12" t="inlineStr">
        <x:is>
          <x:t xml:space="preserve">III</x:t>
        </x:is>
      </x:c>
      <x:c r="C46" s="12" t="inlineStr">
        <x:is>
          <x:t xml:space="preserve">DIV</x:t>
        </x:is>
      </x:c>
      <x:c r="D46" s="12" t="inlineStr">
        <x:is>
          <x:t xml:space="preserve">Divine attributes</x:t>
        </x:is>
      </x:c>
      <x:c r="E46" s="12" t="inlineStr">
        <x:is>
          <x:t xml:space="preserve">Divine timelessness and divine temporality are competing models rather than identical doctrines.</x:t>
        </x:is>
      </x:c>
      <x:c r="F46" s="12" t="n"/>
      <x:c r="G46" s="12" t="n"/>
      <x:c r="H46" s="12" t="n"/>
      <x:c r="I46" s="12" t="n"/>
      <x:c r="J46" s="12" t="n"/>
      <x:c r="K46" s="12" t="n"/>
      <x:c r="L46" s="12" t="n"/>
      <x:c r="M46" s="12" t="n"/>
      <x:c r="N46" s="12" t="n"/>
      <x:c r="O46" s="12" t="n"/>
      <x:c r="P46" s="12" t="n"/>
      <x:c r="Q46" s="12" t="n"/>
      <x:c r="R46" s="12" t="inlineStr">
        <x:is>
          <x:t xml:space="preserve">Not started</x:t>
        </x:is>
      </x:c>
      <x:c r="S46" s="12" t="n"/>
      <x:c r="T46" s="12" t="n"/>
      <x:c r="U46" s="12" t="n">
        <x:v>120</x:v>
      </x:c>
    </x:row>
    <x:row r="47">
      <x:c r="A47" s="13" t="inlineStr">
        <x:is>
          <x:t xml:space="preserve">DIV-0110</x:t>
        </x:is>
      </x:c>
      <x:c r="B47" s="12" t="inlineStr">
        <x:is>
          <x:t xml:space="preserve">III</x:t>
        </x:is>
      </x:c>
      <x:c r="C47" s="12" t="inlineStr">
        <x:is>
          <x:t xml:space="preserve">DIV</x:t>
        </x:is>
      </x:c>
      <x:c r="D47" s="12" t="inlineStr">
        <x:is>
          <x:t xml:space="preserve">Divine attributes</x:t>
        </x:is>
      </x:c>
      <x:c r="E47" s="12" t="inlineStr">
        <x:is>
          <x:t xml:space="preserve">Divine simplicity, impassibility, immutability, and timelessness require careful distinctions.</x:t>
        </x:is>
      </x:c>
      <x:c r="F47" s="12" t="n"/>
      <x:c r="G47" s="12" t="n"/>
      <x:c r="H47" s="12" t="n"/>
      <x:c r="I47" s="12" t="n"/>
      <x:c r="J47" s="12" t="n"/>
      <x:c r="K47" s="12" t="n"/>
      <x:c r="L47" s="12" t="n"/>
      <x:c r="M47" s="12" t="n"/>
      <x:c r="N47" s="12" t="n"/>
      <x:c r="O47" s="12" t="n"/>
      <x:c r="P47" s="12" t="n"/>
      <x:c r="Q47" s="12" t="n"/>
      <x:c r="R47" s="12" t="inlineStr">
        <x:is>
          <x:t xml:space="preserve">Not started</x:t>
        </x:is>
      </x:c>
      <x:c r="S47" s="12" t="n"/>
      <x:c r="T47" s="12" t="n"/>
      <x:c r="U47" s="12" t="n">
        <x:v>121</x:v>
      </x:c>
    </x:row>
    <x:row r="48">
      <x:c r="A48" s="13" t="inlineStr">
        <x:is>
          <x:t xml:space="preserve">DIV-0120</x:t>
        </x:is>
      </x:c>
      <x:c r="B48" s="12" t="inlineStr">
        <x:is>
          <x:t xml:space="preserve">III</x:t>
        </x:is>
      </x:c>
      <x:c r="C48" s="12" t="inlineStr">
        <x:is>
          <x:t xml:space="preserve">DIV</x:t>
        </x:is>
      </x:c>
      <x:c r="D48" s="12" t="inlineStr">
        <x:is>
          <x:t xml:space="preserve">Divine attributes</x:t>
        </x:is>
      </x:c>
      <x:c r="E48" s="12" t="inlineStr">
        <x:is>
          <x:t xml:space="preserve">Classical theism and theistic personalism make different claims about God.</x:t>
        </x:is>
      </x:c>
      <x:c r="F48" s="12" t="n"/>
      <x:c r="G48" s="12" t="n"/>
      <x:c r="H48" s="12" t="n"/>
      <x:c r="I48" s="12" t="n"/>
      <x:c r="J48" s="12" t="n"/>
      <x:c r="K48" s="12" t="n"/>
      <x:c r="L48" s="12" t="n"/>
      <x:c r="M48" s="12" t="n"/>
      <x:c r="N48" s="12" t="n"/>
      <x:c r="O48" s="12" t="n"/>
      <x:c r="P48" s="12" t="n"/>
      <x:c r="Q48" s="12" t="n"/>
      <x:c r="R48" s="12" t="inlineStr">
        <x:is>
          <x:t xml:space="preserve">Not started</x:t>
        </x:is>
      </x:c>
      <x:c r="S48" s="12" t="n"/>
      <x:c r="T48" s="12" t="n"/>
      <x:c r="U48" s="12" t="n">
        <x:v>122</x:v>
      </x:c>
    </x:row>
    <x:row r="49">
      <x:c r="A49" s="13" t="inlineStr">
        <x:is>
          <x:t xml:space="preserve">DIV-0130</x:t>
        </x:is>
      </x:c>
      <x:c r="B49" s="12" t="inlineStr">
        <x:is>
          <x:t xml:space="preserve">III</x:t>
        </x:is>
      </x:c>
      <x:c r="C49" s="12" t="inlineStr">
        <x:is>
          <x:t xml:space="preserve">DIV</x:t>
        </x:is>
      </x:c>
      <x:c r="D49" s="12" t="inlineStr">
        <x:is>
          <x:t xml:space="preserve">Divine attributes</x:t>
        </x:is>
      </x:c>
      <x:c r="E49" s="12" t="inlineStr">
        <x:is>
          <x:t xml:space="preserve">Not every apologetic argument commits one to every feature of classical theism.</x:t>
        </x:is>
      </x:c>
      <x:c r="F49" s="12" t="n"/>
      <x:c r="G49" s="12" t="n"/>
      <x:c r="H49" s="12" t="n"/>
      <x:c r="I49" s="12" t="n"/>
      <x:c r="J49" s="12" t="n"/>
      <x:c r="K49" s="12" t="n"/>
      <x:c r="L49" s="12" t="n"/>
      <x:c r="M49" s="12" t="n"/>
      <x:c r="N49" s="12" t="n"/>
      <x:c r="O49" s="12" t="n"/>
      <x:c r="P49" s="12" t="n"/>
      <x:c r="Q49" s="12" t="n"/>
      <x:c r="R49" s="12" t="inlineStr">
        <x:is>
          <x:t xml:space="preserve">Not started</x:t>
        </x:is>
      </x:c>
      <x:c r="S49" s="12" t="n"/>
      <x:c r="T49" s="12" t="n"/>
      <x:c r="U49" s="12" t="n">
        <x:v>123</x:v>
      </x:c>
    </x:row>
    <x:row r="50" ht="28.799999237060547" customHeight="1">
      <x:c r="A50" s="13" t="inlineStr">
        <x:is>
          <x:t xml:space="preserve">FTN-0010</x:t>
        </x:is>
      </x:c>
      <x:c r="B50" s="12" t="inlineStr">
        <x:is>
          <x:t xml:space="preserve">IV</x:t>
        </x:is>
      </x:c>
      <x:c r="C50" s="12" t="inlineStr">
        <x:is>
          <x:t xml:space="preserve">FTN</x:t>
        </x:is>
      </x:c>
      <x:c r="D50" s="12" t="inlineStr">
        <x:is>
          <x:t xml:space="preserve">Order, intelligibility, and fine-tuning</x:t>
        </x:is>
      </x:c>
      <x:c r="E50" s="12" t="inlineStr">
        <x:is>
          <x:t xml:space="preserve">The universe exhibits mathematically describable regularities.</x:t>
        </x:is>
      </x:c>
      <x:c r="F50" s="12" t="n"/>
      <x:c r="G50" s="12" t="n"/>
      <x:c r="H50" s="12" t="n"/>
      <x:c r="I50" s="12" t="n"/>
      <x:c r="J50" s="12" t="n"/>
      <x:c r="K50" s="12" t="n"/>
      <x:c r="L50" s="12" t="n"/>
      <x:c r="M50" s="12" t="n"/>
      <x:c r="N50" s="12" t="n"/>
      <x:c r="O50" s="12" t="n"/>
      <x:c r="P50" s="12" t="n"/>
      <x:c r="Q50" s="12" t="n"/>
      <x:c r="R50" s="12" t="inlineStr">
        <x:is>
          <x:t xml:space="preserve">Not started</x:t>
        </x:is>
      </x:c>
      <x:c r="S50" s="12" t="n"/>
      <x:c r="T50" s="12" t="n"/>
      <x:c r="U50" s="12" t="n">
        <x:v>131</x:v>
      </x:c>
    </x:row>
    <x:row r="51" ht="28.799999237060547" customHeight="1">
      <x:c r="A51" s="13" t="inlineStr">
        <x:is>
          <x:t xml:space="preserve">FTN-0020</x:t>
        </x:is>
      </x:c>
      <x:c r="B51" s="12" t="inlineStr">
        <x:is>
          <x:t xml:space="preserve">IV</x:t>
        </x:is>
      </x:c>
      <x:c r="C51" s="12" t="inlineStr">
        <x:is>
          <x:t xml:space="preserve">FTN</x:t>
        </x:is>
      </x:c>
      <x:c r="D51" s="12" t="inlineStr">
        <x:is>
          <x:t xml:space="preserve">Order, intelligibility, and fine-tuning</x:t>
        </x:is>
      </x:c>
      <x:c r="E51" s="12" t="inlineStr">
        <x:is>
          <x:t xml:space="preserve">The applicability of mathematics to physical reality is philosophically significant.</x:t>
        </x:is>
      </x:c>
      <x:c r="F51" s="12" t="n"/>
      <x:c r="G51" s="12" t="n"/>
      <x:c r="H51" s="12" t="n"/>
      <x:c r="I51" s="12" t="n"/>
      <x:c r="J51" s="12" t="n"/>
      <x:c r="K51" s="12" t="n"/>
      <x:c r="L51" s="12" t="n"/>
      <x:c r="M51" s="12" t="n"/>
      <x:c r="N51" s="12" t="n"/>
      <x:c r="O51" s="12" t="n"/>
      <x:c r="P51" s="12" t="n"/>
      <x:c r="Q51" s="12" t="n"/>
      <x:c r="R51" s="12" t="inlineStr">
        <x:is>
          <x:t xml:space="preserve">Not started</x:t>
        </x:is>
      </x:c>
      <x:c r="S51" s="12" t="n"/>
      <x:c r="T51" s="12" t="n"/>
      <x:c r="U51" s="12" t="n">
        <x:v>132</x:v>
      </x:c>
    </x:row>
    <x:row r="52" ht="28.799999237060547" customHeight="1">
      <x:c r="A52" s="13" t="inlineStr">
        <x:is>
          <x:t xml:space="preserve">FTN-0030</x:t>
        </x:is>
      </x:c>
      <x:c r="B52" s="12" t="inlineStr">
        <x:is>
          <x:t xml:space="preserve">IV</x:t>
        </x:is>
      </x:c>
      <x:c r="C52" s="12" t="inlineStr">
        <x:is>
          <x:t xml:space="preserve">FTN</x:t>
        </x:is>
      </x:c>
      <x:c r="D52" s="12" t="inlineStr">
        <x:is>
          <x:t xml:space="preserve">Order, intelligibility, and fine-tuning</x:t>
        </x:is>
      </x:c>
      <x:c r="E52" s="12" t="inlineStr">
        <x:is>
          <x:t xml:space="preserve">The existence of stable laws is not logically guaranteed by the bare existence of matter.</x:t>
        </x:is>
      </x:c>
      <x:c r="F52" s="12" t="n"/>
      <x:c r="G52" s="12" t="n"/>
      <x:c r="H52" s="12" t="n"/>
      <x:c r="I52" s="12" t="n"/>
      <x:c r="J52" s="12" t="n"/>
      <x:c r="K52" s="12" t="n"/>
      <x:c r="L52" s="12" t="n"/>
      <x:c r="M52" s="12" t="n"/>
      <x:c r="N52" s="12" t="n"/>
      <x:c r="O52" s="12" t="n"/>
      <x:c r="P52" s="12" t="n"/>
      <x:c r="Q52" s="12" t="n"/>
      <x:c r="R52" s="12" t="inlineStr">
        <x:is>
          <x:t xml:space="preserve">Not started</x:t>
        </x:is>
      </x:c>
      <x:c r="S52" s="12" t="n"/>
      <x:c r="T52" s="12" t="n"/>
      <x:c r="U52" s="12" t="n">
        <x:v>133</x:v>
      </x:c>
    </x:row>
    <x:row r="53" ht="28.799999237060547" customHeight="1">
      <x:c r="A53" s="13" t="inlineStr">
        <x:is>
          <x:t xml:space="preserve">FTN-0040</x:t>
        </x:is>
      </x:c>
      <x:c r="B53" s="12" t="inlineStr">
        <x:is>
          <x:t xml:space="preserve">IV</x:t>
        </x:is>
      </x:c>
      <x:c r="C53" s="12" t="inlineStr">
        <x:is>
          <x:t xml:space="preserve">FTN</x:t>
        </x:is>
      </x:c>
      <x:c r="D53" s="12" t="inlineStr">
        <x:is>
          <x:t xml:space="preserve">Order, intelligibility, and fine-tuning</x:t>
        </x:is>
      </x:c>
      <x:c r="E53" s="12" t="inlineStr">
        <x:is>
          <x:t xml:space="preserve">Fine-tuning arguments concern ranges compatible with embodied life, not merely the fact that humans enjoy present conditions.</x:t>
        </x:is>
      </x:c>
      <x:c r="F53" s="12" t="n"/>
      <x:c r="G53" s="12" t="n"/>
      <x:c r="H53" s="12" t="n"/>
      <x:c r="I53" s="12" t="n"/>
      <x:c r="J53" s="12" t="n"/>
      <x:c r="K53" s="12" t="n"/>
      <x:c r="L53" s="12" t="n"/>
      <x:c r="M53" s="12" t="n"/>
      <x:c r="N53" s="12" t="n"/>
      <x:c r="O53" s="12" t="n"/>
      <x:c r="P53" s="12" t="n"/>
      <x:c r="Q53" s="12" t="n"/>
      <x:c r="R53" s="12" t="inlineStr">
        <x:is>
          <x:t xml:space="preserve">Not started</x:t>
        </x:is>
      </x:c>
      <x:c r="S53" s="12" t="n"/>
      <x:c r="T53" s="12" t="n"/>
      <x:c r="U53" s="12" t="n">
        <x:v>134</x:v>
      </x:c>
    </x:row>
    <x:row r="54" ht="28.799999237060547" customHeight="1">
      <x:c r="A54" s="13" t="inlineStr">
        <x:is>
          <x:t xml:space="preserve">FTN-0050</x:t>
        </x:is>
      </x:c>
      <x:c r="B54" s="12" t="inlineStr">
        <x:is>
          <x:t xml:space="preserve">IV</x:t>
        </x:is>
      </x:c>
      <x:c r="C54" s="12" t="inlineStr">
        <x:is>
          <x:t xml:space="preserve">FTN</x:t>
        </x:is>
      </x:c>
      <x:c r="D54" s="12" t="inlineStr">
        <x:is>
          <x:t xml:space="preserve">Order, intelligibility, and fine-tuning</x:t>
        </x:is>
      </x:c>
      <x:c r="E54" s="12" t="inlineStr">
        <x:is>
          <x:t xml:space="preserve">Fine-tuning can be formulated using constants, initial conditions, laws, or higher-level structural features.</x:t>
        </x:is>
      </x:c>
      <x:c r="F54" s="12" t="n"/>
      <x:c r="G54" s="12" t="n"/>
      <x:c r="H54" s="12" t="n"/>
      <x:c r="I54" s="12" t="n"/>
      <x:c r="J54" s="12" t="n"/>
      <x:c r="K54" s="12" t="n"/>
      <x:c r="L54" s="12" t="n"/>
      <x:c r="M54" s="12" t="n"/>
      <x:c r="N54" s="12" t="n"/>
      <x:c r="O54" s="12" t="n"/>
      <x:c r="P54" s="12" t="n"/>
      <x:c r="Q54" s="12" t="n"/>
      <x:c r="R54" s="12" t="inlineStr">
        <x:is>
          <x:t xml:space="preserve">Not started</x:t>
        </x:is>
      </x:c>
      <x:c r="S54" s="12" t="n"/>
      <x:c r="T54" s="12" t="n"/>
      <x:c r="U54" s="12" t="n">
        <x:v>135</x:v>
      </x:c>
    </x:row>
    <x:row r="55" ht="28.799999237060547" customHeight="1">
      <x:c r="A55" s="13" t="inlineStr">
        <x:is>
          <x:t xml:space="preserve">FTN-0060</x:t>
        </x:is>
      </x:c>
      <x:c r="B55" s="12" t="inlineStr">
        <x:is>
          <x:t xml:space="preserve">IV</x:t>
        </x:is>
      </x:c>
      <x:c r="C55" s="12" t="inlineStr">
        <x:is>
          <x:t xml:space="preserve">FTN</x:t>
        </x:is>
      </x:c>
      <x:c r="D55" s="12" t="inlineStr">
        <x:is>
          <x:t xml:space="preserve">Order, intelligibility, and fine-tuning</x:t>
        </x:is>
      </x:c>
      <x:c r="E55" s="12" t="inlineStr">
        <x:is>
          <x:t xml:space="preserve">Design, necessity, chance, multiverse hypotheses, and selection effects are competing explanatory categories.</x:t>
        </x:is>
      </x:c>
      <x:c r="F55" s="12" t="n"/>
      <x:c r="G55" s="12" t="n"/>
      <x:c r="H55" s="12" t="n"/>
      <x:c r="I55" s="12" t="n"/>
      <x:c r="J55" s="12" t="n"/>
      <x:c r="K55" s="12" t="n"/>
      <x:c r="L55" s="12" t="n"/>
      <x:c r="M55" s="12" t="n"/>
      <x:c r="N55" s="12" t="n"/>
      <x:c r="O55" s="12" t="n"/>
      <x:c r="P55" s="12" t="n"/>
      <x:c r="Q55" s="12" t="n"/>
      <x:c r="R55" s="12" t="inlineStr">
        <x:is>
          <x:t xml:space="preserve">Not started</x:t>
        </x:is>
      </x:c>
      <x:c r="S55" s="12" t="n"/>
      <x:c r="T55" s="12" t="n"/>
      <x:c r="U55" s="12" t="n">
        <x:v>136</x:v>
      </x:c>
    </x:row>
    <x:row r="56" ht="28.799999237060547" customHeight="1">
      <x:c r="A56" s="13" t="inlineStr">
        <x:is>
          <x:t xml:space="preserve">FTN-0070</x:t>
        </x:is>
      </x:c>
      <x:c r="B56" s="12" t="inlineStr">
        <x:is>
          <x:t xml:space="preserve">IV</x:t>
        </x:is>
      </x:c>
      <x:c r="C56" s="12" t="inlineStr">
        <x:is>
          <x:t xml:space="preserve">FTN</x:t>
        </x:is>
      </x:c>
      <x:c r="D56" s="12" t="inlineStr">
        <x:is>
          <x:t xml:space="preserve">Order, intelligibility, and fine-tuning</x:t>
        </x:is>
      </x:c>
      <x:c r="E56" s="12" t="inlineStr">
        <x:is>
          <x:t xml:space="preserve">Observer selection effects explain why observers observe observer-permitting conditions, but do not necessarily explain why an observer-permitting domain exists.</x:t>
        </x:is>
      </x:c>
      <x:c r="F56" s="12" t="n"/>
      <x:c r="G56" s="12" t="n"/>
      <x:c r="H56" s="12" t="n"/>
      <x:c r="I56" s="12" t="n"/>
      <x:c r="J56" s="12" t="n"/>
      <x:c r="K56" s="12" t="n"/>
      <x:c r="L56" s="12" t="n"/>
      <x:c r="M56" s="12" t="n"/>
      <x:c r="N56" s="12" t="n"/>
      <x:c r="O56" s="12" t="n"/>
      <x:c r="P56" s="12" t="n"/>
      <x:c r="Q56" s="12" t="n"/>
      <x:c r="R56" s="12" t="inlineStr">
        <x:is>
          <x:t xml:space="preserve">Not started</x:t>
        </x:is>
      </x:c>
      <x:c r="S56" s="12" t="n"/>
      <x:c r="T56" s="12" t="n"/>
      <x:c r="U56" s="12" t="n">
        <x:v>137</x:v>
      </x:c>
    </x:row>
    <x:row r="57" ht="28.799999237060547" customHeight="1">
      <x:c r="A57" s="13" t="inlineStr">
        <x:is>
          <x:t xml:space="preserve">FTN-0080</x:t>
        </x:is>
      </x:c>
      <x:c r="B57" s="12" t="inlineStr">
        <x:is>
          <x:t xml:space="preserve">IV</x:t>
        </x:is>
      </x:c>
      <x:c r="C57" s="12" t="inlineStr">
        <x:is>
          <x:t xml:space="preserve">FTN</x:t>
        </x:is>
      </x:c>
      <x:c r="D57" s="12" t="inlineStr">
        <x:is>
          <x:t xml:space="preserve">Order, intelligibility, and fine-tuning</x:t>
        </x:is>
      </x:c>
      <x:c r="E57" s="12" t="inlineStr">
        <x:is>
          <x:t xml:space="preserve">A multiverse does not automatically eliminate questions concerning the generating mechanism.</x:t>
        </x:is>
      </x:c>
      <x:c r="F57" s="12" t="n"/>
      <x:c r="G57" s="12" t="n"/>
      <x:c r="H57" s="12" t="n"/>
      <x:c r="I57" s="12" t="n"/>
      <x:c r="J57" s="12" t="n"/>
      <x:c r="K57" s="12" t="n"/>
      <x:c r="L57" s="12" t="n"/>
      <x:c r="M57" s="12" t="n"/>
      <x:c r="N57" s="12" t="n"/>
      <x:c r="O57" s="12" t="n"/>
      <x:c r="P57" s="12" t="n"/>
      <x:c r="Q57" s="12" t="n"/>
      <x:c r="R57" s="12" t="inlineStr">
        <x:is>
          <x:t xml:space="preserve">Not started</x:t>
        </x:is>
      </x:c>
      <x:c r="S57" s="12" t="n"/>
      <x:c r="T57" s="12" t="n"/>
      <x:c r="U57" s="12" t="n">
        <x:v>138</x:v>
      </x:c>
    </x:row>
    <x:row r="58" ht="28.799999237060547" customHeight="1">
      <x:c r="A58" s="13" t="inlineStr">
        <x:is>
          <x:t xml:space="preserve">FTN-0090</x:t>
        </x:is>
      </x:c>
      <x:c r="B58" s="12" t="inlineStr">
        <x:is>
          <x:t xml:space="preserve">IV</x:t>
        </x:is>
      </x:c>
      <x:c r="C58" s="12" t="inlineStr">
        <x:is>
          <x:t xml:space="preserve">FTN</x:t>
        </x:is>
      </x:c>
      <x:c r="D58" s="12" t="inlineStr">
        <x:is>
          <x:t xml:space="preserve">Order, intelligibility, and fine-tuning</x:t>
        </x:is>
      </x:c>
      <x:c r="E58" s="12" t="inlineStr">
        <x:is>
          <x:t xml:space="preserve">A multiverse may weaken some design inferences while leaving others untouched.</x:t>
        </x:is>
      </x:c>
      <x:c r="F58" s="12" t="n"/>
      <x:c r="G58" s="12" t="n"/>
      <x:c r="H58" s="12" t="n"/>
      <x:c r="I58" s="12" t="n"/>
      <x:c r="J58" s="12" t="n"/>
      <x:c r="K58" s="12" t="n"/>
      <x:c r="L58" s="12" t="n"/>
      <x:c r="M58" s="12" t="n"/>
      <x:c r="N58" s="12" t="n"/>
      <x:c r="O58" s="12" t="n"/>
      <x:c r="P58" s="12" t="n"/>
      <x:c r="Q58" s="12" t="n"/>
      <x:c r="R58" s="12" t="inlineStr">
        <x:is>
          <x:t xml:space="preserve">Not started</x:t>
        </x:is>
      </x:c>
      <x:c r="S58" s="12" t="n"/>
      <x:c r="T58" s="12" t="n"/>
      <x:c r="U58" s="12" t="n">
        <x:v>139</x:v>
      </x:c>
    </x:row>
    <x:row r="59" ht="28.799999237060547" customHeight="1">
      <x:c r="A59" s="13" t="inlineStr">
        <x:is>
          <x:t xml:space="preserve">FTN-0100</x:t>
        </x:is>
      </x:c>
      <x:c r="B59" s="12" t="inlineStr">
        <x:is>
          <x:t xml:space="preserve">IV</x:t>
        </x:is>
      </x:c>
      <x:c r="C59" s="12" t="inlineStr">
        <x:is>
          <x:t xml:space="preserve">FTN</x:t>
        </x:is>
      </x:c>
      <x:c r="D59" s="12" t="inlineStr">
        <x:is>
          <x:t xml:space="preserve">Order, intelligibility, and fine-tuning</x:t>
        </x:is>
      </x:c>
      <x:c r="E59" s="12" t="inlineStr">
        <x:is>
          <x:t xml:space="preserve">Probability claims about constants require a justified probability measure.</x:t>
        </x:is>
      </x:c>
      <x:c r="F59" s="12" t="n"/>
      <x:c r="G59" s="12" t="n"/>
      <x:c r="H59" s="12" t="n"/>
      <x:c r="I59" s="12" t="n"/>
      <x:c r="J59" s="12" t="n"/>
      <x:c r="K59" s="12" t="n"/>
      <x:c r="L59" s="12" t="n"/>
      <x:c r="M59" s="12" t="n"/>
      <x:c r="N59" s="12" t="n"/>
      <x:c r="O59" s="12" t="n"/>
      <x:c r="P59" s="12" t="n"/>
      <x:c r="Q59" s="12" t="n"/>
      <x:c r="R59" s="12" t="inlineStr">
        <x:is>
          <x:t xml:space="preserve">Not started</x:t>
        </x:is>
      </x:c>
      <x:c r="S59" s="12" t="n"/>
      <x:c r="T59" s="12" t="n"/>
      <x:c r="U59" s="12" t="n">
        <x:v>140</x:v>
      </x:c>
    </x:row>
    <x:row r="60" ht="28.799999237060547" customHeight="1">
      <x:c r="A60" s="13" t="inlineStr">
        <x:is>
          <x:t xml:space="preserve">FTN-0110</x:t>
        </x:is>
      </x:c>
      <x:c r="B60" s="12" t="inlineStr">
        <x:is>
          <x:t xml:space="preserve">IV</x:t>
        </x:is>
      </x:c>
      <x:c r="C60" s="12" t="inlineStr">
        <x:is>
          <x:t xml:space="preserve">FTN</x:t>
        </x:is>
      </x:c>
      <x:c r="D60" s="12" t="inlineStr">
        <x:is>
          <x:t xml:space="preserve">Order, intelligibility, and fine-tuning</x:t>
        </x:is>
      </x:c>
      <x:c r="E60" s="12" t="inlineStr">
        <x:is>
          <x:t xml:space="preserve">Fine-tuning does not deductively prove God.</x:t>
        </x:is>
      </x:c>
      <x:c r="F60" s="12" t="n"/>
      <x:c r="G60" s="12" t="n"/>
      <x:c r="H60" s="12" t="n"/>
      <x:c r="I60" s="12" t="n"/>
      <x:c r="J60" s="12" t="n"/>
      <x:c r="K60" s="12" t="n"/>
      <x:c r="L60" s="12" t="n"/>
      <x:c r="M60" s="12" t="n"/>
      <x:c r="N60" s="12" t="n"/>
      <x:c r="O60" s="12" t="n"/>
      <x:c r="P60" s="12" t="n"/>
      <x:c r="Q60" s="12" t="n"/>
      <x:c r="R60" s="12" t="inlineStr">
        <x:is>
          <x:t xml:space="preserve">Not started</x:t>
        </x:is>
      </x:c>
      <x:c r="S60" s="12" t="n"/>
      <x:c r="T60" s="12" t="n"/>
      <x:c r="U60" s="12" t="n">
        <x:v>141</x:v>
      </x:c>
    </x:row>
    <x:row r="61" ht="28.799999237060547" customHeight="1">
      <x:c r="A61" s="13" t="inlineStr">
        <x:is>
          <x:t xml:space="preserve">FTN-0120</x:t>
        </x:is>
      </x:c>
      <x:c r="B61" s="12" t="inlineStr">
        <x:is>
          <x:t xml:space="preserve">IV</x:t>
        </x:is>
      </x:c>
      <x:c r="C61" s="12" t="inlineStr">
        <x:is>
          <x:t xml:space="preserve">FTN</x:t>
        </x:is>
      </x:c>
      <x:c r="D61" s="12" t="inlineStr">
        <x:is>
          <x:t xml:space="preserve">Order, intelligibility, and fine-tuning</x:t>
        </x:is>
      </x:c>
      <x:c r="E61" s="12" t="inlineStr">
        <x:is>
          <x:t xml:space="preserve">Fine-tuning may provide abductive evidence for purposive explanation under specified assumptions.</x:t>
        </x:is>
      </x:c>
      <x:c r="F61" s="12" t="n"/>
      <x:c r="G61" s="12" t="n"/>
      <x:c r="H61" s="12" t="n"/>
      <x:c r="I61" s="12" t="n"/>
      <x:c r="J61" s="12" t="n"/>
      <x:c r="K61" s="12" t="n"/>
      <x:c r="L61" s="12" t="n"/>
      <x:c r="M61" s="12" t="n"/>
      <x:c r="N61" s="12" t="n"/>
      <x:c r="O61" s="12" t="n"/>
      <x:c r="P61" s="12" t="n"/>
      <x:c r="Q61" s="12" t="n"/>
      <x:c r="R61" s="12" t="inlineStr">
        <x:is>
          <x:t xml:space="preserve">Not started</x:t>
        </x:is>
      </x:c>
      <x:c r="S61" s="12" t="n"/>
      <x:c r="T61" s="12" t="n"/>
      <x:c r="U61" s="12" t="n">
        <x:v>142</x:v>
      </x:c>
    </x:row>
    <x:row r="62" ht="28.799999237060547" customHeight="1">
      <x:c r="A62" s="13" t="inlineStr">
        <x:is>
          <x:t xml:space="preserve">FTN-0130</x:t>
        </x:is>
      </x:c>
      <x:c r="B62" s="12" t="inlineStr">
        <x:is>
          <x:t xml:space="preserve">IV</x:t>
        </x:is>
      </x:c>
      <x:c r="C62" s="12" t="inlineStr">
        <x:is>
          <x:t xml:space="preserve">FTN</x:t>
        </x:is>
      </x:c>
      <x:c r="D62" s="12" t="inlineStr">
        <x:is>
          <x:t xml:space="preserve">Order, intelligibility, and fine-tuning</x:t>
        </x:is>
      </x:c>
      <x:c r="E62" s="12" t="inlineStr">
        <x:is>
          <x:t xml:space="preserve">Theism may predict an intelligible and life-permitting universe better than some forms of naturalism.</x:t>
        </x:is>
      </x:c>
      <x:c r="F62" s="12" t="n"/>
      <x:c r="G62" s="12" t="n"/>
      <x:c r="H62" s="12" t="n"/>
      <x:c r="I62" s="12" t="n"/>
      <x:c r="J62" s="12" t="n"/>
      <x:c r="K62" s="12" t="n"/>
      <x:c r="L62" s="12" t="n"/>
      <x:c r="M62" s="12" t="n"/>
      <x:c r="N62" s="12" t="n"/>
      <x:c r="O62" s="12" t="n"/>
      <x:c r="P62" s="12" t="n"/>
      <x:c r="Q62" s="12" t="n"/>
      <x:c r="R62" s="12" t="inlineStr">
        <x:is>
          <x:t xml:space="preserve">Not started</x:t>
        </x:is>
      </x:c>
      <x:c r="S62" s="12" t="n"/>
      <x:c r="T62" s="12" t="n"/>
      <x:c r="U62" s="12" t="n">
        <x:v>143</x:v>
      </x:c>
    </x:row>
    <x:row r="63" ht="28.799999237060547" customHeight="1">
      <x:c r="A63" s="13" t="inlineStr">
        <x:is>
          <x:t xml:space="preserve">FTN-0140</x:t>
        </x:is>
      </x:c>
      <x:c r="B63" s="12" t="inlineStr">
        <x:is>
          <x:t xml:space="preserve">IV</x:t>
        </x:is>
      </x:c>
      <x:c r="C63" s="12" t="inlineStr">
        <x:is>
          <x:t xml:space="preserve">FTN</x:t>
        </x:is>
      </x:c>
      <x:c r="D63" s="12" t="inlineStr">
        <x:is>
          <x:t xml:space="preserve">Order, intelligibility, and fine-tuning</x:t>
        </x:is>
      </x:c>
      <x:c r="E63" s="12" t="inlineStr">
        <x:is>
          <x:t xml:space="preserve">The existence of suffering and apparently wasteful cosmic processes can reduce the force of simplistic design arguments.</x:t>
        </x:is>
      </x:c>
      <x:c r="F63" s="12" t="n"/>
      <x:c r="G63" s="12" t="n"/>
      <x:c r="H63" s="12" t="n"/>
      <x:c r="I63" s="12" t="n"/>
      <x:c r="J63" s="12" t="n"/>
      <x:c r="K63" s="12" t="n"/>
      <x:c r="L63" s="12" t="n"/>
      <x:c r="M63" s="12" t="n"/>
      <x:c r="N63" s="12" t="n"/>
      <x:c r="O63" s="12" t="n"/>
      <x:c r="P63" s="12" t="n"/>
      <x:c r="Q63" s="12" t="n"/>
      <x:c r="R63" s="12" t="inlineStr">
        <x:is>
          <x:t xml:space="preserve">Not started</x:t>
        </x:is>
      </x:c>
      <x:c r="S63" s="12" t="n"/>
      <x:c r="T63" s="12" t="n"/>
      <x:c r="U63" s="12" t="n">
        <x:v>144</x:v>
      </x:c>
    </x:row>
    <x:row r="64" ht="28.799999237060547" customHeight="1">
      <x:c r="A64" s="13" t="inlineStr">
        <x:is>
          <x:t xml:space="preserve">FTN-0150</x:t>
        </x:is>
      </x:c>
      <x:c r="B64" s="12" t="inlineStr">
        <x:is>
          <x:t xml:space="preserve">IV</x:t>
        </x:is>
      </x:c>
      <x:c r="C64" s="12" t="inlineStr">
        <x:is>
          <x:t xml:space="preserve">FTN</x:t>
        </x:is>
      </x:c>
      <x:c r="D64" s="12" t="inlineStr">
        <x:is>
          <x:t xml:space="preserve">Order, intelligibility, and fine-tuning</x:t>
        </x:is>
      </x:c>
      <x:c r="E64" s="12" t="inlineStr">
        <x:is>
          <x:t xml:space="preserve">A refined design case must address both apparent order and apparent disorder.</x:t>
        </x:is>
      </x:c>
      <x:c r="F64" s="12" t="n"/>
      <x:c r="G64" s="12" t="n"/>
      <x:c r="H64" s="12" t="n"/>
      <x:c r="I64" s="12" t="n"/>
      <x:c r="J64" s="12" t="n"/>
      <x:c r="K64" s="12" t="n"/>
      <x:c r="L64" s="12" t="n"/>
      <x:c r="M64" s="12" t="n"/>
      <x:c r="N64" s="12" t="n"/>
      <x:c r="O64" s="12" t="n"/>
      <x:c r="P64" s="12" t="n"/>
      <x:c r="Q64" s="12" t="n"/>
      <x:c r="R64" s="12" t="inlineStr">
        <x:is>
          <x:t xml:space="preserve">Not started</x:t>
        </x:is>
      </x:c>
      <x:c r="S64" s="12" t="n"/>
      <x:c r="T64" s="12" t="n"/>
      <x:c r="U64" s="12" t="n">
        <x:v>145</x:v>
      </x:c>
    </x:row>
    <x:row r="65" ht="28.799999237060547" customHeight="1">
      <x:c r="A65" s="13" t="inlineStr">
        <x:is>
          <x:t xml:space="preserve">BIO-0010</x:t>
        </x:is>
      </x:c>
      <x:c r="B65" s="12" t="inlineStr">
        <x:is>
          <x:t xml:space="preserve">V</x:t>
        </x:is>
      </x:c>
      <x:c r="C65" s="12" t="inlineStr">
        <x:is>
          <x:t xml:space="preserve">BIO</x:t>
        </x:is>
      </x:c>
      <x:c r="D65" s="12" t="inlineStr">
        <x:is>
          <x:t xml:space="preserve">Life, biological information, and teleology</x:t>
        </x:is>
      </x:c>
      <x:c r="E65" s="12" t="inlineStr">
        <x:is>
          <x:t xml:space="preserve">Biological evolution and Christian theism are not logically contradictory.</x:t>
        </x:is>
      </x:c>
      <x:c r="F65" s="12" t="n"/>
      <x:c r="G65" s="12" t="n"/>
      <x:c r="H65" s="12" t="n"/>
      <x:c r="I65" s="12" t="n"/>
      <x:c r="J65" s="12" t="n"/>
      <x:c r="K65" s="12" t="n"/>
      <x:c r="L65" s="12" t="n"/>
      <x:c r="M65" s="12" t="n"/>
      <x:c r="N65" s="12" t="n"/>
      <x:c r="O65" s="12" t="n"/>
      <x:c r="P65" s="12" t="n"/>
      <x:c r="Q65" s="12" t="n"/>
      <x:c r="R65" s="12" t="inlineStr">
        <x:is>
          <x:t xml:space="preserve">Not started</x:t>
        </x:is>
      </x:c>
      <x:c r="S65" s="12" t="n"/>
      <x:c r="T65" s="12" t="n"/>
      <x:c r="U65" s="12" t="n">
        <x:v>161</x:v>
      </x:c>
    </x:row>
    <x:row r="66" ht="28.799999237060547" customHeight="1">
      <x:c r="A66" s="13" t="inlineStr">
        <x:is>
          <x:t xml:space="preserve">BIO-0020</x:t>
        </x:is>
      </x:c>
      <x:c r="B66" s="12" t="inlineStr">
        <x:is>
          <x:t xml:space="preserve">V</x:t>
        </x:is>
      </x:c>
      <x:c r="C66" s="12" t="inlineStr">
        <x:is>
          <x:t xml:space="preserve">BIO</x:t>
        </x:is>
      </x:c>
      <x:c r="D66" s="12" t="inlineStr">
        <x:is>
          <x:t xml:space="preserve">Life, biological information, and teleology</x:t>
        </x:is>
      </x:c>
      <x:c r="E66" s="12" t="inlineStr">
        <x:is>
          <x:t xml:space="preserve">Common ancestry does not by itself entail metaphysical naturalism.</x:t>
        </x:is>
      </x:c>
      <x:c r="F66" s="12" t="n"/>
      <x:c r="G66" s="12" t="n"/>
      <x:c r="H66" s="12" t="n"/>
      <x:c r="I66" s="12" t="n"/>
      <x:c r="J66" s="12" t="n"/>
      <x:c r="K66" s="12" t="n"/>
      <x:c r="L66" s="12" t="n"/>
      <x:c r="M66" s="12" t="n"/>
      <x:c r="N66" s="12" t="n"/>
      <x:c r="O66" s="12" t="n"/>
      <x:c r="P66" s="12" t="n"/>
      <x:c r="Q66" s="12" t="n"/>
      <x:c r="R66" s="12" t="inlineStr">
        <x:is>
          <x:t xml:space="preserve">Not started</x:t>
        </x:is>
      </x:c>
      <x:c r="S66" s="12" t="n"/>
      <x:c r="T66" s="12" t="n"/>
      <x:c r="U66" s="12" t="n">
        <x:v>162</x:v>
      </x:c>
    </x:row>
    <x:row r="67" ht="28.799999237060547" customHeight="1">
      <x:c r="A67" s="13" t="inlineStr">
        <x:is>
          <x:t xml:space="preserve">BIO-0030</x:t>
        </x:is>
      </x:c>
      <x:c r="B67" s="12" t="inlineStr">
        <x:is>
          <x:t xml:space="preserve">V</x:t>
        </x:is>
      </x:c>
      <x:c r="C67" s="12" t="inlineStr">
        <x:is>
          <x:t xml:space="preserve">BIO</x:t>
        </x:is>
      </x:c>
      <x:c r="D67" s="12" t="inlineStr">
        <x:is>
          <x:t xml:space="preserve">Life, biological information, and teleology</x:t>
        </x:is>
      </x:c>
      <x:c r="E67" s="12" t="inlineStr">
        <x:is>
          <x:t xml:space="preserve">Natural selection explains differential survival given replicating systems; it is not by itself a complete theory of the first replicator.</x:t>
        </x:is>
      </x:c>
      <x:c r="F67" s="12" t="n"/>
      <x:c r="G67" s="12" t="n"/>
      <x:c r="H67" s="12" t="n"/>
      <x:c r="I67" s="12" t="n"/>
      <x:c r="J67" s="12" t="n"/>
      <x:c r="K67" s="12" t="n"/>
      <x:c r="L67" s="12" t="n"/>
      <x:c r="M67" s="12" t="n"/>
      <x:c r="N67" s="12" t="n"/>
      <x:c r="O67" s="12" t="n"/>
      <x:c r="P67" s="12" t="n"/>
      <x:c r="Q67" s="12" t="n"/>
      <x:c r="R67" s="12" t="inlineStr">
        <x:is>
          <x:t xml:space="preserve">Not started</x:t>
        </x:is>
      </x:c>
      <x:c r="S67" s="12" t="n"/>
      <x:c r="T67" s="12" t="n"/>
      <x:c r="U67" s="12" t="n">
        <x:v>163</x:v>
      </x:c>
    </x:row>
    <x:row r="68" ht="28.799999237060547" customHeight="1">
      <x:c r="A68" s="13" t="inlineStr">
        <x:is>
          <x:t xml:space="preserve">BIO-0040</x:t>
        </x:is>
      </x:c>
      <x:c r="B68" s="12" t="inlineStr">
        <x:is>
          <x:t xml:space="preserve">V</x:t>
        </x:is>
      </x:c>
      <x:c r="C68" s="12" t="inlineStr">
        <x:is>
          <x:t xml:space="preserve">BIO</x:t>
        </x:is>
      </x:c>
      <x:c r="D68" s="12" t="inlineStr">
        <x:is>
          <x:t xml:space="preserve">Life, biological information, and teleology</x:t>
        </x:is>
      </x:c>
      <x:c r="E68" s="12" t="inlineStr">
        <x:is>
          <x:t xml:space="preserve">Origin-of-life research and evolutionary biology address overlapping but distinct questions.</x:t>
        </x:is>
      </x:c>
      <x:c r="F68" s="12" t="n"/>
      <x:c r="G68" s="12" t="n"/>
      <x:c r="H68" s="12" t="n"/>
      <x:c r="I68" s="12" t="n"/>
      <x:c r="J68" s="12" t="n"/>
      <x:c r="K68" s="12" t="n"/>
      <x:c r="L68" s="12" t="n"/>
      <x:c r="M68" s="12" t="n"/>
      <x:c r="N68" s="12" t="n"/>
      <x:c r="O68" s="12" t="n"/>
      <x:c r="P68" s="12" t="n"/>
      <x:c r="Q68" s="12" t="n"/>
      <x:c r="R68" s="12" t="inlineStr">
        <x:is>
          <x:t xml:space="preserve">Not started</x:t>
        </x:is>
      </x:c>
      <x:c r="S68" s="12" t="n"/>
      <x:c r="T68" s="12" t="n"/>
      <x:c r="U68" s="12" t="n">
        <x:v>164</x:v>
      </x:c>
    </x:row>
    <x:row r="69" ht="28.799999237060547" customHeight="1">
      <x:c r="A69" s="13" t="inlineStr">
        <x:is>
          <x:t xml:space="preserve">BIO-0050</x:t>
        </x:is>
      </x:c>
      <x:c r="B69" s="12" t="inlineStr">
        <x:is>
          <x:t xml:space="preserve">V</x:t>
        </x:is>
      </x:c>
      <x:c r="C69" s="12" t="inlineStr">
        <x:is>
          <x:t xml:space="preserve">BIO</x:t>
        </x:is>
      </x:c>
      <x:c r="D69" s="12" t="inlineStr">
        <x:is>
          <x:t xml:space="preserve">Life, biological information, and teleology</x:t>
        </x:is>
      </x:c>
      <x:c r="E69" s="12" t="inlineStr">
        <x:is>
          <x:t xml:space="preserve">“Information” has multiple technical and nontechnical meanings.</x:t>
        </x:is>
      </x:c>
      <x:c r="F69" s="12" t="n"/>
      <x:c r="G69" s="12" t="n"/>
      <x:c r="H69" s="12" t="n"/>
      <x:c r="I69" s="12" t="n"/>
      <x:c r="J69" s="12" t="n"/>
      <x:c r="K69" s="12" t="n"/>
      <x:c r="L69" s="12" t="n"/>
      <x:c r="M69" s="12" t="n"/>
      <x:c r="N69" s="12" t="n"/>
      <x:c r="O69" s="12" t="n"/>
      <x:c r="P69" s="12" t="n"/>
      <x:c r="Q69" s="12" t="n"/>
      <x:c r="R69" s="12" t="inlineStr">
        <x:is>
          <x:t xml:space="preserve">Not started</x:t>
        </x:is>
      </x:c>
      <x:c r="S69" s="12" t="n"/>
      <x:c r="T69" s="12" t="n"/>
      <x:c r="U69" s="12" t="n">
        <x:v>165</x:v>
      </x:c>
    </x:row>
    <x:row r="70" ht="28.799999237060547" customHeight="1">
      <x:c r="A70" s="13" t="inlineStr">
        <x:is>
          <x:t xml:space="preserve">BIO-0060</x:t>
        </x:is>
      </x:c>
      <x:c r="B70" s="12" t="inlineStr">
        <x:is>
          <x:t xml:space="preserve">V</x:t>
        </x:is>
      </x:c>
      <x:c r="C70" s="12" t="inlineStr">
        <x:is>
          <x:t xml:space="preserve">BIO</x:t>
        </x:is>
      </x:c>
      <x:c r="D70" s="12" t="inlineStr">
        <x:is>
          <x:t xml:space="preserve">Life, biological information, and teleology</x:t>
        </x:is>
      </x:c>
      <x:c r="E70" s="12" t="inlineStr">
        <x:is>
          <x:t xml:space="preserve">Shannon information does not by itself imply semantic meaning or intelligent authorship.</x:t>
        </x:is>
      </x:c>
      <x:c r="F70" s="12" t="n"/>
      <x:c r="G70" s="12" t="n"/>
      <x:c r="H70" s="12" t="n"/>
      <x:c r="I70" s="12" t="n"/>
      <x:c r="J70" s="12" t="n"/>
      <x:c r="K70" s="12" t="n"/>
      <x:c r="L70" s="12" t="n"/>
      <x:c r="M70" s="12" t="n"/>
      <x:c r="N70" s="12" t="n"/>
      <x:c r="O70" s="12" t="n"/>
      <x:c r="P70" s="12" t="n"/>
      <x:c r="Q70" s="12" t="n"/>
      <x:c r="R70" s="12" t="inlineStr">
        <x:is>
          <x:t xml:space="preserve">Not started</x:t>
        </x:is>
      </x:c>
      <x:c r="S70" s="12" t="n"/>
      <x:c r="T70" s="12" t="n"/>
      <x:c r="U70" s="12" t="n">
        <x:v>166</x:v>
      </x:c>
    </x:row>
    <x:row r="71" ht="28.799999237060547" customHeight="1">
      <x:c r="A71" s="13" t="inlineStr">
        <x:is>
          <x:t xml:space="preserve">BIO-0070</x:t>
        </x:is>
      </x:c>
      <x:c r="B71" s="12" t="inlineStr">
        <x:is>
          <x:t xml:space="preserve">V</x:t>
        </x:is>
      </x:c>
      <x:c r="C71" s="12" t="inlineStr">
        <x:is>
          <x:t xml:space="preserve">BIO</x:t>
        </x:is>
      </x:c>
      <x:c r="D71" s="12" t="inlineStr">
        <x:is>
          <x:t xml:space="preserve">Life, biological information, and teleology</x:t>
        </x:is>
      </x:c>
      <x:c r="E71" s="12" t="inlineStr">
        <x:is>
          <x:t xml:space="preserve">Functional biological organization may raise questions not settled merely by measuring Shannon information.</x:t>
        </x:is>
      </x:c>
      <x:c r="F71" s="12" t="n"/>
      <x:c r="G71" s="12" t="n"/>
      <x:c r="H71" s="12" t="n"/>
      <x:c r="I71" s="12" t="n"/>
      <x:c r="J71" s="12" t="n"/>
      <x:c r="K71" s="12" t="n"/>
      <x:c r="L71" s="12" t="n"/>
      <x:c r="M71" s="12" t="n"/>
      <x:c r="N71" s="12" t="n"/>
      <x:c r="O71" s="12" t="n"/>
      <x:c r="P71" s="12" t="n"/>
      <x:c r="Q71" s="12" t="n"/>
      <x:c r="R71" s="12" t="inlineStr">
        <x:is>
          <x:t xml:space="preserve">Not started</x:t>
        </x:is>
      </x:c>
      <x:c r="S71" s="12" t="n"/>
      <x:c r="T71" s="12" t="n"/>
      <x:c r="U71" s="12" t="n">
        <x:v>167</x:v>
      </x:c>
    </x:row>
    <x:row r="72" ht="28.799999237060547" customHeight="1">
      <x:c r="A72" s="13" t="inlineStr">
        <x:is>
          <x:t xml:space="preserve">BIO-0080</x:t>
        </x:is>
      </x:c>
      <x:c r="B72" s="12" t="inlineStr">
        <x:is>
          <x:t xml:space="preserve">V</x:t>
        </x:is>
      </x:c>
      <x:c r="C72" s="12" t="inlineStr">
        <x:is>
          <x:t xml:space="preserve">BIO</x:t>
        </x:is>
      </x:c>
      <x:c r="D72" s="12" t="inlineStr">
        <x:is>
          <x:t xml:space="preserve">Life, biological information, and teleology</x:t>
        </x:is>
      </x:c>
      <x:c r="E72" s="12" t="inlineStr">
        <x:is>
          <x:t xml:space="preserve">Gaps in present scientific knowledge are not positive demonstrations of divine action.</x:t>
        </x:is>
      </x:c>
      <x:c r="F72" s="12" t="n"/>
      <x:c r="G72" s="12" t="n"/>
      <x:c r="H72" s="12" t="n"/>
      <x:c r="I72" s="12" t="n"/>
      <x:c r="J72" s="12" t="n"/>
      <x:c r="K72" s="12" t="n"/>
      <x:c r="L72" s="12" t="n"/>
      <x:c r="M72" s="12" t="n"/>
      <x:c r="N72" s="12" t="n"/>
      <x:c r="O72" s="12" t="n"/>
      <x:c r="P72" s="12" t="n"/>
      <x:c r="Q72" s="12" t="n"/>
      <x:c r="R72" s="12" t="inlineStr">
        <x:is>
          <x:t xml:space="preserve">Not started</x:t>
        </x:is>
      </x:c>
      <x:c r="S72" s="12" t="n"/>
      <x:c r="T72" s="12" t="n"/>
      <x:c r="U72" s="12" t="n">
        <x:v>168</x:v>
      </x:c>
    </x:row>
    <x:row r="73" ht="28.799999237060547" customHeight="1">
      <x:c r="A73" s="13" t="inlineStr">
        <x:is>
          <x:t xml:space="preserve">BIO-0090</x:t>
        </x:is>
      </x:c>
      <x:c r="B73" s="12" t="inlineStr">
        <x:is>
          <x:t xml:space="preserve">V</x:t>
        </x:is>
      </x:c>
      <x:c r="C73" s="12" t="inlineStr">
        <x:is>
          <x:t xml:space="preserve">BIO</x:t>
        </x:is>
      </x:c>
      <x:c r="D73" s="12" t="inlineStr">
        <x:is>
          <x:t xml:space="preserve">Life, biological information, and teleology</x:t>
        </x:is>
      </x:c>
      <x:c r="E73" s="12" t="inlineStr">
        <x:is>
          <x:t xml:space="preserve">A design argument should not depend solely on current scientific ignorance.</x:t>
        </x:is>
      </x:c>
      <x:c r="F73" s="12" t="n"/>
      <x:c r="G73" s="12" t="n"/>
      <x:c r="H73" s="12" t="n"/>
      <x:c r="I73" s="12" t="n"/>
      <x:c r="J73" s="12" t="n"/>
      <x:c r="K73" s="12" t="n"/>
      <x:c r="L73" s="12" t="n"/>
      <x:c r="M73" s="12" t="n"/>
      <x:c r="N73" s="12" t="n"/>
      <x:c r="O73" s="12" t="n"/>
      <x:c r="P73" s="12" t="n"/>
      <x:c r="Q73" s="12" t="n"/>
      <x:c r="R73" s="12" t="inlineStr">
        <x:is>
          <x:t xml:space="preserve">Not started</x:t>
        </x:is>
      </x:c>
      <x:c r="S73" s="12" t="n"/>
      <x:c r="T73" s="12" t="n"/>
      <x:c r="U73" s="12" t="n">
        <x:v>169</x:v>
      </x:c>
    </x:row>
    <x:row r="74" ht="28.799999237060547" customHeight="1">
      <x:c r="A74" s="13" t="inlineStr">
        <x:is>
          <x:t xml:space="preserve">BIO-0100</x:t>
        </x:is>
      </x:c>
      <x:c r="B74" s="12" t="inlineStr">
        <x:is>
          <x:t xml:space="preserve">V</x:t>
        </x:is>
      </x:c>
      <x:c r="C74" s="12" t="inlineStr">
        <x:is>
          <x:t xml:space="preserve">BIO</x:t>
        </x:is>
      </x:c>
      <x:c r="D74" s="12" t="inlineStr">
        <x:is>
          <x:t xml:space="preserve">Life, biological information, and teleology</x:t>
        </x:is>
      </x:c>
      <x:c r="E74" s="12" t="inlineStr">
        <x:is>
          <x:t xml:space="preserve">Theism may be compatible with law-governed secondary causes.</x:t>
        </x:is>
      </x:c>
      <x:c r="F74" s="12" t="n"/>
      <x:c r="G74" s="12" t="n"/>
      <x:c r="H74" s="12" t="n"/>
      <x:c r="I74" s="12" t="n"/>
      <x:c r="J74" s="12" t="n"/>
      <x:c r="K74" s="12" t="n"/>
      <x:c r="L74" s="12" t="n"/>
      <x:c r="M74" s="12" t="n"/>
      <x:c r="N74" s="12" t="n"/>
      <x:c r="O74" s="12" t="n"/>
      <x:c r="P74" s="12" t="n"/>
      <x:c r="Q74" s="12" t="n"/>
      <x:c r="R74" s="12" t="inlineStr">
        <x:is>
          <x:t xml:space="preserve">Not started</x:t>
        </x:is>
      </x:c>
      <x:c r="S74" s="12" t="n"/>
      <x:c r="T74" s="12" t="n"/>
      <x:c r="U74" s="12" t="n">
        <x:v>170</x:v>
      </x:c>
    </x:row>
    <x:row r="75" ht="28.799999237060547" customHeight="1">
      <x:c r="A75" s="13" t="inlineStr">
        <x:is>
          <x:t xml:space="preserve">BIO-0110</x:t>
        </x:is>
      </x:c>
      <x:c r="B75" s="12" t="inlineStr">
        <x:is>
          <x:t xml:space="preserve">V</x:t>
        </x:is>
      </x:c>
      <x:c r="C75" s="12" t="inlineStr">
        <x:is>
          <x:t xml:space="preserve">BIO</x:t>
        </x:is>
      </x:c>
      <x:c r="D75" s="12" t="inlineStr">
        <x:is>
          <x:t xml:space="preserve">Life, biological information, and teleology</x:t>
        </x:is>
      </x:c>
      <x:c r="E75" s="12" t="inlineStr">
        <x:is>
          <x:t xml:space="preserve">Christian doctrine does not require one universally accepted position on the age of the Earth.</x:t>
        </x:is>
      </x:c>
      <x:c r="F75" s="12" t="n"/>
      <x:c r="G75" s="12" t="n"/>
      <x:c r="H75" s="12" t="n"/>
      <x:c r="I75" s="12" t="n"/>
      <x:c r="J75" s="12" t="n"/>
      <x:c r="K75" s="12" t="n"/>
      <x:c r="L75" s="12" t="n"/>
      <x:c r="M75" s="12" t="n"/>
      <x:c r="N75" s="12" t="n"/>
      <x:c r="O75" s="12" t="n"/>
      <x:c r="P75" s="12" t="n"/>
      <x:c r="Q75" s="12" t="n"/>
      <x:c r="R75" s="12" t="inlineStr">
        <x:is>
          <x:t xml:space="preserve">Not started</x:t>
        </x:is>
      </x:c>
      <x:c r="S75" s="12" t="n"/>
      <x:c r="T75" s="12" t="n"/>
      <x:c r="U75" s="12" t="n">
        <x:v>171</x:v>
      </x:c>
    </x:row>
    <x:row r="76" ht="28.799999237060547" customHeight="1">
      <x:c r="A76" s="13" t="inlineStr">
        <x:is>
          <x:t xml:space="preserve">BIO-0120</x:t>
        </x:is>
      </x:c>
      <x:c r="B76" s="12" t="inlineStr">
        <x:is>
          <x:t xml:space="preserve">V</x:t>
        </x:is>
      </x:c>
      <x:c r="C76" s="12" t="inlineStr">
        <x:is>
          <x:t xml:space="preserve">BIO</x:t>
        </x:is>
      </x:c>
      <x:c r="D76" s="12" t="inlineStr">
        <x:is>
          <x:t xml:space="preserve">Life, biological information, and teleology</x:t>
        </x:is>
      </x:c>
      <x:c r="E76" s="12" t="inlineStr">
        <x:is>
          <x:t xml:space="preserve">Christian traditions differ concerning Adam, death before the Fall, and the interpretation of Genesis.</x:t>
        </x:is>
      </x:c>
      <x:c r="F76" s="12" t="n"/>
      <x:c r="G76" s="12" t="n"/>
      <x:c r="H76" s="12" t="n"/>
      <x:c r="I76" s="12" t="n"/>
      <x:c r="J76" s="12" t="n"/>
      <x:c r="K76" s="12" t="n"/>
      <x:c r="L76" s="12" t="n"/>
      <x:c r="M76" s="12" t="n"/>
      <x:c r="N76" s="12" t="n"/>
      <x:c r="O76" s="12" t="n"/>
      <x:c r="P76" s="12" t="n"/>
      <x:c r="Q76" s="12" t="n"/>
      <x:c r="R76" s="12" t="inlineStr">
        <x:is>
          <x:t xml:space="preserve">Not started</x:t>
        </x:is>
      </x:c>
      <x:c r="S76" s="12" t="n"/>
      <x:c r="T76" s="12" t="n"/>
      <x:c r="U76" s="12" t="n">
        <x:v>172</x:v>
      </x:c>
    </x:row>
    <x:row r="77" ht="28.799999237060547" customHeight="1">
      <x:c r="A77" s="13" t="inlineStr">
        <x:is>
          <x:t xml:space="preserve">BIO-0130</x:t>
        </x:is>
      </x:c>
      <x:c r="B77" s="12" t="inlineStr">
        <x:is>
          <x:t xml:space="preserve">V</x:t>
        </x:is>
      </x:c>
      <x:c r="C77" s="12" t="inlineStr">
        <x:is>
          <x:t xml:space="preserve">BIO</x:t>
        </x:is>
      </x:c>
      <x:c r="D77" s="12" t="inlineStr">
        <x:is>
          <x:t xml:space="preserve">Life, biological information, and teleology</x:t>
        </x:is>
      </x:c>
      <x:c r="E77" s="12" t="inlineStr">
        <x:is>
          <x:t xml:space="preserve">Scientific evidence must not be altered to protect a predetermined interpretation.</x:t>
        </x:is>
      </x:c>
      <x:c r="F77" s="12" t="n"/>
      <x:c r="G77" s="12" t="n"/>
      <x:c r="H77" s="12" t="n"/>
      <x:c r="I77" s="12" t="n"/>
      <x:c r="J77" s="12" t="n"/>
      <x:c r="K77" s="12" t="n"/>
      <x:c r="L77" s="12" t="n"/>
      <x:c r="M77" s="12" t="n"/>
      <x:c r="N77" s="12" t="n"/>
      <x:c r="O77" s="12" t="n"/>
      <x:c r="P77" s="12" t="n"/>
      <x:c r="Q77" s="12" t="n"/>
      <x:c r="R77" s="12" t="inlineStr">
        <x:is>
          <x:t xml:space="preserve">Not started</x:t>
        </x:is>
      </x:c>
      <x:c r="S77" s="12" t="n"/>
      <x:c r="T77" s="12" t="n"/>
      <x:c r="U77" s="12" t="n">
        <x:v>173</x:v>
      </x:c>
    </x:row>
    <x:row r="78" ht="28.799999237060547" customHeight="1">
      <x:c r="A78" s="13" t="inlineStr">
        <x:is>
          <x:t xml:space="preserve">MND-0010</x:t>
        </x:is>
      </x:c>
      <x:c r="B78" s="12" t="inlineStr">
        <x:is>
          <x:t xml:space="preserve">VI</x:t>
        </x:is>
      </x:c>
      <x:c r="C78" s="12" t="inlineStr">
        <x:is>
          <x:t xml:space="preserve">MND</x:t>
        </x:is>
      </x:c>
      <x:c r="D78" s="12" t="inlineStr">
        <x:is>
          <x:t xml:space="preserve">Consciousness, mind, and rationality</x:t>
        </x:is>
      </x:c>
      <x:c r="E78" s="12" t="inlineStr">
        <x:is>
          <x:t xml:space="preserve">A complete inventory of third-person physical facts may not transparently entail first-person qualitative experience.</x:t>
        </x:is>
      </x:c>
      <x:c r="F78" s="12" t="n"/>
      <x:c r="G78" s="12" t="n"/>
      <x:c r="H78" s="12" t="n"/>
      <x:c r="I78" s="12" t="n"/>
      <x:c r="J78" s="12" t="n"/>
      <x:c r="K78" s="12" t="n"/>
      <x:c r="L78" s="12" t="n"/>
      <x:c r="M78" s="12" t="n"/>
      <x:c r="N78" s="12" t="n"/>
      <x:c r="O78" s="12" t="n"/>
      <x:c r="P78" s="12" t="n"/>
      <x:c r="Q78" s="12" t="n"/>
      <x:c r="R78" s="12" t="inlineStr">
        <x:is>
          <x:t xml:space="preserve">Not started</x:t>
        </x:is>
      </x:c>
      <x:c r="S78" s="12" t="n"/>
      <x:c r="T78" s="12" t="n"/>
      <x:c r="U78" s="12" t="n">
        <x:v>180</x:v>
      </x:c>
    </x:row>
    <x:row r="79" ht="28.799999237060547" customHeight="1">
      <x:c r="A79" s="13" t="inlineStr">
        <x:is>
          <x:t xml:space="preserve">MND-0020</x:t>
        </x:is>
      </x:c>
      <x:c r="B79" s="12" t="inlineStr">
        <x:is>
          <x:t xml:space="preserve">VI</x:t>
        </x:is>
      </x:c>
      <x:c r="C79" s="12" t="inlineStr">
        <x:is>
          <x:t xml:space="preserve">MND</x:t>
        </x:is>
      </x:c>
      <x:c r="D79" s="12" t="inlineStr">
        <x:is>
          <x:t xml:space="preserve">Consciousness, mind, and rationality</x:t>
        </x:is>
      </x:c>
      <x:c r="E79" s="12" t="inlineStr">
        <x:is>
          <x:t xml:space="preserve">The hard problem of consciousness remains conceptually distinct from explaining cognitive functions.</x:t>
        </x:is>
      </x:c>
      <x:c r="F79" s="12" t="n"/>
      <x:c r="G79" s="12" t="n"/>
      <x:c r="H79" s="12" t="n"/>
      <x:c r="I79" s="12" t="n"/>
      <x:c r="J79" s="12" t="n"/>
      <x:c r="K79" s="12" t="n"/>
      <x:c r="L79" s="12" t="n"/>
      <x:c r="M79" s="12" t="n"/>
      <x:c r="N79" s="12" t="n"/>
      <x:c r="O79" s="12" t="n"/>
      <x:c r="P79" s="12" t="n"/>
      <x:c r="Q79" s="12" t="n"/>
      <x:c r="R79" s="12" t="inlineStr">
        <x:is>
          <x:t xml:space="preserve">Not started</x:t>
        </x:is>
      </x:c>
      <x:c r="S79" s="12" t="n"/>
      <x:c r="T79" s="12" t="n"/>
      <x:c r="U79" s="12" t="n">
        <x:v>181</x:v>
      </x:c>
    </x:row>
    <x:row r="80" ht="28.799999237060547" customHeight="1">
      <x:c r="A80" s="13" t="inlineStr">
        <x:is>
          <x:t xml:space="preserve">MND-0030</x:t>
        </x:is>
      </x:c>
      <x:c r="B80" s="12" t="inlineStr">
        <x:is>
          <x:t xml:space="preserve">VI</x:t>
        </x:is>
      </x:c>
      <x:c r="C80" s="12" t="inlineStr">
        <x:is>
          <x:t xml:space="preserve">MND</x:t>
        </x:is>
      </x:c>
      <x:c r="D80" s="12" t="inlineStr">
        <x:is>
          <x:t xml:space="preserve">Consciousness, mind, and rationality</x:t>
        </x:is>
      </x:c>
      <x:c r="E80" s="12" t="inlineStr">
        <x:is>
          <x:t xml:space="preserve">Substance dualism, property dualism, hylomorphism, idealism, panpsychism, and physicalism are competing models.</x:t>
        </x:is>
      </x:c>
      <x:c r="F80" s="12" t="n"/>
      <x:c r="G80" s="12" t="n"/>
      <x:c r="H80" s="12" t="n"/>
      <x:c r="I80" s="12" t="n"/>
      <x:c r="J80" s="12" t="n"/>
      <x:c r="K80" s="12" t="n"/>
      <x:c r="L80" s="12" t="n"/>
      <x:c r="M80" s="12" t="n"/>
      <x:c r="N80" s="12" t="n"/>
      <x:c r="O80" s="12" t="n"/>
      <x:c r="P80" s="12" t="n"/>
      <x:c r="Q80" s="12" t="n"/>
      <x:c r="R80" s="12" t="inlineStr">
        <x:is>
          <x:t xml:space="preserve">Not started</x:t>
        </x:is>
      </x:c>
      <x:c r="S80" s="12" t="n"/>
      <x:c r="T80" s="12" t="n"/>
      <x:c r="U80" s="12" t="n">
        <x:v>182</x:v>
      </x:c>
    </x:row>
    <x:row r="81" ht="28.799999237060547" customHeight="1">
      <x:c r="A81" s="13" t="inlineStr">
        <x:is>
          <x:t xml:space="preserve">MND-0040</x:t>
        </x:is>
      </x:c>
      <x:c r="B81" s="12" t="inlineStr">
        <x:is>
          <x:t xml:space="preserve">VI</x:t>
        </x:is>
      </x:c>
      <x:c r="C81" s="12" t="inlineStr">
        <x:is>
          <x:t xml:space="preserve">MND</x:t>
        </x:is>
      </x:c>
      <x:c r="D81" s="12" t="inlineStr">
        <x:is>
          <x:t xml:space="preserve">Consciousness, mind, and rationality</x:t>
        </x:is>
      </x:c>
      <x:c r="E81" s="12" t="inlineStr">
        <x:is>
          <x:t xml:space="preserve">Correlation between brain states and mental states does not by itself establish identity.</x:t>
        </x:is>
      </x:c>
      <x:c r="F81" s="12" t="n"/>
      <x:c r="G81" s="12" t="n"/>
      <x:c r="H81" s="12" t="n"/>
      <x:c r="I81" s="12" t="n"/>
      <x:c r="J81" s="12" t="n"/>
      <x:c r="K81" s="12" t="n"/>
      <x:c r="L81" s="12" t="n"/>
      <x:c r="M81" s="12" t="n"/>
      <x:c r="N81" s="12" t="n"/>
      <x:c r="O81" s="12" t="n"/>
      <x:c r="P81" s="12" t="n"/>
      <x:c r="Q81" s="12" t="n"/>
      <x:c r="R81" s="12" t="inlineStr">
        <x:is>
          <x:t xml:space="preserve">Not started</x:t>
        </x:is>
      </x:c>
      <x:c r="S81" s="12" t="n"/>
      <x:c r="T81" s="12" t="n"/>
      <x:c r="U81" s="12" t="n">
        <x:v>183</x:v>
      </x:c>
    </x:row>
    <x:row r="82" ht="28.799999237060547" customHeight="1">
      <x:c r="A82" s="13" t="inlineStr">
        <x:is>
          <x:t xml:space="preserve">MND-0050</x:t>
        </x:is>
      </x:c>
      <x:c r="B82" s="12" t="inlineStr">
        <x:is>
          <x:t xml:space="preserve">VI</x:t>
        </x:is>
      </x:c>
      <x:c r="C82" s="12" t="inlineStr">
        <x:is>
          <x:t xml:space="preserve">MND</x:t>
        </x:is>
      </x:c>
      <x:c r="D82" s="12" t="inlineStr">
        <x:is>
          <x:t xml:space="preserve">Consciousness, mind, and rationality</x:t>
        </x:is>
      </x:c>
      <x:c r="E82" s="12" t="inlineStr">
        <x:is>
          <x:t xml:space="preserve">Dependence of mental function on the brain does not alone disprove every form of dualism.</x:t>
        </x:is>
      </x:c>
      <x:c r="F82" s="12" t="n"/>
      <x:c r="G82" s="12" t="n"/>
      <x:c r="H82" s="12" t="n"/>
      <x:c r="I82" s="12" t="n"/>
      <x:c r="J82" s="12" t="n"/>
      <x:c r="K82" s="12" t="n"/>
      <x:c r="L82" s="12" t="n"/>
      <x:c r="M82" s="12" t="n"/>
      <x:c r="N82" s="12" t="n"/>
      <x:c r="O82" s="12" t="n"/>
      <x:c r="P82" s="12" t="n"/>
      <x:c r="Q82" s="12" t="n"/>
      <x:c r="R82" s="12" t="inlineStr">
        <x:is>
          <x:t xml:space="preserve">Not started</x:t>
        </x:is>
      </x:c>
      <x:c r="S82" s="12" t="n"/>
      <x:c r="T82" s="12" t="n"/>
      <x:c r="U82" s="12" t="n">
        <x:v>184</x:v>
      </x:c>
    </x:row>
    <x:row r="83" ht="28.799999237060547" customHeight="1">
      <x:c r="A83" s="13" t="inlineStr">
        <x:is>
          <x:t xml:space="preserve">MND-0060</x:t>
        </x:is>
      </x:c>
      <x:c r="B83" s="12" t="inlineStr">
        <x:is>
          <x:t xml:space="preserve">VI</x:t>
        </x:is>
      </x:c>
      <x:c r="C83" s="12" t="inlineStr">
        <x:is>
          <x:t xml:space="preserve">MND</x:t>
        </x:is>
      </x:c>
      <x:c r="D83" s="12" t="inlineStr">
        <x:is>
          <x:t xml:space="preserve">Consciousness, mind, and rationality</x:t>
        </x:is>
      </x:c>
      <x:c r="E83" s="12" t="inlineStr">
        <x:is>
          <x:t xml:space="preserve">Physicalism does not necessarily entail eliminativism.</x:t>
        </x:is>
      </x:c>
      <x:c r="F83" s="12" t="n"/>
      <x:c r="G83" s="12" t="n"/>
      <x:c r="H83" s="12" t="n"/>
      <x:c r="I83" s="12" t="n"/>
      <x:c r="J83" s="12" t="n"/>
      <x:c r="K83" s="12" t="n"/>
      <x:c r="L83" s="12" t="n"/>
      <x:c r="M83" s="12" t="n"/>
      <x:c r="N83" s="12" t="n"/>
      <x:c r="O83" s="12" t="n"/>
      <x:c r="P83" s="12" t="n"/>
      <x:c r="Q83" s="12" t="n"/>
      <x:c r="R83" s="12" t="inlineStr">
        <x:is>
          <x:t xml:space="preserve">Not started</x:t>
        </x:is>
      </x:c>
      <x:c r="S83" s="12" t="n"/>
      <x:c r="T83" s="12" t="n"/>
      <x:c r="U83" s="12" t="n">
        <x:v>185</x:v>
      </x:c>
    </x:row>
    <x:row r="84" ht="28.799999237060547" customHeight="1">
      <x:c r="A84" s="13" t="inlineStr">
        <x:is>
          <x:t xml:space="preserve">MND-0070</x:t>
        </x:is>
      </x:c>
      <x:c r="B84" s="12" t="inlineStr">
        <x:is>
          <x:t xml:space="preserve">VI</x:t>
        </x:is>
      </x:c>
      <x:c r="C84" s="12" t="inlineStr">
        <x:is>
          <x:t xml:space="preserve">MND</x:t>
        </x:is>
      </x:c>
      <x:c r="D84" s="12" t="inlineStr">
        <x:is>
          <x:t xml:space="preserve">Consciousness, mind, and rationality</x:t>
        </x:is>
      </x:c>
      <x:c r="E84" s="12" t="inlineStr">
        <x:is>
          <x:t xml:space="preserve">Intentionality—the “aboutness” of thought—requires explanation.</x:t>
        </x:is>
      </x:c>
      <x:c r="F84" s="12" t="n"/>
      <x:c r="G84" s="12" t="n"/>
      <x:c r="H84" s="12" t="n"/>
      <x:c r="I84" s="12" t="n"/>
      <x:c r="J84" s="12" t="n"/>
      <x:c r="K84" s="12" t="n"/>
      <x:c r="L84" s="12" t="n"/>
      <x:c r="M84" s="12" t="n"/>
      <x:c r="N84" s="12" t="n"/>
      <x:c r="O84" s="12" t="n"/>
      <x:c r="P84" s="12" t="n"/>
      <x:c r="Q84" s="12" t="n"/>
      <x:c r="R84" s="12" t="inlineStr">
        <x:is>
          <x:t xml:space="preserve">Not started</x:t>
        </x:is>
      </x:c>
      <x:c r="S84" s="12" t="n"/>
      <x:c r="T84" s="12" t="n"/>
      <x:c r="U84" s="12" t="n">
        <x:v>186</x:v>
      </x:c>
    </x:row>
    <x:row r="85" ht="28.799999237060547" customHeight="1">
      <x:c r="A85" s="13" t="inlineStr">
        <x:is>
          <x:t xml:space="preserve">MND-0080</x:t>
        </x:is>
      </x:c>
      <x:c r="B85" s="12" t="inlineStr">
        <x:is>
          <x:t xml:space="preserve">VI</x:t>
        </x:is>
      </x:c>
      <x:c r="C85" s="12" t="inlineStr">
        <x:is>
          <x:t xml:space="preserve">MND</x:t>
        </x:is>
      </x:c>
      <x:c r="D85" s="12" t="inlineStr">
        <x:is>
          <x:t xml:space="preserve">Consciousness, mind, and rationality</x:t>
        </x:is>
      </x:c>
      <x:c r="E85" s="12" t="inlineStr">
        <x:is>
          <x:t xml:space="preserve">Logical validity is normative rather than merely descriptive.</x:t>
        </x:is>
      </x:c>
      <x:c r="F85" s="12" t="n"/>
      <x:c r="G85" s="12" t="n"/>
      <x:c r="H85" s="12" t="n"/>
      <x:c r="I85" s="12" t="n"/>
      <x:c r="J85" s="12" t="n"/>
      <x:c r="K85" s="12" t="n"/>
      <x:c r="L85" s="12" t="n"/>
      <x:c r="M85" s="12" t="n"/>
      <x:c r="N85" s="12" t="n"/>
      <x:c r="O85" s="12" t="n"/>
      <x:c r="P85" s="12" t="n"/>
      <x:c r="Q85" s="12" t="n"/>
      <x:c r="R85" s="12" t="inlineStr">
        <x:is>
          <x:t xml:space="preserve">Not started</x:t>
        </x:is>
      </x:c>
      <x:c r="S85" s="12" t="n"/>
      <x:c r="T85" s="12" t="n"/>
      <x:c r="U85" s="12" t="n">
        <x:v>187</x:v>
      </x:c>
    </x:row>
    <x:row r="86" ht="28.799999237060547" customHeight="1">
      <x:c r="A86" s="13" t="inlineStr">
        <x:is>
          <x:t xml:space="preserve">MND-0090</x:t>
        </x:is>
      </x:c>
      <x:c r="B86" s="12" t="inlineStr">
        <x:is>
          <x:t xml:space="preserve">VI</x:t>
        </x:is>
      </x:c>
      <x:c r="C86" s="12" t="inlineStr">
        <x:is>
          <x:t xml:space="preserve">MND</x:t>
        </x:is>
      </x:c>
      <x:c r="D86" s="12" t="inlineStr">
        <x:is>
          <x:t xml:space="preserve">Consciousness, mind, and rationality</x:t>
        </x:is>
      </x:c>
      <x:c r="E86" s="12" t="inlineStr">
        <x:is>
          <x:t xml:space="preserve">Evolutionary explanations of cognition may explain adaptive behavior without automatically establishing truth-tracking in every domain.</x:t>
        </x:is>
      </x:c>
      <x:c r="F86" s="12" t="n"/>
      <x:c r="G86" s="12" t="n"/>
      <x:c r="H86" s="12" t="n"/>
      <x:c r="I86" s="12" t="n"/>
      <x:c r="J86" s="12" t="n"/>
      <x:c r="K86" s="12" t="n"/>
      <x:c r="L86" s="12" t="n"/>
      <x:c r="M86" s="12" t="n"/>
      <x:c r="N86" s="12" t="n"/>
      <x:c r="O86" s="12" t="n"/>
      <x:c r="P86" s="12" t="n"/>
      <x:c r="Q86" s="12" t="n"/>
      <x:c r="R86" s="12" t="inlineStr">
        <x:is>
          <x:t xml:space="preserve">Not started</x:t>
        </x:is>
      </x:c>
      <x:c r="S86" s="12" t="n"/>
      <x:c r="T86" s="12" t="n"/>
      <x:c r="U86" s="12" t="n">
        <x:v>188</x:v>
      </x:c>
    </x:row>
    <x:row r="87" ht="28.799999237060547" customHeight="1">
      <x:c r="A87" s="13" t="inlineStr">
        <x:is>
          <x:t xml:space="preserve">MND-0100</x:t>
        </x:is>
      </x:c>
      <x:c r="B87" s="12" t="inlineStr">
        <x:is>
          <x:t xml:space="preserve">VI</x:t>
        </x:is>
      </x:c>
      <x:c r="C87" s="12" t="inlineStr">
        <x:is>
          <x:t xml:space="preserve">MND</x:t>
        </x:is>
      </x:c>
      <x:c r="D87" s="12" t="inlineStr">
        <x:is>
          <x:t xml:space="preserve">Consciousness, mind, and rationality</x:t>
        </x:is>
      </x:c>
      <x:c r="E87" s="12" t="inlineStr">
        <x:is>
          <x:t xml:space="preserve">An evolutionary argument against naturalism must distinguish global skepticism from limited cognitive fallibility.</x:t>
        </x:is>
      </x:c>
      <x:c r="F87" s="12" t="n"/>
      <x:c r="G87" s="12" t="n"/>
      <x:c r="H87" s="12" t="n"/>
      <x:c r="I87" s="12" t="n"/>
      <x:c r="J87" s="12" t="n"/>
      <x:c r="K87" s="12" t="n"/>
      <x:c r="L87" s="12" t="n"/>
      <x:c r="M87" s="12" t="n"/>
      <x:c r="N87" s="12" t="n"/>
      <x:c r="O87" s="12" t="n"/>
      <x:c r="P87" s="12" t="n"/>
      <x:c r="Q87" s="12" t="n"/>
      <x:c r="R87" s="12" t="inlineStr">
        <x:is>
          <x:t xml:space="preserve">Not started</x:t>
        </x:is>
      </x:c>
      <x:c r="S87" s="12" t="n"/>
      <x:c r="T87" s="12" t="n"/>
      <x:c r="U87" s="12" t="n">
        <x:v>189</x:v>
      </x:c>
    </x:row>
    <x:row r="88" ht="28.799999237060547" customHeight="1">
      <x:c r="A88" s="13" t="inlineStr">
        <x:is>
          <x:t xml:space="preserve">MND-0110</x:t>
        </x:is>
      </x:c>
      <x:c r="B88" s="12" t="inlineStr">
        <x:is>
          <x:t xml:space="preserve">VI</x:t>
        </x:is>
      </x:c>
      <x:c r="C88" s="12" t="inlineStr">
        <x:is>
          <x:t xml:space="preserve">MND</x:t>
        </x:is>
      </x:c>
      <x:c r="D88" s="12" t="inlineStr">
        <x:is>
          <x:t xml:space="preserve">Consciousness, mind, and rationality</x:t>
        </x:is>
      </x:c>
      <x:c r="E88" s="12" t="inlineStr">
        <x:is>
          <x:t xml:space="preserve">Theism may provide resources for explaining rational minds in an intelligible universe.</x:t>
        </x:is>
      </x:c>
      <x:c r="F88" s="12" t="n"/>
      <x:c r="G88" s="12" t="n"/>
      <x:c r="H88" s="12" t="n"/>
      <x:c r="I88" s="12" t="n"/>
      <x:c r="J88" s="12" t="n"/>
      <x:c r="K88" s="12" t="n"/>
      <x:c r="L88" s="12" t="n"/>
      <x:c r="M88" s="12" t="n"/>
      <x:c r="N88" s="12" t="n"/>
      <x:c r="O88" s="12" t="n"/>
      <x:c r="P88" s="12" t="n"/>
      <x:c r="Q88" s="12" t="n"/>
      <x:c r="R88" s="12" t="inlineStr">
        <x:is>
          <x:t xml:space="preserve">Not started</x:t>
        </x:is>
      </x:c>
      <x:c r="S88" s="12" t="n"/>
      <x:c r="T88" s="12" t="n"/>
      <x:c r="U88" s="12" t="n">
        <x:v>190</x:v>
      </x:c>
    </x:row>
    <x:row r="89" ht="28.799999237060547" customHeight="1">
      <x:c r="A89" s="13" t="inlineStr">
        <x:is>
          <x:t xml:space="preserve">MND-0120</x:t>
        </x:is>
      </x:c>
      <x:c r="B89" s="12" t="inlineStr">
        <x:is>
          <x:t xml:space="preserve">VI</x:t>
        </x:is>
      </x:c>
      <x:c r="C89" s="12" t="inlineStr">
        <x:is>
          <x:t xml:space="preserve">MND</x:t>
        </x:is>
      </x:c>
      <x:c r="D89" s="12" t="inlineStr">
        <x:is>
          <x:t xml:space="preserve">Consciousness, mind, and rationality</x:t>
        </x:is>
      </x:c>
      <x:c r="E89" s="12" t="inlineStr">
        <x:is>
          <x:t xml:space="preserve">The existence of consciousness does not deductively establish the Christian God.</x:t>
        </x:is>
      </x:c>
      <x:c r="F89" s="12" t="n"/>
      <x:c r="G89" s="12" t="n"/>
      <x:c r="H89" s="12" t="n"/>
      <x:c r="I89" s="12" t="n"/>
      <x:c r="J89" s="12" t="n"/>
      <x:c r="K89" s="12" t="n"/>
      <x:c r="L89" s="12" t="n"/>
      <x:c r="M89" s="12" t="n"/>
      <x:c r="N89" s="12" t="n"/>
      <x:c r="O89" s="12" t="n"/>
      <x:c r="P89" s="12" t="n"/>
      <x:c r="Q89" s="12" t="n"/>
      <x:c r="R89" s="12" t="inlineStr">
        <x:is>
          <x:t xml:space="preserve">Not started</x:t>
        </x:is>
      </x:c>
      <x:c r="S89" s="12" t="n"/>
      <x:c r="T89" s="12" t="n"/>
      <x:c r="U89" s="12" t="n">
        <x:v>191</x:v>
      </x:c>
    </x:row>
    <x:row r="90" ht="28.799999237060547" customHeight="1">
      <x:c r="A90" s="13" t="inlineStr">
        <x:is>
          <x:t xml:space="preserve">MND-0130</x:t>
        </x:is>
      </x:c>
      <x:c r="B90" s="12" t="inlineStr">
        <x:is>
          <x:t xml:space="preserve">VI</x:t>
        </x:is>
      </x:c>
      <x:c r="C90" s="12" t="inlineStr">
        <x:is>
          <x:t xml:space="preserve">MND</x:t>
        </x:is>
      </x:c>
      <x:c r="D90" s="12" t="inlineStr">
        <x:is>
          <x:t xml:space="preserve">Consciousness, mind, and rationality</x:t>
        </x:is>
      </x:c>
      <x:c r="E90" s="12" t="inlineStr">
        <x:is>
          <x:t xml:space="preserve">Reports of near-death experiences require careful evidential assessment and should not be treated as automatic proof of an afterlife.</x:t>
        </x:is>
      </x:c>
      <x:c r="F90" s="12" t="n"/>
      <x:c r="G90" s="12" t="n"/>
      <x:c r="H90" s="12" t="n"/>
      <x:c r="I90" s="12" t="n"/>
      <x:c r="J90" s="12" t="n"/>
      <x:c r="K90" s="12" t="n"/>
      <x:c r="L90" s="12" t="n"/>
      <x:c r="M90" s="12" t="n"/>
      <x:c r="N90" s="12" t="n"/>
      <x:c r="O90" s="12" t="n"/>
      <x:c r="P90" s="12" t="n"/>
      <x:c r="Q90" s="12" t="n"/>
      <x:c r="R90" s="12" t="inlineStr">
        <x:is>
          <x:t xml:space="preserve">Not started</x:t>
        </x:is>
      </x:c>
      <x:c r="S90" s="12" t="n"/>
      <x:c r="T90" s="12" t="n"/>
      <x:c r="U90" s="12" t="n">
        <x:v>192</x:v>
      </x:c>
    </x:row>
    <x:row r="91" ht="28.799999237060547" customHeight="1">
      <x:c r="A91" s="13" t="inlineStr">
        <x:is>
          <x:t xml:space="preserve">MND-0140</x:t>
        </x:is>
      </x:c>
      <x:c r="B91" s="12" t="inlineStr">
        <x:is>
          <x:t xml:space="preserve">VI</x:t>
        </x:is>
      </x:c>
      <x:c r="C91" s="12" t="inlineStr">
        <x:is>
          <x:t xml:space="preserve">MND</x:t>
        </x:is>
      </x:c>
      <x:c r="D91" s="12" t="inlineStr">
        <x:is>
          <x:t xml:space="preserve">Consciousness, mind, and rationality</x:t>
        </x:is>
      </x:c>
      <x:c r="E91" s="12" t="inlineStr">
        <x:is>
          <x:t xml:space="preserve">Personal identity over time raises questions for both physicalist and dualist models.</x:t>
        </x:is>
      </x:c>
      <x:c r="F91" s="12" t="n"/>
      <x:c r="G91" s="12" t="n"/>
      <x:c r="H91" s="12" t="n"/>
      <x:c r="I91" s="12" t="n"/>
      <x:c r="J91" s="12" t="n"/>
      <x:c r="K91" s="12" t="n"/>
      <x:c r="L91" s="12" t="n"/>
      <x:c r="M91" s="12" t="n"/>
      <x:c r="N91" s="12" t="n"/>
      <x:c r="O91" s="12" t="n"/>
      <x:c r="P91" s="12" t="n"/>
      <x:c r="Q91" s="12" t="n"/>
      <x:c r="R91" s="12" t="inlineStr">
        <x:is>
          <x:t xml:space="preserve">Not started</x:t>
        </x:is>
      </x:c>
      <x:c r="S91" s="12" t="n"/>
      <x:c r="T91" s="12" t="n"/>
      <x:c r="U91" s="12" t="n">
        <x:v>193</x:v>
      </x:c>
    </x:row>
    <x:row r="92" ht="28.799999237060547" customHeight="1">
      <x:c r="A92" s="13" t="inlineStr">
        <x:is>
          <x:t xml:space="preserve">MND-0150</x:t>
        </x:is>
      </x:c>
      <x:c r="B92" s="12" t="inlineStr">
        <x:is>
          <x:t xml:space="preserve">VI</x:t>
        </x:is>
      </x:c>
      <x:c r="C92" s="12" t="inlineStr">
        <x:is>
          <x:t xml:space="preserve">MND</x:t>
        </x:is>
      </x:c>
      <x:c r="D92" s="12" t="inlineStr">
        <x:is>
          <x:t xml:space="preserve">Consciousness, mind, and rationality</x:t>
        </x:is>
      </x:c>
      <x:c r="E92" s="12" t="inlineStr">
        <x:is>
          <x:t xml:space="preserve">Resurrection is conceptually distinct from the immortality of an immaterial soul.</x:t>
        </x:is>
      </x:c>
      <x:c r="F92" s="12" t="n"/>
      <x:c r="G92" s="12" t="n"/>
      <x:c r="H92" s="12" t="n"/>
      <x:c r="I92" s="12" t="n"/>
      <x:c r="J92" s="12" t="n"/>
      <x:c r="K92" s="12" t="n"/>
      <x:c r="L92" s="12" t="n"/>
      <x:c r="M92" s="12" t="n"/>
      <x:c r="N92" s="12" t="n"/>
      <x:c r="O92" s="12" t="n"/>
      <x:c r="P92" s="12" t="n"/>
      <x:c r="Q92" s="12" t="n"/>
      <x:c r="R92" s="12" t="inlineStr">
        <x:is>
          <x:t xml:space="preserve">Not started</x:t>
        </x:is>
      </x:c>
      <x:c r="S92" s="12" t="n"/>
      <x:c r="T92" s="12" t="n"/>
      <x:c r="U92" s="12" t="n">
        <x:v>194</x:v>
      </x:c>
    </x:row>
    <x:row r="93">
      <x:c r="A93" s="13" t="inlineStr">
        <x:is>
          <x:t xml:space="preserve">MOR-0010</x:t>
        </x:is>
      </x:c>
      <x:c r="B93" s="12" t="inlineStr">
        <x:is>
          <x:t xml:space="preserve">VII</x:t>
        </x:is>
      </x:c>
      <x:c r="C93" s="12" t="inlineStr">
        <x:is>
          <x:t xml:space="preserve">MOR</x:t>
        </x:is>
      </x:c>
      <x:c r="D93" s="12" t="inlineStr">
        <x:is>
          <x:t xml:space="preserve">Morality and value</x:t>
        </x:is>
      </x:c>
      <x:c r="E93" s="12" t="inlineStr">
        <x:is>
          <x:t xml:space="preserve">Some actions may be objectively wrong regardless of individual approval.</x:t>
        </x:is>
      </x:c>
      <x:c r="F93" s="12" t="n"/>
      <x:c r="G93" s="12" t="n"/>
      <x:c r="H93" s="12" t="n"/>
      <x:c r="I93" s="12" t="n"/>
      <x:c r="J93" s="12" t="n"/>
      <x:c r="K93" s="12" t="n"/>
      <x:c r="L93" s="12" t="n"/>
      <x:c r="M93" s="12" t="n"/>
      <x:c r="N93" s="12" t="n"/>
      <x:c r="O93" s="12" t="n"/>
      <x:c r="P93" s="12" t="n"/>
      <x:c r="Q93" s="12" t="n"/>
      <x:c r="R93" s="12" t="inlineStr">
        <x:is>
          <x:t xml:space="preserve">Not started</x:t>
        </x:is>
      </x:c>
      <x:c r="S93" s="12" t="n"/>
      <x:c r="T93" s="12" t="n"/>
      <x:c r="U93" s="12" t="n">
        <x:v>202</x:v>
      </x:c>
    </x:row>
    <x:row r="94">
      <x:c r="A94" s="13" t="inlineStr">
        <x:is>
          <x:t xml:space="preserve">MOR-0020</x:t>
        </x:is>
      </x:c>
      <x:c r="B94" s="12" t="inlineStr">
        <x:is>
          <x:t xml:space="preserve">VII</x:t>
        </x:is>
      </x:c>
      <x:c r="C94" s="12" t="inlineStr">
        <x:is>
          <x:t xml:space="preserve">MOR</x:t>
        </x:is>
      </x:c>
      <x:c r="D94" s="12" t="inlineStr">
        <x:is>
          <x:t xml:space="preserve">Morality and value</x:t>
        </x:is>
      </x:c>
      <x:c r="E94" s="12" t="inlineStr">
        <x:is>
          <x:t xml:space="preserve">Moral realism is not equivalent to theism.</x:t>
        </x:is>
      </x:c>
      <x:c r="F94" s="12" t="n"/>
      <x:c r="G94" s="12" t="n"/>
      <x:c r="H94" s="12" t="n"/>
      <x:c r="I94" s="12" t="n"/>
      <x:c r="J94" s="12" t="n"/>
      <x:c r="K94" s="12" t="n"/>
      <x:c r="L94" s="12" t="n"/>
      <x:c r="M94" s="12" t="n"/>
      <x:c r="N94" s="12" t="n"/>
      <x:c r="O94" s="12" t="n"/>
      <x:c r="P94" s="12" t="n"/>
      <x:c r="Q94" s="12" t="n"/>
      <x:c r="R94" s="12" t="inlineStr">
        <x:is>
          <x:t xml:space="preserve">Not started</x:t>
        </x:is>
      </x:c>
      <x:c r="S94" s="12" t="n"/>
      <x:c r="T94" s="12" t="n"/>
      <x:c r="U94" s="12" t="n">
        <x:v>203</x:v>
      </x:c>
    </x:row>
    <x:row r="95">
      <x:c r="A95" s="13" t="inlineStr">
        <x:is>
          <x:t xml:space="preserve">MOR-0030</x:t>
        </x:is>
      </x:c>
      <x:c r="B95" s="12" t="inlineStr">
        <x:is>
          <x:t xml:space="preserve">VII</x:t>
        </x:is>
      </x:c>
      <x:c r="C95" s="12" t="inlineStr">
        <x:is>
          <x:t xml:space="preserve">MOR</x:t>
        </x:is>
      </x:c>
      <x:c r="D95" s="12" t="inlineStr">
        <x:is>
          <x:t xml:space="preserve">Morality and value</x:t>
        </x:is>
      </x:c>
      <x:c r="E95" s="12" t="inlineStr">
        <x:is>
          <x:t xml:space="preserve">Atheists can know and act on moral truths.</x:t>
        </x:is>
      </x:c>
      <x:c r="F95" s="12" t="n"/>
      <x:c r="G95" s="12" t="n"/>
      <x:c r="H95" s="12" t="n"/>
      <x:c r="I95" s="12" t="n"/>
      <x:c r="J95" s="12" t="n"/>
      <x:c r="K95" s="12" t="n"/>
      <x:c r="L95" s="12" t="n"/>
      <x:c r="M95" s="12" t="n"/>
      <x:c r="N95" s="12" t="n"/>
      <x:c r="O95" s="12" t="n"/>
      <x:c r="P95" s="12" t="n"/>
      <x:c r="Q95" s="12" t="n"/>
      <x:c r="R95" s="12" t="inlineStr">
        <x:is>
          <x:t xml:space="preserve">Not started</x:t>
        </x:is>
      </x:c>
      <x:c r="S95" s="12" t="n"/>
      <x:c r="T95" s="12" t="n"/>
      <x:c r="U95" s="12" t="n">
        <x:v>204</x:v>
      </x:c>
    </x:row>
    <x:row r="96" ht="28.799999237060547" customHeight="1">
      <x:c r="A96" s="13" t="inlineStr">
        <x:is>
          <x:t xml:space="preserve">MOR-0040</x:t>
        </x:is>
      </x:c>
      <x:c r="B96" s="12" t="inlineStr">
        <x:is>
          <x:t xml:space="preserve">VII</x:t>
        </x:is>
      </x:c>
      <x:c r="C96" s="12" t="inlineStr">
        <x:is>
          <x:t xml:space="preserve">MOR</x:t>
        </x:is>
      </x:c>
      <x:c r="D96" s="12" t="inlineStr">
        <x:is>
          <x:t xml:space="preserve">Morality and value</x:t>
        </x:is>
      </x:c>
      <x:c r="E96" s="12" t="inlineStr">
        <x:is>
          <x:t xml:space="preserve">The moral argument concerns the grounding of objective moral facts, not whether nonbelievers behave morally.</x:t>
        </x:is>
      </x:c>
      <x:c r="F96" s="12" t="n"/>
      <x:c r="G96" s="12" t="n"/>
      <x:c r="H96" s="12" t="n"/>
      <x:c r="I96" s="12" t="n"/>
      <x:c r="J96" s="12" t="n"/>
      <x:c r="K96" s="12" t="n"/>
      <x:c r="L96" s="12" t="n"/>
      <x:c r="M96" s="12" t="n"/>
      <x:c r="N96" s="12" t="n"/>
      <x:c r="O96" s="12" t="n"/>
      <x:c r="P96" s="12" t="n"/>
      <x:c r="Q96" s="12" t="n"/>
      <x:c r="R96" s="12" t="inlineStr">
        <x:is>
          <x:t xml:space="preserve">Not started</x:t>
        </x:is>
      </x:c>
      <x:c r="S96" s="12" t="n"/>
      <x:c r="T96" s="12" t="n"/>
      <x:c r="U96" s="12" t="n">
        <x:v>205</x:v>
      </x:c>
    </x:row>
    <x:row r="97" ht="28.799999237060547" customHeight="1">
      <x:c r="A97" s="13" t="inlineStr">
        <x:is>
          <x:t xml:space="preserve">MOR-0050</x:t>
        </x:is>
      </x:c>
      <x:c r="B97" s="12" t="inlineStr">
        <x:is>
          <x:t xml:space="preserve">VII</x:t>
        </x:is>
      </x:c>
      <x:c r="C97" s="12" t="inlineStr">
        <x:is>
          <x:t xml:space="preserve">MOR</x:t>
        </x:is>
      </x:c>
      <x:c r="D97" s="12" t="inlineStr">
        <x:is>
          <x:t xml:space="preserve">Morality and value</x:t>
        </x:is>
      </x:c>
      <x:c r="E97" s="12" t="inlineStr">
        <x:is>
          <x:t xml:space="preserve">Evolutionary accounts can explain moral beliefs without necessarily explaining whether moral propositions are objectively true.</x:t>
        </x:is>
      </x:c>
      <x:c r="F97" s="12" t="n"/>
      <x:c r="G97" s="12" t="n"/>
      <x:c r="H97" s="12" t="n"/>
      <x:c r="I97" s="12" t="n"/>
      <x:c r="J97" s="12" t="n"/>
      <x:c r="K97" s="12" t="n"/>
      <x:c r="L97" s="12" t="n"/>
      <x:c r="M97" s="12" t="n"/>
      <x:c r="N97" s="12" t="n"/>
      <x:c r="O97" s="12" t="n"/>
      <x:c r="P97" s="12" t="n"/>
      <x:c r="Q97" s="12" t="n"/>
      <x:c r="R97" s="12" t="inlineStr">
        <x:is>
          <x:t xml:space="preserve">Not started</x:t>
        </x:is>
      </x:c>
      <x:c r="S97" s="12" t="n"/>
      <x:c r="T97" s="12" t="n"/>
      <x:c r="U97" s="12" t="n">
        <x:v>206</x:v>
      </x:c>
    </x:row>
    <x:row r="98">
      <x:c r="A98" s="13" t="inlineStr">
        <x:is>
          <x:t xml:space="preserve">MOR-0060</x:t>
        </x:is>
      </x:c>
      <x:c r="B98" s="12" t="inlineStr">
        <x:is>
          <x:t xml:space="preserve">VII</x:t>
        </x:is>
      </x:c>
      <x:c r="C98" s="12" t="inlineStr">
        <x:is>
          <x:t xml:space="preserve">MOR</x:t>
        </x:is>
      </x:c>
      <x:c r="D98" s="12" t="inlineStr">
        <x:is>
          <x:t xml:space="preserve">Morality and value</x:t>
        </x:is>
      </x:c>
      <x:c r="E98" s="12" t="inlineStr">
        <x:is>
          <x:t xml:space="preserve">Social consensus does not make every moral judgment true.</x:t>
        </x:is>
      </x:c>
      <x:c r="F98" s="12" t="n"/>
      <x:c r="G98" s="12" t="n"/>
      <x:c r="H98" s="12" t="n"/>
      <x:c r="I98" s="12" t="n"/>
      <x:c r="J98" s="12" t="n"/>
      <x:c r="K98" s="12" t="n"/>
      <x:c r="L98" s="12" t="n"/>
      <x:c r="M98" s="12" t="n"/>
      <x:c r="N98" s="12" t="n"/>
      <x:c r="O98" s="12" t="n"/>
      <x:c r="P98" s="12" t="n"/>
      <x:c r="Q98" s="12" t="n"/>
      <x:c r="R98" s="12" t="inlineStr">
        <x:is>
          <x:t xml:space="preserve">Not started</x:t>
        </x:is>
      </x:c>
      <x:c r="S98" s="12" t="n"/>
      <x:c r="T98" s="12" t="n"/>
      <x:c r="U98" s="12" t="n">
        <x:v>207</x:v>
      </x:c>
    </x:row>
    <x:row r="99">
      <x:c r="A99" s="13" t="inlineStr">
        <x:is>
          <x:t xml:space="preserve">MOR-0070</x:t>
        </x:is>
      </x:c>
      <x:c r="B99" s="12" t="inlineStr">
        <x:is>
          <x:t xml:space="preserve">VII</x:t>
        </x:is>
      </x:c>
      <x:c r="C99" s="12" t="inlineStr">
        <x:is>
          <x:t xml:space="preserve">MOR</x:t>
        </x:is>
      </x:c>
      <x:c r="D99" s="12" t="inlineStr">
        <x:is>
          <x:t xml:space="preserve">Morality and value</x:t>
        </x:is>
      </x:c>
      <x:c r="E99" s="12" t="inlineStr">
        <x:is>
          <x:t xml:space="preserve">Moral disagreement does not prove that no objective moral truth exists.</x:t>
        </x:is>
      </x:c>
      <x:c r="F99" s="12" t="n"/>
      <x:c r="G99" s="12" t="n"/>
      <x:c r="H99" s="12" t="n"/>
      <x:c r="I99" s="12" t="n"/>
      <x:c r="J99" s="12" t="n"/>
      <x:c r="K99" s="12" t="n"/>
      <x:c r="L99" s="12" t="n"/>
      <x:c r="M99" s="12" t="n"/>
      <x:c r="N99" s="12" t="n"/>
      <x:c r="O99" s="12" t="n"/>
      <x:c r="P99" s="12" t="n"/>
      <x:c r="Q99" s="12" t="n"/>
      <x:c r="R99" s="12" t="inlineStr">
        <x:is>
          <x:t xml:space="preserve">Not started</x:t>
        </x:is>
      </x:c>
      <x:c r="S99" s="12" t="n"/>
      <x:c r="T99" s="12" t="n"/>
      <x:c r="U99" s="12" t="n">
        <x:v>208</x:v>
      </x:c>
    </x:row>
    <x:row r="100">
      <x:c r="A100" s="13" t="inlineStr">
        <x:is>
          <x:t xml:space="preserve">MOR-0080</x:t>
        </x:is>
      </x:c>
      <x:c r="B100" s="12" t="inlineStr">
        <x:is>
          <x:t xml:space="preserve">VII</x:t>
        </x:is>
      </x:c>
      <x:c r="C100" s="12" t="inlineStr">
        <x:is>
          <x:t xml:space="preserve">MOR</x:t>
        </x:is>
      </x:c>
      <x:c r="D100" s="12" t="inlineStr">
        <x:is>
          <x:t xml:space="preserve">Morality and value</x:t>
        </x:is>
      </x:c>
      <x:c r="E100" s="12" t="inlineStr">
        <x:is>
          <x:t xml:space="preserve">If objective moral obligations exist, their authority requires explanation.</x:t>
        </x:is>
      </x:c>
      <x:c r="F100" s="12" t="n"/>
      <x:c r="G100" s="12" t="n"/>
      <x:c r="H100" s="12" t="n"/>
      <x:c r="I100" s="12" t="n"/>
      <x:c r="J100" s="12" t="n"/>
      <x:c r="K100" s="12" t="n"/>
      <x:c r="L100" s="12" t="n"/>
      <x:c r="M100" s="12" t="n"/>
      <x:c r="N100" s="12" t="n"/>
      <x:c r="O100" s="12" t="n"/>
      <x:c r="P100" s="12" t="n"/>
      <x:c r="Q100" s="12" t="n"/>
      <x:c r="R100" s="12" t="inlineStr">
        <x:is>
          <x:t xml:space="preserve">Not started</x:t>
        </x:is>
      </x:c>
      <x:c r="S100" s="12" t="n"/>
      <x:c r="T100" s="12" t="n"/>
      <x:c r="U100" s="12" t="n">
        <x:v>209</x:v>
      </x:c>
    </x:row>
    <x:row r="101">
      <x:c r="A101" s="13" t="inlineStr">
        <x:is>
          <x:t xml:space="preserve">MOR-0090</x:t>
        </x:is>
      </x:c>
      <x:c r="B101" s="12" t="inlineStr">
        <x:is>
          <x:t xml:space="preserve">VII</x:t>
        </x:is>
      </x:c>
      <x:c r="C101" s="12" t="inlineStr">
        <x:is>
          <x:t xml:space="preserve">MOR</x:t>
        </x:is>
      </x:c>
      <x:c r="D101" s="12" t="inlineStr">
        <x:is>
          <x:t xml:space="preserve">Morality and value</x:t>
        </x:is>
      </x:c>
      <x:c r="E101" s="12" t="inlineStr">
        <x:is>
          <x:t xml:space="preserve">Divine-command theories must answer the Euthyphro dilemma.</x:t>
        </x:is>
      </x:c>
      <x:c r="F101" s="12" t="n"/>
      <x:c r="G101" s="12" t="n"/>
      <x:c r="H101" s="12" t="n"/>
      <x:c r="I101" s="12" t="n"/>
      <x:c r="J101" s="12" t="n"/>
      <x:c r="K101" s="12" t="n"/>
      <x:c r="L101" s="12" t="n"/>
      <x:c r="M101" s="12" t="n"/>
      <x:c r="N101" s="12" t="n"/>
      <x:c r="O101" s="12" t="n"/>
      <x:c r="P101" s="12" t="n"/>
      <x:c r="Q101" s="12" t="n"/>
      <x:c r="R101" s="12" t="inlineStr">
        <x:is>
          <x:t xml:space="preserve">Not started</x:t>
        </x:is>
      </x:c>
      <x:c r="S101" s="12" t="n"/>
      <x:c r="T101" s="12" t="n"/>
      <x:c r="U101" s="12" t="n">
        <x:v>210</x:v>
      </x:c>
    </x:row>
    <x:row r="102" ht="28.799999237060547" customHeight="1">
      <x:c r="A102" s="13" t="inlineStr">
        <x:is>
          <x:t xml:space="preserve">MOR-0100</x:t>
        </x:is>
      </x:c>
      <x:c r="B102" s="12" t="inlineStr">
        <x:is>
          <x:t xml:space="preserve">VII</x:t>
        </x:is>
      </x:c>
      <x:c r="C102" s="12" t="inlineStr">
        <x:is>
          <x:t xml:space="preserve">MOR</x:t>
        </x:is>
      </x:c>
      <x:c r="D102" s="12" t="inlineStr">
        <x:is>
          <x:t xml:space="preserve">Morality and value</x:t>
        </x:is>
      </x:c>
      <x:c r="E102" s="12" t="inlineStr">
        <x:is>
          <x:t xml:space="preserve">A modified divine-command theory may ground obligation in commands flowing from an essentially good divine nature.</x:t>
        </x:is>
      </x:c>
      <x:c r="F102" s="12" t="n"/>
      <x:c r="G102" s="12" t="n"/>
      <x:c r="H102" s="12" t="n"/>
      <x:c r="I102" s="12" t="n"/>
      <x:c r="J102" s="12" t="n"/>
      <x:c r="K102" s="12" t="n"/>
      <x:c r="L102" s="12" t="n"/>
      <x:c r="M102" s="12" t="n"/>
      <x:c r="N102" s="12" t="n"/>
      <x:c r="O102" s="12" t="n"/>
      <x:c r="P102" s="12" t="n"/>
      <x:c r="Q102" s="12" t="n"/>
      <x:c r="R102" s="12" t="inlineStr">
        <x:is>
          <x:t xml:space="preserve">Not started</x:t>
        </x:is>
      </x:c>
      <x:c r="S102" s="12" t="n"/>
      <x:c r="T102" s="12" t="n"/>
      <x:c r="U102" s="12" t="n">
        <x:v>211</x:v>
      </x:c>
    </x:row>
    <x:row r="103">
      <x:c r="A103" s="13" t="inlineStr">
        <x:is>
          <x:t xml:space="preserve">MOR-0110</x:t>
        </x:is>
      </x:c>
      <x:c r="B103" s="12" t="inlineStr">
        <x:is>
          <x:t xml:space="preserve">VII</x:t>
        </x:is>
      </x:c>
      <x:c r="C103" s="12" t="inlineStr">
        <x:is>
          <x:t xml:space="preserve">MOR</x:t>
        </x:is>
      </x:c>
      <x:c r="D103" s="12" t="inlineStr">
        <x:is>
          <x:t xml:space="preserve">Morality and value</x:t>
        </x:is>
      </x:c>
      <x:c r="E103" s="12" t="inlineStr">
        <x:is>
          <x:t xml:space="preserve">“God is good” must not be reduced to “God does whatever God does.”</x:t>
        </x:is>
      </x:c>
      <x:c r="F103" s="12" t="n"/>
      <x:c r="G103" s="12" t="n"/>
      <x:c r="H103" s="12" t="n"/>
      <x:c r="I103" s="12" t="n"/>
      <x:c r="J103" s="12" t="n"/>
      <x:c r="K103" s="12" t="n"/>
      <x:c r="L103" s="12" t="n"/>
      <x:c r="M103" s="12" t="n"/>
      <x:c r="N103" s="12" t="n"/>
      <x:c r="O103" s="12" t="n"/>
      <x:c r="P103" s="12" t="n"/>
      <x:c r="Q103" s="12" t="n"/>
      <x:c r="R103" s="12" t="inlineStr">
        <x:is>
          <x:t xml:space="preserve">Not started</x:t>
        </x:is>
      </x:c>
      <x:c r="S103" s="12" t="n"/>
      <x:c r="T103" s="12" t="n"/>
      <x:c r="U103" s="12" t="n">
        <x:v>212</x:v>
      </x:c>
    </x:row>
    <x:row r="104">
      <x:c r="A104" s="13" t="inlineStr">
        <x:is>
          <x:t xml:space="preserve">MOR-0120</x:t>
        </x:is>
      </x:c>
      <x:c r="B104" s="12" t="inlineStr">
        <x:is>
          <x:t xml:space="preserve">VII</x:t>
        </x:is>
      </x:c>
      <x:c r="C104" s="12" t="inlineStr">
        <x:is>
          <x:t xml:space="preserve">MOR</x:t>
        </x:is>
      </x:c>
      <x:c r="D104" s="12" t="inlineStr">
        <x:is>
          <x:t xml:space="preserve">Morality and value</x:t>
        </x:is>
      </x:c>
      <x:c r="E104" s="12" t="inlineStr">
        <x:is>
          <x:t xml:space="preserve">Moral value, moral duty, and moral accountability are distinct.</x:t>
        </x:is>
      </x:c>
      <x:c r="F104" s="12" t="n"/>
      <x:c r="G104" s="12" t="n"/>
      <x:c r="H104" s="12" t="n"/>
      <x:c r="I104" s="12" t="n"/>
      <x:c r="J104" s="12" t="n"/>
      <x:c r="K104" s="12" t="n"/>
      <x:c r="L104" s="12" t="n"/>
      <x:c r="M104" s="12" t="n"/>
      <x:c r="N104" s="12" t="n"/>
      <x:c r="O104" s="12" t="n"/>
      <x:c r="P104" s="12" t="n"/>
      <x:c r="Q104" s="12" t="n"/>
      <x:c r="R104" s="12" t="inlineStr">
        <x:is>
          <x:t xml:space="preserve">Not started</x:t>
        </x:is>
      </x:c>
      <x:c r="S104" s="12" t="n"/>
      <x:c r="T104" s="12" t="n"/>
      <x:c r="U104" s="12" t="n">
        <x:v>213</x:v>
      </x:c>
    </x:row>
    <x:row r="105">
      <x:c r="A105" s="13" t="inlineStr">
        <x:is>
          <x:t xml:space="preserve">MOR-0130</x:t>
        </x:is>
      </x:c>
      <x:c r="B105" s="12" t="inlineStr">
        <x:is>
          <x:t xml:space="preserve">VII</x:t>
        </x:is>
      </x:c>
      <x:c r="C105" s="12" t="inlineStr">
        <x:is>
          <x:t xml:space="preserve">MOR</x:t>
        </x:is>
      </x:c>
      <x:c r="D105" s="12" t="inlineStr">
        <x:is>
          <x:t xml:space="preserve">Morality and value</x:t>
        </x:is>
      </x:c>
      <x:c r="E105" s="12" t="inlineStr">
        <x:is>
          <x:t xml:space="preserve">Human dignity may be grounded in the image of God within Christianity.</x:t>
        </x:is>
      </x:c>
      <x:c r="F105" s="12" t="n"/>
      <x:c r="G105" s="12" t="n"/>
      <x:c r="H105" s="12" t="n"/>
      <x:c r="I105" s="12" t="n"/>
      <x:c r="J105" s="12" t="n"/>
      <x:c r="K105" s="12" t="n"/>
      <x:c r="L105" s="12" t="n"/>
      <x:c r="M105" s="12" t="n"/>
      <x:c r="N105" s="12" t="n"/>
      <x:c r="O105" s="12" t="n"/>
      <x:c r="P105" s="12" t="n"/>
      <x:c r="Q105" s="12" t="n"/>
      <x:c r="R105" s="12" t="inlineStr">
        <x:is>
          <x:t xml:space="preserve">Not started</x:t>
        </x:is>
      </x:c>
      <x:c r="S105" s="12" t="n"/>
      <x:c r="T105" s="12" t="n"/>
      <x:c r="U105" s="12" t="n">
        <x:v>214</x:v>
      </x:c>
    </x:row>
    <x:row r="106">
      <x:c r="A106" s="13" t="inlineStr">
        <x:is>
          <x:t xml:space="preserve">MOR-0140</x:t>
        </x:is>
      </x:c>
      <x:c r="B106" s="12" t="inlineStr">
        <x:is>
          <x:t xml:space="preserve">VII</x:t>
        </x:is>
      </x:c>
      <x:c r="C106" s="12" t="inlineStr">
        <x:is>
          <x:t xml:space="preserve">MOR</x:t>
        </x:is>
      </x:c>
      <x:c r="D106" s="12" t="inlineStr">
        <x:is>
          <x:t xml:space="preserve">Morality and value</x:t>
        </x:is>
      </x:c>
      <x:c r="E106" s="12" t="inlineStr">
        <x:is>
          <x:t xml:space="preserve">Secular theories can offer alternative accounts of dignity and must be compared fairly.</x:t>
        </x:is>
      </x:c>
      <x:c r="F106" s="12" t="n"/>
      <x:c r="G106" s="12" t="n"/>
      <x:c r="H106" s="12" t="n"/>
      <x:c r="I106" s="12" t="n"/>
      <x:c r="J106" s="12" t="n"/>
      <x:c r="K106" s="12" t="n"/>
      <x:c r="L106" s="12" t="n"/>
      <x:c r="M106" s="12" t="n"/>
      <x:c r="N106" s="12" t="n"/>
      <x:c r="O106" s="12" t="n"/>
      <x:c r="P106" s="12" t="n"/>
      <x:c r="Q106" s="12" t="n"/>
      <x:c r="R106" s="12" t="inlineStr">
        <x:is>
          <x:t xml:space="preserve">Not started</x:t>
        </x:is>
      </x:c>
      <x:c r="S106" s="12" t="n"/>
      <x:c r="T106" s="12" t="n"/>
      <x:c r="U106" s="12" t="n">
        <x:v>215</x:v>
      </x:c>
    </x:row>
    <x:row r="107" ht="28.799999237060547" customHeight="1">
      <x:c r="A107" s="13" t="inlineStr">
        <x:is>
          <x:t xml:space="preserve">MOR-0150</x:t>
        </x:is>
      </x:c>
      <x:c r="B107" s="12" t="inlineStr">
        <x:is>
          <x:t xml:space="preserve">VII</x:t>
        </x:is>
      </x:c>
      <x:c r="C107" s="12" t="inlineStr">
        <x:is>
          <x:t xml:space="preserve">MOR</x:t>
        </x:is>
      </x:c>
      <x:c r="D107" s="12" t="inlineStr">
        <x:is>
          <x:t xml:space="preserve">Morality and value</x:t>
        </x:is>
      </x:c>
      <x:c r="E107" s="12" t="inlineStr">
        <x:is>
          <x:t xml:space="preserve">Final moral justice is more expected under some forms of theism than under impersonal naturalism.</x:t>
        </x:is>
      </x:c>
      <x:c r="F107" s="12" t="n"/>
      <x:c r="G107" s="12" t="n"/>
      <x:c r="H107" s="12" t="n"/>
      <x:c r="I107" s="12" t="n"/>
      <x:c r="J107" s="12" t="n"/>
      <x:c r="K107" s="12" t="n"/>
      <x:c r="L107" s="12" t="n"/>
      <x:c r="M107" s="12" t="n"/>
      <x:c r="N107" s="12" t="n"/>
      <x:c r="O107" s="12" t="n"/>
      <x:c r="P107" s="12" t="n"/>
      <x:c r="Q107" s="12" t="n"/>
      <x:c r="R107" s="12" t="inlineStr">
        <x:is>
          <x:t xml:space="preserve">Not started</x:t>
        </x:is>
      </x:c>
      <x:c r="S107" s="12" t="n"/>
      <x:c r="T107" s="12" t="n"/>
      <x:c r="U107" s="12" t="n">
        <x:v>216</x:v>
      </x:c>
    </x:row>
    <x:row r="108" ht="28.799999237060547" customHeight="1">
      <x:c r="A108" s="13" t="inlineStr">
        <x:is>
          <x:t xml:space="preserve">MOR-0160</x:t>
        </x:is>
      </x:c>
      <x:c r="B108" s="12" t="inlineStr">
        <x:is>
          <x:t xml:space="preserve">VII</x:t>
        </x:is>
      </x:c>
      <x:c r="C108" s="12" t="inlineStr">
        <x:is>
          <x:t xml:space="preserve">MOR</x:t>
        </x:is>
      </x:c>
      <x:c r="D108" s="12" t="inlineStr">
        <x:is>
          <x:t xml:space="preserve">Morality and value</x:t>
        </x:is>
      </x:c>
      <x:c r="E108" s="12" t="inlineStr">
        <x:is>
          <x:t xml:space="preserve">The existence of moral evil creates both an argument for objective morality and an objection to divine governance.</x:t>
        </x:is>
      </x:c>
      <x:c r="F108" s="12" t="n"/>
      <x:c r="G108" s="12" t="n"/>
      <x:c r="H108" s="12" t="n"/>
      <x:c r="I108" s="12" t="n"/>
      <x:c r="J108" s="12" t="n"/>
      <x:c r="K108" s="12" t="n"/>
      <x:c r="L108" s="12" t="n"/>
      <x:c r="M108" s="12" t="n"/>
      <x:c r="N108" s="12" t="n"/>
      <x:c r="O108" s="12" t="n"/>
      <x:c r="P108" s="12" t="n"/>
      <x:c r="Q108" s="12" t="n"/>
      <x:c r="R108" s="12" t="inlineStr">
        <x:is>
          <x:t xml:space="preserve">Not started</x:t>
        </x:is>
      </x:c>
      <x:c r="S108" s="12" t="n"/>
      <x:c r="T108" s="12" t="n"/>
      <x:c r="U108" s="12" t="n">
        <x:v>217</x:v>
      </x:c>
    </x:row>
    <x:row r="109">
      <x:c r="A109" s="13" t="inlineStr">
        <x:is>
          <x:t xml:space="preserve">MOR-0170</x:t>
        </x:is>
      </x:c>
      <x:c r="B109" s="12" t="inlineStr">
        <x:is>
          <x:t xml:space="preserve">VII</x:t>
        </x:is>
      </x:c>
      <x:c r="C109" s="12" t="inlineStr">
        <x:is>
          <x:t xml:space="preserve">MOR</x:t>
        </x:is>
      </x:c>
      <x:c r="D109" s="12" t="inlineStr">
        <x:is>
          <x:t xml:space="preserve">Morality and value</x:t>
        </x:is>
      </x:c>
      <x:c r="E109" s="12" t="inlineStr">
        <x:is>
          <x:t xml:space="preserve">A Christian moral case must address difficult biblical moral texts rather than ignore them.</x:t>
        </x:is>
      </x:c>
      <x:c r="F109" s="12" t="n"/>
      <x:c r="G109" s="12" t="n"/>
      <x:c r="H109" s="12" t="n"/>
      <x:c r="I109" s="12" t="n"/>
      <x:c r="J109" s="12" t="n"/>
      <x:c r="K109" s="12" t="n"/>
      <x:c r="L109" s="12" t="n"/>
      <x:c r="M109" s="12" t="n"/>
      <x:c r="N109" s="12" t="n"/>
      <x:c r="O109" s="12" t="n"/>
      <x:c r="P109" s="12" t="n"/>
      <x:c r="Q109" s="12" t="n"/>
      <x:c r="R109" s="12" t="inlineStr">
        <x:is>
          <x:t xml:space="preserve">Not started</x:t>
        </x:is>
      </x:c>
      <x:c r="S109" s="12" t="n"/>
      <x:c r="T109" s="12" t="n"/>
      <x:c r="U109" s="12" t="n">
        <x:v>218</x:v>
      </x:c>
    </x:row>
    <x:row r="110" ht="28.799999237060547" customHeight="1">
      <x:c r="A110" s="13" t="inlineStr">
        <x:is>
          <x:t xml:space="preserve">MNG-0010</x:t>
        </x:is>
      </x:c>
      <x:c r="B110" s="12" t="inlineStr">
        <x:is>
          <x:t xml:space="preserve">VIII</x:t>
        </x:is>
      </x:c>
      <x:c r="C110" s="12" t="inlineStr">
        <x:is>
          <x:t xml:space="preserve">MNG</x:t>
        </x:is>
      </x:c>
      <x:c r="D110" s="12" t="inlineStr">
        <x:is>
          <x:t xml:space="preserve">Meaning, purpose, beauty, and existential fit</x:t>
        </x:is>
      </x:c>
      <x:c r="E110" s="12" t="inlineStr">
        <x:is>
          <x:t xml:space="preserve">Subjective meaning and objective purpose are not identical.</x:t>
        </x:is>
      </x:c>
      <x:c r="F110" s="12" t="n"/>
      <x:c r="G110" s="12" t="n"/>
      <x:c r="H110" s="12" t="n"/>
      <x:c r="I110" s="12" t="n"/>
      <x:c r="J110" s="12" t="n"/>
      <x:c r="K110" s="12" t="n"/>
      <x:c r="L110" s="12" t="n"/>
      <x:c r="M110" s="12" t="n"/>
      <x:c r="N110" s="12" t="n"/>
      <x:c r="O110" s="12" t="n"/>
      <x:c r="P110" s="12" t="n"/>
      <x:c r="Q110" s="12" t="n"/>
      <x:c r="R110" s="12" t="inlineStr">
        <x:is>
          <x:t xml:space="preserve">Not started</x:t>
        </x:is>
      </x:c>
      <x:c r="S110" s="12" t="n"/>
      <x:c r="T110" s="12" t="n"/>
      <x:c r="U110" s="12" t="n">
        <x:v>224</x:v>
      </x:c>
    </x:row>
    <x:row r="111" ht="28.799999237060547" customHeight="1">
      <x:c r="A111" s="13" t="inlineStr">
        <x:is>
          <x:t xml:space="preserve">MNG-0020</x:t>
        </x:is>
      </x:c>
      <x:c r="B111" s="12" t="inlineStr">
        <x:is>
          <x:t xml:space="preserve">VIII</x:t>
        </x:is>
      </x:c>
      <x:c r="C111" s="12" t="inlineStr">
        <x:is>
          <x:t xml:space="preserve">MNG</x:t>
        </x:is>
      </x:c>
      <x:c r="D111" s="12" t="inlineStr">
        <x:is>
          <x:t xml:space="preserve">Meaning, purpose, beauty, and existential fit</x:t>
        </x:is>
      </x:c>
      <x:c r="E111" s="12" t="inlineStr">
        <x:is>
          <x:t xml:space="preserve">A person may experience meaningfulness even if no cosmic purpose exists.</x:t>
        </x:is>
      </x:c>
      <x:c r="F111" s="12" t="n"/>
      <x:c r="G111" s="12" t="n"/>
      <x:c r="H111" s="12" t="n"/>
      <x:c r="I111" s="12" t="n"/>
      <x:c r="J111" s="12" t="n"/>
      <x:c r="K111" s="12" t="n"/>
      <x:c r="L111" s="12" t="n"/>
      <x:c r="M111" s="12" t="n"/>
      <x:c r="N111" s="12" t="n"/>
      <x:c r="O111" s="12" t="n"/>
      <x:c r="P111" s="12" t="n"/>
      <x:c r="Q111" s="12" t="n"/>
      <x:c r="R111" s="12" t="inlineStr">
        <x:is>
          <x:t xml:space="preserve">Not started</x:t>
        </x:is>
      </x:c>
      <x:c r="S111" s="12" t="n"/>
      <x:c r="T111" s="12" t="n"/>
      <x:c r="U111" s="12" t="n">
        <x:v>225</x:v>
      </x:c>
    </x:row>
    <x:row r="112" ht="28.799999237060547" customHeight="1">
      <x:c r="A112" s="13" t="inlineStr">
        <x:is>
          <x:t xml:space="preserve">MNG-0030</x:t>
        </x:is>
      </x:c>
      <x:c r="B112" s="12" t="inlineStr">
        <x:is>
          <x:t xml:space="preserve">VIII</x:t>
        </x:is>
      </x:c>
      <x:c r="C112" s="12" t="inlineStr">
        <x:is>
          <x:t xml:space="preserve">MNG</x:t>
        </x:is>
      </x:c>
      <x:c r="D112" s="12" t="inlineStr">
        <x:is>
          <x:t xml:space="preserve">Meaning, purpose, beauty, and existential fit</x:t>
        </x:is>
      </x:c>
      <x:c r="E112" s="12" t="inlineStr">
        <x:is>
          <x:t xml:space="preserve">The Christian claim is stronger: human life possesses objective purpose grounded in divine intention.</x:t>
        </x:is>
      </x:c>
      <x:c r="F112" s="12" t="n"/>
      <x:c r="G112" s="12" t="n"/>
      <x:c r="H112" s="12" t="n"/>
      <x:c r="I112" s="12" t="n"/>
      <x:c r="J112" s="12" t="n"/>
      <x:c r="K112" s="12" t="n"/>
      <x:c r="L112" s="12" t="n"/>
      <x:c r="M112" s="12" t="n"/>
      <x:c r="N112" s="12" t="n"/>
      <x:c r="O112" s="12" t="n"/>
      <x:c r="P112" s="12" t="n"/>
      <x:c r="Q112" s="12" t="n"/>
      <x:c r="R112" s="12" t="inlineStr">
        <x:is>
          <x:t xml:space="preserve">Not started</x:t>
        </x:is>
      </x:c>
      <x:c r="S112" s="12" t="n"/>
      <x:c r="T112" s="12" t="n"/>
      <x:c r="U112" s="12" t="n">
        <x:v>226</x:v>
      </x:c>
    </x:row>
    <x:row r="113" ht="28.799999237060547" customHeight="1">
      <x:c r="A113" s="13" t="inlineStr">
        <x:is>
          <x:t xml:space="preserve">MNG-0040</x:t>
        </x:is>
      </x:c>
      <x:c r="B113" s="12" t="inlineStr">
        <x:is>
          <x:t xml:space="preserve">VIII</x:t>
        </x:is>
      </x:c>
      <x:c r="C113" s="12" t="inlineStr">
        <x:is>
          <x:t xml:space="preserve">MNG</x:t>
        </x:is>
      </x:c>
      <x:c r="D113" s="12" t="inlineStr">
        <x:is>
          <x:t xml:space="preserve">Meaning, purpose, beauty, and existential fit</x:t>
        </x:is>
      </x:c>
      <x:c r="E113" s="12" t="inlineStr">
        <x:is>
          <x:t xml:space="preserve">Finite goods may provide genuine but limited meaning.</x:t>
        </x:is>
      </x:c>
      <x:c r="F113" s="12" t="n"/>
      <x:c r="G113" s="12" t="n"/>
      <x:c r="H113" s="12" t="n"/>
      <x:c r="I113" s="12" t="n"/>
      <x:c r="J113" s="12" t="n"/>
      <x:c r="K113" s="12" t="n"/>
      <x:c r="L113" s="12" t="n"/>
      <x:c r="M113" s="12" t="n"/>
      <x:c r="N113" s="12" t="n"/>
      <x:c r="O113" s="12" t="n"/>
      <x:c r="P113" s="12" t="n"/>
      <x:c r="Q113" s="12" t="n"/>
      <x:c r="R113" s="12" t="inlineStr">
        <x:is>
          <x:t xml:space="preserve">Not started</x:t>
        </x:is>
      </x:c>
      <x:c r="S113" s="12" t="n"/>
      <x:c r="T113" s="12" t="n"/>
      <x:c r="U113" s="12" t="n">
        <x:v>227</x:v>
      </x:c>
    </x:row>
    <x:row r="114" ht="28.799999237060547" customHeight="1">
      <x:c r="A114" s="13" t="inlineStr">
        <x:is>
          <x:t xml:space="preserve">MNG-0050</x:t>
        </x:is>
      </x:c>
      <x:c r="B114" s="12" t="inlineStr">
        <x:is>
          <x:t xml:space="preserve">VIII</x:t>
        </x:is>
      </x:c>
      <x:c r="C114" s="12" t="inlineStr">
        <x:is>
          <x:t xml:space="preserve">MNG</x:t>
        </x:is>
      </x:c>
      <x:c r="D114" s="12" t="inlineStr">
        <x:is>
          <x:t xml:space="preserve">Meaning, purpose, beauty, and existential fit</x:t>
        </x:is>
      </x:c>
      <x:c r="E114" s="12" t="inlineStr">
        <x:is>
          <x:t xml:space="preserve">Death threatens some conceptions of ultimate significance more than others.</x:t>
        </x:is>
      </x:c>
      <x:c r="F114" s="12" t="n"/>
      <x:c r="G114" s="12" t="n"/>
      <x:c r="H114" s="12" t="n"/>
      <x:c r="I114" s="12" t="n"/>
      <x:c r="J114" s="12" t="n"/>
      <x:c r="K114" s="12" t="n"/>
      <x:c r="L114" s="12" t="n"/>
      <x:c r="M114" s="12" t="n"/>
      <x:c r="N114" s="12" t="n"/>
      <x:c r="O114" s="12" t="n"/>
      <x:c r="P114" s="12" t="n"/>
      <x:c r="Q114" s="12" t="n"/>
      <x:c r="R114" s="12" t="inlineStr">
        <x:is>
          <x:t xml:space="preserve">Not started</x:t>
        </x:is>
      </x:c>
      <x:c r="S114" s="12" t="n"/>
      <x:c r="T114" s="12" t="n"/>
      <x:c r="U114" s="12" t="n">
        <x:v>228</x:v>
      </x:c>
    </x:row>
    <x:row r="115" ht="28.799999237060547" customHeight="1">
      <x:c r="A115" s="13" t="inlineStr">
        <x:is>
          <x:t xml:space="preserve">MNG-0060</x:t>
        </x:is>
      </x:c>
      <x:c r="B115" s="12" t="inlineStr">
        <x:is>
          <x:t xml:space="preserve">VIII</x:t>
        </x:is>
      </x:c>
      <x:c r="C115" s="12" t="inlineStr">
        <x:is>
          <x:t xml:space="preserve">MNG</x:t>
        </x:is>
      </x:c>
      <x:c r="D115" s="12" t="inlineStr">
        <x:is>
          <x:t xml:space="preserve">Meaning, purpose, beauty, and existential fit</x:t>
        </x:is>
      </x:c>
      <x:c r="E115" s="12" t="inlineStr">
        <x:is>
          <x:t xml:space="preserve">Christianity interprets beauty, creativity, love, sacrifice, and hope within a purposive metaphysical framework.</x:t>
        </x:is>
      </x:c>
      <x:c r="F115" s="12" t="n"/>
      <x:c r="G115" s="12" t="n"/>
      <x:c r="H115" s="12" t="n"/>
      <x:c r="I115" s="12" t="n"/>
      <x:c r="J115" s="12" t="n"/>
      <x:c r="K115" s="12" t="n"/>
      <x:c r="L115" s="12" t="n"/>
      <x:c r="M115" s="12" t="n"/>
      <x:c r="N115" s="12" t="n"/>
      <x:c r="O115" s="12" t="n"/>
      <x:c r="P115" s="12" t="n"/>
      <x:c r="Q115" s="12" t="n"/>
      <x:c r="R115" s="12" t="inlineStr">
        <x:is>
          <x:t xml:space="preserve">Not started</x:t>
        </x:is>
      </x:c>
      <x:c r="S115" s="12" t="n"/>
      <x:c r="T115" s="12" t="n"/>
      <x:c r="U115" s="12" t="n">
        <x:v>229</x:v>
      </x:c>
    </x:row>
    <x:row r="116" ht="28.799999237060547" customHeight="1">
      <x:c r="A116" s="13" t="inlineStr">
        <x:is>
          <x:t xml:space="preserve">MNG-0070</x:t>
        </x:is>
      </x:c>
      <x:c r="B116" s="12" t="inlineStr">
        <x:is>
          <x:t xml:space="preserve">VIII</x:t>
        </x:is>
      </x:c>
      <x:c r="C116" s="12" t="inlineStr">
        <x:is>
          <x:t xml:space="preserve">MNG</x:t>
        </x:is>
      </x:c>
      <x:c r="D116" s="12" t="inlineStr">
        <x:is>
          <x:t xml:space="preserve">Meaning, purpose, beauty, and existential fit</x:t>
        </x:is>
      </x:c>
      <x:c r="E116" s="12" t="inlineStr">
        <x:is>
          <x:t xml:space="preserve">Existential attractiveness does not prove truth.</x:t>
        </x:is>
      </x:c>
      <x:c r="F116" s="12" t="n"/>
      <x:c r="G116" s="12" t="n"/>
      <x:c r="H116" s="12" t="n"/>
      <x:c r="I116" s="12" t="n"/>
      <x:c r="J116" s="12" t="n"/>
      <x:c r="K116" s="12" t="n"/>
      <x:c r="L116" s="12" t="n"/>
      <x:c r="M116" s="12" t="n"/>
      <x:c r="N116" s="12" t="n"/>
      <x:c r="O116" s="12" t="n"/>
      <x:c r="P116" s="12" t="n"/>
      <x:c r="Q116" s="12" t="n"/>
      <x:c r="R116" s="12" t="inlineStr">
        <x:is>
          <x:t xml:space="preserve">Not started</x:t>
        </x:is>
      </x:c>
      <x:c r="S116" s="12" t="n"/>
      <x:c r="T116" s="12" t="n"/>
      <x:c r="U116" s="12" t="n">
        <x:v>230</x:v>
      </x:c>
    </x:row>
    <x:row r="117" ht="28.799999237060547" customHeight="1">
      <x:c r="A117" s="13" t="inlineStr">
        <x:is>
          <x:t xml:space="preserve">MNG-0080</x:t>
        </x:is>
      </x:c>
      <x:c r="B117" s="12" t="inlineStr">
        <x:is>
          <x:t xml:space="preserve">VIII</x:t>
        </x:is>
      </x:c>
      <x:c r="C117" s="12" t="inlineStr">
        <x:is>
          <x:t xml:space="preserve">MNG</x:t>
        </x:is>
      </x:c>
      <x:c r="D117" s="12" t="inlineStr">
        <x:is>
          <x:t xml:space="preserve">Meaning, purpose, beauty, and existential fit</x:t>
        </x:is>
      </x:c>
      <x:c r="E117" s="12" t="inlineStr">
        <x:is>
          <x:t xml:space="preserve">Existential coherence may nevertheless form part of a cumulative worldview comparison.</x:t>
        </x:is>
      </x:c>
      <x:c r="F117" s="12" t="n"/>
      <x:c r="G117" s="12" t="n"/>
      <x:c r="H117" s="12" t="n"/>
      <x:c r="I117" s="12" t="n"/>
      <x:c r="J117" s="12" t="n"/>
      <x:c r="K117" s="12" t="n"/>
      <x:c r="L117" s="12" t="n"/>
      <x:c r="M117" s="12" t="n"/>
      <x:c r="N117" s="12" t="n"/>
      <x:c r="O117" s="12" t="n"/>
      <x:c r="P117" s="12" t="n"/>
      <x:c r="Q117" s="12" t="n"/>
      <x:c r="R117" s="12" t="inlineStr">
        <x:is>
          <x:t xml:space="preserve">Not started</x:t>
        </x:is>
      </x:c>
      <x:c r="S117" s="12" t="n"/>
      <x:c r="T117" s="12" t="n"/>
      <x:c r="U117" s="12" t="n">
        <x:v>231</x:v>
      </x:c>
    </x:row>
    <x:row r="118" ht="28.799999237060547" customHeight="1">
      <x:c r="A118" s="13" t="inlineStr">
        <x:is>
          <x:t xml:space="preserve">MNG-0090</x:t>
        </x:is>
      </x:c>
      <x:c r="B118" s="12" t="inlineStr">
        <x:is>
          <x:t xml:space="preserve">VIII</x:t>
        </x:is>
      </x:c>
      <x:c r="C118" s="12" t="inlineStr">
        <x:is>
          <x:t xml:space="preserve">MNG</x:t>
        </x:is>
      </x:c>
      <x:c r="D118" s="12" t="inlineStr">
        <x:is>
          <x:t xml:space="preserve">Meaning, purpose, beauty, and existential fit</x:t>
        </x:is>
      </x:c>
      <x:c r="E118" s="12" t="inlineStr">
        <x:is>
          <x:t xml:space="preserve">Human longing does not deductively demonstrate that its object exists.</x:t>
        </x:is>
      </x:c>
      <x:c r="F118" s="12" t="n"/>
      <x:c r="G118" s="12" t="n"/>
      <x:c r="H118" s="12" t="n"/>
      <x:c r="I118" s="12" t="n"/>
      <x:c r="J118" s="12" t="n"/>
      <x:c r="K118" s="12" t="n"/>
      <x:c r="L118" s="12" t="n"/>
      <x:c r="M118" s="12" t="n"/>
      <x:c r="N118" s="12" t="n"/>
      <x:c r="O118" s="12" t="n"/>
      <x:c r="P118" s="12" t="n"/>
      <x:c r="Q118" s="12" t="n"/>
      <x:c r="R118" s="12" t="inlineStr">
        <x:is>
          <x:t xml:space="preserve">Not started</x:t>
        </x:is>
      </x:c>
      <x:c r="S118" s="12" t="n"/>
      <x:c r="T118" s="12" t="n"/>
      <x:c r="U118" s="12" t="n">
        <x:v>232</x:v>
      </x:c>
    </x:row>
    <x:row r="119" ht="28.799999237060547" customHeight="1">
      <x:c r="A119" s="13" t="inlineStr">
        <x:is>
          <x:t xml:space="preserve">MNG-0100</x:t>
        </x:is>
      </x:c>
      <x:c r="B119" s="12" t="inlineStr">
        <x:is>
          <x:t xml:space="preserve">VIII</x:t>
        </x:is>
      </x:c>
      <x:c r="C119" s="12" t="inlineStr">
        <x:is>
          <x:t xml:space="preserve">MNG</x:t>
        </x:is>
      </x:c>
      <x:c r="D119" s="12" t="inlineStr">
        <x:is>
          <x:t xml:space="preserve">Meaning, purpose, beauty, and existential fit</x:t>
        </x:is>
      </x:c>
      <x:c r="E119" s="12" t="inlineStr">
        <x:is>
          <x:t xml:space="preserve">Persistent desires may still have evidential relevance under certain theories of human nature.</x:t>
        </x:is>
      </x:c>
      <x:c r="F119" s="12" t="n"/>
      <x:c r="G119" s="12" t="n"/>
      <x:c r="H119" s="12" t="n"/>
      <x:c r="I119" s="12" t="n"/>
      <x:c r="J119" s="12" t="n"/>
      <x:c r="K119" s="12" t="n"/>
      <x:c r="L119" s="12" t="n"/>
      <x:c r="M119" s="12" t="n"/>
      <x:c r="N119" s="12" t="n"/>
      <x:c r="O119" s="12" t="n"/>
      <x:c r="P119" s="12" t="n"/>
      <x:c r="Q119" s="12" t="n"/>
      <x:c r="R119" s="12" t="inlineStr">
        <x:is>
          <x:t xml:space="preserve">Not started</x:t>
        </x:is>
      </x:c>
      <x:c r="S119" s="12" t="n"/>
      <x:c r="T119" s="12" t="n"/>
      <x:c r="U119" s="12" t="n">
        <x:v>233</x:v>
      </x:c>
    </x:row>
    <x:row r="120" ht="28.799999237060547" customHeight="1">
      <x:c r="A120" s="13" t="inlineStr">
        <x:is>
          <x:t xml:space="preserve">MNG-0110</x:t>
        </x:is>
      </x:c>
      <x:c r="B120" s="12" t="inlineStr">
        <x:is>
          <x:t xml:space="preserve">VIII</x:t>
        </x:is>
      </x:c>
      <x:c r="C120" s="12" t="inlineStr">
        <x:is>
          <x:t xml:space="preserve">MNG</x:t>
        </x:is>
      </x:c>
      <x:c r="D120" s="12" t="inlineStr">
        <x:is>
          <x:t xml:space="preserve">Meaning, purpose, beauty, and existential fit</x:t>
        </x:is>
      </x:c>
      <x:c r="E120" s="12" t="inlineStr">
        <x:is>
          <x:t xml:space="preserve">The aesthetic structure of the world may be interpreted theistically, naturalistically, or Platonically.</x:t>
        </x:is>
      </x:c>
      <x:c r="F120" s="12" t="n"/>
      <x:c r="G120" s="12" t="n"/>
      <x:c r="H120" s="12" t="n"/>
      <x:c r="I120" s="12" t="n"/>
      <x:c r="J120" s="12" t="n"/>
      <x:c r="K120" s="12" t="n"/>
      <x:c r="L120" s="12" t="n"/>
      <x:c r="M120" s="12" t="n"/>
      <x:c r="N120" s="12" t="n"/>
      <x:c r="O120" s="12" t="n"/>
      <x:c r="P120" s="12" t="n"/>
      <x:c r="Q120" s="12" t="n"/>
      <x:c r="R120" s="12" t="inlineStr">
        <x:is>
          <x:t xml:space="preserve">Not started</x:t>
        </x:is>
      </x:c>
      <x:c r="S120" s="12" t="n"/>
      <x:c r="T120" s="12" t="n"/>
      <x:c r="U120" s="12" t="n">
        <x:v>234</x:v>
      </x:c>
    </x:row>
    <x:row r="121" ht="28.799999237060547" customHeight="1">
      <x:c r="A121" s="13" t="inlineStr">
        <x:is>
          <x:t xml:space="preserve">MNG-0120</x:t>
        </x:is>
      </x:c>
      <x:c r="B121" s="12" t="inlineStr">
        <x:is>
          <x:t xml:space="preserve">VIII</x:t>
        </x:is>
      </x:c>
      <x:c r="C121" s="12" t="inlineStr">
        <x:is>
          <x:t xml:space="preserve">MNG</x:t>
        </x:is>
      </x:c>
      <x:c r="D121" s="12" t="inlineStr">
        <x:is>
          <x:t xml:space="preserve">Meaning, purpose, beauty, and existential fit</x:t>
        </x:is>
      </x:c>
      <x:c r="E121" s="12" t="inlineStr">
        <x:is>
          <x:t xml:space="preserve">Theism may unify truth, goodness, and beauty in one ultimate source.</x:t>
        </x:is>
      </x:c>
      <x:c r="F121" s="12" t="n"/>
      <x:c r="G121" s="12" t="n"/>
      <x:c r="H121" s="12" t="n"/>
      <x:c r="I121" s="12" t="n"/>
      <x:c r="J121" s="12" t="n"/>
      <x:c r="K121" s="12" t="n"/>
      <x:c r="L121" s="12" t="n"/>
      <x:c r="M121" s="12" t="n"/>
      <x:c r="N121" s="12" t="n"/>
      <x:c r="O121" s="12" t="n"/>
      <x:c r="P121" s="12" t="n"/>
      <x:c r="Q121" s="12" t="n"/>
      <x:c r="R121" s="12" t="inlineStr">
        <x:is>
          <x:t xml:space="preserve">Not started</x:t>
        </x:is>
      </x:c>
      <x:c r="S121" s="12" t="n"/>
      <x:c r="T121" s="12" t="n"/>
      <x:c r="U121" s="12" t="n">
        <x:v>235</x:v>
      </x:c>
    </x:row>
    <x:row r="122" ht="28.799999237060547" customHeight="1">
      <x:c r="A122" s="13" t="inlineStr">
        <x:is>
          <x:t xml:space="preserve">EXP-0010</x:t>
        </x:is>
      </x:c>
      <x:c r="B122" s="12" t="inlineStr">
        <x:is>
          <x:t xml:space="preserve">IX</x:t>
        </x:is>
      </x:c>
      <x:c r="C122" s="12" t="inlineStr">
        <x:is>
          <x:t xml:space="preserve">EXP</x:t>
        </x:is>
      </x:c>
      <x:c r="D122" s="12" t="inlineStr">
        <x:is>
          <x:t xml:space="preserve">Religious experience and revelation</x:t>
        </x:is>
      </x:c>
      <x:c r="E122" s="12" t="inlineStr">
        <x:is>
          <x:t xml:space="preserve">Religious experiences occur across cultures.</x:t>
        </x:is>
      </x:c>
      <x:c r="F122" s="12" t="n"/>
      <x:c r="G122" s="12" t="n"/>
      <x:c r="H122" s="12" t="n"/>
      <x:c r="I122" s="12" t="n"/>
      <x:c r="J122" s="12" t="n"/>
      <x:c r="K122" s="12" t="n"/>
      <x:c r="L122" s="12" t="n"/>
      <x:c r="M122" s="12" t="n"/>
      <x:c r="N122" s="12" t="n"/>
      <x:c r="O122" s="12" t="n"/>
      <x:c r="P122" s="12" t="n"/>
      <x:c r="Q122" s="12" t="n"/>
      <x:c r="R122" s="12" t="inlineStr">
        <x:is>
          <x:t xml:space="preserve">Not started</x:t>
        </x:is>
      </x:c>
      <x:c r="S122" s="12" t="n"/>
      <x:c r="T122" s="12" t="n"/>
      <x:c r="U122" s="12" t="n">
        <x:v>241</x:v>
      </x:c>
    </x:row>
    <x:row r="123" ht="28.799999237060547" customHeight="1">
      <x:c r="A123" s="13" t="inlineStr">
        <x:is>
          <x:t xml:space="preserve">EXP-0020</x:t>
        </x:is>
      </x:c>
      <x:c r="B123" s="12" t="inlineStr">
        <x:is>
          <x:t xml:space="preserve">IX</x:t>
        </x:is>
      </x:c>
      <x:c r="C123" s="12" t="inlineStr">
        <x:is>
          <x:t xml:space="preserve">EXP</x:t>
        </x:is>
      </x:c>
      <x:c r="D123" s="12" t="inlineStr">
        <x:is>
          <x:t xml:space="preserve">Religious experience and revelation</x:t>
        </x:is>
      </x:c>
      <x:c r="E123" s="12" t="inlineStr">
        <x:is>
          <x:t xml:space="preserve">The existence of conflicting religious experiences does not show that every such experience is false.</x:t>
        </x:is>
      </x:c>
      <x:c r="F123" s="12" t="n"/>
      <x:c r="G123" s="12" t="n"/>
      <x:c r="H123" s="12" t="n"/>
      <x:c r="I123" s="12" t="n"/>
      <x:c r="J123" s="12" t="n"/>
      <x:c r="K123" s="12" t="n"/>
      <x:c r="L123" s="12" t="n"/>
      <x:c r="M123" s="12" t="n"/>
      <x:c r="N123" s="12" t="n"/>
      <x:c r="O123" s="12" t="n"/>
      <x:c r="P123" s="12" t="n"/>
      <x:c r="Q123" s="12" t="n"/>
      <x:c r="R123" s="12" t="inlineStr">
        <x:is>
          <x:t xml:space="preserve">Not started</x:t>
        </x:is>
      </x:c>
      <x:c r="S123" s="12" t="n"/>
      <x:c r="T123" s="12" t="n"/>
      <x:c r="U123" s="12" t="n">
        <x:v>242</x:v>
      </x:c>
    </x:row>
    <x:row r="124" ht="28.799999237060547" customHeight="1">
      <x:c r="A124" s="13" t="inlineStr">
        <x:is>
          <x:t xml:space="preserve">EXP-0030</x:t>
        </x:is>
      </x:c>
      <x:c r="B124" s="12" t="inlineStr">
        <x:is>
          <x:t xml:space="preserve">IX</x:t>
        </x:is>
      </x:c>
      <x:c r="C124" s="12" t="inlineStr">
        <x:is>
          <x:t xml:space="preserve">EXP</x:t>
        </x:is>
      </x:c>
      <x:c r="D124" s="12" t="inlineStr">
        <x:is>
          <x:t xml:space="preserve">Religious experience and revelation</x:t>
        </x:is>
      </x:c>
      <x:c r="E124" s="12" t="inlineStr">
        <x:is>
          <x:t xml:space="preserve">Religious experience may have prima facie evidential force for the subject.</x:t>
        </x:is>
      </x:c>
      <x:c r="F124" s="12" t="n"/>
      <x:c r="G124" s="12" t="n"/>
      <x:c r="H124" s="12" t="n"/>
      <x:c r="I124" s="12" t="n"/>
      <x:c r="J124" s="12" t="n"/>
      <x:c r="K124" s="12" t="n"/>
      <x:c r="L124" s="12" t="n"/>
      <x:c r="M124" s="12" t="n"/>
      <x:c r="N124" s="12" t="n"/>
      <x:c r="O124" s="12" t="n"/>
      <x:c r="P124" s="12" t="n"/>
      <x:c r="Q124" s="12" t="n"/>
      <x:c r="R124" s="12" t="inlineStr">
        <x:is>
          <x:t xml:space="preserve">Not started</x:t>
        </x:is>
      </x:c>
      <x:c r="S124" s="12" t="n"/>
      <x:c r="T124" s="12" t="n"/>
      <x:c r="U124" s="12" t="n">
        <x:v>243</x:v>
      </x:c>
    </x:row>
    <x:row r="125" ht="28.799999237060547" customHeight="1">
      <x:c r="A125" s="13" t="inlineStr">
        <x:is>
          <x:t xml:space="preserve">EXP-0040</x:t>
        </x:is>
      </x:c>
      <x:c r="B125" s="12" t="inlineStr">
        <x:is>
          <x:t xml:space="preserve">IX</x:t>
        </x:is>
      </x:c>
      <x:c r="C125" s="12" t="inlineStr">
        <x:is>
          <x:t xml:space="preserve">EXP</x:t>
        </x:is>
      </x:c>
      <x:c r="D125" s="12" t="inlineStr">
        <x:is>
          <x:t xml:space="preserve">Religious experience and revelation</x:t>
        </x:is>
      </x:c>
      <x:c r="E125" s="12" t="inlineStr">
        <x:is>
          <x:t xml:space="preserve">Psychological or neurological mediation does not by itself prove that an experience is delusive.</x:t>
        </x:is>
      </x:c>
      <x:c r="F125" s="12" t="n"/>
      <x:c r="G125" s="12" t="n"/>
      <x:c r="H125" s="12" t="n"/>
      <x:c r="I125" s="12" t="n"/>
      <x:c r="J125" s="12" t="n"/>
      <x:c r="K125" s="12" t="n"/>
      <x:c r="L125" s="12" t="n"/>
      <x:c r="M125" s="12" t="n"/>
      <x:c r="N125" s="12" t="n"/>
      <x:c r="O125" s="12" t="n"/>
      <x:c r="P125" s="12" t="n"/>
      <x:c r="Q125" s="12" t="n"/>
      <x:c r="R125" s="12" t="inlineStr">
        <x:is>
          <x:t xml:space="preserve">Not started</x:t>
        </x:is>
      </x:c>
      <x:c r="S125" s="12" t="n"/>
      <x:c r="T125" s="12" t="n"/>
      <x:c r="U125" s="12" t="n">
        <x:v>244</x:v>
      </x:c>
    </x:row>
    <x:row r="126" ht="28.799999237060547" customHeight="1">
      <x:c r="A126" s="13" t="inlineStr">
        <x:is>
          <x:t xml:space="preserve">EXP-0050</x:t>
        </x:is>
      </x:c>
      <x:c r="B126" s="12" t="inlineStr">
        <x:is>
          <x:t xml:space="preserve">IX</x:t>
        </x:is>
      </x:c>
      <x:c r="C126" s="12" t="inlineStr">
        <x:is>
          <x:t xml:space="preserve">EXP</x:t>
        </x:is>
      </x:c>
      <x:c r="D126" s="12" t="inlineStr">
        <x:is>
          <x:t xml:space="preserve">Religious experience and revelation</x:t>
        </x:is>
      </x:c>
      <x:c r="E126" s="12" t="inlineStr">
        <x:is>
          <x:t xml:space="preserve">Natural explanations and divine explanations need not always be mutually exclusive.</x:t>
        </x:is>
      </x:c>
      <x:c r="F126" s="12" t="n"/>
      <x:c r="G126" s="12" t="n"/>
      <x:c r="H126" s="12" t="n"/>
      <x:c r="I126" s="12" t="n"/>
      <x:c r="J126" s="12" t="n"/>
      <x:c r="K126" s="12" t="n"/>
      <x:c r="L126" s="12" t="n"/>
      <x:c r="M126" s="12" t="n"/>
      <x:c r="N126" s="12" t="n"/>
      <x:c r="O126" s="12" t="n"/>
      <x:c r="P126" s="12" t="n"/>
      <x:c r="Q126" s="12" t="n"/>
      <x:c r="R126" s="12" t="inlineStr">
        <x:is>
          <x:t xml:space="preserve">Not started</x:t>
        </x:is>
      </x:c>
      <x:c r="S126" s="12" t="n"/>
      <x:c r="T126" s="12" t="n"/>
      <x:c r="U126" s="12" t="n">
        <x:v>245</x:v>
      </x:c>
    </x:row>
    <x:row r="127" ht="28.799999237060547" customHeight="1">
      <x:c r="A127" s="13" t="inlineStr">
        <x:is>
          <x:t xml:space="preserve">EXP-0060</x:t>
        </x:is>
      </x:c>
      <x:c r="B127" s="12" t="inlineStr">
        <x:is>
          <x:t xml:space="preserve">IX</x:t>
        </x:is>
      </x:c>
      <x:c r="C127" s="12" t="inlineStr">
        <x:is>
          <x:t xml:space="preserve">EXP</x:t>
        </x:is>
      </x:c>
      <x:c r="D127" s="12" t="inlineStr">
        <x:is>
          <x:t xml:space="preserve">Religious experience and revelation</x:t>
        </x:is>
      </x:c>
      <x:c r="E127" s="12" t="inlineStr">
        <x:is>
          <x:t xml:space="preserve">Religious experiences require screening for deception, pathology, suggestion, social reinforcement, and expectation.</x:t>
        </x:is>
      </x:c>
      <x:c r="F127" s="12" t="n"/>
      <x:c r="G127" s="12" t="n"/>
      <x:c r="H127" s="12" t="n"/>
      <x:c r="I127" s="12" t="n"/>
      <x:c r="J127" s="12" t="n"/>
      <x:c r="K127" s="12" t="n"/>
      <x:c r="L127" s="12" t="n"/>
      <x:c r="M127" s="12" t="n"/>
      <x:c r="N127" s="12" t="n"/>
      <x:c r="O127" s="12" t="n"/>
      <x:c r="P127" s="12" t="n"/>
      <x:c r="Q127" s="12" t="n"/>
      <x:c r="R127" s="12" t="inlineStr">
        <x:is>
          <x:t xml:space="preserve">Not started</x:t>
        </x:is>
      </x:c>
      <x:c r="S127" s="12" t="n"/>
      <x:c r="T127" s="12" t="n"/>
      <x:c r="U127" s="12" t="n">
        <x:v>246</x:v>
      </x:c>
    </x:row>
    <x:row r="128" ht="28.799999237060547" customHeight="1">
      <x:c r="A128" s="13" t="inlineStr">
        <x:is>
          <x:t xml:space="preserve">EXP-0070</x:t>
        </x:is>
      </x:c>
      <x:c r="B128" s="12" t="inlineStr">
        <x:is>
          <x:t xml:space="preserve">IX</x:t>
        </x:is>
      </x:c>
      <x:c r="C128" s="12" t="inlineStr">
        <x:is>
          <x:t xml:space="preserve">EXP</x:t>
        </x:is>
      </x:c>
      <x:c r="D128" s="12" t="inlineStr">
        <x:is>
          <x:t xml:space="preserve">Religious experience and revelation</x:t>
        </x:is>
      </x:c>
      <x:c r="E128" s="12" t="inlineStr">
        <x:is>
          <x:t xml:space="preserve">Corporate experiences differ evidentially from solitary private experiences.</x:t>
        </x:is>
      </x:c>
      <x:c r="F128" s="12" t="n"/>
      <x:c r="G128" s="12" t="n"/>
      <x:c r="H128" s="12" t="n"/>
      <x:c r="I128" s="12" t="n"/>
      <x:c r="J128" s="12" t="n"/>
      <x:c r="K128" s="12" t="n"/>
      <x:c r="L128" s="12" t="n"/>
      <x:c r="M128" s="12" t="n"/>
      <x:c r="N128" s="12" t="n"/>
      <x:c r="O128" s="12" t="n"/>
      <x:c r="P128" s="12" t="n"/>
      <x:c r="Q128" s="12" t="n"/>
      <x:c r="R128" s="12" t="inlineStr">
        <x:is>
          <x:t xml:space="preserve">Not started</x:t>
        </x:is>
      </x:c>
      <x:c r="S128" s="12" t="n"/>
      <x:c r="T128" s="12" t="n"/>
      <x:c r="U128" s="12" t="n">
        <x:v>247</x:v>
      </x:c>
    </x:row>
    <x:row r="129" ht="28.799999237060547" customHeight="1">
      <x:c r="A129" s="13" t="inlineStr">
        <x:is>
          <x:t xml:space="preserve">EXP-0080</x:t>
        </x:is>
      </x:c>
      <x:c r="B129" s="12" t="inlineStr">
        <x:is>
          <x:t xml:space="preserve">IX</x:t>
        </x:is>
      </x:c>
      <x:c r="C129" s="12" t="inlineStr">
        <x:is>
          <x:t xml:space="preserve">EXP</x:t>
        </x:is>
      </x:c>
      <x:c r="D129" s="12" t="inlineStr">
        <x:is>
          <x:t xml:space="preserve">Religious experience and revelation</x:t>
        </x:is>
      </x:c>
      <x:c r="E129" s="12" t="inlineStr">
        <x:is>
          <x:t xml:space="preserve">Transformative effects may support sincerity but do not guarantee truth.</x:t>
        </x:is>
      </x:c>
      <x:c r="F129" s="12" t="n"/>
      <x:c r="G129" s="12" t="n"/>
      <x:c r="H129" s="12" t="n"/>
      <x:c r="I129" s="12" t="n"/>
      <x:c r="J129" s="12" t="n"/>
      <x:c r="K129" s="12" t="n"/>
      <x:c r="L129" s="12" t="n"/>
      <x:c r="M129" s="12" t="n"/>
      <x:c r="N129" s="12" t="n"/>
      <x:c r="O129" s="12" t="n"/>
      <x:c r="P129" s="12" t="n"/>
      <x:c r="Q129" s="12" t="n"/>
      <x:c r="R129" s="12" t="inlineStr">
        <x:is>
          <x:t xml:space="preserve">Not started</x:t>
        </x:is>
      </x:c>
      <x:c r="S129" s="12" t="n"/>
      <x:c r="T129" s="12" t="n"/>
      <x:c r="U129" s="12" t="n">
        <x:v>248</x:v>
      </x:c>
    </x:row>
    <x:row r="130" ht="28.799999237060547" customHeight="1">
      <x:c r="A130" s="13" t="inlineStr">
        <x:is>
          <x:t xml:space="preserve">EXP-0090</x:t>
        </x:is>
      </x:c>
      <x:c r="B130" s="12" t="inlineStr">
        <x:is>
          <x:t xml:space="preserve">IX</x:t>
        </x:is>
      </x:c>
      <x:c r="C130" s="12" t="inlineStr">
        <x:is>
          <x:t xml:space="preserve">EXP</x:t>
        </x:is>
      </x:c>
      <x:c r="D130" s="12" t="inlineStr">
        <x:is>
          <x:t xml:space="preserve">Religious experience and revelation</x:t>
        </x:is>
      </x:c>
      <x:c r="E130" s="12" t="inlineStr">
        <x:is>
          <x:t xml:space="preserve">Christian religious experience must be assessed together with public claims about Jesus, not in isolation.</x:t>
        </x:is>
      </x:c>
      <x:c r="F130" s="12" t="n"/>
      <x:c r="G130" s="12" t="n"/>
      <x:c r="H130" s="12" t="n"/>
      <x:c r="I130" s="12" t="n"/>
      <x:c r="J130" s="12" t="n"/>
      <x:c r="K130" s="12" t="n"/>
      <x:c r="L130" s="12" t="n"/>
      <x:c r="M130" s="12" t="n"/>
      <x:c r="N130" s="12" t="n"/>
      <x:c r="O130" s="12" t="n"/>
      <x:c r="P130" s="12" t="n"/>
      <x:c r="Q130" s="12" t="n"/>
      <x:c r="R130" s="12" t="inlineStr">
        <x:is>
          <x:t xml:space="preserve">Not started</x:t>
        </x:is>
      </x:c>
      <x:c r="S130" s="12" t="n"/>
      <x:c r="T130" s="12" t="n"/>
      <x:c r="U130" s="12" t="n">
        <x:v>249</x:v>
      </x:c>
    </x:row>
    <x:row r="131" ht="28.799999237060547" customHeight="1">
      <x:c r="A131" s="13" t="inlineStr">
        <x:is>
          <x:t xml:space="preserve">EXP-0100</x:t>
        </x:is>
      </x:c>
      <x:c r="B131" s="12" t="inlineStr">
        <x:is>
          <x:t xml:space="preserve">IX</x:t>
        </x:is>
      </x:c>
      <x:c r="C131" s="12" t="inlineStr">
        <x:is>
          <x:t xml:space="preserve">EXP</x:t>
        </x:is>
      </x:c>
      <x:c r="D131" s="12" t="inlineStr">
        <x:is>
          <x:t xml:space="preserve">Religious experience and revelation</x:t>
        </x:is>
      </x:c>
      <x:c r="E131" s="12" t="inlineStr">
        <x:is>
          <x:t xml:space="preserve">Claims of revelation require criteria for authenticity.</x:t>
        </x:is>
      </x:c>
      <x:c r="F131" s="12" t="n"/>
      <x:c r="G131" s="12" t="n"/>
      <x:c r="H131" s="12" t="n"/>
      <x:c r="I131" s="12" t="n"/>
      <x:c r="J131" s="12" t="n"/>
      <x:c r="K131" s="12" t="n"/>
      <x:c r="L131" s="12" t="n"/>
      <x:c r="M131" s="12" t="n"/>
      <x:c r="N131" s="12" t="n"/>
      <x:c r="O131" s="12" t="n"/>
      <x:c r="P131" s="12" t="n"/>
      <x:c r="Q131" s="12" t="n"/>
      <x:c r="R131" s="12" t="inlineStr">
        <x:is>
          <x:t xml:space="preserve">Not started</x:t>
        </x:is>
      </x:c>
      <x:c r="S131" s="12" t="n"/>
      <x:c r="T131" s="12" t="n"/>
      <x:c r="U131" s="12" t="n">
        <x:v>250</x:v>
      </x:c>
    </x:row>
    <x:row r="132" ht="28.799999237060547" customHeight="1">
      <x:c r="A132" s="13" t="inlineStr">
        <x:is>
          <x:t xml:space="preserve">EXP-0110</x:t>
        </x:is>
      </x:c>
      <x:c r="B132" s="12" t="inlineStr">
        <x:is>
          <x:t xml:space="preserve">IX</x:t>
        </x:is>
      </x:c>
      <x:c r="C132" s="12" t="inlineStr">
        <x:is>
          <x:t xml:space="preserve">EXP</x:t>
        </x:is>
      </x:c>
      <x:c r="D132" s="12" t="inlineStr">
        <x:is>
          <x:t xml:space="preserve">Religious experience and revelation</x:t>
        </x:is>
      </x:c>
      <x:c r="E132" s="12" t="inlineStr">
        <x:is>
          <x:t xml:space="preserve">A revelation claim should be evaluated for coherence, moral character, historical anchoring, predictive content, and explanatory integration.</x:t>
        </x:is>
      </x:c>
      <x:c r="F132" s="12" t="n"/>
      <x:c r="G132" s="12" t="n"/>
      <x:c r="H132" s="12" t="n"/>
      <x:c r="I132" s="12" t="n"/>
      <x:c r="J132" s="12" t="n"/>
      <x:c r="K132" s="12" t="n"/>
      <x:c r="L132" s="12" t="n"/>
      <x:c r="M132" s="12" t="n"/>
      <x:c r="N132" s="12" t="n"/>
      <x:c r="O132" s="12" t="n"/>
      <x:c r="P132" s="12" t="n"/>
      <x:c r="Q132" s="12" t="n"/>
      <x:c r="R132" s="12" t="inlineStr">
        <x:is>
          <x:t xml:space="preserve">Not started</x:t>
        </x:is>
      </x:c>
      <x:c r="S132" s="12" t="n"/>
      <x:c r="T132" s="12" t="n"/>
      <x:c r="U132" s="12" t="n">
        <x:v>251</x:v>
      </x:c>
    </x:row>
    <x:row r="133" ht="28.799999237060547" customHeight="1">
      <x:c r="A133" s="13" t="inlineStr">
        <x:is>
          <x:t xml:space="preserve">EXP-0120</x:t>
        </x:is>
      </x:c>
      <x:c r="B133" s="12" t="inlineStr">
        <x:is>
          <x:t xml:space="preserve">IX</x:t>
        </x:is>
      </x:c>
      <x:c r="C133" s="12" t="inlineStr">
        <x:is>
          <x:t xml:space="preserve">EXP</x:t>
        </x:is>
      </x:c>
      <x:c r="D133" s="12" t="inlineStr">
        <x:is>
          <x:t xml:space="preserve">Religious experience and revelation</x:t>
        </x:is>
      </x:c>
      <x:c r="E133" s="12" t="inlineStr">
        <x:is>
          <x:t xml:space="preserve">Divine hiddenness presents a serious challenge to claims that God desires relationship with all persons.</x:t>
        </x:is>
      </x:c>
      <x:c r="F133" s="12" t="n"/>
      <x:c r="G133" s="12" t="n"/>
      <x:c r="H133" s="12" t="n"/>
      <x:c r="I133" s="12" t="n"/>
      <x:c r="J133" s="12" t="n"/>
      <x:c r="K133" s="12" t="n"/>
      <x:c r="L133" s="12" t="n"/>
      <x:c r="M133" s="12" t="n"/>
      <x:c r="N133" s="12" t="n"/>
      <x:c r="O133" s="12" t="n"/>
      <x:c r="P133" s="12" t="n"/>
      <x:c r="Q133" s="12" t="n"/>
      <x:c r="R133" s="12" t="inlineStr">
        <x:is>
          <x:t xml:space="preserve">Not started</x:t>
        </x:is>
      </x:c>
      <x:c r="S133" s="12" t="n"/>
      <x:c r="T133" s="12" t="n"/>
      <x:c r="U133" s="12" t="n">
        <x:v>252</x:v>
      </x:c>
    </x:row>
    <x:row r="134" ht="28.799999237060547" customHeight="1">
      <x:c r="A134" s="13" t="inlineStr">
        <x:is>
          <x:t xml:space="preserve">EXP-0130</x:t>
        </x:is>
      </x:c>
      <x:c r="B134" s="12" t="inlineStr">
        <x:is>
          <x:t xml:space="preserve">IX</x:t>
        </x:is>
      </x:c>
      <x:c r="C134" s="12" t="inlineStr">
        <x:is>
          <x:t xml:space="preserve">EXP</x:t>
        </x:is>
      </x:c>
      <x:c r="D134" s="12" t="inlineStr">
        <x:is>
          <x:t xml:space="preserve">Religious experience and revelation</x:t>
        </x:is>
      </x:c>
      <x:c r="E134" s="12" t="inlineStr">
        <x:is>
          <x:t xml:space="preserve">Christian responses include free-will, epistemic-distance, soul-making, nonresistant-disbelief, and eschatological models.</x:t>
        </x:is>
      </x:c>
      <x:c r="F134" s="12" t="n"/>
      <x:c r="G134" s="12" t="n"/>
      <x:c r="H134" s="12" t="n"/>
      <x:c r="I134" s="12" t="n"/>
      <x:c r="J134" s="12" t="n"/>
      <x:c r="K134" s="12" t="n"/>
      <x:c r="L134" s="12" t="n"/>
      <x:c r="M134" s="12" t="n"/>
      <x:c r="N134" s="12" t="n"/>
      <x:c r="O134" s="12" t="n"/>
      <x:c r="P134" s="12" t="n"/>
      <x:c r="Q134" s="12" t="n"/>
      <x:c r="R134" s="12" t="inlineStr">
        <x:is>
          <x:t xml:space="preserve">Not started</x:t>
        </x:is>
      </x:c>
      <x:c r="S134" s="12" t="n"/>
      <x:c r="T134" s="12" t="n"/>
      <x:c r="U134" s="12" t="n">
        <x:v>253</x:v>
      </x:c>
    </x:row>
    <x:row r="135" ht="28.799999237060547" customHeight="1">
      <x:c r="A135" s="13" t="inlineStr">
        <x:is>
          <x:t xml:space="preserve">EXP-0140</x:t>
        </x:is>
      </x:c>
      <x:c r="B135" s="12" t="inlineStr">
        <x:is>
          <x:t xml:space="preserve">IX</x:t>
        </x:is>
      </x:c>
      <x:c r="C135" s="12" t="inlineStr">
        <x:is>
          <x:t xml:space="preserve">EXP</x:t>
        </x:is>
      </x:c>
      <x:c r="D135" s="12" t="inlineStr">
        <x:is>
          <x:t xml:space="preserve">Religious experience and revelation</x:t>
        </x:is>
      </x:c>
      <x:c r="E135" s="12" t="inlineStr">
        <x:is>
          <x:t xml:space="preserve">No single hiddenness response should be assumed sufficient without analysis.</x:t>
        </x:is>
      </x:c>
      <x:c r="F135" s="12" t="n"/>
      <x:c r="G135" s="12" t="n"/>
      <x:c r="H135" s="12" t="n"/>
      <x:c r="I135" s="12" t="n"/>
      <x:c r="J135" s="12" t="n"/>
      <x:c r="K135" s="12" t="n"/>
      <x:c r="L135" s="12" t="n"/>
      <x:c r="M135" s="12" t="n"/>
      <x:c r="N135" s="12" t="n"/>
      <x:c r="O135" s="12" t="n"/>
      <x:c r="P135" s="12" t="n"/>
      <x:c r="Q135" s="12" t="n"/>
      <x:c r="R135" s="12" t="inlineStr">
        <x:is>
          <x:t xml:space="preserve">Not started</x:t>
        </x:is>
      </x:c>
      <x:c r="S135" s="12" t="n"/>
      <x:c r="T135" s="12" t="n"/>
      <x:c r="U135" s="12" t="n">
        <x:v>254</x:v>
      </x:c>
    </x:row>
    <x:row r="136">
      <x:c r="A136" s="13" t="inlineStr">
        <x:is>
          <x:t xml:space="preserve">HIS-0010</x:t>
        </x:is>
      </x:c>
      <x:c r="B136" s="12" t="inlineStr">
        <x:is>
          <x:t xml:space="preserve">X</x:t>
        </x:is>
      </x:c>
      <x:c r="C136" s="12" t="inlineStr">
        <x:is>
          <x:t xml:space="preserve">HIS</x:t>
        </x:is>
      </x:c>
      <x:c r="D136" s="12" t="inlineStr">
        <x:is>
          <x:t xml:space="preserve">General historical method</x:t>
        </x:is>
      </x:c>
      <x:c r="E136" s="12" t="inlineStr">
        <x:is>
          <x:t xml:space="preserve">Historical events can be rationally known without direct observation.</x:t>
        </x:is>
      </x:c>
      <x:c r="F136" s="12" t="n"/>
      <x:c r="G136" s="12" t="n"/>
      <x:c r="H136" s="12" t="n"/>
      <x:c r="I136" s="12" t="n"/>
      <x:c r="J136" s="12" t="n"/>
      <x:c r="K136" s="12" t="n"/>
      <x:c r="L136" s="12" t="n"/>
      <x:c r="M136" s="12" t="n"/>
      <x:c r="N136" s="12" t="n"/>
      <x:c r="O136" s="12" t="n"/>
      <x:c r="P136" s="12" t="n"/>
      <x:c r="Q136" s="12" t="n"/>
      <x:c r="R136" s="12" t="inlineStr">
        <x:is>
          <x:t xml:space="preserve">Not started</x:t>
        </x:is>
      </x:c>
      <x:c r="S136" s="12" t="n"/>
      <x:c r="T136" s="12" t="n"/>
      <x:c r="U136" s="12" t="n">
        <x:v>262</x:v>
      </x:c>
    </x:row>
    <x:row r="137">
      <x:c r="A137" s="13" t="inlineStr">
        <x:is>
          <x:t xml:space="preserve">HIS-0020</x:t>
        </x:is>
      </x:c>
      <x:c r="B137" s="12" t="inlineStr">
        <x:is>
          <x:t xml:space="preserve">X</x:t>
        </x:is>
      </x:c>
      <x:c r="C137" s="12" t="inlineStr">
        <x:is>
          <x:t xml:space="preserve">HIS</x:t>
        </x:is>
      </x:c>
      <x:c r="D137" s="12" t="inlineStr">
        <x:is>
          <x:t xml:space="preserve">General historical method</x:t>
        </x:is>
      </x:c>
      <x:c r="E137" s="12" t="inlineStr">
        <x:is>
          <x:t xml:space="preserve">Historical conclusions are generally probabilistic rather than deductively certain.</x:t>
        </x:is>
      </x:c>
      <x:c r="F137" s="12" t="n"/>
      <x:c r="G137" s="12" t="n"/>
      <x:c r="H137" s="12" t="n"/>
      <x:c r="I137" s="12" t="n"/>
      <x:c r="J137" s="12" t="n"/>
      <x:c r="K137" s="12" t="n"/>
      <x:c r="L137" s="12" t="n"/>
      <x:c r="M137" s="12" t="n"/>
      <x:c r="N137" s="12" t="n"/>
      <x:c r="O137" s="12" t="n"/>
      <x:c r="P137" s="12" t="n"/>
      <x:c r="Q137" s="12" t="n"/>
      <x:c r="R137" s="12" t="inlineStr">
        <x:is>
          <x:t xml:space="preserve">Not started</x:t>
        </x:is>
      </x:c>
      <x:c r="S137" s="12" t="n"/>
      <x:c r="T137" s="12" t="n"/>
      <x:c r="U137" s="12" t="n">
        <x:v>263</x:v>
      </x:c>
    </x:row>
    <x:row r="138">
      <x:c r="A138" s="13" t="inlineStr">
        <x:is>
          <x:t xml:space="preserve">HIS-0030</x:t>
        </x:is>
      </x:c>
      <x:c r="B138" s="12" t="inlineStr">
        <x:is>
          <x:t xml:space="preserve">X</x:t>
        </x:is>
      </x:c>
      <x:c r="C138" s="12" t="inlineStr">
        <x:is>
          <x:t xml:space="preserve">HIS</x:t>
        </x:is>
      </x:c>
      <x:c r="D138" s="12" t="inlineStr">
        <x:is>
          <x:t xml:space="preserve">General historical method</x:t>
        </x:is>
      </x:c>
      <x:c r="E138" s="12" t="inlineStr">
        <x:is>
          <x:t xml:space="preserve">Multiple attestation can increase confidence but is not mechanically decisive.</x:t>
        </x:is>
      </x:c>
      <x:c r="F138" s="12" t="n"/>
      <x:c r="G138" s="12" t="n"/>
      <x:c r="H138" s="12" t="n"/>
      <x:c r="I138" s="12" t="n"/>
      <x:c r="J138" s="12" t="n"/>
      <x:c r="K138" s="12" t="n"/>
      <x:c r="L138" s="12" t="n"/>
      <x:c r="M138" s="12" t="n"/>
      <x:c r="N138" s="12" t="n"/>
      <x:c r="O138" s="12" t="n"/>
      <x:c r="P138" s="12" t="n"/>
      <x:c r="Q138" s="12" t="n"/>
      <x:c r="R138" s="12" t="inlineStr">
        <x:is>
          <x:t xml:space="preserve">Not started</x:t>
        </x:is>
      </x:c>
      <x:c r="S138" s="12" t="n"/>
      <x:c r="T138" s="12" t="n"/>
      <x:c r="U138" s="12" t="n">
        <x:v>264</x:v>
      </x:c>
    </x:row>
    <x:row r="139">
      <x:c r="A139" s="13" t="inlineStr">
        <x:is>
          <x:t xml:space="preserve">HIS-0040</x:t>
        </x:is>
      </x:c>
      <x:c r="B139" s="12" t="inlineStr">
        <x:is>
          <x:t xml:space="preserve">X</x:t>
        </x:is>
      </x:c>
      <x:c r="C139" s="12" t="inlineStr">
        <x:is>
          <x:t xml:space="preserve">HIS</x:t>
        </x:is>
      </x:c>
      <x:c r="D139" s="12" t="inlineStr">
        <x:is>
          <x:t xml:space="preserve">General historical method</x:t>
        </x:is>
      </x:c>
      <x:c r="E139" s="12" t="inlineStr">
        <x:is>
          <x:t xml:space="preserve">Early attestation may improve evidential value.</x:t>
        </x:is>
      </x:c>
      <x:c r="F139" s="12" t="n"/>
      <x:c r="G139" s="12" t="n"/>
      <x:c r="H139" s="12" t="n"/>
      <x:c r="I139" s="12" t="n"/>
      <x:c r="J139" s="12" t="n"/>
      <x:c r="K139" s="12" t="n"/>
      <x:c r="L139" s="12" t="n"/>
      <x:c r="M139" s="12" t="n"/>
      <x:c r="N139" s="12" t="n"/>
      <x:c r="O139" s="12" t="n"/>
      <x:c r="P139" s="12" t="n"/>
      <x:c r="Q139" s="12" t="n"/>
      <x:c r="R139" s="12" t="inlineStr">
        <x:is>
          <x:t xml:space="preserve">Not started</x:t>
        </x:is>
      </x:c>
      <x:c r="S139" s="12" t="n"/>
      <x:c r="T139" s="12" t="n"/>
      <x:c r="U139" s="12" t="n">
        <x:v>265</x:v>
      </x:c>
    </x:row>
    <x:row r="140">
      <x:c r="A140" s="13" t="inlineStr">
        <x:is>
          <x:t xml:space="preserve">HIS-0050</x:t>
        </x:is>
      </x:c>
      <x:c r="B140" s="12" t="inlineStr">
        <x:is>
          <x:t xml:space="preserve">X</x:t>
        </x:is>
      </x:c>
      <x:c r="C140" s="12" t="inlineStr">
        <x:is>
          <x:t xml:space="preserve">HIS</x:t>
        </x:is>
      </x:c>
      <x:c r="D140" s="12" t="inlineStr">
        <x:is>
          <x:t xml:space="preserve">General historical method</x:t>
        </x:is>
      </x:c>
      <x:c r="E140" s="12" t="inlineStr">
        <x:is>
          <x:t xml:space="preserve">Independent attestation must not be assumed where literary dependence is possible.</x:t>
        </x:is>
      </x:c>
      <x:c r="F140" s="12" t="n"/>
      <x:c r="G140" s="12" t="n"/>
      <x:c r="H140" s="12" t="n"/>
      <x:c r="I140" s="12" t="n"/>
      <x:c r="J140" s="12" t="n"/>
      <x:c r="K140" s="12" t="n"/>
      <x:c r="L140" s="12" t="n"/>
      <x:c r="M140" s="12" t="n"/>
      <x:c r="N140" s="12" t="n"/>
      <x:c r="O140" s="12" t="n"/>
      <x:c r="P140" s="12" t="n"/>
      <x:c r="Q140" s="12" t="n"/>
      <x:c r="R140" s="12" t="inlineStr">
        <x:is>
          <x:t xml:space="preserve">Not started</x:t>
        </x:is>
      </x:c>
      <x:c r="S140" s="12" t="n"/>
      <x:c r="T140" s="12" t="n"/>
      <x:c r="U140" s="12" t="n">
        <x:v>266</x:v>
      </x:c>
    </x:row>
    <x:row r="141">
      <x:c r="A141" s="13" t="inlineStr">
        <x:is>
          <x:t xml:space="preserve">HIS-0060</x:t>
        </x:is>
      </x:c>
      <x:c r="B141" s="12" t="inlineStr">
        <x:is>
          <x:t xml:space="preserve">X</x:t>
        </x:is>
      </x:c>
      <x:c r="C141" s="12" t="inlineStr">
        <x:is>
          <x:t xml:space="preserve">HIS</x:t>
        </x:is>
      </x:c>
      <x:c r="D141" s="12" t="inlineStr">
        <x:is>
          <x:t xml:space="preserve">General historical method</x:t>
        </x:is>
      </x:c>
      <x:c r="E141" s="12" t="inlineStr">
        <x:is>
          <x:t xml:space="preserve">Embarrassment can sometimes support authenticity but is context-sensitive.</x:t>
        </x:is>
      </x:c>
      <x:c r="F141" s="12" t="n"/>
      <x:c r="G141" s="12" t="n"/>
      <x:c r="H141" s="12" t="n"/>
      <x:c r="I141" s="12" t="n"/>
      <x:c r="J141" s="12" t="n"/>
      <x:c r="K141" s="12" t="n"/>
      <x:c r="L141" s="12" t="n"/>
      <x:c r="M141" s="12" t="n"/>
      <x:c r="N141" s="12" t="n"/>
      <x:c r="O141" s="12" t="n"/>
      <x:c r="P141" s="12" t="n"/>
      <x:c r="Q141" s="12" t="n"/>
      <x:c r="R141" s="12" t="inlineStr">
        <x:is>
          <x:t xml:space="preserve">Not started</x:t>
        </x:is>
      </x:c>
      <x:c r="S141" s="12" t="n"/>
      <x:c r="T141" s="12" t="n"/>
      <x:c r="U141" s="12" t="n">
        <x:v>267</x:v>
      </x:c>
    </x:row>
    <x:row r="142">
      <x:c r="A142" s="13" t="inlineStr">
        <x:is>
          <x:t xml:space="preserve">HIS-0070</x:t>
        </x:is>
      </x:c>
      <x:c r="B142" s="12" t="inlineStr">
        <x:is>
          <x:t xml:space="preserve">X</x:t>
        </x:is>
      </x:c>
      <x:c r="C142" s="12" t="inlineStr">
        <x:is>
          <x:t xml:space="preserve">HIS</x:t>
        </x:is>
      </x:c>
      <x:c r="D142" s="12" t="inlineStr">
        <x:is>
          <x:t xml:space="preserve">General historical method</x:t>
        </x:is>
      </x:c>
      <x:c r="E142" s="12" t="inlineStr">
        <x:is>
          <x:t xml:space="preserve">Enemy attestation can be evidentially valuable.</x:t>
        </x:is>
      </x:c>
      <x:c r="F142" s="12" t="n"/>
      <x:c r="G142" s="12" t="n"/>
      <x:c r="H142" s="12" t="n"/>
      <x:c r="I142" s="12" t="n"/>
      <x:c r="J142" s="12" t="n"/>
      <x:c r="K142" s="12" t="n"/>
      <x:c r="L142" s="12" t="n"/>
      <x:c r="M142" s="12" t="n"/>
      <x:c r="N142" s="12" t="n"/>
      <x:c r="O142" s="12" t="n"/>
      <x:c r="P142" s="12" t="n"/>
      <x:c r="Q142" s="12" t="n"/>
      <x:c r="R142" s="12" t="inlineStr">
        <x:is>
          <x:t xml:space="preserve">Not started</x:t>
        </x:is>
      </x:c>
      <x:c r="S142" s="12" t="n"/>
      <x:c r="T142" s="12" t="n"/>
      <x:c r="U142" s="12" t="n">
        <x:v>268</x:v>
      </x:c>
    </x:row>
    <x:row r="143">
      <x:c r="A143" s="13" t="inlineStr">
        <x:is>
          <x:t xml:space="preserve">HIS-0080</x:t>
        </x:is>
      </x:c>
      <x:c r="B143" s="12" t="inlineStr">
        <x:is>
          <x:t xml:space="preserve">X</x:t>
        </x:is>
      </x:c>
      <x:c r="C143" s="12" t="inlineStr">
        <x:is>
          <x:t xml:space="preserve">HIS</x:t>
        </x:is>
      </x:c>
      <x:c r="D143" s="12" t="inlineStr">
        <x:is>
          <x:t xml:space="preserve">General historical method</x:t>
        </x:is>
      </x:c>
      <x:c r="E143" s="12" t="inlineStr">
        <x:is>
          <x:t xml:space="preserve">Memory can preserve central events while altering details.</x:t>
        </x:is>
      </x:c>
      <x:c r="F143" s="12" t="n"/>
      <x:c r="G143" s="12" t="n"/>
      <x:c r="H143" s="12" t="n"/>
      <x:c r="I143" s="12" t="n"/>
      <x:c r="J143" s="12" t="n"/>
      <x:c r="K143" s="12" t="n"/>
      <x:c r="L143" s="12" t="n"/>
      <x:c r="M143" s="12" t="n"/>
      <x:c r="N143" s="12" t="n"/>
      <x:c r="O143" s="12" t="n"/>
      <x:c r="P143" s="12" t="n"/>
      <x:c r="Q143" s="12" t="n"/>
      <x:c r="R143" s="12" t="inlineStr">
        <x:is>
          <x:t xml:space="preserve">Not started</x:t>
        </x:is>
      </x:c>
      <x:c r="S143" s="12" t="n"/>
      <x:c r="T143" s="12" t="n"/>
      <x:c r="U143" s="12" t="n">
        <x:v>269</x:v>
      </x:c>
    </x:row>
    <x:row r="144">
      <x:c r="A144" s="13" t="inlineStr">
        <x:is>
          <x:t xml:space="preserve">HIS-0090</x:t>
        </x:is>
      </x:c>
      <x:c r="B144" s="12" t="inlineStr">
        <x:is>
          <x:t xml:space="preserve">X</x:t>
        </x:is>
      </x:c>
      <x:c r="C144" s="12" t="inlineStr">
        <x:is>
          <x:t xml:space="preserve">HIS</x:t>
        </x:is>
      </x:c>
      <x:c r="D144" s="12" t="inlineStr">
        <x:is>
          <x:t xml:space="preserve">General historical method</x:t>
        </x:is>
      </x:c>
      <x:c r="E144" s="12" t="inlineStr">
        <x:is>
          <x:t xml:space="preserve">Oral transmission can contain both stability and variation.</x:t>
        </x:is>
      </x:c>
      <x:c r="F144" s="12" t="n"/>
      <x:c r="G144" s="12" t="n"/>
      <x:c r="H144" s="12" t="n"/>
      <x:c r="I144" s="12" t="n"/>
      <x:c r="J144" s="12" t="n"/>
      <x:c r="K144" s="12" t="n"/>
      <x:c r="L144" s="12" t="n"/>
      <x:c r="M144" s="12" t="n"/>
      <x:c r="N144" s="12" t="n"/>
      <x:c r="O144" s="12" t="n"/>
      <x:c r="P144" s="12" t="n"/>
      <x:c r="Q144" s="12" t="n"/>
      <x:c r="R144" s="12" t="inlineStr">
        <x:is>
          <x:t xml:space="preserve">Not started</x:t>
        </x:is>
      </x:c>
      <x:c r="S144" s="12" t="n"/>
      <x:c r="T144" s="12" t="n"/>
      <x:c r="U144" s="12" t="n">
        <x:v>270</x:v>
      </x:c>
    </x:row>
    <x:row r="145">
      <x:c r="A145" s="13" t="inlineStr">
        <x:is>
          <x:t xml:space="preserve">HIS-0100</x:t>
        </x:is>
      </x:c>
      <x:c r="B145" s="12" t="inlineStr">
        <x:is>
          <x:t xml:space="preserve">X</x:t>
        </x:is>
      </x:c>
      <x:c r="C145" s="12" t="inlineStr">
        <x:is>
          <x:t xml:space="preserve">HIS</x:t>
        </x:is>
      </x:c>
      <x:c r="D145" s="12" t="inlineStr">
        <x:is>
          <x:t xml:space="preserve">General historical method</x:t>
        </x:is>
      </x:c>
      <x:c r="E145" s="12" t="inlineStr">
        <x:is>
          <x:t xml:space="preserve">Legendary development is not uniform and cannot be assigned a universal timetable.</x:t>
        </x:is>
      </x:c>
      <x:c r="F145" s="12" t="n"/>
      <x:c r="G145" s="12" t="n"/>
      <x:c r="H145" s="12" t="n"/>
      <x:c r="I145" s="12" t="n"/>
      <x:c r="J145" s="12" t="n"/>
      <x:c r="K145" s="12" t="n"/>
      <x:c r="L145" s="12" t="n"/>
      <x:c r="M145" s="12" t="n"/>
      <x:c r="N145" s="12" t="n"/>
      <x:c r="O145" s="12" t="n"/>
      <x:c r="P145" s="12" t="n"/>
      <x:c r="Q145" s="12" t="n"/>
      <x:c r="R145" s="12" t="inlineStr">
        <x:is>
          <x:t xml:space="preserve">Not started</x:t>
        </x:is>
      </x:c>
      <x:c r="S145" s="12" t="n"/>
      <x:c r="T145" s="12" t="n"/>
      <x:c r="U145" s="12" t="n">
        <x:v>271</x:v>
      </x:c>
    </x:row>
    <x:row r="146">
      <x:c r="A146" s="13" t="inlineStr">
        <x:is>
          <x:t xml:space="preserve">HIS-0110</x:t>
        </x:is>
      </x:c>
      <x:c r="B146" s="12" t="inlineStr">
        <x:is>
          <x:t xml:space="preserve">X</x:t>
        </x:is>
      </x:c>
      <x:c r="C146" s="12" t="inlineStr">
        <x:is>
          <x:t xml:space="preserve">HIS</x:t>
        </x:is>
      </x:c>
      <x:c r="D146" s="12" t="inlineStr">
        <x:is>
          <x:t xml:space="preserve">General historical method</x:t>
        </x:is>
      </x:c>
      <x:c r="E146" s="12" t="inlineStr">
        <x:is>
          <x:t xml:space="preserve">Theological purpose does not automatically eliminate historical content.</x:t>
        </x:is>
      </x:c>
      <x:c r="F146" s="12" t="n"/>
      <x:c r="G146" s="12" t="n"/>
      <x:c r="H146" s="12" t="n"/>
      <x:c r="I146" s="12" t="n"/>
      <x:c r="J146" s="12" t="n"/>
      <x:c r="K146" s="12" t="n"/>
      <x:c r="L146" s="12" t="n"/>
      <x:c r="M146" s="12" t="n"/>
      <x:c r="N146" s="12" t="n"/>
      <x:c r="O146" s="12" t="n"/>
      <x:c r="P146" s="12" t="n"/>
      <x:c r="Q146" s="12" t="n"/>
      <x:c r="R146" s="12" t="inlineStr">
        <x:is>
          <x:t xml:space="preserve">Not started</x:t>
        </x:is>
      </x:c>
      <x:c r="S146" s="12" t="n"/>
      <x:c r="T146" s="12" t="n"/>
      <x:c r="U146" s="12" t="n">
        <x:v>272</x:v>
      </x:c>
    </x:row>
    <x:row r="147">
      <x:c r="A147" s="13" t="inlineStr">
        <x:is>
          <x:t xml:space="preserve">HIS-0120</x:t>
        </x:is>
      </x:c>
      <x:c r="B147" s="12" t="inlineStr">
        <x:is>
          <x:t xml:space="preserve">X</x:t>
        </x:is>
      </x:c>
      <x:c r="C147" s="12" t="inlineStr">
        <x:is>
          <x:t xml:space="preserve">HIS</x:t>
        </x:is>
      </x:c>
      <x:c r="D147" s="12" t="inlineStr">
        <x:is>
          <x:t xml:space="preserve">General historical method</x:t>
        </x:is>
      </x:c>
      <x:c r="E147" s="12" t="inlineStr">
        <x:is>
          <x:t xml:space="preserve">A source may contain both historically reliable and unreliable elements.</x:t>
        </x:is>
      </x:c>
      <x:c r="F147" s="12" t="n"/>
      <x:c r="G147" s="12" t="n"/>
      <x:c r="H147" s="12" t="n"/>
      <x:c r="I147" s="12" t="n"/>
      <x:c r="J147" s="12" t="n"/>
      <x:c r="K147" s="12" t="n"/>
      <x:c r="L147" s="12" t="n"/>
      <x:c r="M147" s="12" t="n"/>
      <x:c r="N147" s="12" t="n"/>
      <x:c r="O147" s="12" t="n"/>
      <x:c r="P147" s="12" t="n"/>
      <x:c r="Q147" s="12" t="n"/>
      <x:c r="R147" s="12" t="inlineStr">
        <x:is>
          <x:t xml:space="preserve">Not started</x:t>
        </x:is>
      </x:c>
      <x:c r="S147" s="12" t="n"/>
      <x:c r="T147" s="12" t="n"/>
      <x:c r="U147" s="12" t="n">
        <x:v>273</x:v>
      </x:c>
    </x:row>
    <x:row r="148">
      <x:c r="A148" s="13" t="inlineStr">
        <x:is>
          <x:t xml:space="preserve">HIS-0130</x:t>
        </x:is>
      </x:c>
      <x:c r="B148" s="12" t="inlineStr">
        <x:is>
          <x:t xml:space="preserve">X</x:t>
        </x:is>
      </x:c>
      <x:c r="C148" s="12" t="inlineStr">
        <x:is>
          <x:t xml:space="preserve">HIS</x:t>
        </x:is>
      </x:c>
      <x:c r="D148" s="12" t="inlineStr">
        <x:is>
          <x:t xml:space="preserve">General historical method</x:t>
        </x:is>
      </x:c>
      <x:c r="E148" s="12" t="inlineStr">
        <x:is>
          <x:t xml:space="preserve">Differences between accounts are not automatically contradictions.</x:t>
        </x:is>
      </x:c>
      <x:c r="F148" s="12" t="n"/>
      <x:c r="G148" s="12" t="n"/>
      <x:c r="H148" s="12" t="n"/>
      <x:c r="I148" s="12" t="n"/>
      <x:c r="J148" s="12" t="n"/>
      <x:c r="K148" s="12" t="n"/>
      <x:c r="L148" s="12" t="n"/>
      <x:c r="M148" s="12" t="n"/>
      <x:c r="N148" s="12" t="n"/>
      <x:c r="O148" s="12" t="n"/>
      <x:c r="P148" s="12" t="n"/>
      <x:c r="Q148" s="12" t="n"/>
      <x:c r="R148" s="12" t="inlineStr">
        <x:is>
          <x:t xml:space="preserve">Not started</x:t>
        </x:is>
      </x:c>
      <x:c r="S148" s="12" t="n"/>
      <x:c r="T148" s="12" t="n"/>
      <x:c r="U148" s="12" t="n">
        <x:v>274</x:v>
      </x:c>
    </x:row>
    <x:row r="149">
      <x:c r="A149" s="13" t="inlineStr">
        <x:is>
          <x:t xml:space="preserve">HIS-0140</x:t>
        </x:is>
      </x:c>
      <x:c r="B149" s="12" t="inlineStr">
        <x:is>
          <x:t xml:space="preserve">X</x:t>
        </x:is>
      </x:c>
      <x:c r="C149" s="12" t="inlineStr">
        <x:is>
          <x:t xml:space="preserve">HIS</x:t>
        </x:is>
      </x:c>
      <x:c r="D149" s="12" t="inlineStr">
        <x:is>
          <x:t xml:space="preserve">General historical method</x:t>
        </x:is>
      </x:c>
      <x:c r="E149" s="12" t="inlineStr">
        <x:is>
          <x:t xml:space="preserve">Harmonization is not automatically legitimate.</x:t>
        </x:is>
      </x:c>
      <x:c r="F149" s="12" t="n"/>
      <x:c r="G149" s="12" t="n"/>
      <x:c r="H149" s="12" t="n"/>
      <x:c r="I149" s="12" t="n"/>
      <x:c r="J149" s="12" t="n"/>
      <x:c r="K149" s="12" t="n"/>
      <x:c r="L149" s="12" t="n"/>
      <x:c r="M149" s="12" t="n"/>
      <x:c r="N149" s="12" t="n"/>
      <x:c r="O149" s="12" t="n"/>
      <x:c r="P149" s="12" t="n"/>
      <x:c r="Q149" s="12" t="n"/>
      <x:c r="R149" s="12" t="inlineStr">
        <x:is>
          <x:t xml:space="preserve">Not started</x:t>
        </x:is>
      </x:c>
      <x:c r="S149" s="12" t="n"/>
      <x:c r="T149" s="12" t="n"/>
      <x:c r="U149" s="12" t="n">
        <x:v>275</x:v>
      </x:c>
    </x:row>
    <x:row r="150" ht="28.799999237060547" customHeight="1">
      <x:c r="A150" s="13" t="inlineStr">
        <x:is>
          <x:t xml:space="preserve">HIS-0150</x:t>
        </x:is>
      </x:c>
      <x:c r="B150" s="12" t="inlineStr">
        <x:is>
          <x:t xml:space="preserve">X</x:t>
        </x:is>
      </x:c>
      <x:c r="C150" s="12" t="inlineStr">
        <x:is>
          <x:t xml:space="preserve">HIS</x:t>
        </x:is>
      </x:c>
      <x:c r="D150" s="12" t="inlineStr">
        <x:is>
          <x:t xml:space="preserve">General historical method</x:t>
        </x:is>
      </x:c>
      <x:c r="E150" s="12" t="inlineStr">
        <x:is>
          <x:t xml:space="preserve">A contradiction requires that two claims assert incompatible propositions under the same relevant conditions.</x:t>
        </x:is>
      </x:c>
      <x:c r="F150" s="12" t="n"/>
      <x:c r="G150" s="12" t="n"/>
      <x:c r="H150" s="12" t="n"/>
      <x:c r="I150" s="12" t="n"/>
      <x:c r="J150" s="12" t="n"/>
      <x:c r="K150" s="12" t="n"/>
      <x:c r="L150" s="12" t="n"/>
      <x:c r="M150" s="12" t="n"/>
      <x:c r="N150" s="12" t="n"/>
      <x:c r="O150" s="12" t="n"/>
      <x:c r="P150" s="12" t="n"/>
      <x:c r="Q150" s="12" t="n"/>
      <x:c r="R150" s="12" t="inlineStr">
        <x:is>
          <x:t xml:space="preserve">Not started</x:t>
        </x:is>
      </x:c>
      <x:c r="S150" s="12" t="n"/>
      <x:c r="T150" s="12" t="n"/>
      <x:c r="U150" s="12" t="n">
        <x:v>276</x:v>
      </x:c>
    </x:row>
    <x:row r="151">
      <x:c r="A151" s="13" t="inlineStr">
        <x:is>
          <x:t xml:space="preserve">HIS-0160</x:t>
        </x:is>
      </x:c>
      <x:c r="B151" s="12" t="inlineStr">
        <x:is>
          <x:t xml:space="preserve">X</x:t>
        </x:is>
      </x:c>
      <x:c r="C151" s="12" t="inlineStr">
        <x:is>
          <x:t xml:space="preserve">HIS</x:t>
        </x:is>
      </x:c>
      <x:c r="D151" s="12" t="inlineStr">
        <x:is>
          <x:t xml:space="preserve">General historical method</x:t>
        </x:is>
      </x:c>
      <x:c r="E151" s="12" t="inlineStr">
        <x:is>
          <x:t xml:space="preserve">Silence in one source does not automatically contradict inclusion in another.</x:t>
        </x:is>
      </x:c>
      <x:c r="F151" s="12" t="n"/>
      <x:c r="G151" s="12" t="n"/>
      <x:c r="H151" s="12" t="n"/>
      <x:c r="I151" s="12" t="n"/>
      <x:c r="J151" s="12" t="n"/>
      <x:c r="K151" s="12" t="n"/>
      <x:c r="L151" s="12" t="n"/>
      <x:c r="M151" s="12" t="n"/>
      <x:c r="N151" s="12" t="n"/>
      <x:c r="O151" s="12" t="n"/>
      <x:c r="P151" s="12" t="n"/>
      <x:c r="Q151" s="12" t="n"/>
      <x:c r="R151" s="12" t="inlineStr">
        <x:is>
          <x:t xml:space="preserve">Not started</x:t>
        </x:is>
      </x:c>
      <x:c r="S151" s="12" t="n"/>
      <x:c r="T151" s="12" t="n"/>
      <x:c r="U151" s="12" t="n">
        <x:v>277</x:v>
      </x:c>
    </x:row>
    <x:row r="152">
      <x:c r="A152" s="13" t="inlineStr">
        <x:is>
          <x:t xml:space="preserve">HIS-0170</x:t>
        </x:is>
      </x:c>
      <x:c r="B152" s="12" t="inlineStr">
        <x:is>
          <x:t xml:space="preserve">X</x:t>
        </x:is>
      </x:c>
      <x:c r="C152" s="12" t="inlineStr">
        <x:is>
          <x:t xml:space="preserve">HIS</x:t>
        </x:is>
      </x:c>
      <x:c r="D152" s="12" t="inlineStr">
        <x:is>
          <x:t xml:space="preserve">General historical method</x:t>
        </x:is>
      </x:c>
      <x:c r="E152" s="12" t="inlineStr">
        <x:is>
          <x:t xml:space="preserve">Prior worldview commitments influence miracle assessment.</x:t>
        </x:is>
      </x:c>
      <x:c r="F152" s="12" t="n"/>
      <x:c r="G152" s="12" t="n"/>
      <x:c r="H152" s="12" t="n"/>
      <x:c r="I152" s="12" t="n"/>
      <x:c r="J152" s="12" t="n"/>
      <x:c r="K152" s="12" t="n"/>
      <x:c r="L152" s="12" t="n"/>
      <x:c r="M152" s="12" t="n"/>
      <x:c r="N152" s="12" t="n"/>
      <x:c r="O152" s="12" t="n"/>
      <x:c r="P152" s="12" t="n"/>
      <x:c r="Q152" s="12" t="n"/>
      <x:c r="R152" s="12" t="inlineStr">
        <x:is>
          <x:t xml:space="preserve">Not started</x:t>
        </x:is>
      </x:c>
      <x:c r="S152" s="12" t="n"/>
      <x:c r="T152" s="12" t="n"/>
      <x:c r="U152" s="12" t="n">
        <x:v>278</x:v>
      </x:c>
    </x:row>
    <x:row r="153" ht="28.799999237060547" customHeight="1">
      <x:c r="A153" s="13" t="inlineStr">
        <x:is>
          <x:t xml:space="preserve">HIS-0180</x:t>
        </x:is>
      </x:c>
      <x:c r="B153" s="12" t="inlineStr">
        <x:is>
          <x:t xml:space="preserve">X</x:t>
        </x:is>
      </x:c>
      <x:c r="C153" s="12" t="inlineStr">
        <x:is>
          <x:t xml:space="preserve">HIS</x:t>
        </x:is>
      </x:c>
      <x:c r="D153" s="12" t="inlineStr">
        <x:is>
          <x:t xml:space="preserve">General historical method</x:t>
        </x:is>
      </x:c>
      <x:c r="E153" s="12" t="inlineStr">
        <x:is>
          <x:t xml:space="preserve">Historians may establish reported experiences and beliefs more readily than supernatural causation.</x:t>
        </x:is>
      </x:c>
      <x:c r="F153" s="12" t="n"/>
      <x:c r="G153" s="12" t="n"/>
      <x:c r="H153" s="12" t="n"/>
      <x:c r="I153" s="12" t="n"/>
      <x:c r="J153" s="12" t="n"/>
      <x:c r="K153" s="12" t="n"/>
      <x:c r="L153" s="12" t="n"/>
      <x:c r="M153" s="12" t="n"/>
      <x:c r="N153" s="12" t="n"/>
      <x:c r="O153" s="12" t="n"/>
      <x:c r="P153" s="12" t="n"/>
      <x:c r="Q153" s="12" t="n"/>
      <x:c r="R153" s="12" t="inlineStr">
        <x:is>
          <x:t xml:space="preserve">Not started</x:t>
        </x:is>
      </x:c>
      <x:c r="S153" s="12" t="n"/>
      <x:c r="T153" s="12" t="n"/>
      <x:c r="U153" s="12" t="n">
        <x:v>279</x:v>
      </x:c>
    </x:row>
    <x:row r="154" ht="28.799999237060547" customHeight="1">
      <x:c r="A154" s="13" t="inlineStr">
        <x:is>
          <x:t xml:space="preserve">HIS-0190</x:t>
        </x:is>
      </x:c>
      <x:c r="B154" s="12" t="inlineStr">
        <x:is>
          <x:t xml:space="preserve">X</x:t>
        </x:is>
      </x:c>
      <x:c r="C154" s="12" t="inlineStr">
        <x:is>
          <x:t xml:space="preserve">HIS</x:t>
        </x:is>
      </x:c>
      <x:c r="D154" s="12" t="inlineStr">
        <x:is>
          <x:t xml:space="preserve">General historical method</x:t>
        </x:is>
      </x:c>
      <x:c r="E154" s="12" t="inlineStr">
        <x:is>
          <x:t xml:space="preserve">A resurrection argument should distinguish historical facts from the metaphysical explanation of those facts.</x:t>
        </x:is>
      </x:c>
      <x:c r="F154" s="12" t="n"/>
      <x:c r="G154" s="12" t="n"/>
      <x:c r="H154" s="12" t="n"/>
      <x:c r="I154" s="12" t="n"/>
      <x:c r="J154" s="12" t="n"/>
      <x:c r="K154" s="12" t="n"/>
      <x:c r="L154" s="12" t="n"/>
      <x:c r="M154" s="12" t="n"/>
      <x:c r="N154" s="12" t="n"/>
      <x:c r="O154" s="12" t="n"/>
      <x:c r="P154" s="12" t="n"/>
      <x:c r="Q154" s="12" t="n"/>
      <x:c r="R154" s="12" t="inlineStr">
        <x:is>
          <x:t xml:space="preserve">Not started</x:t>
        </x:is>
      </x:c>
      <x:c r="S154" s="12" t="n"/>
      <x:c r="T154" s="12" t="n"/>
      <x:c r="U154" s="12" t="n">
        <x:v>280</x:v>
      </x:c>
    </x:row>
    <x:row r="155">
      <x:c r="A155" s="13" t="inlineStr">
        <x:is>
          <x:t xml:space="preserve">HJE-0010</x:t>
        </x:is>
      </x:c>
      <x:c r="B155" s="12" t="inlineStr">
        <x:is>
          <x:t xml:space="preserve">XI</x:t>
        </x:is>
      </x:c>
      <x:c r="C155" s="12" t="inlineStr">
        <x:is>
          <x:t xml:space="preserve">HJE</x:t>
        </x:is>
      </x:c>
      <x:c r="D155" s="12" t="inlineStr">
        <x:is>
          <x:t xml:space="preserve">The historical Jesus</x:t>
        </x:is>
      </x:c>
      <x:c r="E155" s="12" t="inlineStr">
        <x:is>
          <x:t xml:space="preserve">Teaching about the kingdom of God.</x:t>
        </x:is>
      </x:c>
      <x:c r="F155" s="12" t="n"/>
      <x:c r="G155" s="12" t="n"/>
      <x:c r="H155" s="12" t="n"/>
      <x:c r="I155" s="12" t="n"/>
      <x:c r="J155" s="12" t="n"/>
      <x:c r="K155" s="12" t="n"/>
      <x:c r="L155" s="12" t="n"/>
      <x:c r="M155" s="12" t="n"/>
      <x:c r="N155" s="12" t="n"/>
      <x:c r="O155" s="12" t="n"/>
      <x:c r="P155" s="12" t="n"/>
      <x:c r="Q155" s="12" t="n"/>
      <x:c r="R155" s="12" t="inlineStr">
        <x:is>
          <x:t xml:space="preserve">Not started</x:t>
        </x:is>
      </x:c>
      <x:c r="S155" s="12" t="n"/>
      <x:c r="T155" s="12" t="n"/>
      <x:c r="U155" s="12" t="n">
        <x:v>292</x:v>
      </x:c>
    </x:row>
    <x:row r="156">
      <x:c r="A156" s="13" t="inlineStr">
        <x:is>
          <x:t xml:space="preserve">HJE-0020</x:t>
        </x:is>
      </x:c>
      <x:c r="B156" s="12" t="inlineStr">
        <x:is>
          <x:t xml:space="preserve">XI</x:t>
        </x:is>
      </x:c>
      <x:c r="C156" s="12" t="inlineStr">
        <x:is>
          <x:t xml:space="preserve">HJE</x:t>
        </x:is>
      </x:c>
      <x:c r="D156" s="12" t="inlineStr">
        <x:is>
          <x:t xml:space="preserve">The historical Jesus</x:t>
        </x:is>
      </x:c>
      <x:c r="E156" s="12" t="inlineStr">
        <x:is>
          <x:t xml:space="preserve">Reputation as healer or exorcist.</x:t>
        </x:is>
      </x:c>
      <x:c r="F156" s="12" t="n"/>
      <x:c r="G156" s="12" t="n"/>
      <x:c r="H156" s="12" t="n"/>
      <x:c r="I156" s="12" t="n"/>
      <x:c r="J156" s="12" t="n"/>
      <x:c r="K156" s="12" t="n"/>
      <x:c r="L156" s="12" t="n"/>
      <x:c r="M156" s="12" t="n"/>
      <x:c r="N156" s="12" t="n"/>
      <x:c r="O156" s="12" t="n"/>
      <x:c r="P156" s="12" t="n"/>
      <x:c r="Q156" s="12" t="n"/>
      <x:c r="R156" s="12" t="inlineStr">
        <x:is>
          <x:t xml:space="preserve">Not started</x:t>
        </x:is>
      </x:c>
      <x:c r="S156" s="12" t="n"/>
      <x:c r="T156" s="12" t="n"/>
      <x:c r="U156" s="12" t="n">
        <x:v>294</x:v>
      </x:c>
    </x:row>
    <x:row r="157">
      <x:c r="A157" s="13" t="inlineStr">
        <x:is>
          <x:t xml:space="preserve">HJE-0030</x:t>
        </x:is>
      </x:c>
      <x:c r="B157" s="12" t="inlineStr">
        <x:is>
          <x:t xml:space="preserve">XI</x:t>
        </x:is>
      </x:c>
      <x:c r="C157" s="12" t="inlineStr">
        <x:is>
          <x:t xml:space="preserve">HJE</x:t>
        </x:is>
      </x:c>
      <x:c r="D157" s="12" t="inlineStr">
        <x:is>
          <x:t xml:space="preserve">The historical Jesus</x:t>
        </x:is>
      </x:c>
      <x:c r="E157" s="12" t="inlineStr">
        <x:is>
          <x:t xml:space="preserve">Formation of the earliest resurrection belief.</x:t>
        </x:is>
      </x:c>
      <x:c r="F157" s="12" t="n"/>
      <x:c r="G157" s="12" t="n"/>
      <x:c r="H157" s="12" t="n"/>
      <x:c r="I157" s="12" t="n"/>
      <x:c r="J157" s="12" t="n"/>
      <x:c r="K157" s="12" t="n"/>
      <x:c r="L157" s="12" t="n"/>
      <x:c r="M157" s="12" t="n"/>
      <x:c r="N157" s="12" t="n"/>
      <x:c r="O157" s="12" t="n"/>
      <x:c r="P157" s="12" t="n"/>
      <x:c r="Q157" s="12" t="n"/>
      <x:c r="R157" s="12" t="inlineStr">
        <x:is>
          <x:t xml:space="preserve">Not started</x:t>
        </x:is>
      </x:c>
      <x:c r="S157" s="12" t="n"/>
      <x:c r="T157" s="12" t="n"/>
      <x:c r="U157" s="12" t="n">
        <x:v>308</x:v>
      </x:c>
    </x:row>
    <x:row r="158">
      <x:c r="A158" s="13" t="inlineStr">
        <x:is>
          <x:t xml:space="preserve">HJE-0040</x:t>
        </x:is>
      </x:c>
      <x:c r="B158" s="12" t="inlineStr">
        <x:is>
          <x:t xml:space="preserve">XI</x:t>
        </x:is>
      </x:c>
      <x:c r="C158" s="12" t="inlineStr">
        <x:is>
          <x:t xml:space="preserve">HJE</x:t>
        </x:is>
      </x:c>
      <x:c r="D158" s="12" t="inlineStr">
        <x:is>
          <x:t xml:space="preserve">The historical Jesus</x:t>
        </x:is>
      </x:c>
      <x:c r="E158" s="12" t="inlineStr">
        <x:is>
          <x:t xml:space="preserve">Use of “Son of Man.”</x:t>
        </x:is>
      </x:c>
      <x:c r="F158" s="12" t="n"/>
      <x:c r="G158" s="12" t="n"/>
      <x:c r="H158" s="12" t="n"/>
      <x:c r="I158" s="12" t="n"/>
      <x:c r="J158" s="12" t="n"/>
      <x:c r="K158" s="12" t="n"/>
      <x:c r="L158" s="12" t="n"/>
      <x:c r="M158" s="12" t="n"/>
      <x:c r="N158" s="12" t="n"/>
      <x:c r="O158" s="12" t="n"/>
      <x:c r="P158" s="12" t="n"/>
      <x:c r="Q158" s="12" t="n"/>
      <x:c r="R158" s="12" t="inlineStr">
        <x:is>
          <x:t xml:space="preserve">Not started</x:t>
        </x:is>
      </x:c>
      <x:c r="S158" s="12" t="n"/>
      <x:c r="T158" s="12" t="n"/>
      <x:c r="U158" s="12" t="n">
        <x:v>311</x:v>
      </x:c>
    </x:row>
    <x:row r="159">
      <x:c r="A159" s="13" t="inlineStr">
        <x:is>
          <x:t xml:space="preserve">HJE-0050</x:t>
        </x:is>
      </x:c>
      <x:c r="B159" s="12" t="inlineStr">
        <x:is>
          <x:t xml:space="preserve">XI</x:t>
        </x:is>
      </x:c>
      <x:c r="C159" s="12" t="inlineStr">
        <x:is>
          <x:t xml:space="preserve">HJE</x:t>
        </x:is>
      </x:c>
      <x:c r="D159" s="12" t="inlineStr">
        <x:is>
          <x:t xml:space="preserve">The historical Jesus</x:t>
        </x:is>
      </x:c>
      <x:c r="E159" s="12" t="inlineStr">
        <x:is>
          <x:t xml:space="preserve">Relationship between the Synoptic Gospels and John.</x:t>
        </x:is>
      </x:c>
      <x:c r="F159" s="12" t="n"/>
      <x:c r="G159" s="12" t="n"/>
      <x:c r="H159" s="12" t="n"/>
      <x:c r="I159" s="12" t="n"/>
      <x:c r="J159" s="12" t="n"/>
      <x:c r="K159" s="12" t="n"/>
      <x:c r="L159" s="12" t="n"/>
      <x:c r="M159" s="12" t="n"/>
      <x:c r="N159" s="12" t="n"/>
      <x:c r="O159" s="12" t="n"/>
      <x:c r="P159" s="12" t="n"/>
      <x:c r="Q159" s="12" t="n"/>
      <x:c r="R159" s="12" t="inlineStr">
        <x:is>
          <x:t xml:space="preserve">Not started</x:t>
        </x:is>
      </x:c>
      <x:c r="S159" s="12" t="n"/>
      <x:c r="T159" s="12" t="n"/>
      <x:c r="U159" s="12" t="n">
        <x:v>314</x:v>
      </x:c>
    </x:row>
    <x:row r="160">
      <x:c r="A160" s="13" t="inlineStr">
        <x:is>
          <x:t xml:space="preserve">HJE-0060</x:t>
        </x:is>
      </x:c>
      <x:c r="B160" s="12" t="inlineStr">
        <x:is>
          <x:t xml:space="preserve">XI</x:t>
        </x:is>
      </x:c>
      <x:c r="C160" s="12" t="inlineStr">
        <x:is>
          <x:t xml:space="preserve">HJE</x:t>
        </x:is>
      </x:c>
      <x:c r="D160" s="12" t="inlineStr">
        <x:is>
          <x:t xml:space="preserve">The historical Jesus</x:t>
        </x:is>
      </x:c>
      <x:c r="E160" s="12" t="inlineStr">
        <x:is>
          <x:t xml:space="preserve">Minimal: Jesus was executed by Roman crucifixion.</x:t>
        </x:is>
      </x:c>
      <x:c r="F160" s="12" t="n"/>
      <x:c r="G160" s="12" t="n"/>
      <x:c r="H160" s="12" t="n"/>
      <x:c r="I160" s="12" t="n"/>
      <x:c r="J160" s="12" t="n"/>
      <x:c r="K160" s="12" t="n"/>
      <x:c r="L160" s="12" t="n"/>
      <x:c r="M160" s="12" t="n"/>
      <x:c r="N160" s="12" t="n"/>
      <x:c r="O160" s="12" t="n"/>
      <x:c r="P160" s="12" t="n"/>
      <x:c r="Q160" s="12" t="n"/>
      <x:c r="R160" s="12" t="inlineStr">
        <x:is>
          <x:t xml:space="preserve">Not started</x:t>
        </x:is>
      </x:c>
      <x:c r="S160" s="12" t="n"/>
      <x:c r="T160" s="12" t="n"/>
      <x:c r="U160" s="12" t="n">
        <x:v>325</x:v>
      </x:c>
    </x:row>
    <x:row r="161">
      <x:c r="A161" s="13" t="inlineStr">
        <x:is>
          <x:t xml:space="preserve">HJE-0070</x:t>
        </x:is>
      </x:c>
      <x:c r="B161" s="12" t="inlineStr">
        <x:is>
          <x:t xml:space="preserve">XI</x:t>
        </x:is>
      </x:c>
      <x:c r="C161" s="12" t="inlineStr">
        <x:is>
          <x:t xml:space="preserve">HJE</x:t>
        </x:is>
      </x:c>
      <x:c r="D161" s="12" t="inlineStr">
        <x:is>
          <x:t xml:space="preserve">The historical Jesus</x:t>
        </x:is>
      </x:c>
      <x:c r="E161" s="12" t="inlineStr">
        <x:is>
          <x:t xml:space="preserve">Moderate: Jesus died by crucifixion under Pontius Pilate.</x:t>
        </x:is>
      </x:c>
      <x:c r="F161" s="12" t="n"/>
      <x:c r="G161" s="12" t="n"/>
      <x:c r="H161" s="12" t="n"/>
      <x:c r="I161" s="12" t="n"/>
      <x:c r="J161" s="12" t="n"/>
      <x:c r="K161" s="12" t="n"/>
      <x:c r="L161" s="12" t="n"/>
      <x:c r="M161" s="12" t="n"/>
      <x:c r="N161" s="12" t="n"/>
      <x:c r="O161" s="12" t="n"/>
      <x:c r="P161" s="12" t="n"/>
      <x:c r="Q161" s="12" t="n"/>
      <x:c r="R161" s="12" t="inlineStr">
        <x:is>
          <x:t xml:space="preserve">Not started</x:t>
        </x:is>
      </x:c>
      <x:c r="S161" s="12" t="n"/>
      <x:c r="T161" s="12" t="n"/>
      <x:c r="U161" s="12" t="n">
        <x:v>326</x:v>
      </x:c>
    </x:row>
    <x:row r="162">
      <x:c r="A162" s="13" t="inlineStr">
        <x:is>
          <x:t xml:space="preserve">HJE-0080</x:t>
        </x:is>
      </x:c>
      <x:c r="B162" s="12" t="inlineStr">
        <x:is>
          <x:t xml:space="preserve">XI</x:t>
        </x:is>
      </x:c>
      <x:c r="C162" s="12" t="inlineStr">
        <x:is>
          <x:t xml:space="preserve">HJE</x:t>
        </x:is>
      </x:c>
      <x:c r="D162" s="12" t="inlineStr">
        <x:is>
          <x:t xml:space="preserve">The historical Jesus</x:t>
        </x:is>
      </x:c>
      <x:c r="E162" s="12" t="inlineStr">
        <x:is>
          <x:t xml:space="preserve">Strong: Jesus knowingly interpreted his death as salvific.</x:t>
        </x:is>
      </x:c>
      <x:c r="F162" s="12" t="n"/>
      <x:c r="G162" s="12" t="n"/>
      <x:c r="H162" s="12" t="n"/>
      <x:c r="I162" s="12" t="n"/>
      <x:c r="J162" s="12" t="n"/>
      <x:c r="K162" s="12" t="n"/>
      <x:c r="L162" s="12" t="n"/>
      <x:c r="M162" s="12" t="n"/>
      <x:c r="N162" s="12" t="n"/>
      <x:c r="O162" s="12" t="n"/>
      <x:c r="P162" s="12" t="n"/>
      <x:c r="Q162" s="12" t="n"/>
      <x:c r="R162" s="12" t="inlineStr">
        <x:is>
          <x:t xml:space="preserve">Not started</x:t>
        </x:is>
      </x:c>
      <x:c r="S162" s="12" t="n"/>
      <x:c r="T162" s="12" t="n"/>
      <x:c r="U162" s="12" t="n">
        <x:v>327</x:v>
      </x:c>
    </x:row>
    <x:row r="163">
      <x:c r="A163" s="13" t="inlineStr">
        <x:is>
          <x:t xml:space="preserve">HJE-0090</x:t>
        </x:is>
      </x:c>
      <x:c r="B163" s="12" t="inlineStr">
        <x:is>
          <x:t xml:space="preserve">XI</x:t>
        </x:is>
      </x:c>
      <x:c r="C163" s="12" t="inlineStr">
        <x:is>
          <x:t xml:space="preserve">HJE</x:t>
        </x:is>
      </x:c>
      <x:c r="D163" s="12" t="inlineStr">
        <x:is>
          <x:t xml:space="preserve">The historical Jesus</x:t>
        </x:is>
      </x:c>
      <x:c r="E163" s="12" t="inlineStr">
        <x:is>
          <x:t xml:space="preserve">Confessional: Jesus voluntarily offered himself as an atoning sacrifice.</x:t>
        </x:is>
      </x:c>
      <x:c r="F163" s="12" t="n"/>
      <x:c r="G163" s="12" t="n"/>
      <x:c r="H163" s="12" t="n"/>
      <x:c r="I163" s="12" t="n"/>
      <x:c r="J163" s="12" t="n"/>
      <x:c r="K163" s="12" t="n"/>
      <x:c r="L163" s="12" t="n"/>
      <x:c r="M163" s="12" t="n"/>
      <x:c r="N163" s="12" t="n"/>
      <x:c r="O163" s="12" t="n"/>
      <x:c r="P163" s="12" t="n"/>
      <x:c r="Q163" s="12" t="n"/>
      <x:c r="R163" s="12" t="inlineStr">
        <x:is>
          <x:t xml:space="preserve">Not started</x:t>
        </x:is>
      </x:c>
      <x:c r="S163" s="12" t="n"/>
      <x:c r="T163" s="12" t="n"/>
      <x:c r="U163" s="12" t="n">
        <x:v>328</x:v>
      </x:c>
    </x:row>
    <x:row r="164">
      <x:c r="A164" s="13" t="inlineStr">
        <x:is>
          <x:t xml:space="preserve">RES-0010</x:t>
        </x:is>
      </x:c>
      <x:c r="B164" s="12" t="inlineStr">
        <x:is>
          <x:t xml:space="preserve">XII</x:t>
        </x:is>
      </x:c>
      <x:c r="C164" s="12" t="inlineStr">
        <x:is>
          <x:t xml:space="preserve">RES</x:t>
        </x:is>
      </x:c>
      <x:c r="D164" s="12" t="inlineStr">
        <x:is>
          <x:t xml:space="preserve">Resurrection case</x:t>
        </x:is>
      </x:c>
      <x:c r="E164" s="12" t="inlineStr">
        <x:is>
          <x:t xml:space="preserve">The earliest disciples sincerely believed Jesus appeared to them after death.</x:t>
        </x:is>
      </x:c>
      <x:c r="F164" s="12" t="n"/>
      <x:c r="G164" s="12" t="n"/>
      <x:c r="H164" s="12" t="n"/>
      <x:c r="I164" s="12" t="n"/>
      <x:c r="J164" s="12" t="n"/>
      <x:c r="K164" s="12" t="n"/>
      <x:c r="L164" s="12" t="n"/>
      <x:c r="M164" s="12" t="n"/>
      <x:c r="N164" s="12" t="n"/>
      <x:c r="O164" s="12" t="n"/>
      <x:c r="P164" s="12" t="n"/>
      <x:c r="Q164" s="12" t="n"/>
      <x:c r="R164" s="12" t="inlineStr">
        <x:is>
          <x:t xml:space="preserve">Not started</x:t>
        </x:is>
      </x:c>
      <x:c r="S164" s="12" t="n"/>
      <x:c r="T164" s="12" t="n"/>
      <x:c r="U164" s="12" t="n">
        <x:v>339</x:v>
      </x:c>
    </x:row>
    <x:row r="165">
      <x:c r="A165" s="13" t="inlineStr">
        <x:is>
          <x:t xml:space="preserve">RES-0020</x:t>
        </x:is>
      </x:c>
      <x:c r="B165" s="12" t="inlineStr">
        <x:is>
          <x:t xml:space="preserve">XII</x:t>
        </x:is>
      </x:c>
      <x:c r="C165" s="12" t="inlineStr">
        <x:is>
          <x:t xml:space="preserve">RES</x:t>
        </x:is>
      </x:c>
      <x:c r="D165" s="12" t="inlineStr">
        <x:is>
          <x:t xml:space="preserve">Resurrection case</x:t>
        </x:is>
      </x:c>
      <x:c r="E165" s="12" t="inlineStr">
        <x:is>
          <x:t xml:space="preserve">Resurrection proclamation arose very early.</x:t>
        </x:is>
      </x:c>
      <x:c r="F165" s="12" t="n"/>
      <x:c r="G165" s="12" t="n"/>
      <x:c r="H165" s="12" t="n"/>
      <x:c r="I165" s="12" t="n"/>
      <x:c r="J165" s="12" t="n"/>
      <x:c r="K165" s="12" t="n"/>
      <x:c r="L165" s="12" t="n"/>
      <x:c r="M165" s="12" t="n"/>
      <x:c r="N165" s="12" t="n"/>
      <x:c r="O165" s="12" t="n"/>
      <x:c r="P165" s="12" t="n"/>
      <x:c r="Q165" s="12" t="n"/>
      <x:c r="R165" s="12" t="inlineStr">
        <x:is>
          <x:t xml:space="preserve">Not started</x:t>
        </x:is>
      </x:c>
      <x:c r="S165" s="12" t="n"/>
      <x:c r="T165" s="12" t="n"/>
      <x:c r="U165" s="12" t="n">
        <x:v>340</x:v>
      </x:c>
    </x:row>
    <x:row r="166">
      <x:c r="A166" s="13" t="inlineStr">
        <x:is>
          <x:t xml:space="preserve">RES-0030</x:t>
        </x:is>
      </x:c>
      <x:c r="B166" s="12" t="inlineStr">
        <x:is>
          <x:t xml:space="preserve">XII</x:t>
        </x:is>
      </x:c>
      <x:c r="C166" s="12" t="inlineStr">
        <x:is>
          <x:t xml:space="preserve">RES</x:t>
        </x:is>
      </x:c>
      <x:c r="D166" s="12" t="inlineStr">
        <x:is>
          <x:t xml:space="preserve">Resurrection case</x:t>
        </x:is>
      </x:c>
      <x:c r="E166" s="12" t="inlineStr">
        <x:is>
          <x:t xml:space="preserve">Paul received and transmitted earlier resurrection tradition.</x:t>
        </x:is>
      </x:c>
      <x:c r="F166" s="12" t="n"/>
      <x:c r="G166" s="12" t="n"/>
      <x:c r="H166" s="12" t="n"/>
      <x:c r="I166" s="12" t="n"/>
      <x:c r="J166" s="12" t="n"/>
      <x:c r="K166" s="12" t="n"/>
      <x:c r="L166" s="12" t="n"/>
      <x:c r="M166" s="12" t="n"/>
      <x:c r="N166" s="12" t="n"/>
      <x:c r="O166" s="12" t="n"/>
      <x:c r="P166" s="12" t="n"/>
      <x:c r="Q166" s="12" t="n"/>
      <x:c r="R166" s="12" t="inlineStr">
        <x:is>
          <x:t xml:space="preserve">Not started</x:t>
        </x:is>
      </x:c>
      <x:c r="S166" s="12" t="n"/>
      <x:c r="T166" s="12" t="n"/>
      <x:c r="U166" s="12" t="n">
        <x:v>341</x:v>
      </x:c>
    </x:row>
    <x:row r="167">
      <x:c r="A167" s="13" t="inlineStr">
        <x:is>
          <x:t xml:space="preserve">RES-0040</x:t>
        </x:is>
      </x:c>
      <x:c r="B167" s="12" t="inlineStr">
        <x:is>
          <x:t xml:space="preserve">XII</x:t>
        </x:is>
      </x:c>
      <x:c r="C167" s="12" t="inlineStr">
        <x:is>
          <x:t xml:space="preserve">RES</x:t>
        </x:is>
      </x:c>
      <x:c r="D167" s="12" t="inlineStr">
        <x:is>
          <x:t xml:space="preserve">Resurrection case</x:t>
        </x:is>
      </x:c>
      <x:c r="E167" s="12" t="inlineStr">
        <x:is>
          <x:t xml:space="preserve">Paul claimed an experience he interpreted as an appearance of the risen Jesus.</x:t>
        </x:is>
      </x:c>
      <x:c r="F167" s="12" t="n"/>
      <x:c r="G167" s="12" t="n"/>
      <x:c r="H167" s="12" t="n"/>
      <x:c r="I167" s="12" t="n"/>
      <x:c r="J167" s="12" t="n"/>
      <x:c r="K167" s="12" t="n"/>
      <x:c r="L167" s="12" t="n"/>
      <x:c r="M167" s="12" t="n"/>
      <x:c r="N167" s="12" t="n"/>
      <x:c r="O167" s="12" t="n"/>
      <x:c r="P167" s="12" t="n"/>
      <x:c r="Q167" s="12" t="n"/>
      <x:c r="R167" s="12" t="inlineStr">
        <x:is>
          <x:t xml:space="preserve">Not started</x:t>
        </x:is>
      </x:c>
      <x:c r="S167" s="12" t="n"/>
      <x:c r="T167" s="12" t="n"/>
      <x:c r="U167" s="12" t="n">
        <x:v>342</x:v>
      </x:c>
    </x:row>
    <x:row r="168">
      <x:c r="A168" s="13" t="inlineStr">
        <x:is>
          <x:t xml:space="preserve">RES-0050</x:t>
        </x:is>
      </x:c>
      <x:c r="B168" s="12" t="inlineStr">
        <x:is>
          <x:t xml:space="preserve">XII</x:t>
        </x:is>
      </x:c>
      <x:c r="C168" s="12" t="inlineStr">
        <x:is>
          <x:t xml:space="preserve">RES</x:t>
        </x:is>
      </x:c>
      <x:c r="D168" s="12" t="inlineStr">
        <x:is>
          <x:t xml:space="preserve">Resurrection case</x:t>
        </x:is>
      </x:c>
      <x:c r="E168" s="12" t="inlineStr">
        <x:is>
          <x:t xml:space="preserve">James became associated with the resurrection-witness tradition.</x:t>
        </x:is>
      </x:c>
      <x:c r="F168" s="12" t="n"/>
      <x:c r="G168" s="12" t="n"/>
      <x:c r="H168" s="12" t="n"/>
      <x:c r="I168" s="12" t="n"/>
      <x:c r="J168" s="12" t="n"/>
      <x:c r="K168" s="12" t="n"/>
      <x:c r="L168" s="12" t="n"/>
      <x:c r="M168" s="12" t="n"/>
      <x:c r="N168" s="12" t="n"/>
      <x:c r="O168" s="12" t="n"/>
      <x:c r="P168" s="12" t="n"/>
      <x:c r="Q168" s="12" t="n"/>
      <x:c r="R168" s="12" t="inlineStr">
        <x:is>
          <x:t xml:space="preserve">Not started</x:t>
        </x:is>
      </x:c>
      <x:c r="S168" s="12" t="n"/>
      <x:c r="T168" s="12" t="n"/>
      <x:c r="U168" s="12" t="n">
        <x:v>343</x:v>
      </x:c>
    </x:row>
    <x:row r="169">
      <x:c r="A169" s="13" t="inlineStr">
        <x:is>
          <x:t xml:space="preserve">RES-0060</x:t>
        </x:is>
      </x:c>
      <x:c r="B169" s="12" t="inlineStr">
        <x:is>
          <x:t xml:space="preserve">XII</x:t>
        </x:is>
      </x:c>
      <x:c r="C169" s="12" t="inlineStr">
        <x:is>
          <x:t xml:space="preserve">RES</x:t>
        </x:is>
      </x:c>
      <x:c r="D169" s="12" t="inlineStr">
        <x:is>
          <x:t xml:space="preserve">Resurrection case</x:t>
        </x:is>
      </x:c>
      <x:c r="E169" s="12" t="inlineStr">
        <x:is>
          <x:t xml:space="preserve">The empty tomb has multiple proposed historical arguments.</x:t>
        </x:is>
      </x:c>
      <x:c r="F169" s="12" t="n"/>
      <x:c r="G169" s="12" t="n"/>
      <x:c r="H169" s="12" t="n"/>
      <x:c r="I169" s="12" t="n"/>
      <x:c r="J169" s="12" t="n"/>
      <x:c r="K169" s="12" t="n"/>
      <x:c r="L169" s="12" t="n"/>
      <x:c r="M169" s="12" t="n"/>
      <x:c r="N169" s="12" t="n"/>
      <x:c r="O169" s="12" t="n"/>
      <x:c r="P169" s="12" t="n"/>
      <x:c r="Q169" s="12" t="n"/>
      <x:c r="R169" s="12" t="inlineStr">
        <x:is>
          <x:t xml:space="preserve">Not started</x:t>
        </x:is>
      </x:c>
      <x:c r="S169" s="12" t="n"/>
      <x:c r="T169" s="12" t="n"/>
      <x:c r="U169" s="12" t="n">
        <x:v>344</x:v>
      </x:c>
    </x:row>
    <x:row r="170">
      <x:c r="A170" s="13" t="inlineStr">
        <x:is>
          <x:t xml:space="preserve">RES-0070</x:t>
        </x:is>
      </x:c>
      <x:c r="B170" s="12" t="inlineStr">
        <x:is>
          <x:t xml:space="preserve">XII</x:t>
        </x:is>
      </x:c>
      <x:c r="C170" s="12" t="inlineStr">
        <x:is>
          <x:t xml:space="preserve">RES</x:t>
        </x:is>
      </x:c>
      <x:c r="D170" s="12" t="inlineStr">
        <x:is>
          <x:t xml:space="preserve">Resurrection case</x:t>
        </x:is>
      </x:c>
      <x:c r="E170" s="12" t="inlineStr">
        <x:is>
          <x:t xml:space="preserve">The empty tomb has significant scholarly objections.</x:t>
        </x:is>
      </x:c>
      <x:c r="F170" s="12" t="n"/>
      <x:c r="G170" s="12" t="n"/>
      <x:c r="H170" s="12" t="n"/>
      <x:c r="I170" s="12" t="n"/>
      <x:c r="J170" s="12" t="n"/>
      <x:c r="K170" s="12" t="n"/>
      <x:c r="L170" s="12" t="n"/>
      <x:c r="M170" s="12" t="n"/>
      <x:c r="N170" s="12" t="n"/>
      <x:c r="O170" s="12" t="n"/>
      <x:c r="P170" s="12" t="n"/>
      <x:c r="Q170" s="12" t="n"/>
      <x:c r="R170" s="12" t="inlineStr">
        <x:is>
          <x:t xml:space="preserve">Not started</x:t>
        </x:is>
      </x:c>
      <x:c r="S170" s="12" t="n"/>
      <x:c r="T170" s="12" t="n"/>
      <x:c r="U170" s="12" t="n">
        <x:v>345</x:v>
      </x:c>
    </x:row>
    <x:row r="171">
      <x:c r="A171" s="13" t="inlineStr">
        <x:is>
          <x:t xml:space="preserve">RES-0080</x:t>
        </x:is>
      </x:c>
      <x:c r="B171" s="12" t="inlineStr">
        <x:is>
          <x:t xml:space="preserve">XII</x:t>
        </x:is>
      </x:c>
      <x:c r="C171" s="12" t="inlineStr">
        <x:is>
          <x:t xml:space="preserve">RES</x:t>
        </x:is>
      </x:c>
      <x:c r="D171" s="12" t="inlineStr">
        <x:is>
          <x:t xml:space="preserve">Resurrection case</x:t>
        </x:is>
      </x:c>
      <x:c r="E171" s="12" t="inlineStr">
        <x:is>
          <x:t xml:space="preserve">Appearance traditions vary in form and location.</x:t>
        </x:is>
      </x:c>
      <x:c r="F171" s="12" t="n"/>
      <x:c r="G171" s="12" t="n"/>
      <x:c r="H171" s="12" t="n"/>
      <x:c r="I171" s="12" t="n"/>
      <x:c r="J171" s="12" t="n"/>
      <x:c r="K171" s="12" t="n"/>
      <x:c r="L171" s="12" t="n"/>
      <x:c r="M171" s="12" t="n"/>
      <x:c r="N171" s="12" t="n"/>
      <x:c r="O171" s="12" t="n"/>
      <x:c r="P171" s="12" t="n"/>
      <x:c r="Q171" s="12" t="n"/>
      <x:c r="R171" s="12" t="inlineStr">
        <x:is>
          <x:t xml:space="preserve">Not started</x:t>
        </x:is>
      </x:c>
      <x:c r="S171" s="12" t="n"/>
      <x:c r="T171" s="12" t="n"/>
      <x:c r="U171" s="12" t="n">
        <x:v>346</x:v>
      </x:c>
    </x:row>
    <x:row r="172">
      <x:c r="A172" s="13" t="inlineStr">
        <x:is>
          <x:t xml:space="preserve">RES-0090</x:t>
        </x:is>
      </x:c>
      <x:c r="B172" s="12" t="inlineStr">
        <x:is>
          <x:t xml:space="preserve">XII</x:t>
        </x:is>
      </x:c>
      <x:c r="C172" s="12" t="inlineStr">
        <x:is>
          <x:t xml:space="preserve">RES</x:t>
        </x:is>
      </x:c>
      <x:c r="D172" s="12" t="inlineStr">
        <x:is>
          <x:t xml:space="preserve">Resurrection case</x:t>
        </x:is>
      </x:c>
      <x:c r="E172" s="12" t="inlineStr">
        <x:is>
          <x:t xml:space="preserve">Group-appearance claims require analysis distinct from individual visionary experiences.</x:t>
        </x:is>
      </x:c>
      <x:c r="F172" s="12" t="n"/>
      <x:c r="G172" s="12" t="n"/>
      <x:c r="H172" s="12" t="n"/>
      <x:c r="I172" s="12" t="n"/>
      <x:c r="J172" s="12" t="n"/>
      <x:c r="K172" s="12" t="n"/>
      <x:c r="L172" s="12" t="n"/>
      <x:c r="M172" s="12" t="n"/>
      <x:c r="N172" s="12" t="n"/>
      <x:c r="O172" s="12" t="n"/>
      <x:c r="P172" s="12" t="n"/>
      <x:c r="Q172" s="12" t="n"/>
      <x:c r="R172" s="12" t="inlineStr">
        <x:is>
          <x:t xml:space="preserve">Not started</x:t>
        </x:is>
      </x:c>
      <x:c r="S172" s="12" t="n"/>
      <x:c r="T172" s="12" t="n"/>
      <x:c r="U172" s="12" t="n">
        <x:v>347</x:v>
      </x:c>
    </x:row>
    <x:row r="173" ht="28.799999237060547" customHeight="1">
      <x:c r="A173" s="13" t="inlineStr">
        <x:is>
          <x:t xml:space="preserve">RES-0100</x:t>
        </x:is>
      </x:c>
      <x:c r="B173" s="12" t="inlineStr">
        <x:is>
          <x:t xml:space="preserve">XII</x:t>
        </x:is>
      </x:c>
      <x:c r="C173" s="12" t="inlineStr">
        <x:is>
          <x:t xml:space="preserve">RES</x:t>
        </x:is>
      </x:c>
      <x:c r="D173" s="12" t="inlineStr">
        <x:is>
          <x:t xml:space="preserve">Resurrection case</x:t>
        </x:is>
      </x:c>
      <x:c r="E173" s="12" t="inlineStr">
        <x:is>
          <x:t xml:space="preserve">Hallucination hypotheses may explain some experiences but face questions about diversity, groups, and empty-tomb traditions.</x:t>
        </x:is>
      </x:c>
      <x:c r="F173" s="12" t="n"/>
      <x:c r="G173" s="12" t="n"/>
      <x:c r="H173" s="12" t="n"/>
      <x:c r="I173" s="12" t="n"/>
      <x:c r="J173" s="12" t="n"/>
      <x:c r="K173" s="12" t="n"/>
      <x:c r="L173" s="12" t="n"/>
      <x:c r="M173" s="12" t="n"/>
      <x:c r="N173" s="12" t="n"/>
      <x:c r="O173" s="12" t="n"/>
      <x:c r="P173" s="12" t="n"/>
      <x:c r="Q173" s="12" t="n"/>
      <x:c r="R173" s="12" t="inlineStr">
        <x:is>
          <x:t xml:space="preserve">Not started</x:t>
        </x:is>
      </x:c>
      <x:c r="S173" s="12" t="n"/>
      <x:c r="T173" s="12" t="n"/>
      <x:c r="U173" s="12" t="n">
        <x:v>348</x:v>
      </x:c>
    </x:row>
    <x:row r="174" ht="28.799999237060547" customHeight="1">
      <x:c r="A174" s="13" t="inlineStr">
        <x:is>
          <x:t xml:space="preserve">RES-0110</x:t>
        </x:is>
      </x:c>
      <x:c r="B174" s="12" t="inlineStr">
        <x:is>
          <x:t xml:space="preserve">XII</x:t>
        </x:is>
      </x:c>
      <x:c r="C174" s="12" t="inlineStr">
        <x:is>
          <x:t xml:space="preserve">RES</x:t>
        </x:is>
      </x:c>
      <x:c r="D174" s="12" t="inlineStr">
        <x:is>
          <x:t xml:space="preserve">Resurrection case</x:t>
        </x:is>
      </x:c>
      <x:c r="E174" s="12" t="inlineStr">
        <x:is>
          <x:t xml:space="preserve">Cognitive dissonance may explain reinterpretation after failed expectations but does not automatically explain the specific resurrection form.</x:t>
        </x:is>
      </x:c>
      <x:c r="F174" s="12" t="n"/>
      <x:c r="G174" s="12" t="n"/>
      <x:c r="H174" s="12" t="n"/>
      <x:c r="I174" s="12" t="n"/>
      <x:c r="J174" s="12" t="n"/>
      <x:c r="K174" s="12" t="n"/>
      <x:c r="L174" s="12" t="n"/>
      <x:c r="M174" s="12" t="n"/>
      <x:c r="N174" s="12" t="n"/>
      <x:c r="O174" s="12" t="n"/>
      <x:c r="P174" s="12" t="n"/>
      <x:c r="Q174" s="12" t="n"/>
      <x:c r="R174" s="12" t="inlineStr">
        <x:is>
          <x:t xml:space="preserve">Not started</x:t>
        </x:is>
      </x:c>
      <x:c r="S174" s="12" t="n"/>
      <x:c r="T174" s="12" t="n"/>
      <x:c r="U174" s="12" t="n">
        <x:v>349</x:v>
      </x:c>
    </x:row>
    <x:row r="175">
      <x:c r="A175" s="13" t="inlineStr">
        <x:is>
          <x:t xml:space="preserve">RES-0120</x:t>
        </x:is>
      </x:c>
      <x:c r="B175" s="12" t="inlineStr">
        <x:is>
          <x:t xml:space="preserve">XII</x:t>
        </x:is>
      </x:c>
      <x:c r="C175" s="12" t="inlineStr">
        <x:is>
          <x:t xml:space="preserve">RES</x:t>
        </x:is>
      </x:c>
      <x:c r="D175" s="12" t="inlineStr">
        <x:is>
          <x:t xml:space="preserve">Resurrection case</x:t>
        </x:is>
      </x:c>
      <x:c r="E175" s="12" t="inlineStr">
        <x:is>
          <x:t xml:space="preserve">Legend hypotheses must account for the dating and transmission of the earliest claims.</x:t>
        </x:is>
      </x:c>
      <x:c r="F175" s="12" t="n"/>
      <x:c r="G175" s="12" t="n"/>
      <x:c r="H175" s="12" t="n"/>
      <x:c r="I175" s="12" t="n"/>
      <x:c r="J175" s="12" t="n"/>
      <x:c r="K175" s="12" t="n"/>
      <x:c r="L175" s="12" t="n"/>
      <x:c r="M175" s="12" t="n"/>
      <x:c r="N175" s="12" t="n"/>
      <x:c r="O175" s="12" t="n"/>
      <x:c r="P175" s="12" t="n"/>
      <x:c r="Q175" s="12" t="n"/>
      <x:c r="R175" s="12" t="inlineStr">
        <x:is>
          <x:t xml:space="preserve">Not started</x:t>
        </x:is>
      </x:c>
      <x:c r="S175" s="12" t="n"/>
      <x:c r="T175" s="12" t="n"/>
      <x:c r="U175" s="12" t="n">
        <x:v>350</x:v>
      </x:c>
    </x:row>
    <x:row r="176">
      <x:c r="A176" s="13" t="inlineStr">
        <x:is>
          <x:t xml:space="preserve">RES-0130</x:t>
        </x:is>
      </x:c>
      <x:c r="B176" s="12" t="inlineStr">
        <x:is>
          <x:t xml:space="preserve">XII</x:t>
        </x:is>
      </x:c>
      <x:c r="C176" s="12" t="inlineStr">
        <x:is>
          <x:t xml:space="preserve">RES</x:t>
        </x:is>
      </x:c>
      <x:c r="D176" s="12" t="inlineStr">
        <x:is>
          <x:t xml:space="preserve">Resurrection case</x:t>
        </x:is>
      </x:c>
      <x:c r="E176" s="12" t="inlineStr">
        <x:is>
          <x:t xml:space="preserve">Body-removal hypotheses must explain motives, access, later proclamation, and evidential gaps.</x:t>
        </x:is>
      </x:c>
      <x:c r="F176" s="12" t="n"/>
      <x:c r="G176" s="12" t="n"/>
      <x:c r="H176" s="12" t="n"/>
      <x:c r="I176" s="12" t="n"/>
      <x:c r="J176" s="12" t="n"/>
      <x:c r="K176" s="12" t="n"/>
      <x:c r="L176" s="12" t="n"/>
      <x:c r="M176" s="12" t="n"/>
      <x:c r="N176" s="12" t="n"/>
      <x:c r="O176" s="12" t="n"/>
      <x:c r="P176" s="12" t="n"/>
      <x:c r="Q176" s="12" t="n"/>
      <x:c r="R176" s="12" t="inlineStr">
        <x:is>
          <x:t xml:space="preserve">Not started</x:t>
        </x:is>
      </x:c>
      <x:c r="S176" s="12" t="n"/>
      <x:c r="T176" s="12" t="n"/>
      <x:c r="U176" s="12" t="n">
        <x:v>351</x:v>
      </x:c>
    </x:row>
    <x:row r="177">
      <x:c r="A177" s="13" t="inlineStr">
        <x:is>
          <x:t xml:space="preserve">RES-0140</x:t>
        </x:is>
      </x:c>
      <x:c r="B177" s="12" t="inlineStr">
        <x:is>
          <x:t xml:space="preserve">XII</x:t>
        </x:is>
      </x:c>
      <x:c r="C177" s="12" t="inlineStr">
        <x:is>
          <x:t xml:space="preserve">RES</x:t>
        </x:is>
      </x:c>
      <x:c r="D177" s="12" t="inlineStr">
        <x:is>
          <x:t xml:space="preserve">Resurrection case</x:t>
        </x:is>
      </x:c>
      <x:c r="E177" s="12" t="inlineStr">
        <x:is>
          <x:t xml:space="preserve">Apparent-death hypotheses face medical and historical difficulties.</x:t>
        </x:is>
      </x:c>
      <x:c r="F177" s="12" t="n"/>
      <x:c r="G177" s="12" t="n"/>
      <x:c r="H177" s="12" t="n"/>
      <x:c r="I177" s="12" t="n"/>
      <x:c r="J177" s="12" t="n"/>
      <x:c r="K177" s="12" t="n"/>
      <x:c r="L177" s="12" t="n"/>
      <x:c r="M177" s="12" t="n"/>
      <x:c r="N177" s="12" t="n"/>
      <x:c r="O177" s="12" t="n"/>
      <x:c r="P177" s="12" t="n"/>
      <x:c r="Q177" s="12" t="n"/>
      <x:c r="R177" s="12" t="inlineStr">
        <x:is>
          <x:t xml:space="preserve">Not started</x:t>
        </x:is>
      </x:c>
      <x:c r="S177" s="12" t="n"/>
      <x:c r="T177" s="12" t="n"/>
      <x:c r="U177" s="12" t="n">
        <x:v>352</x:v>
      </x:c>
    </x:row>
    <x:row r="178">
      <x:c r="A178" s="13" t="inlineStr">
        <x:is>
          <x:t xml:space="preserve">RES-0150</x:t>
        </x:is>
      </x:c>
      <x:c r="B178" s="12" t="inlineStr">
        <x:is>
          <x:t xml:space="preserve">XII</x:t>
        </x:is>
      </x:c>
      <x:c r="C178" s="12" t="inlineStr">
        <x:is>
          <x:t xml:space="preserve">RES</x:t>
        </x:is>
      </x:c>
      <x:c r="D178" s="12" t="inlineStr">
        <x:is>
          <x:t xml:space="preserve">Resurrection case</x:t>
        </x:is>
      </x:c>
      <x:c r="E178" s="12" t="inlineStr">
        <x:is>
          <x:t xml:space="preserve">Spiritual-resurrection interpretations must be compared with Jewish resurrection concepts.</x:t>
        </x:is>
      </x:c>
      <x:c r="F178" s="12" t="n"/>
      <x:c r="G178" s="12" t="n"/>
      <x:c r="H178" s="12" t="n"/>
      <x:c r="I178" s="12" t="n"/>
      <x:c r="J178" s="12" t="n"/>
      <x:c r="K178" s="12" t="n"/>
      <x:c r="L178" s="12" t="n"/>
      <x:c r="M178" s="12" t="n"/>
      <x:c r="N178" s="12" t="n"/>
      <x:c r="O178" s="12" t="n"/>
      <x:c r="P178" s="12" t="n"/>
      <x:c r="Q178" s="12" t="n"/>
      <x:c r="R178" s="12" t="inlineStr">
        <x:is>
          <x:t xml:space="preserve">Not started</x:t>
        </x:is>
      </x:c>
      <x:c r="S178" s="12" t="n"/>
      <x:c r="T178" s="12" t="n"/>
      <x:c r="U178" s="12" t="n">
        <x:v>353</x:v>
      </x:c>
    </x:row>
    <x:row r="179">
      <x:c r="A179" s="13" t="inlineStr">
        <x:is>
          <x:t xml:space="preserve">RES-0160</x:t>
        </x:is>
      </x:c>
      <x:c r="B179" s="12" t="inlineStr">
        <x:is>
          <x:t xml:space="preserve">XII</x:t>
        </x:is>
      </x:c>
      <x:c r="C179" s="12" t="inlineStr">
        <x:is>
          <x:t xml:space="preserve">RES</x:t>
        </x:is>
      </x:c>
      <x:c r="D179" s="12" t="inlineStr">
        <x:is>
          <x:t xml:space="preserve">Resurrection case</x:t>
        </x:is>
      </x:c>
      <x:c r="E179" s="12" t="inlineStr">
        <x:is>
          <x:t xml:space="preserve">The resurrection hypothesis has substantial prior-probability disputes.</x:t>
        </x:is>
      </x:c>
      <x:c r="F179" s="12" t="n"/>
      <x:c r="G179" s="12" t="n"/>
      <x:c r="H179" s="12" t="n"/>
      <x:c r="I179" s="12" t="n"/>
      <x:c r="J179" s="12" t="n"/>
      <x:c r="K179" s="12" t="n"/>
      <x:c r="L179" s="12" t="n"/>
      <x:c r="M179" s="12" t="n"/>
      <x:c r="N179" s="12" t="n"/>
      <x:c r="O179" s="12" t="n"/>
      <x:c r="P179" s="12" t="n"/>
      <x:c r="Q179" s="12" t="n"/>
      <x:c r="R179" s="12" t="inlineStr">
        <x:is>
          <x:t xml:space="preserve">Not started</x:t>
        </x:is>
      </x:c>
      <x:c r="S179" s="12" t="n"/>
      <x:c r="T179" s="12" t="n"/>
      <x:c r="U179" s="12" t="n">
        <x:v>354</x:v>
      </x:c>
    </x:row>
    <x:row r="180" ht="28.799999237060547" customHeight="1">
      <x:c r="A180" s="13" t="inlineStr">
        <x:is>
          <x:t xml:space="preserve">RES-0170</x:t>
        </x:is>
      </x:c>
      <x:c r="B180" s="12" t="inlineStr">
        <x:is>
          <x:t xml:space="preserve">XII</x:t>
        </x:is>
      </x:c>
      <x:c r="C180" s="12" t="inlineStr">
        <x:is>
          <x:t xml:space="preserve">RES</x:t>
        </x:is>
      </x:c>
      <x:c r="D180" s="12" t="inlineStr">
        <x:is>
          <x:t xml:space="preserve">Resurrection case</x:t>
        </x:is>
      </x:c>
      <x:c r="E180" s="12" t="inlineStr">
        <x:is>
          <x:t xml:space="preserve">The resurrection cannot be inferred without broader metaphysical arguments permitting divine action.</x:t>
        </x:is>
      </x:c>
      <x:c r="F180" s="12" t="n"/>
      <x:c r="G180" s="12" t="n"/>
      <x:c r="H180" s="12" t="n"/>
      <x:c r="I180" s="12" t="n"/>
      <x:c r="J180" s="12" t="n"/>
      <x:c r="K180" s="12" t="n"/>
      <x:c r="L180" s="12" t="n"/>
      <x:c r="M180" s="12" t="n"/>
      <x:c r="N180" s="12" t="n"/>
      <x:c r="O180" s="12" t="n"/>
      <x:c r="P180" s="12" t="n"/>
      <x:c r="Q180" s="12" t="n"/>
      <x:c r="R180" s="12" t="inlineStr">
        <x:is>
          <x:t xml:space="preserve">Not started</x:t>
        </x:is>
      </x:c>
      <x:c r="S180" s="12" t="n"/>
      <x:c r="T180" s="12" t="n"/>
      <x:c r="U180" s="12" t="n">
        <x:v>355</x:v>
      </x:c>
    </x:row>
    <x:row r="181" ht="28.799999237060547" customHeight="1">
      <x:c r="A181" s="13" t="inlineStr">
        <x:is>
          <x:t xml:space="preserve">RES-0180</x:t>
        </x:is>
      </x:c>
      <x:c r="B181" s="12" t="inlineStr">
        <x:is>
          <x:t xml:space="preserve">XII</x:t>
        </x:is>
      </x:c>
      <x:c r="C181" s="12" t="inlineStr">
        <x:is>
          <x:t xml:space="preserve">RES</x:t>
        </x:is>
      </x:c>
      <x:c r="D181" s="12" t="inlineStr">
        <x:is>
          <x:t xml:space="preserve">Resurrection case</x:t>
        </x:is>
      </x:c>
      <x:c r="E181" s="12" t="inlineStr">
        <x:is>
          <x:t xml:space="preserve">The cumulative argument may combine theism, Jesus’ ministry, death, appearances, empty-tomb evidence, and movement emergence.</x:t>
        </x:is>
      </x:c>
      <x:c r="F181" s="12" t="n"/>
      <x:c r="G181" s="12" t="n"/>
      <x:c r="H181" s="12" t="n"/>
      <x:c r="I181" s="12" t="n"/>
      <x:c r="J181" s="12" t="n"/>
      <x:c r="K181" s="12" t="n"/>
      <x:c r="L181" s="12" t="n"/>
      <x:c r="M181" s="12" t="n"/>
      <x:c r="N181" s="12" t="n"/>
      <x:c r="O181" s="12" t="n"/>
      <x:c r="P181" s="12" t="n"/>
      <x:c r="Q181" s="12" t="n"/>
      <x:c r="R181" s="12" t="inlineStr">
        <x:is>
          <x:t xml:space="preserve">Not started</x:t>
        </x:is>
      </x:c>
      <x:c r="S181" s="12" t="n"/>
      <x:c r="T181" s="12" t="n"/>
      <x:c r="U181" s="12" t="n">
        <x:v>356</x:v>
      </x:c>
    </x:row>
    <x:row r="182">
      <x:c r="A182" s="13" t="inlineStr">
        <x:is>
          <x:t xml:space="preserve">RES-0190</x:t>
        </x:is>
      </x:c>
      <x:c r="B182" s="12" t="inlineStr">
        <x:is>
          <x:t xml:space="preserve">XII</x:t>
        </x:is>
      </x:c>
      <x:c r="C182" s="12" t="inlineStr">
        <x:is>
          <x:t xml:space="preserve">RES</x:t>
        </x:is>
      </x:c>
      <x:c r="D182" s="12" t="inlineStr">
        <x:is>
          <x:t xml:space="preserve">Resurrection case</x:t>
        </x:is>
      </x:c>
      <x:c r="E182" s="12" t="inlineStr">
        <x:is>
          <x:t xml:space="preserve">The conclusion “God raised Jesus” is abductive unless divine premises make it deductive.</x:t>
        </x:is>
      </x:c>
      <x:c r="F182" s="12" t="n"/>
      <x:c r="G182" s="12" t="n"/>
      <x:c r="H182" s="12" t="n"/>
      <x:c r="I182" s="12" t="n"/>
      <x:c r="J182" s="12" t="n"/>
      <x:c r="K182" s="12" t="n"/>
      <x:c r="L182" s="12" t="n"/>
      <x:c r="M182" s="12" t="n"/>
      <x:c r="N182" s="12" t="n"/>
      <x:c r="O182" s="12" t="n"/>
      <x:c r="P182" s="12" t="n"/>
      <x:c r="Q182" s="12" t="n"/>
      <x:c r="R182" s="12" t="inlineStr">
        <x:is>
          <x:t xml:space="preserve">Not started</x:t>
        </x:is>
      </x:c>
      <x:c r="S182" s="12" t="n"/>
      <x:c r="T182" s="12" t="n"/>
      <x:c r="U182" s="12" t="n">
        <x:v>357</x:v>
      </x:c>
    </x:row>
    <x:row r="183" ht="28.799999237060547" customHeight="1">
      <x:c r="A183" s="13" t="inlineStr">
        <x:is>
          <x:t xml:space="preserve">RES-0200</x:t>
        </x:is>
      </x:c>
      <x:c r="B183" s="12" t="inlineStr">
        <x:is>
          <x:t xml:space="preserve">XII</x:t>
        </x:is>
      </x:c>
      <x:c r="C183" s="12" t="inlineStr">
        <x:is>
          <x:t xml:space="preserve">RES</x:t>
        </x:is>
      </x:c>
      <x:c r="D183" s="12" t="inlineStr">
        <x:is>
          <x:t xml:space="preserve">Resurrection case</x:t>
        </x:is>
      </x:c>
      <x:c r="E183" s="12" t="inlineStr">
        <x:is>
          <x:t xml:space="preserve">Even if a resurrection occurred, further argument is needed to establish every later Christian doctrine.</x:t>
        </x:is>
      </x:c>
      <x:c r="F183" s="12" t="n"/>
      <x:c r="G183" s="12" t="n"/>
      <x:c r="H183" s="12" t="n"/>
      <x:c r="I183" s="12" t="n"/>
      <x:c r="J183" s="12" t="n"/>
      <x:c r="K183" s="12" t="n"/>
      <x:c r="L183" s="12" t="n"/>
      <x:c r="M183" s="12" t="n"/>
      <x:c r="N183" s="12" t="n"/>
      <x:c r="O183" s="12" t="n"/>
      <x:c r="P183" s="12" t="n"/>
      <x:c r="Q183" s="12" t="n"/>
      <x:c r="R183" s="12" t="inlineStr">
        <x:is>
          <x:t xml:space="preserve">Not started</x:t>
        </x:is>
      </x:c>
      <x:c r="S183" s="12" t="n"/>
      <x:c r="T183" s="12" t="n"/>
      <x:c r="U183" s="12" t="n">
        <x:v>358</x:v>
      </x:c>
    </x:row>
    <x:row r="184" ht="28.799999237060547" customHeight="1">
      <x:c r="A184" s="13" t="inlineStr">
        <x:is>
          <x:t xml:space="preserve">RES-0210</x:t>
        </x:is>
      </x:c>
      <x:c r="B184" s="12" t="inlineStr">
        <x:is>
          <x:t xml:space="preserve">XII</x:t>
        </x:is>
      </x:c>
      <x:c r="C184" s="12" t="inlineStr">
        <x:is>
          <x:t xml:space="preserve">RES</x:t>
        </x:is>
      </x:c>
      <x:c r="D184" s="12" t="inlineStr">
        <x:is>
          <x:t xml:space="preserve">Resurrection case</x:t>
        </x:is>
      </x:c>
      <x:c r="E184" s="12" t="inlineStr">
        <x:is>
          <x:t xml:space="preserve">Resurrection would strongly vindicate Jesus but interpretation of that vindication still requires theological analysis.</x:t>
        </x:is>
      </x:c>
      <x:c r="F184" s="12" t="n"/>
      <x:c r="G184" s="12" t="n"/>
      <x:c r="H184" s="12" t="n"/>
      <x:c r="I184" s="12" t="n"/>
      <x:c r="J184" s="12" t="n"/>
      <x:c r="K184" s="12" t="n"/>
      <x:c r="L184" s="12" t="n"/>
      <x:c r="M184" s="12" t="n"/>
      <x:c r="N184" s="12" t="n"/>
      <x:c r="O184" s="12" t="n"/>
      <x:c r="P184" s="12" t="n"/>
      <x:c r="Q184" s="12" t="n"/>
      <x:c r="R184" s="12" t="inlineStr">
        <x:is>
          <x:t xml:space="preserve">Not started</x:t>
        </x:is>
      </x:c>
      <x:c r="S184" s="12" t="n"/>
      <x:c r="T184" s="12" t="n"/>
      <x:c r="U184" s="12" t="n">
        <x:v>359</x:v>
      </x:c>
    </x:row>
    <x:row r="185" ht="28.799999237060547" customHeight="1">
      <x:c r="A185" s="13" t="inlineStr">
        <x:is>
          <x:t xml:space="preserve">NTX-0010</x:t>
        </x:is>
      </x:c>
      <x:c r="B185" s="12" t="inlineStr">
        <x:is>
          <x:t xml:space="preserve">XIII</x:t>
        </x:is>
      </x:c>
      <x:c r="C185" s="12" t="inlineStr">
        <x:is>
          <x:t xml:space="preserve">NTX</x:t>
        </x:is>
      </x:c>
      <x:c r="D185" s="12" t="inlineStr">
        <x:is>
          <x:t xml:space="preserve">Reliability and formation of the New Testament</x:t>
        </x:is>
      </x:c>
      <x:c r="E185" s="12" t="inlineStr">
        <x:is>
          <x:t xml:space="preserve">The New Testament consists of multiple genres.</x:t>
        </x:is>
      </x:c>
      <x:c r="F185" s="12" t="n"/>
      <x:c r="G185" s="12" t="n"/>
      <x:c r="H185" s="12" t="n"/>
      <x:c r="I185" s="12" t="n"/>
      <x:c r="J185" s="12" t="n"/>
      <x:c r="K185" s="12" t="n"/>
      <x:c r="L185" s="12" t="n"/>
      <x:c r="M185" s="12" t="n"/>
      <x:c r="N185" s="12" t="n"/>
      <x:c r="O185" s="12" t="n"/>
      <x:c r="P185" s="12" t="n"/>
      <x:c r="Q185" s="12" t="n"/>
      <x:c r="R185" s="12" t="inlineStr">
        <x:is>
          <x:t xml:space="preserve">Not started</x:t>
        </x:is>
      </x:c>
      <x:c r="S185" s="12" t="n"/>
      <x:c r="T185" s="12" t="n"/>
      <x:c r="U185" s="12" t="n">
        <x:v>365</x:v>
      </x:c>
    </x:row>
    <x:row r="186" ht="28.799999237060547" customHeight="1">
      <x:c r="A186" s="13" t="inlineStr">
        <x:is>
          <x:t xml:space="preserve">NTX-0020</x:t>
        </x:is>
      </x:c>
      <x:c r="B186" s="12" t="inlineStr">
        <x:is>
          <x:t xml:space="preserve">XIII</x:t>
        </x:is>
      </x:c>
      <x:c r="C186" s="12" t="inlineStr">
        <x:is>
          <x:t xml:space="preserve">NTX</x:t>
        </x:is>
      </x:c>
      <x:c r="D186" s="12" t="inlineStr">
        <x:is>
          <x:t xml:space="preserve">Reliability and formation of the New Testament</x:t>
        </x:is>
      </x:c>
      <x:c r="E186" s="12" t="inlineStr">
        <x:is>
          <x:t xml:space="preserve">Textual transmission and historical reliability are related but distinct questions.</x:t>
        </x:is>
      </x:c>
      <x:c r="F186" s="12" t="n"/>
      <x:c r="G186" s="12" t="n"/>
      <x:c r="H186" s="12" t="n"/>
      <x:c r="I186" s="12" t="n"/>
      <x:c r="J186" s="12" t="n"/>
      <x:c r="K186" s="12" t="n"/>
      <x:c r="L186" s="12" t="n"/>
      <x:c r="M186" s="12" t="n"/>
      <x:c r="N186" s="12" t="n"/>
      <x:c r="O186" s="12" t="n"/>
      <x:c r="P186" s="12" t="n"/>
      <x:c r="Q186" s="12" t="n"/>
      <x:c r="R186" s="12" t="inlineStr">
        <x:is>
          <x:t xml:space="preserve">Not started</x:t>
        </x:is>
      </x:c>
      <x:c r="S186" s="12" t="n"/>
      <x:c r="T186" s="12" t="n"/>
      <x:c r="U186" s="12" t="n">
        <x:v>366</x:v>
      </x:c>
    </x:row>
    <x:row r="187" ht="28.799999237060547" customHeight="1">
      <x:c r="A187" s="13" t="inlineStr">
        <x:is>
          <x:t xml:space="preserve">NTX-0030</x:t>
        </x:is>
      </x:c>
      <x:c r="B187" s="12" t="inlineStr">
        <x:is>
          <x:t xml:space="preserve">XIII</x:t>
        </x:is>
      </x:c>
      <x:c r="C187" s="12" t="inlineStr">
        <x:is>
          <x:t xml:space="preserve">NTX</x:t>
        </x:is>
      </x:c>
      <x:c r="D187" s="12" t="inlineStr">
        <x:is>
          <x:t xml:space="preserve">Reliability and formation of the New Testament</x:t>
        </x:is>
      </x:c>
      <x:c r="E187" s="12" t="inlineStr">
        <x:is>
          <x:t xml:space="preserve">The existence of textual variants does not imply that the original wording is unknowable everywhere.</x:t>
        </x:is>
      </x:c>
      <x:c r="F187" s="12" t="n"/>
      <x:c r="G187" s="12" t="n"/>
      <x:c r="H187" s="12" t="n"/>
      <x:c r="I187" s="12" t="n"/>
      <x:c r="J187" s="12" t="n"/>
      <x:c r="K187" s="12" t="n"/>
      <x:c r="L187" s="12" t="n"/>
      <x:c r="M187" s="12" t="n"/>
      <x:c r="N187" s="12" t="n"/>
      <x:c r="O187" s="12" t="n"/>
      <x:c r="P187" s="12" t="n"/>
      <x:c r="Q187" s="12" t="n"/>
      <x:c r="R187" s="12" t="inlineStr">
        <x:is>
          <x:t xml:space="preserve">Not started</x:t>
        </x:is>
      </x:c>
      <x:c r="S187" s="12" t="n"/>
      <x:c r="T187" s="12" t="n"/>
      <x:c r="U187" s="12" t="n">
        <x:v>367</x:v>
      </x:c>
    </x:row>
    <x:row r="188" ht="28.799999237060547" customHeight="1">
      <x:c r="A188" s="13" t="inlineStr">
        <x:is>
          <x:t xml:space="preserve">NTX-0040</x:t>
        </x:is>
      </x:c>
      <x:c r="B188" s="12" t="inlineStr">
        <x:is>
          <x:t xml:space="preserve">XIII</x:t>
        </x:is>
      </x:c>
      <x:c r="C188" s="12" t="inlineStr">
        <x:is>
          <x:t xml:space="preserve">NTX</x:t>
        </x:is>
      </x:c>
      <x:c r="D188" s="12" t="inlineStr">
        <x:is>
          <x:t xml:space="preserve">Reliability and formation of the New Testament</x:t>
        </x:is>
      </x:c>
      <x:c r="E188" s="12" t="inlineStr">
        <x:is>
          <x:t xml:space="preserve">Some passages have substantially greater textual uncertainty than others.</x:t>
        </x:is>
      </x:c>
      <x:c r="F188" s="12" t="n"/>
      <x:c r="G188" s="12" t="n"/>
      <x:c r="H188" s="12" t="n"/>
      <x:c r="I188" s="12" t="n"/>
      <x:c r="J188" s="12" t="n"/>
      <x:c r="K188" s="12" t="n"/>
      <x:c r="L188" s="12" t="n"/>
      <x:c r="M188" s="12" t="n"/>
      <x:c r="N188" s="12" t="n"/>
      <x:c r="O188" s="12" t="n"/>
      <x:c r="P188" s="12" t="n"/>
      <x:c r="Q188" s="12" t="n"/>
      <x:c r="R188" s="12" t="inlineStr">
        <x:is>
          <x:t xml:space="preserve">Not started</x:t>
        </x:is>
      </x:c>
      <x:c r="S188" s="12" t="n"/>
      <x:c r="T188" s="12" t="n"/>
      <x:c r="U188" s="12" t="n">
        <x:v>368</x:v>
      </x:c>
    </x:row>
    <x:row r="189" ht="28.799999237060547" customHeight="1">
      <x:c r="A189" s="13" t="inlineStr">
        <x:is>
          <x:t xml:space="preserve">NTX-0050</x:t>
        </x:is>
      </x:c>
      <x:c r="B189" s="12" t="inlineStr">
        <x:is>
          <x:t xml:space="preserve">XIII</x:t>
        </x:is>
      </x:c>
      <x:c r="C189" s="12" t="inlineStr">
        <x:is>
          <x:t xml:space="preserve">NTX</x:t>
        </x:is>
      </x:c>
      <x:c r="D189" s="12" t="inlineStr">
        <x:is>
          <x:t xml:space="preserve">Reliability and formation of the New Testament</x:t>
        </x:is>
      </x:c>
      <x:c r="E189" s="12" t="inlineStr">
        <x:is>
          <x:t xml:space="preserve">Textual criticism often identifies earlier readings with high confidence.</x:t>
        </x:is>
      </x:c>
      <x:c r="F189" s="12" t="n"/>
      <x:c r="G189" s="12" t="n"/>
      <x:c r="H189" s="12" t="n"/>
      <x:c r="I189" s="12" t="n"/>
      <x:c r="J189" s="12" t="n"/>
      <x:c r="K189" s="12" t="n"/>
      <x:c r="L189" s="12" t="n"/>
      <x:c r="M189" s="12" t="n"/>
      <x:c r="N189" s="12" t="n"/>
      <x:c r="O189" s="12" t="n"/>
      <x:c r="P189" s="12" t="n"/>
      <x:c r="Q189" s="12" t="n"/>
      <x:c r="R189" s="12" t="inlineStr">
        <x:is>
          <x:t xml:space="preserve">Not started</x:t>
        </x:is>
      </x:c>
      <x:c r="S189" s="12" t="n"/>
      <x:c r="T189" s="12" t="n"/>
      <x:c r="U189" s="12" t="n">
        <x:v>369</x:v>
      </x:c>
    </x:row>
    <x:row r="190" ht="28.799999237060547" customHeight="1">
      <x:c r="A190" s="13" t="inlineStr">
        <x:is>
          <x:t xml:space="preserve">NTX-0060</x:t>
        </x:is>
      </x:c>
      <x:c r="B190" s="12" t="inlineStr">
        <x:is>
          <x:t xml:space="preserve">XIII</x:t>
        </x:is>
      </x:c>
      <x:c r="C190" s="12" t="inlineStr">
        <x:is>
          <x:t xml:space="preserve">NTX</x:t>
        </x:is>
      </x:c>
      <x:c r="D190" s="12" t="inlineStr">
        <x:is>
          <x:t xml:space="preserve">Reliability and formation of the New Testament</x:t>
        </x:is>
      </x:c>
      <x:c r="E190" s="12" t="inlineStr">
        <x:is>
          <x:t xml:space="preserve">Manuscript quantity is not identical to manuscript quality.</x:t>
        </x:is>
      </x:c>
      <x:c r="F190" s="12" t="n"/>
      <x:c r="G190" s="12" t="n"/>
      <x:c r="H190" s="12" t="n"/>
      <x:c r="I190" s="12" t="n"/>
      <x:c r="J190" s="12" t="n"/>
      <x:c r="K190" s="12" t="n"/>
      <x:c r="L190" s="12" t="n"/>
      <x:c r="M190" s="12" t="n"/>
      <x:c r="N190" s="12" t="n"/>
      <x:c r="O190" s="12" t="n"/>
      <x:c r="P190" s="12" t="n"/>
      <x:c r="Q190" s="12" t="n"/>
      <x:c r="R190" s="12" t="inlineStr">
        <x:is>
          <x:t xml:space="preserve">Not started</x:t>
        </x:is>
      </x:c>
      <x:c r="S190" s="12" t="n"/>
      <x:c r="T190" s="12" t="n"/>
      <x:c r="U190" s="12" t="n">
        <x:v>370</x:v>
      </x:c>
    </x:row>
    <x:row r="191" ht="28.799999237060547" customHeight="1">
      <x:c r="A191" s="13" t="inlineStr">
        <x:is>
          <x:t xml:space="preserve">NTX-0070</x:t>
        </x:is>
      </x:c>
      <x:c r="B191" s="12" t="inlineStr">
        <x:is>
          <x:t xml:space="preserve">XIII</x:t>
        </x:is>
      </x:c>
      <x:c r="C191" s="12" t="inlineStr">
        <x:is>
          <x:t xml:space="preserve">NTX</x:t>
        </x:is>
      </x:c>
      <x:c r="D191" s="12" t="inlineStr">
        <x:is>
          <x:t xml:space="preserve">Reliability and formation of the New Testament</x:t>
        </x:is>
      </x:c>
      <x:c r="E191" s="12" t="inlineStr">
        <x:is>
          <x:t xml:space="preserve">A late manuscript may preserve an early reading.</x:t>
        </x:is>
      </x:c>
      <x:c r="F191" s="12" t="n"/>
      <x:c r="G191" s="12" t="n"/>
      <x:c r="H191" s="12" t="n"/>
      <x:c r="I191" s="12" t="n"/>
      <x:c r="J191" s="12" t="n"/>
      <x:c r="K191" s="12" t="n"/>
      <x:c r="L191" s="12" t="n"/>
      <x:c r="M191" s="12" t="n"/>
      <x:c r="N191" s="12" t="n"/>
      <x:c r="O191" s="12" t="n"/>
      <x:c r="P191" s="12" t="n"/>
      <x:c r="Q191" s="12" t="n"/>
      <x:c r="R191" s="12" t="inlineStr">
        <x:is>
          <x:t xml:space="preserve">Not started</x:t>
        </x:is>
      </x:c>
      <x:c r="S191" s="12" t="n"/>
      <x:c r="T191" s="12" t="n"/>
      <x:c r="U191" s="12" t="n">
        <x:v>371</x:v>
      </x:c>
    </x:row>
    <x:row r="192" ht="28.799999237060547" customHeight="1">
      <x:c r="A192" s="13" t="inlineStr">
        <x:is>
          <x:t xml:space="preserve">NTX-0080</x:t>
        </x:is>
      </x:c>
      <x:c r="B192" s="12" t="inlineStr">
        <x:is>
          <x:t xml:space="preserve">XIII</x:t>
        </x:is>
      </x:c>
      <x:c r="C192" s="12" t="inlineStr">
        <x:is>
          <x:t xml:space="preserve">NTX</x:t>
        </x:is>
      </x:c>
      <x:c r="D192" s="12" t="inlineStr">
        <x:is>
          <x:t xml:space="preserve">Reliability and formation of the New Testament</x:t>
        </x:is>
      </x:c>
      <x:c r="E192" s="12" t="inlineStr">
        <x:is>
          <x:t xml:space="preserve">Canonical status does not by itself prove authorship.</x:t>
        </x:is>
      </x:c>
      <x:c r="F192" s="12" t="n"/>
      <x:c r="G192" s="12" t="n"/>
      <x:c r="H192" s="12" t="n"/>
      <x:c r="I192" s="12" t="n"/>
      <x:c r="J192" s="12" t="n"/>
      <x:c r="K192" s="12" t="n"/>
      <x:c r="L192" s="12" t="n"/>
      <x:c r="M192" s="12" t="n"/>
      <x:c r="N192" s="12" t="n"/>
      <x:c r="O192" s="12" t="n"/>
      <x:c r="P192" s="12" t="n"/>
      <x:c r="Q192" s="12" t="n"/>
      <x:c r="R192" s="12" t="inlineStr">
        <x:is>
          <x:t xml:space="preserve">Not started</x:t>
        </x:is>
      </x:c>
      <x:c r="S192" s="12" t="n"/>
      <x:c r="T192" s="12" t="n"/>
      <x:c r="U192" s="12" t="n">
        <x:v>372</x:v>
      </x:c>
    </x:row>
    <x:row r="193" ht="28.799999237060547" customHeight="1">
      <x:c r="A193" s="13" t="inlineStr">
        <x:is>
          <x:t xml:space="preserve">NTX-0090</x:t>
        </x:is>
      </x:c>
      <x:c r="B193" s="12" t="inlineStr">
        <x:is>
          <x:t xml:space="preserve">XIII</x:t>
        </x:is>
      </x:c>
      <x:c r="C193" s="12" t="inlineStr">
        <x:is>
          <x:t xml:space="preserve">NTX</x:t>
        </x:is>
      </x:c>
      <x:c r="D193" s="12" t="inlineStr">
        <x:is>
          <x:t xml:space="preserve">Reliability and formation of the New Testament</x:t>
        </x:is>
      </x:c>
      <x:c r="E193" s="12" t="inlineStr">
        <x:is>
          <x:t xml:space="preserve">Traditional authorship claims must be evaluated book by book.</x:t>
        </x:is>
      </x:c>
      <x:c r="F193" s="12" t="n"/>
      <x:c r="G193" s="12" t="n"/>
      <x:c r="H193" s="12" t="n"/>
      <x:c r="I193" s="12" t="n"/>
      <x:c r="J193" s="12" t="n"/>
      <x:c r="K193" s="12" t="n"/>
      <x:c r="L193" s="12" t="n"/>
      <x:c r="M193" s="12" t="n"/>
      <x:c r="N193" s="12" t="n"/>
      <x:c r="O193" s="12" t="n"/>
      <x:c r="P193" s="12" t="n"/>
      <x:c r="Q193" s="12" t="n"/>
      <x:c r="R193" s="12" t="inlineStr">
        <x:is>
          <x:t xml:space="preserve">Not started</x:t>
        </x:is>
      </x:c>
      <x:c r="S193" s="12" t="n"/>
      <x:c r="T193" s="12" t="n"/>
      <x:c r="U193" s="12" t="n">
        <x:v>373</x:v>
      </x:c>
    </x:row>
    <x:row r="194" ht="28.799999237060547" customHeight="1">
      <x:c r="A194" s="13" t="inlineStr">
        <x:is>
          <x:t xml:space="preserve">NTX-0100</x:t>
        </x:is>
      </x:c>
      <x:c r="B194" s="12" t="inlineStr">
        <x:is>
          <x:t xml:space="preserve">XIII</x:t>
        </x:is>
      </x:c>
      <x:c r="C194" s="12" t="inlineStr">
        <x:is>
          <x:t xml:space="preserve">NTX</x:t>
        </x:is>
      </x:c>
      <x:c r="D194" s="12" t="inlineStr">
        <x:is>
          <x:t xml:space="preserve">Reliability and formation of the New Testament</x:t>
        </x:is>
      </x:c>
      <x:c r="E194" s="12" t="inlineStr">
        <x:is>
          <x:t xml:space="preserve">Anonymous composition does not automatically imply historical unreliability.</x:t>
        </x:is>
      </x:c>
      <x:c r="F194" s="12" t="n"/>
      <x:c r="G194" s="12" t="n"/>
      <x:c r="H194" s="12" t="n"/>
      <x:c r="I194" s="12" t="n"/>
      <x:c r="J194" s="12" t="n"/>
      <x:c r="K194" s="12" t="n"/>
      <x:c r="L194" s="12" t="n"/>
      <x:c r="M194" s="12" t="n"/>
      <x:c r="N194" s="12" t="n"/>
      <x:c r="O194" s="12" t="n"/>
      <x:c r="P194" s="12" t="n"/>
      <x:c r="Q194" s="12" t="n"/>
      <x:c r="R194" s="12" t="inlineStr">
        <x:is>
          <x:t xml:space="preserve">Not started</x:t>
        </x:is>
      </x:c>
      <x:c r="S194" s="12" t="n"/>
      <x:c r="T194" s="12" t="n"/>
      <x:c r="U194" s="12" t="n">
        <x:v>374</x:v>
      </x:c>
    </x:row>
    <x:row r="195" ht="28.799999237060547" customHeight="1">
      <x:c r="A195" s="13" t="inlineStr">
        <x:is>
          <x:t xml:space="preserve">NTX-0110</x:t>
        </x:is>
      </x:c>
      <x:c r="B195" s="12" t="inlineStr">
        <x:is>
          <x:t xml:space="preserve">XIII</x:t>
        </x:is>
      </x:c>
      <x:c r="C195" s="12" t="inlineStr">
        <x:is>
          <x:t xml:space="preserve">NTX</x:t>
        </x:is>
      </x:c>
      <x:c r="D195" s="12" t="inlineStr">
        <x:is>
          <x:t xml:space="preserve">Reliability and formation of the New Testament</x:t>
        </x:is>
      </x:c>
      <x:c r="E195" s="12" t="inlineStr">
        <x:is>
          <x:t xml:space="preserve">Pseudonymity, anonymity, and disputed authorship are distinct.</x:t>
        </x:is>
      </x:c>
      <x:c r="F195" s="12" t="n"/>
      <x:c r="G195" s="12" t="n"/>
      <x:c r="H195" s="12" t="n"/>
      <x:c r="I195" s="12" t="n"/>
      <x:c r="J195" s="12" t="n"/>
      <x:c r="K195" s="12" t="n"/>
      <x:c r="L195" s="12" t="n"/>
      <x:c r="M195" s="12" t="n"/>
      <x:c r="N195" s="12" t="n"/>
      <x:c r="O195" s="12" t="n"/>
      <x:c r="P195" s="12" t="n"/>
      <x:c r="Q195" s="12" t="n"/>
      <x:c r="R195" s="12" t="inlineStr">
        <x:is>
          <x:t xml:space="preserve">Not started</x:t>
        </x:is>
      </x:c>
      <x:c r="S195" s="12" t="n"/>
      <x:c r="T195" s="12" t="n"/>
      <x:c r="U195" s="12" t="n">
        <x:v>375</x:v>
      </x:c>
    </x:row>
    <x:row r="196" ht="28.799999237060547" customHeight="1">
      <x:c r="A196" s="13" t="inlineStr">
        <x:is>
          <x:t xml:space="preserve">NTX-0120</x:t>
        </x:is>
      </x:c>
      <x:c r="B196" s="12" t="inlineStr">
        <x:is>
          <x:t xml:space="preserve">XIII</x:t>
        </x:is>
      </x:c>
      <x:c r="C196" s="12" t="inlineStr">
        <x:is>
          <x:t xml:space="preserve">NTX</x:t>
        </x:is>
      </x:c>
      <x:c r="D196" s="12" t="inlineStr">
        <x:is>
          <x:t xml:space="preserve">Reliability and formation of the New Testament</x:t>
        </x:is>
      </x:c>
      <x:c r="E196" s="12" t="inlineStr">
        <x:is>
          <x:t xml:space="preserve">Gospel literary dependence affects claims of independence.</x:t>
        </x:is>
      </x:c>
      <x:c r="F196" s="12" t="n"/>
      <x:c r="G196" s="12" t="n"/>
      <x:c r="H196" s="12" t="n"/>
      <x:c r="I196" s="12" t="n"/>
      <x:c r="J196" s="12" t="n"/>
      <x:c r="K196" s="12" t="n"/>
      <x:c r="L196" s="12" t="n"/>
      <x:c r="M196" s="12" t="n"/>
      <x:c r="N196" s="12" t="n"/>
      <x:c r="O196" s="12" t="n"/>
      <x:c r="P196" s="12" t="n"/>
      <x:c r="Q196" s="12" t="n"/>
      <x:c r="R196" s="12" t="inlineStr">
        <x:is>
          <x:t xml:space="preserve">Not started</x:t>
        </x:is>
      </x:c>
      <x:c r="S196" s="12" t="n"/>
      <x:c r="T196" s="12" t="n"/>
      <x:c r="U196" s="12" t="n">
        <x:v>376</x:v>
      </x:c>
    </x:row>
    <x:row r="197" ht="28.799999237060547" customHeight="1">
      <x:c r="A197" s="13" t="inlineStr">
        <x:is>
          <x:t xml:space="preserve">NTX-0130</x:t>
        </x:is>
      </x:c>
      <x:c r="B197" s="12" t="inlineStr">
        <x:is>
          <x:t xml:space="preserve">XIII</x:t>
        </x:is>
      </x:c>
      <x:c r="C197" s="12" t="inlineStr">
        <x:is>
          <x:t xml:space="preserve">NTX</x:t>
        </x:is>
      </x:c>
      <x:c r="D197" s="12" t="inlineStr">
        <x:is>
          <x:t xml:space="preserve">Reliability and formation of the New Testament</x:t>
        </x:is>
      </x:c>
      <x:c r="E197" s="12" t="inlineStr">
        <x:is>
          <x:t xml:space="preserve">The Synoptic Problem permits several models.</x:t>
        </x:is>
      </x:c>
      <x:c r="F197" s="12" t="n"/>
      <x:c r="G197" s="12" t="n"/>
      <x:c r="H197" s="12" t="n"/>
      <x:c r="I197" s="12" t="n"/>
      <x:c r="J197" s="12" t="n"/>
      <x:c r="K197" s="12" t="n"/>
      <x:c r="L197" s="12" t="n"/>
      <x:c r="M197" s="12" t="n"/>
      <x:c r="N197" s="12" t="n"/>
      <x:c r="O197" s="12" t="n"/>
      <x:c r="P197" s="12" t="n"/>
      <x:c r="Q197" s="12" t="n"/>
      <x:c r="R197" s="12" t="inlineStr">
        <x:is>
          <x:t xml:space="preserve">Not started</x:t>
        </x:is>
      </x:c>
      <x:c r="S197" s="12" t="n"/>
      <x:c r="T197" s="12" t="n"/>
      <x:c r="U197" s="12" t="n">
        <x:v>377</x:v>
      </x:c>
    </x:row>
    <x:row r="198" ht="28.799999237060547" customHeight="1">
      <x:c r="A198" s="13" t="inlineStr">
        <x:is>
          <x:t xml:space="preserve">NTX-0140</x:t>
        </x:is>
      </x:c>
      <x:c r="B198" s="12" t="inlineStr">
        <x:is>
          <x:t xml:space="preserve">XIII</x:t>
        </x:is>
      </x:c>
      <x:c r="C198" s="12" t="inlineStr">
        <x:is>
          <x:t xml:space="preserve">NTX</x:t>
        </x:is>
      </x:c>
      <x:c r="D198" s="12" t="inlineStr">
        <x:is>
          <x:t xml:space="preserve">Reliability and formation of the New Testament</x:t>
        </x:is>
      </x:c>
      <x:c r="E198" s="12" t="inlineStr">
        <x:is>
          <x:t xml:space="preserve">John may preserve independent traditions while also displaying developed theology.</x:t>
        </x:is>
      </x:c>
      <x:c r="F198" s="12" t="n"/>
      <x:c r="G198" s="12" t="n"/>
      <x:c r="H198" s="12" t="n"/>
      <x:c r="I198" s="12" t="n"/>
      <x:c r="J198" s="12" t="n"/>
      <x:c r="K198" s="12" t="n"/>
      <x:c r="L198" s="12" t="n"/>
      <x:c r="M198" s="12" t="n"/>
      <x:c r="N198" s="12" t="n"/>
      <x:c r="O198" s="12" t="n"/>
      <x:c r="P198" s="12" t="n"/>
      <x:c r="Q198" s="12" t="n"/>
      <x:c r="R198" s="12" t="inlineStr">
        <x:is>
          <x:t xml:space="preserve">Not started</x:t>
        </x:is>
      </x:c>
      <x:c r="S198" s="12" t="n"/>
      <x:c r="T198" s="12" t="n"/>
      <x:c r="U198" s="12" t="n">
        <x:v>378</x:v>
      </x:c>
    </x:row>
    <x:row r="199" ht="28.799999237060547" customHeight="1">
      <x:c r="A199" s="13" t="inlineStr">
        <x:is>
          <x:t xml:space="preserve">NTX-0150</x:t>
        </x:is>
      </x:c>
      <x:c r="B199" s="12" t="inlineStr">
        <x:is>
          <x:t xml:space="preserve">XIII</x:t>
        </x:is>
      </x:c>
      <x:c r="C199" s="12" t="inlineStr">
        <x:is>
          <x:t xml:space="preserve">NTX</x:t>
        </x:is>
      </x:c>
      <x:c r="D199" s="12" t="inlineStr">
        <x:is>
          <x:t xml:space="preserve">Reliability and formation of the New Testament</x:t>
        </x:is>
      </x:c>
      <x:c r="E199" s="12" t="inlineStr">
        <x:is>
          <x:t xml:space="preserve">Acts and Paul must be compared rather than assumed either perfectly harmonious or irreconcilable.</x:t>
        </x:is>
      </x:c>
      <x:c r="F199" s="12" t="n"/>
      <x:c r="G199" s="12" t="n"/>
      <x:c r="H199" s="12" t="n"/>
      <x:c r="I199" s="12" t="n"/>
      <x:c r="J199" s="12" t="n"/>
      <x:c r="K199" s="12" t="n"/>
      <x:c r="L199" s="12" t="n"/>
      <x:c r="M199" s="12" t="n"/>
      <x:c r="N199" s="12" t="n"/>
      <x:c r="O199" s="12" t="n"/>
      <x:c r="P199" s="12" t="n"/>
      <x:c r="Q199" s="12" t="n"/>
      <x:c r="R199" s="12" t="inlineStr">
        <x:is>
          <x:t xml:space="preserve">Not started</x:t>
        </x:is>
      </x:c>
      <x:c r="S199" s="12" t="n"/>
      <x:c r="T199" s="12" t="n"/>
      <x:c r="U199" s="12" t="n">
        <x:v>379</x:v>
      </x:c>
    </x:row>
    <x:row r="200" ht="28.799999237060547" customHeight="1">
      <x:c r="A200" s="13" t="inlineStr">
        <x:is>
          <x:t xml:space="preserve">NTX-0160</x:t>
        </x:is>
      </x:c>
      <x:c r="B200" s="12" t="inlineStr">
        <x:is>
          <x:t xml:space="preserve">XIII</x:t>
        </x:is>
      </x:c>
      <x:c r="C200" s="12" t="inlineStr">
        <x:is>
          <x:t xml:space="preserve">NTX</x:t>
        </x:is>
      </x:c>
      <x:c r="D200" s="12" t="inlineStr">
        <x:is>
          <x:t xml:space="preserve">Reliability and formation of the New Testament</x:t>
        </x:is>
      </x:c>
      <x:c r="E200" s="12" t="inlineStr">
        <x:is>
          <x:t xml:space="preserve">Paul’s letters provide early evidence for Christian belief.</x:t>
        </x:is>
      </x:c>
      <x:c r="F200" s="12" t="n"/>
      <x:c r="G200" s="12" t="n"/>
      <x:c r="H200" s="12" t="n"/>
      <x:c r="I200" s="12" t="n"/>
      <x:c r="J200" s="12" t="n"/>
      <x:c r="K200" s="12" t="n"/>
      <x:c r="L200" s="12" t="n"/>
      <x:c r="M200" s="12" t="n"/>
      <x:c r="N200" s="12" t="n"/>
      <x:c r="O200" s="12" t="n"/>
      <x:c r="P200" s="12" t="n"/>
      <x:c r="Q200" s="12" t="n"/>
      <x:c r="R200" s="12" t="inlineStr">
        <x:is>
          <x:t xml:space="preserve">Not started</x:t>
        </x:is>
      </x:c>
      <x:c r="S200" s="12" t="n"/>
      <x:c r="T200" s="12" t="n"/>
      <x:c r="U200" s="12" t="n">
        <x:v>380</x:v>
      </x:c>
    </x:row>
    <x:row r="201" ht="28.799999237060547" customHeight="1">
      <x:c r="A201" s="13" t="inlineStr">
        <x:is>
          <x:t xml:space="preserve">NTX-0170</x:t>
        </x:is>
      </x:c>
      <x:c r="B201" s="12" t="inlineStr">
        <x:is>
          <x:t xml:space="preserve">XIII</x:t>
        </x:is>
      </x:c>
      <x:c r="C201" s="12" t="inlineStr">
        <x:is>
          <x:t xml:space="preserve">NTX</x:t>
        </x:is>
      </x:c>
      <x:c r="D201" s="12" t="inlineStr">
        <x:is>
          <x:t xml:space="preserve">Reliability and formation of the New Testament</x:t>
        </x:is>
      </x:c>
      <x:c r="E201" s="12" t="inlineStr">
        <x:is>
          <x:t xml:space="preserve">Early Christology does not automatically prove high Christology in every earliest community.</x:t>
        </x:is>
      </x:c>
      <x:c r="F201" s="12" t="n"/>
      <x:c r="G201" s="12" t="n"/>
      <x:c r="H201" s="12" t="n"/>
      <x:c r="I201" s="12" t="n"/>
      <x:c r="J201" s="12" t="n"/>
      <x:c r="K201" s="12" t="n"/>
      <x:c r="L201" s="12" t="n"/>
      <x:c r="M201" s="12" t="n"/>
      <x:c r="N201" s="12" t="n"/>
      <x:c r="O201" s="12" t="n"/>
      <x:c r="P201" s="12" t="n"/>
      <x:c r="Q201" s="12" t="n"/>
      <x:c r="R201" s="12" t="inlineStr">
        <x:is>
          <x:t xml:space="preserve">Not started</x:t>
        </x:is>
      </x:c>
      <x:c r="S201" s="12" t="n"/>
      <x:c r="T201" s="12" t="n"/>
      <x:c r="U201" s="12" t="n">
        <x:v>381</x:v>
      </x:c>
    </x:row>
    <x:row r="202" ht="28.799999237060547" customHeight="1">
      <x:c r="A202" s="13" t="inlineStr">
        <x:is>
          <x:t xml:space="preserve">NTX-0180</x:t>
        </x:is>
      </x:c>
      <x:c r="B202" s="12" t="inlineStr">
        <x:is>
          <x:t xml:space="preserve">XIII</x:t>
        </x:is>
      </x:c>
      <x:c r="C202" s="12" t="inlineStr">
        <x:is>
          <x:t xml:space="preserve">NTX</x:t>
        </x:is>
      </x:c>
      <x:c r="D202" s="12" t="inlineStr">
        <x:is>
          <x:t xml:space="preserve">Reliability and formation of the New Testament</x:t>
        </x:is>
      </x:c>
      <x:c r="E202" s="12" t="inlineStr">
        <x:is>
          <x:t xml:space="preserve">High Christology appears earlier than older developmental models sometimes assumed.</x:t>
        </x:is>
      </x:c>
      <x:c r="F202" s="12" t="n"/>
      <x:c r="G202" s="12" t="n"/>
      <x:c r="H202" s="12" t="n"/>
      <x:c r="I202" s="12" t="n"/>
      <x:c r="J202" s="12" t="n"/>
      <x:c r="K202" s="12" t="n"/>
      <x:c r="L202" s="12" t="n"/>
      <x:c r="M202" s="12" t="n"/>
      <x:c r="N202" s="12" t="n"/>
      <x:c r="O202" s="12" t="n"/>
      <x:c r="P202" s="12" t="n"/>
      <x:c r="Q202" s="12" t="n"/>
      <x:c r="R202" s="12" t="inlineStr">
        <x:is>
          <x:t xml:space="preserve">Not started</x:t>
        </x:is>
      </x:c>
      <x:c r="S202" s="12" t="n"/>
      <x:c r="T202" s="12" t="n"/>
      <x:c r="U202" s="12" t="n">
        <x:v>382</x:v>
      </x:c>
    </x:row>
    <x:row r="203" ht="28.799999237060547" customHeight="1">
      <x:c r="A203" s="13" t="inlineStr">
        <x:is>
          <x:t xml:space="preserve">NTX-0190</x:t>
        </x:is>
      </x:c>
      <x:c r="B203" s="12" t="inlineStr">
        <x:is>
          <x:t xml:space="preserve">XIII</x:t>
        </x:is>
      </x:c>
      <x:c r="C203" s="12" t="inlineStr">
        <x:is>
          <x:t xml:space="preserve">NTX</x:t>
        </x:is>
      </x:c>
      <x:c r="D203" s="12" t="inlineStr">
        <x:is>
          <x:t xml:space="preserve">Reliability and formation of the New Testament</x:t>
        </x:is>
      </x:c>
      <x:c r="E203" s="12" t="inlineStr">
        <x:is>
          <x:t xml:space="preserve">The canon emerged through a historical process rather than dropping as a completed list.</x:t>
        </x:is>
      </x:c>
      <x:c r="F203" s="12" t="n"/>
      <x:c r="G203" s="12" t="n"/>
      <x:c r="H203" s="12" t="n"/>
      <x:c r="I203" s="12" t="n"/>
      <x:c r="J203" s="12" t="n"/>
      <x:c r="K203" s="12" t="n"/>
      <x:c r="L203" s="12" t="n"/>
      <x:c r="M203" s="12" t="n"/>
      <x:c r="N203" s="12" t="n"/>
      <x:c r="O203" s="12" t="n"/>
      <x:c r="P203" s="12" t="n"/>
      <x:c r="Q203" s="12" t="n"/>
      <x:c r="R203" s="12" t="inlineStr">
        <x:is>
          <x:t xml:space="preserve">Not started</x:t>
        </x:is>
      </x:c>
      <x:c r="S203" s="12" t="n"/>
      <x:c r="T203" s="12" t="n"/>
      <x:c r="U203" s="12" t="n">
        <x:v>383</x:v>
      </x:c>
    </x:row>
    <x:row r="204" ht="28.799999237060547" customHeight="1">
      <x:c r="A204" s="13" t="inlineStr">
        <x:is>
          <x:t xml:space="preserve">NTX-0200</x:t>
        </x:is>
      </x:c>
      <x:c r="B204" s="12" t="inlineStr">
        <x:is>
          <x:t xml:space="preserve">XIII</x:t>
        </x:is>
      </x:c>
      <x:c r="C204" s="12" t="inlineStr">
        <x:is>
          <x:t xml:space="preserve">NTX</x:t>
        </x:is>
      </x:c>
      <x:c r="D204" s="12" t="inlineStr">
        <x:is>
          <x:t xml:space="preserve">Reliability and formation of the New Testament</x:t>
        </x:is>
      </x:c>
      <x:c r="E204" s="12" t="inlineStr">
        <x:is>
          <x:t xml:space="preserve">Recognition of canon and inspiration of texts are conceptually distinct.</x:t>
        </x:is>
      </x:c>
      <x:c r="F204" s="12" t="n"/>
      <x:c r="G204" s="12" t="n"/>
      <x:c r="H204" s="12" t="n"/>
      <x:c r="I204" s="12" t="n"/>
      <x:c r="J204" s="12" t="n"/>
      <x:c r="K204" s="12" t="n"/>
      <x:c r="L204" s="12" t="n"/>
      <x:c r="M204" s="12" t="n"/>
      <x:c r="N204" s="12" t="n"/>
      <x:c r="O204" s="12" t="n"/>
      <x:c r="P204" s="12" t="n"/>
      <x:c r="Q204" s="12" t="n"/>
      <x:c r="R204" s="12" t="inlineStr">
        <x:is>
          <x:t xml:space="preserve">Not started</x:t>
        </x:is>
      </x:c>
      <x:c r="S204" s="12" t="n"/>
      <x:c r="T204" s="12" t="n"/>
      <x:c r="U204" s="12" t="n">
        <x:v>384</x:v>
      </x:c>
    </x:row>
    <x:row r="205" ht="28.799999237060547" customHeight="1">
      <x:c r="A205" s="13" t="inlineStr">
        <x:is>
          <x:t xml:space="preserve">NTX-0210</x:t>
        </x:is>
      </x:c>
      <x:c r="B205" s="12" t="inlineStr">
        <x:is>
          <x:t xml:space="preserve">XIII</x:t>
        </x:is>
      </x:c>
      <x:c r="C205" s="12" t="inlineStr">
        <x:is>
          <x:t xml:space="preserve">NTX</x:t>
        </x:is>
      </x:c>
      <x:c r="D205" s="12" t="inlineStr">
        <x:is>
          <x:t xml:space="preserve">Reliability and formation of the New Testament</x:t>
        </x:is>
      </x:c>
      <x:c r="E205" s="12" t="inlineStr">
        <x:is>
          <x:t xml:space="preserve">Noncanonical writings vary greatly in date, genre, and historical value.</x:t>
        </x:is>
      </x:c>
      <x:c r="F205" s="12" t="n"/>
      <x:c r="G205" s="12" t="n"/>
      <x:c r="H205" s="12" t="n"/>
      <x:c r="I205" s="12" t="n"/>
      <x:c r="J205" s="12" t="n"/>
      <x:c r="K205" s="12" t="n"/>
      <x:c r="L205" s="12" t="n"/>
      <x:c r="M205" s="12" t="n"/>
      <x:c r="N205" s="12" t="n"/>
      <x:c r="O205" s="12" t="n"/>
      <x:c r="P205" s="12" t="n"/>
      <x:c r="Q205" s="12" t="n"/>
      <x:c r="R205" s="12" t="inlineStr">
        <x:is>
          <x:t xml:space="preserve">Not started</x:t>
        </x:is>
      </x:c>
      <x:c r="S205" s="12" t="n"/>
      <x:c r="T205" s="12" t="n"/>
      <x:c r="U205" s="12" t="n">
        <x:v>385</x:v>
      </x:c>
    </x:row>
    <x:row r="206" ht="28.799999237060547" customHeight="1">
      <x:c r="A206" s="13" t="inlineStr">
        <x:is>
          <x:t xml:space="preserve">NTX-0220</x:t>
        </x:is>
      </x:c>
      <x:c r="B206" s="12" t="inlineStr">
        <x:is>
          <x:t xml:space="preserve">XIII</x:t>
        </x:is>
      </x:c>
      <x:c r="C206" s="12" t="inlineStr">
        <x:is>
          <x:t xml:space="preserve">NTX</x:t>
        </x:is>
      </x:c>
      <x:c r="D206" s="12" t="inlineStr">
        <x:is>
          <x:t xml:space="preserve">Reliability and formation of the New Testament</x:t>
        </x:is>
      </x:c>
      <x:c r="E206" s="12" t="inlineStr">
        <x:is>
          <x:t xml:space="preserve">“The Bible was changed” is too vague to function as one proposition.</x:t>
        </x:is>
      </x:c>
      <x:c r="F206" s="12" t="n"/>
      <x:c r="G206" s="12" t="n"/>
      <x:c r="H206" s="12" t="n"/>
      <x:c r="I206" s="12" t="n"/>
      <x:c r="J206" s="12" t="n"/>
      <x:c r="K206" s="12" t="n"/>
      <x:c r="L206" s="12" t="n"/>
      <x:c r="M206" s="12" t="n"/>
      <x:c r="N206" s="12" t="n"/>
      <x:c r="O206" s="12" t="n"/>
      <x:c r="P206" s="12" t="n"/>
      <x:c r="Q206" s="12" t="n"/>
      <x:c r="R206" s="12" t="inlineStr">
        <x:is>
          <x:t xml:space="preserve">Not started</x:t>
        </x:is>
      </x:c>
      <x:c r="S206" s="12" t="n"/>
      <x:c r="T206" s="12" t="n"/>
      <x:c r="U206" s="12" t="n">
        <x:v>386</x:v>
      </x:c>
    </x:row>
    <x:row r="207" ht="28.799999237060547" customHeight="1">
      <x:c r="A207" s="13" t="inlineStr">
        <x:is>
          <x:t xml:space="preserve">NTX-0230</x:t>
        </x:is>
      </x:c>
      <x:c r="B207" s="12" t="inlineStr">
        <x:is>
          <x:t xml:space="preserve">XIII</x:t>
        </x:is>
      </x:c>
      <x:c r="C207" s="12" t="inlineStr">
        <x:is>
          <x:t xml:space="preserve">NTX</x:t>
        </x:is>
      </x:c>
      <x:c r="D207" s="12" t="inlineStr">
        <x:is>
          <x:t xml:space="preserve">Reliability and formation of the New Testament</x:t>
        </x:is>
      </x:c>
      <x:c r="E207" s="12" t="inlineStr">
        <x:is>
          <x:t xml:space="preserve">Specific alteration claims must identify the text, reading, date, manuscript evidence, and doctrinal consequence.</x:t>
        </x:is>
      </x:c>
      <x:c r="F207" s="12" t="n"/>
      <x:c r="G207" s="12" t="n"/>
      <x:c r="H207" s="12" t="n"/>
      <x:c r="I207" s="12" t="n"/>
      <x:c r="J207" s="12" t="n"/>
      <x:c r="K207" s="12" t="n"/>
      <x:c r="L207" s="12" t="n"/>
      <x:c r="M207" s="12" t="n"/>
      <x:c r="N207" s="12" t="n"/>
      <x:c r="O207" s="12" t="n"/>
      <x:c r="P207" s="12" t="n"/>
      <x:c r="Q207" s="12" t="n"/>
      <x:c r="R207" s="12" t="inlineStr">
        <x:is>
          <x:t xml:space="preserve">Not started</x:t>
        </x:is>
      </x:c>
      <x:c r="S207" s="12" t="n"/>
      <x:c r="T207" s="12" t="n"/>
      <x:c r="U207" s="12" t="n">
        <x:v>387</x:v>
      </x:c>
    </x:row>
    <x:row r="208" ht="28.799999237060547" customHeight="1">
      <x:c r="A208" s="13" t="inlineStr">
        <x:is>
          <x:t xml:space="preserve">OTX-0010</x:t>
        </x:is>
      </x:c>
      <x:c r="B208" s="12" t="inlineStr">
        <x:is>
          <x:t xml:space="preserve">XIV</x:t>
        </x:is>
      </x:c>
      <x:c r="C208" s="12" t="inlineStr">
        <x:is>
          <x:t xml:space="preserve">OTX</x:t>
        </x:is>
      </x:c>
      <x:c r="D208" s="12" t="inlineStr">
        <x:is>
          <x:t xml:space="preserve">Old Testament, Hebrew Bible, and messianic interpretation</x:t>
        </x:is>
      </x:c>
      <x:c r="E208" s="12" t="inlineStr">
        <x:is>
          <x:t xml:space="preserve">Textual traditions: Masoretic Text, Septuagint, Dead Sea Scrolls, Samaritan Pentateuch.</x:t>
        </x:is>
      </x:c>
      <x:c r="F208" s="12" t="n"/>
      <x:c r="G208" s="12" t="n"/>
      <x:c r="H208" s="12" t="n"/>
      <x:c r="I208" s="12" t="n"/>
      <x:c r="J208" s="12" t="n"/>
      <x:c r="K208" s="12" t="n"/>
      <x:c r="L208" s="12" t="n"/>
      <x:c r="M208" s="12" t="n"/>
      <x:c r="N208" s="12" t="n"/>
      <x:c r="O208" s="12" t="n"/>
      <x:c r="P208" s="12" t="n"/>
      <x:c r="Q208" s="12" t="n"/>
      <x:c r="R208" s="12" t="inlineStr">
        <x:is>
          <x:t xml:space="preserve">Not started</x:t>
        </x:is>
      </x:c>
      <x:c r="S208" s="12" t="n"/>
      <x:c r="T208" s="12" t="n"/>
      <x:c r="U208" s="12" t="n">
        <x:v>393</x:v>
      </x:c>
    </x:row>
    <x:row r="209" ht="28.799999237060547" customHeight="1">
      <x:c r="A209" s="13" t="inlineStr">
        <x:is>
          <x:t xml:space="preserve">OTX-0020</x:t>
        </x:is>
      </x:c>
      <x:c r="B209" s="12" t="inlineStr">
        <x:is>
          <x:t xml:space="preserve">XIV</x:t>
        </x:is>
      </x:c>
      <x:c r="C209" s="12" t="inlineStr">
        <x:is>
          <x:t xml:space="preserve">OTX</x:t>
        </x:is>
      </x:c>
      <x:c r="D209" s="12" t="inlineStr">
        <x:is>
          <x:t xml:space="preserve">Old Testament, Hebrew Bible, and messianic interpretation</x:t>
        </x:is>
      </x:c>
      <x:c r="E209" s="12" t="inlineStr">
        <x:is>
          <x:t xml:space="preserve">New Testament use of the Old Testament.</x:t>
        </x:is>
      </x:c>
      <x:c r="F209" s="12" t="n"/>
      <x:c r="G209" s="12" t="n"/>
      <x:c r="H209" s="12" t="n"/>
      <x:c r="I209" s="12" t="n"/>
      <x:c r="J209" s="12" t="n"/>
      <x:c r="K209" s="12" t="n"/>
      <x:c r="L209" s="12" t="n"/>
      <x:c r="M209" s="12" t="n"/>
      <x:c r="N209" s="12" t="n"/>
      <x:c r="O209" s="12" t="n"/>
      <x:c r="P209" s="12" t="n"/>
      <x:c r="Q209" s="12" t="n"/>
      <x:c r="R209" s="12" t="inlineStr">
        <x:is>
          <x:t xml:space="preserve">Not started</x:t>
        </x:is>
      </x:c>
      <x:c r="S209" s="12" t="n"/>
      <x:c r="T209" s="12" t="n"/>
      <x:c r="U209" s="12" t="n">
        <x:v>406</x:v>
      </x:c>
    </x:row>
    <x:row r="210" ht="28.799999237060547" customHeight="1">
      <x:c r="A210" s="13" t="inlineStr">
        <x:is>
          <x:t xml:space="preserve">OTX-0030</x:t>
        </x:is>
      </x:c>
      <x:c r="B210" s="12" t="inlineStr">
        <x:is>
          <x:t xml:space="preserve">XIV</x:t>
        </x:is>
      </x:c>
      <x:c r="C210" s="12" t="inlineStr">
        <x:is>
          <x:t xml:space="preserve">OTX</x:t>
        </x:is>
      </x:c>
      <x:c r="D210" s="12" t="inlineStr">
        <x:is>
          <x:t xml:space="preserve">Old Testament, Hebrew Bible, and messianic interpretation</x:t>
        </x:is>
      </x:c>
      <x:c r="E210" s="12" t="inlineStr">
        <x:is>
          <x:t xml:space="preserve">Christian messianic arguments use more than direct prediction.</x:t>
        </x:is>
      </x:c>
      <x:c r="F210" s="12" t="n"/>
      <x:c r="G210" s="12" t="n"/>
      <x:c r="H210" s="12" t="n"/>
      <x:c r="I210" s="12" t="n"/>
      <x:c r="J210" s="12" t="n"/>
      <x:c r="K210" s="12" t="n"/>
      <x:c r="L210" s="12" t="n"/>
      <x:c r="M210" s="12" t="n"/>
      <x:c r="N210" s="12" t="n"/>
      <x:c r="O210" s="12" t="n"/>
      <x:c r="P210" s="12" t="n"/>
      <x:c r="Q210" s="12" t="n"/>
      <x:c r="R210" s="12" t="inlineStr">
        <x:is>
          <x:t xml:space="preserve">Not started</x:t>
        </x:is>
      </x:c>
      <x:c r="S210" s="12" t="n"/>
      <x:c r="T210" s="12" t="n"/>
      <x:c r="U210" s="12" t="n">
        <x:v>410</x:v>
      </x:c>
    </x:row>
    <x:row r="211" ht="28.799999237060547" customHeight="1">
      <x:c r="A211" s="13" t="inlineStr">
        <x:is>
          <x:t xml:space="preserve">OTX-0040</x:t>
        </x:is>
      </x:c>
      <x:c r="B211" s="12" t="inlineStr">
        <x:is>
          <x:t xml:space="preserve">XIV</x:t>
        </x:is>
      </x:c>
      <x:c r="C211" s="12" t="inlineStr">
        <x:is>
          <x:t xml:space="preserve">OTX</x:t>
        </x:is>
      </x:c>
      <x:c r="D211" s="12" t="inlineStr">
        <x:is>
          <x:t xml:space="preserve">Old Testament, Hebrew Bible, and messianic interpretation</x:t>
        </x:is>
      </x:c>
      <x:c r="E211" s="12" t="inlineStr">
        <x:is>
          <x:t xml:space="preserve">Typology differs from simple prediction-and-fulfilment.</x:t>
        </x:is>
      </x:c>
      <x:c r="F211" s="12" t="n"/>
      <x:c r="G211" s="12" t="n"/>
      <x:c r="H211" s="12" t="n"/>
      <x:c r="I211" s="12" t="n"/>
      <x:c r="J211" s="12" t="n"/>
      <x:c r="K211" s="12" t="n"/>
      <x:c r="L211" s="12" t="n"/>
      <x:c r="M211" s="12" t="n"/>
      <x:c r="N211" s="12" t="n"/>
      <x:c r="O211" s="12" t="n"/>
      <x:c r="P211" s="12" t="n"/>
      <x:c r="Q211" s="12" t="n"/>
      <x:c r="R211" s="12" t="inlineStr">
        <x:is>
          <x:t xml:space="preserve">Not started</x:t>
        </x:is>
      </x:c>
      <x:c r="S211" s="12" t="n"/>
      <x:c r="T211" s="12" t="n"/>
      <x:c r="U211" s="12" t="n">
        <x:v>411</x:v>
      </x:c>
    </x:row>
    <x:row r="212" ht="28.799999237060547" customHeight="1">
      <x:c r="A212" s="13" t="inlineStr">
        <x:is>
          <x:t xml:space="preserve">OTX-0050</x:t>
        </x:is>
      </x:c>
      <x:c r="B212" s="12" t="inlineStr">
        <x:is>
          <x:t xml:space="preserve">XIV</x:t>
        </x:is>
      </x:c>
      <x:c r="C212" s="12" t="inlineStr">
        <x:is>
          <x:t xml:space="preserve">OTX</x:t>
        </x:is>
      </x:c>
      <x:c r="D212" s="12" t="inlineStr">
        <x:is>
          <x:t xml:space="preserve">Old Testament, Hebrew Bible, and messianic interpretation</x:t>
        </x:is>
      </x:c>
      <x:c r="E212" s="12" t="inlineStr">
        <x:is>
          <x:t xml:space="preserve">A text can possess an original historical referent and later canonical application.</x:t>
        </x:is>
      </x:c>
      <x:c r="F212" s="12" t="n"/>
      <x:c r="G212" s="12" t="n"/>
      <x:c r="H212" s="12" t="n"/>
      <x:c r="I212" s="12" t="n"/>
      <x:c r="J212" s="12" t="n"/>
      <x:c r="K212" s="12" t="n"/>
      <x:c r="L212" s="12" t="n"/>
      <x:c r="M212" s="12" t="n"/>
      <x:c r="N212" s="12" t="n"/>
      <x:c r="O212" s="12" t="n"/>
      <x:c r="P212" s="12" t="n"/>
      <x:c r="Q212" s="12" t="n"/>
      <x:c r="R212" s="12" t="inlineStr">
        <x:is>
          <x:t xml:space="preserve">Not started</x:t>
        </x:is>
      </x:c>
      <x:c r="S212" s="12" t="n"/>
      <x:c r="T212" s="12" t="n"/>
      <x:c r="U212" s="12" t="n">
        <x:v>412</x:v>
      </x:c>
    </x:row>
    <x:row r="213" ht="28.799999237060547" customHeight="1">
      <x:c r="A213" s="13" t="inlineStr">
        <x:is>
          <x:t xml:space="preserve">OTX-0060</x:t>
        </x:is>
      </x:c>
      <x:c r="B213" s="12" t="inlineStr">
        <x:is>
          <x:t xml:space="preserve">XIV</x:t>
        </x:is>
      </x:c>
      <x:c r="C213" s="12" t="inlineStr">
        <x:is>
          <x:t xml:space="preserve">OTX</x:t>
        </x:is>
      </x:c>
      <x:c r="D213" s="12" t="inlineStr">
        <x:is>
          <x:t xml:space="preserve">Old Testament, Hebrew Bible, and messianic interpretation</x:t>
        </x:is>
      </x:c>
      <x:c r="E213" s="12" t="inlineStr">
        <x:is>
          <x:t xml:space="preserve">New Testament authors sometimes use interpretive methods found in Second Temple Judaism.</x:t>
        </x:is>
      </x:c>
      <x:c r="F213" s="12" t="n"/>
      <x:c r="G213" s="12" t="n"/>
      <x:c r="H213" s="12" t="n"/>
      <x:c r="I213" s="12" t="n"/>
      <x:c r="J213" s="12" t="n"/>
      <x:c r="K213" s="12" t="n"/>
      <x:c r="L213" s="12" t="n"/>
      <x:c r="M213" s="12" t="n"/>
      <x:c r="N213" s="12" t="n"/>
      <x:c r="O213" s="12" t="n"/>
      <x:c r="P213" s="12" t="n"/>
      <x:c r="Q213" s="12" t="n"/>
      <x:c r="R213" s="12" t="inlineStr">
        <x:is>
          <x:t xml:space="preserve">Not started</x:t>
        </x:is>
      </x:c>
      <x:c r="S213" s="12" t="n"/>
      <x:c r="T213" s="12" t="n"/>
      <x:c r="U213" s="12" t="n">
        <x:v>413</x:v>
      </x:c>
    </x:row>
    <x:row r="214" ht="28.799999237060547" customHeight="1">
      <x:c r="A214" s="13" t="inlineStr">
        <x:is>
          <x:t xml:space="preserve">OTX-0070</x:t>
        </x:is>
      </x:c>
      <x:c r="B214" s="12" t="inlineStr">
        <x:is>
          <x:t xml:space="preserve">XIV</x:t>
        </x:is>
      </x:c>
      <x:c r="C214" s="12" t="inlineStr">
        <x:is>
          <x:t xml:space="preserve">OTX</x:t>
        </x:is>
      </x:c>
      <x:c r="D214" s="12" t="inlineStr">
        <x:is>
          <x:t xml:space="preserve">Old Testament, Hebrew Bible, and messianic interpretation</x:t>
        </x:is>
      </x:c>
      <x:c r="E214" s="12" t="inlineStr">
        <x:is>
          <x:t xml:space="preserve">Not every Christian proof text is equally defensible.</x:t>
        </x:is>
      </x:c>
      <x:c r="F214" s="12" t="n"/>
      <x:c r="G214" s="12" t="n"/>
      <x:c r="H214" s="12" t="n"/>
      <x:c r="I214" s="12" t="n"/>
      <x:c r="J214" s="12" t="n"/>
      <x:c r="K214" s="12" t="n"/>
      <x:c r="L214" s="12" t="n"/>
      <x:c r="M214" s="12" t="n"/>
      <x:c r="N214" s="12" t="n"/>
      <x:c r="O214" s="12" t="n"/>
      <x:c r="P214" s="12" t="n"/>
      <x:c r="Q214" s="12" t="n"/>
      <x:c r="R214" s="12" t="inlineStr">
        <x:is>
          <x:t xml:space="preserve">Not started</x:t>
        </x:is>
      </x:c>
      <x:c r="S214" s="12" t="n"/>
      <x:c r="T214" s="12" t="n"/>
      <x:c r="U214" s="12" t="n">
        <x:v>414</x:v>
      </x:c>
    </x:row>
    <x:row r="215" ht="28.799999237060547" customHeight="1">
      <x:c r="A215" s="13" t="inlineStr">
        <x:is>
          <x:t xml:space="preserve">OTX-0080</x:t>
        </x:is>
      </x:c>
      <x:c r="B215" s="12" t="inlineStr">
        <x:is>
          <x:t xml:space="preserve">XIV</x:t>
        </x:is>
      </x:c>
      <x:c r="C215" s="12" t="inlineStr">
        <x:is>
          <x:t xml:space="preserve">OTX</x:t>
        </x:is>
      </x:c>
      <x:c r="D215" s="12" t="inlineStr">
        <x:is>
          <x:t xml:space="preserve">Old Testament, Hebrew Bible, and messianic interpretation</x:t>
        </x:is>
      </x:c>
      <x:c r="E215" s="12" t="inlineStr">
        <x:is>
          <x:t xml:space="preserve">Some alleged prophecies depend on translation choices.</x:t>
        </x:is>
      </x:c>
      <x:c r="F215" s="12" t="n"/>
      <x:c r="G215" s="12" t="n"/>
      <x:c r="H215" s="12" t="n"/>
      <x:c r="I215" s="12" t="n"/>
      <x:c r="J215" s="12" t="n"/>
      <x:c r="K215" s="12" t="n"/>
      <x:c r="L215" s="12" t="n"/>
      <x:c r="M215" s="12" t="n"/>
      <x:c r="N215" s="12" t="n"/>
      <x:c r="O215" s="12" t="n"/>
      <x:c r="P215" s="12" t="n"/>
      <x:c r="Q215" s="12" t="n"/>
      <x:c r="R215" s="12" t="inlineStr">
        <x:is>
          <x:t xml:space="preserve">Not started</x:t>
        </x:is>
      </x:c>
      <x:c r="S215" s="12" t="n"/>
      <x:c r="T215" s="12" t="n"/>
      <x:c r="U215" s="12" t="n">
        <x:v>415</x:v>
      </x:c>
    </x:row>
    <x:row r="216" ht="28.799999237060547" customHeight="1">
      <x:c r="A216" s="13" t="inlineStr">
        <x:is>
          <x:t xml:space="preserve">OTX-0090</x:t>
        </x:is>
      </x:c>
      <x:c r="B216" s="12" t="inlineStr">
        <x:is>
          <x:t xml:space="preserve">XIV</x:t>
        </x:is>
      </x:c>
      <x:c r="C216" s="12" t="inlineStr">
        <x:is>
          <x:t xml:space="preserve">OTX</x:t>
        </x:is>
      </x:c>
      <x:c r="D216" s="12" t="inlineStr">
        <x:is>
          <x:t xml:space="preserve">Old Testament, Hebrew Bible, and messianic interpretation</x:t>
        </x:is>
      </x:c>
      <x:c r="E216" s="12" t="inlineStr">
        <x:is>
          <x:t xml:space="preserve">A cumulative messianic case is stronger than careless probability calculations based on arbitrarily selected prophecies.</x:t>
        </x:is>
      </x:c>
      <x:c r="F216" s="12" t="n"/>
      <x:c r="G216" s="12" t="n"/>
      <x:c r="H216" s="12" t="n"/>
      <x:c r="I216" s="12" t="n"/>
      <x:c r="J216" s="12" t="n"/>
      <x:c r="K216" s="12" t="n"/>
      <x:c r="L216" s="12" t="n"/>
      <x:c r="M216" s="12" t="n"/>
      <x:c r="N216" s="12" t="n"/>
      <x:c r="O216" s="12" t="n"/>
      <x:c r="P216" s="12" t="n"/>
      <x:c r="Q216" s="12" t="n"/>
      <x:c r="R216" s="12" t="inlineStr">
        <x:is>
          <x:t xml:space="preserve">Not started</x:t>
        </x:is>
      </x:c>
      <x:c r="S216" s="12" t="n"/>
      <x:c r="T216" s="12" t="n"/>
      <x:c r="U216" s="12" t="n">
        <x:v>416</x:v>
      </x:c>
    </x:row>
    <x:row r="217" ht="28.799999237060547" customHeight="1">
      <x:c r="A217" s="13" t="inlineStr">
        <x:is>
          <x:t xml:space="preserve">OTX-0100</x:t>
        </x:is>
      </x:c>
      <x:c r="B217" s="12" t="inlineStr">
        <x:is>
          <x:t xml:space="preserve">XIV</x:t>
        </x:is>
      </x:c>
      <x:c r="C217" s="12" t="inlineStr">
        <x:is>
          <x:t xml:space="preserve">OTX</x:t>
        </x:is>
      </x:c>
      <x:c r="D217" s="12" t="inlineStr">
        <x:is>
          <x:t xml:space="preserve">Old Testament, Hebrew Bible, and messianic interpretation</x:t>
        </x:is>
      </x:c>
      <x:c r="E217" s="12" t="inlineStr">
        <x:is>
          <x:t xml:space="preserve">Isaiah 7, Isaiah 53, Psalm 22, Daniel 7 and 9, Micah 5, Psalm 110, and Zechariah require individual contextual studies.</x:t>
        </x:is>
      </x:c>
      <x:c r="F217" s="12" t="n"/>
      <x:c r="G217" s="12" t="n"/>
      <x:c r="H217" s="12" t="n"/>
      <x:c r="I217" s="12" t="n"/>
      <x:c r="J217" s="12" t="n"/>
      <x:c r="K217" s="12" t="n"/>
      <x:c r="L217" s="12" t="n"/>
      <x:c r="M217" s="12" t="n"/>
      <x:c r="N217" s="12" t="n"/>
      <x:c r="O217" s="12" t="n"/>
      <x:c r="P217" s="12" t="n"/>
      <x:c r="Q217" s="12" t="n"/>
      <x:c r="R217" s="12" t="inlineStr">
        <x:is>
          <x:t xml:space="preserve">Not started</x:t>
        </x:is>
      </x:c>
      <x:c r="S217" s="12" t="n"/>
      <x:c r="T217" s="12" t="n"/>
      <x:c r="U217" s="12" t="n">
        <x:v>417</x:v>
      </x:c>
    </x:row>
    <x:row r="218" ht="28.799999237060547" customHeight="1">
      <x:c r="A218" s="13" t="inlineStr">
        <x:is>
          <x:t xml:space="preserve">OTX-0110</x:t>
        </x:is>
      </x:c>
      <x:c r="B218" s="12" t="inlineStr">
        <x:is>
          <x:t xml:space="preserve">XIV</x:t>
        </x:is>
      </x:c>
      <x:c r="C218" s="12" t="inlineStr">
        <x:is>
          <x:t xml:space="preserve">OTX</x:t>
        </x:is>
      </x:c>
      <x:c r="D218" s="12" t="inlineStr">
        <x:is>
          <x:t xml:space="preserve">Old Testament, Hebrew Bible, and messianic interpretation</x:t>
        </x:is>
      </x:c>
      <x:c r="E218" s="12" t="inlineStr">
        <x:is>
          <x:t xml:space="preserve">Jewish objections must be represented in their strongest form.</x:t>
        </x:is>
      </x:c>
      <x:c r="F218" s="12" t="n"/>
      <x:c r="G218" s="12" t="n"/>
      <x:c r="H218" s="12" t="n"/>
      <x:c r="I218" s="12" t="n"/>
      <x:c r="J218" s="12" t="n"/>
      <x:c r="K218" s="12" t="n"/>
      <x:c r="L218" s="12" t="n"/>
      <x:c r="M218" s="12" t="n"/>
      <x:c r="N218" s="12" t="n"/>
      <x:c r="O218" s="12" t="n"/>
      <x:c r="P218" s="12" t="n"/>
      <x:c r="Q218" s="12" t="n"/>
      <x:c r="R218" s="12" t="inlineStr">
        <x:is>
          <x:t xml:space="preserve">Not started</x:t>
        </x:is>
      </x:c>
      <x:c r="S218" s="12" t="n"/>
      <x:c r="T218" s="12" t="n"/>
      <x:c r="U218" s="12" t="n">
        <x:v>418</x:v>
      </x:c>
    </x:row>
    <x:row r="219" ht="28.799999237060547" customHeight="1">
      <x:c r="A219" s="13" t="inlineStr">
        <x:is>
          <x:t xml:space="preserve">OTX-0120</x:t>
        </x:is>
      </x:c>
      <x:c r="B219" s="12" t="inlineStr">
        <x:is>
          <x:t xml:space="preserve">XIV</x:t>
        </x:is>
      </x:c>
      <x:c r="C219" s="12" t="inlineStr">
        <x:is>
          <x:t xml:space="preserve">OTX</x:t>
        </x:is>
      </x:c>
      <x:c r="D219" s="12" t="inlineStr">
        <x:is>
          <x:t xml:space="preserve">Old Testament, Hebrew Bible, and messianic interpretation</x:t>
        </x:is>
      </x:c>
      <x:c r="E219" s="12" t="inlineStr">
        <x:is>
          <x:t xml:space="preserve">Christian readings should distinguish lexical, historical, canonical, typological, and theological arguments.</x:t>
        </x:is>
      </x:c>
      <x:c r="F219" s="12" t="n"/>
      <x:c r="G219" s="12" t="n"/>
      <x:c r="H219" s="12" t="n"/>
      <x:c r="I219" s="12" t="n"/>
      <x:c r="J219" s="12" t="n"/>
      <x:c r="K219" s="12" t="n"/>
      <x:c r="L219" s="12" t="n"/>
      <x:c r="M219" s="12" t="n"/>
      <x:c r="N219" s="12" t="n"/>
      <x:c r="O219" s="12" t="n"/>
      <x:c r="P219" s="12" t="n"/>
      <x:c r="Q219" s="12" t="n"/>
      <x:c r="R219" s="12" t="inlineStr">
        <x:is>
          <x:t xml:space="preserve">Not started</x:t>
        </x:is>
      </x:c>
      <x:c r="S219" s="12" t="n"/>
      <x:c r="T219" s="12" t="n"/>
      <x:c r="U219" s="12" t="n">
        <x:v>419</x:v>
      </x:c>
    </x:row>
    <x:row r="220">
      <x:c r="A220" s="13" t="inlineStr">
        <x:is>
          <x:t xml:space="preserve">TRI-0010</x:t>
        </x:is>
      </x:c>
      <x:c r="B220" s="12" t="inlineStr">
        <x:is>
          <x:t xml:space="preserve">XV</x:t>
        </x:is>
      </x:c>
      <x:c r="C220" s="12" t="inlineStr">
        <x:is>
          <x:t xml:space="preserve">TRI</x:t>
        </x:is>
      </x:c>
      <x:c r="D220" s="12" t="inlineStr">
        <x:is>
          <x:t xml:space="preserve">Doctrine of God and Trinity</x:t>
        </x:is>
      </x:c>
      <x:c r="E220" s="12" t="inlineStr">
        <x:is>
          <x:t xml:space="preserve">The Father is identified as God.</x:t>
        </x:is>
      </x:c>
      <x:c r="F220" s="12" t="n"/>
      <x:c r="G220" s="12" t="n"/>
      <x:c r="H220" s="12" t="n"/>
      <x:c r="I220" s="12" t="n"/>
      <x:c r="J220" s="12" t="n"/>
      <x:c r="K220" s="12" t="n"/>
      <x:c r="L220" s="12" t="n"/>
      <x:c r="M220" s="12" t="n"/>
      <x:c r="N220" s="12" t="n"/>
      <x:c r="O220" s="12" t="n"/>
      <x:c r="P220" s="12" t="n"/>
      <x:c r="Q220" s="12" t="n"/>
      <x:c r="R220" s="12" t="inlineStr">
        <x:is>
          <x:t xml:space="preserve">Not started</x:t>
        </x:is>
      </x:c>
      <x:c r="S220" s="12" t="n"/>
      <x:c r="T220" s="12" t="n"/>
      <x:c r="U220" s="12" t="n">
        <x:v>426</x:v>
      </x:c>
    </x:row>
    <x:row r="221" ht="28.799999237060547" customHeight="1">
      <x:c r="A221" s="13" t="inlineStr">
        <x:is>
          <x:t xml:space="preserve">TRI-0020</x:t>
        </x:is>
      </x:c>
      <x:c r="B221" s="12" t="inlineStr">
        <x:is>
          <x:t xml:space="preserve">XV</x:t>
        </x:is>
      </x:c>
      <x:c r="C221" s="12" t="inlineStr">
        <x:is>
          <x:t xml:space="preserve">TRI</x:t>
        </x:is>
      </x:c>
      <x:c r="D221" s="12" t="inlineStr">
        <x:is>
          <x:t xml:space="preserve">Doctrine of God and Trinity</x:t>
        </x:is>
      </x:c>
      <x:c r="E221" s="12" t="inlineStr">
        <x:is>
          <x:t xml:space="preserve">The Son is identified with divine functions, titles, honour, or identity in significant New Testament texts.</x:t>
        </x:is>
      </x:c>
      <x:c r="F221" s="12" t="n"/>
      <x:c r="G221" s="12" t="n"/>
      <x:c r="H221" s="12" t="n"/>
      <x:c r="I221" s="12" t="n"/>
      <x:c r="J221" s="12" t="n"/>
      <x:c r="K221" s="12" t="n"/>
      <x:c r="L221" s="12" t="n"/>
      <x:c r="M221" s="12" t="n"/>
      <x:c r="N221" s="12" t="n"/>
      <x:c r="O221" s="12" t="n"/>
      <x:c r="P221" s="12" t="n"/>
      <x:c r="Q221" s="12" t="n"/>
      <x:c r="R221" s="12" t="inlineStr">
        <x:is>
          <x:t xml:space="preserve">Not started</x:t>
        </x:is>
      </x:c>
      <x:c r="S221" s="12" t="n"/>
      <x:c r="T221" s="12" t="n"/>
      <x:c r="U221" s="12" t="n">
        <x:v>427</x:v>
      </x:c>
    </x:row>
    <x:row r="222">
      <x:c r="A222" s="13" t="inlineStr">
        <x:is>
          <x:t xml:space="preserve">TRI-0030</x:t>
        </x:is>
      </x:c>
      <x:c r="B222" s="12" t="inlineStr">
        <x:is>
          <x:t xml:space="preserve">XV</x:t>
        </x:is>
      </x:c>
      <x:c r="C222" s="12" t="inlineStr">
        <x:is>
          <x:t xml:space="preserve">TRI</x:t>
        </x:is>
      </x:c>
      <x:c r="D222" s="12" t="inlineStr">
        <x:is>
          <x:t xml:space="preserve">Doctrine of God and Trinity</x:t>
        </x:is>
      </x:c>
      <x:c r="E222" s="12" t="inlineStr">
        <x:is>
          <x:t xml:space="preserve">The Spirit is portrayed personally in significant texts.</x:t>
        </x:is>
      </x:c>
      <x:c r="F222" s="12" t="n"/>
      <x:c r="G222" s="12" t="n"/>
      <x:c r="H222" s="12" t="n"/>
      <x:c r="I222" s="12" t="n"/>
      <x:c r="J222" s="12" t="n"/>
      <x:c r="K222" s="12" t="n"/>
      <x:c r="L222" s="12" t="n"/>
      <x:c r="M222" s="12" t="n"/>
      <x:c r="N222" s="12" t="n"/>
      <x:c r="O222" s="12" t="n"/>
      <x:c r="P222" s="12" t="n"/>
      <x:c r="Q222" s="12" t="n"/>
      <x:c r="R222" s="12" t="inlineStr">
        <x:is>
          <x:t xml:space="preserve">Not started</x:t>
        </x:is>
      </x:c>
      <x:c r="S222" s="12" t="n"/>
      <x:c r="T222" s="12" t="n"/>
      <x:c r="U222" s="12" t="n">
        <x:v>428</x:v>
      </x:c>
    </x:row>
    <x:row r="223">
      <x:c r="A223" s="13" t="inlineStr">
        <x:is>
          <x:t xml:space="preserve">TRI-0040</x:t>
        </x:is>
      </x:c>
      <x:c r="B223" s="12" t="inlineStr">
        <x:is>
          <x:t xml:space="preserve">XV</x:t>
        </x:is>
      </x:c>
      <x:c r="C223" s="12" t="inlineStr">
        <x:is>
          <x:t xml:space="preserve">TRI</x:t>
        </x:is>
      </x:c>
      <x:c r="D223" s="12" t="inlineStr">
        <x:is>
          <x:t xml:space="preserve">Doctrine of God and Trinity</x:t>
        </x:is>
      </x:c>
      <x:c r="E223" s="12" t="inlineStr">
        <x:is>
          <x:t xml:space="preserve">Trinitarian doctrine distinguishes being from person.</x:t>
        </x:is>
      </x:c>
      <x:c r="F223" s="12" t="n"/>
      <x:c r="G223" s="12" t="n"/>
      <x:c r="H223" s="12" t="n"/>
      <x:c r="I223" s="12" t="n"/>
      <x:c r="J223" s="12" t="n"/>
      <x:c r="K223" s="12" t="n"/>
      <x:c r="L223" s="12" t="n"/>
      <x:c r="M223" s="12" t="n"/>
      <x:c r="N223" s="12" t="n"/>
      <x:c r="O223" s="12" t="n"/>
      <x:c r="P223" s="12" t="n"/>
      <x:c r="Q223" s="12" t="n"/>
      <x:c r="R223" s="12" t="inlineStr">
        <x:is>
          <x:t xml:space="preserve">Not started</x:t>
        </x:is>
      </x:c>
      <x:c r="S223" s="12" t="n"/>
      <x:c r="T223" s="12" t="n"/>
      <x:c r="U223" s="12" t="n">
        <x:v>429</x:v>
      </x:c>
    </x:row>
    <x:row r="224">
      <x:c r="A224" s="13" t="inlineStr">
        <x:is>
          <x:t xml:space="preserve">TRI-0050</x:t>
        </x:is>
      </x:c>
      <x:c r="B224" s="12" t="inlineStr">
        <x:is>
          <x:t xml:space="preserve">XV</x:t>
        </x:is>
      </x:c>
      <x:c r="C224" s="12" t="inlineStr">
        <x:is>
          <x:t xml:space="preserve">TRI</x:t>
        </x:is>
      </x:c>
      <x:c r="D224" s="12" t="inlineStr">
        <x:is>
          <x:t xml:space="preserve">Doctrine of God and Trinity</x:t>
        </x:is>
      </x:c>
      <x:c r="E224" s="12" t="inlineStr">
        <x:is>
          <x:t xml:space="preserve">The Trinity does not formally assert that God is one person and three persons in the same respect.</x:t>
        </x:is>
      </x:c>
      <x:c r="F224" s="12" t="n"/>
      <x:c r="G224" s="12" t="n"/>
      <x:c r="H224" s="12" t="n"/>
      <x:c r="I224" s="12" t="n"/>
      <x:c r="J224" s="12" t="n"/>
      <x:c r="K224" s="12" t="n"/>
      <x:c r="L224" s="12" t="n"/>
      <x:c r="M224" s="12" t="n"/>
      <x:c r="N224" s="12" t="n"/>
      <x:c r="O224" s="12" t="n"/>
      <x:c r="P224" s="12" t="n"/>
      <x:c r="Q224" s="12" t="n"/>
      <x:c r="R224" s="12" t="inlineStr">
        <x:is>
          <x:t xml:space="preserve">Not started</x:t>
        </x:is>
      </x:c>
      <x:c r="S224" s="12" t="n"/>
      <x:c r="T224" s="12" t="n"/>
      <x:c r="U224" s="12" t="n">
        <x:v>430</x:v>
      </x:c>
    </x:row>
    <x:row r="225">
      <x:c r="A225" s="13" t="inlineStr">
        <x:is>
          <x:t xml:space="preserve">TRI-0060</x:t>
        </x:is>
      </x:c>
      <x:c r="B225" s="12" t="inlineStr">
        <x:is>
          <x:t xml:space="preserve">XV</x:t>
        </x:is>
      </x:c>
      <x:c r="C225" s="12" t="inlineStr">
        <x:is>
          <x:t xml:space="preserve">TRI</x:t>
        </x:is>
      </x:c>
      <x:c r="D225" s="12" t="inlineStr">
        <x:is>
          <x:t xml:space="preserve">Doctrine of God and Trinity</x:t>
        </x:is>
      </x:c>
      <x:c r="E225" s="12" t="inlineStr">
        <x:is>
          <x:t xml:space="preserve">The doctrine is not a simple violation of noncontradiction.</x:t>
        </x:is>
      </x:c>
      <x:c r="F225" s="12" t="n"/>
      <x:c r="G225" s="12" t="n"/>
      <x:c r="H225" s="12" t="n"/>
      <x:c r="I225" s="12" t="n"/>
      <x:c r="J225" s="12" t="n"/>
      <x:c r="K225" s="12" t="n"/>
      <x:c r="L225" s="12" t="n"/>
      <x:c r="M225" s="12" t="n"/>
      <x:c r="N225" s="12" t="n"/>
      <x:c r="O225" s="12" t="n"/>
      <x:c r="P225" s="12" t="n"/>
      <x:c r="Q225" s="12" t="n"/>
      <x:c r="R225" s="12" t="inlineStr">
        <x:is>
          <x:t xml:space="preserve">Not started</x:t>
        </x:is>
      </x:c>
      <x:c r="S225" s="12" t="n"/>
      <x:c r="T225" s="12" t="n"/>
      <x:c r="U225" s="12" t="n">
        <x:v>431</x:v>
      </x:c>
    </x:row>
    <x:row r="226">
      <x:c r="A226" s="13" t="inlineStr">
        <x:is>
          <x:t xml:space="preserve">TRI-0070</x:t>
        </x:is>
      </x:c>
      <x:c r="B226" s="12" t="inlineStr">
        <x:is>
          <x:t xml:space="preserve">XV</x:t>
        </x:is>
      </x:c>
      <x:c r="C226" s="12" t="inlineStr">
        <x:is>
          <x:t xml:space="preserve">TRI</x:t>
        </x:is>
      </x:c>
      <x:c r="D226" s="12" t="inlineStr">
        <x:is>
          <x:t xml:space="preserve">Doctrine of God and Trinity</x:t>
        </x:is>
      </x:c>
      <x:c r="E226" s="12" t="inlineStr">
        <x:is>
          <x:t xml:space="preserve">Avoiding contradiction does not by itself demonstrate that the doctrine is true.</x:t>
        </x:is>
      </x:c>
      <x:c r="F226" s="12" t="n"/>
      <x:c r="G226" s="12" t="n"/>
      <x:c r="H226" s="12" t="n"/>
      <x:c r="I226" s="12" t="n"/>
      <x:c r="J226" s="12" t="n"/>
      <x:c r="K226" s="12" t="n"/>
      <x:c r="L226" s="12" t="n"/>
      <x:c r="M226" s="12" t="n"/>
      <x:c r="N226" s="12" t="n"/>
      <x:c r="O226" s="12" t="n"/>
      <x:c r="P226" s="12" t="n"/>
      <x:c r="Q226" s="12" t="n"/>
      <x:c r="R226" s="12" t="inlineStr">
        <x:is>
          <x:t xml:space="preserve">Not started</x:t>
        </x:is>
      </x:c>
      <x:c r="S226" s="12" t="n"/>
      <x:c r="T226" s="12" t="n"/>
      <x:c r="U226" s="12" t="n">
        <x:v>432</x:v>
      </x:c>
    </x:row>
    <x:row r="227">
      <x:c r="A227" s="13" t="inlineStr">
        <x:is>
          <x:t xml:space="preserve">TRI-0080</x:t>
        </x:is>
      </x:c>
      <x:c r="B227" s="12" t="inlineStr">
        <x:is>
          <x:t xml:space="preserve">XV</x:t>
        </x:is>
      </x:c>
      <x:c r="C227" s="12" t="inlineStr">
        <x:is>
          <x:t xml:space="preserve">TRI</x:t>
        </x:is>
      </x:c>
      <x:c r="D227" s="12" t="inlineStr">
        <x:is>
          <x:t xml:space="preserve">Doctrine of God and Trinity</x:t>
        </x:is>
      </x:c>
      <x:c r="E227" s="12" t="inlineStr">
        <x:is>
          <x:t xml:space="preserve">Modalism, tritheism, partialism, and subordinationism differ from Nicene trinitarianism.</x:t>
        </x:is>
      </x:c>
      <x:c r="F227" s="12" t="n"/>
      <x:c r="G227" s="12" t="n"/>
      <x:c r="H227" s="12" t="n"/>
      <x:c r="I227" s="12" t="n"/>
      <x:c r="J227" s="12" t="n"/>
      <x:c r="K227" s="12" t="n"/>
      <x:c r="L227" s="12" t="n"/>
      <x:c r="M227" s="12" t="n"/>
      <x:c r="N227" s="12" t="n"/>
      <x:c r="O227" s="12" t="n"/>
      <x:c r="P227" s="12" t="n"/>
      <x:c r="Q227" s="12" t="n"/>
      <x:c r="R227" s="12" t="inlineStr">
        <x:is>
          <x:t xml:space="preserve">Not started</x:t>
        </x:is>
      </x:c>
      <x:c r="S227" s="12" t="n"/>
      <x:c r="T227" s="12" t="n"/>
      <x:c r="U227" s="12" t="n">
        <x:v>433</x:v>
      </x:c>
    </x:row>
    <x:row r="228" ht="28.799999237060547" customHeight="1">
      <x:c r="A228" s="13" t="inlineStr">
        <x:is>
          <x:t xml:space="preserve">TRI-0090</x:t>
        </x:is>
      </x:c>
      <x:c r="B228" s="12" t="inlineStr">
        <x:is>
          <x:t xml:space="preserve">XV</x:t>
        </x:is>
      </x:c>
      <x:c r="C228" s="12" t="inlineStr">
        <x:is>
          <x:t xml:space="preserve">TRI</x:t>
        </x:is>
      </x:c>
      <x:c r="D228" s="12" t="inlineStr">
        <x:is>
          <x:t xml:space="preserve">Doctrine of God and Trinity</x:t>
        </x:is>
      </x:c>
      <x:c r="E228" s="12" t="inlineStr">
        <x:is>
          <x:t xml:space="preserve">The development of technical terminology does not automatically imply invention of the underlying belief.</x:t>
        </x:is>
      </x:c>
      <x:c r="F228" s="12" t="n"/>
      <x:c r="G228" s="12" t="n"/>
      <x:c r="H228" s="12" t="n"/>
      <x:c r="I228" s="12" t="n"/>
      <x:c r="J228" s="12" t="n"/>
      <x:c r="K228" s="12" t="n"/>
      <x:c r="L228" s="12" t="n"/>
      <x:c r="M228" s="12" t="n"/>
      <x:c r="N228" s="12" t="n"/>
      <x:c r="O228" s="12" t="n"/>
      <x:c r="P228" s="12" t="n"/>
      <x:c r="Q228" s="12" t="n"/>
      <x:c r="R228" s="12" t="inlineStr">
        <x:is>
          <x:t xml:space="preserve">Not started</x:t>
        </x:is>
      </x:c>
      <x:c r="S228" s="12" t="n"/>
      <x:c r="T228" s="12" t="n"/>
      <x:c r="U228" s="12" t="n">
        <x:v>434</x:v>
      </x:c>
    </x:row>
    <x:row r="229">
      <x:c r="A229" s="13" t="inlineStr">
        <x:is>
          <x:t xml:space="preserve">TRI-0100</x:t>
        </x:is>
      </x:c>
      <x:c r="B229" s="12" t="inlineStr">
        <x:is>
          <x:t xml:space="preserve">XV</x:t>
        </x:is>
      </x:c>
      <x:c r="C229" s="12" t="inlineStr">
        <x:is>
          <x:t xml:space="preserve">TRI</x:t>
        </x:is>
      </x:c>
      <x:c r="D229" s="12" t="inlineStr">
        <x:is>
          <x:t xml:space="preserve">Doctrine of God and Trinity</x:t>
        </x:is>
      </x:c>
      <x:c r="E229" s="12" t="inlineStr">
        <x:is>
          <x:t xml:space="preserve">Doctrinal development and doctrinal corruption must be distinguished.</x:t>
        </x:is>
      </x:c>
      <x:c r="F229" s="12" t="n"/>
      <x:c r="G229" s="12" t="n"/>
      <x:c r="H229" s="12" t="n"/>
      <x:c r="I229" s="12" t="n"/>
      <x:c r="J229" s="12" t="n"/>
      <x:c r="K229" s="12" t="n"/>
      <x:c r="L229" s="12" t="n"/>
      <x:c r="M229" s="12" t="n"/>
      <x:c r="N229" s="12" t="n"/>
      <x:c r="O229" s="12" t="n"/>
      <x:c r="P229" s="12" t="n"/>
      <x:c r="Q229" s="12" t="n"/>
      <x:c r="R229" s="12" t="inlineStr">
        <x:is>
          <x:t xml:space="preserve">Not started</x:t>
        </x:is>
      </x:c>
      <x:c r="S229" s="12" t="n"/>
      <x:c r="T229" s="12" t="n"/>
      <x:c r="U229" s="12" t="n">
        <x:v>435</x:v>
      </x:c>
    </x:row>
    <x:row r="230" ht="28.799999237060547" customHeight="1">
      <x:c r="A230" s="13" t="inlineStr">
        <x:is>
          <x:t xml:space="preserve">TRI-0110</x:t>
        </x:is>
      </x:c>
      <x:c r="B230" s="12" t="inlineStr">
        <x:is>
          <x:t xml:space="preserve">XV</x:t>
        </x:is>
      </x:c>
      <x:c r="C230" s="12" t="inlineStr">
        <x:is>
          <x:t xml:space="preserve">TRI</x:t>
        </x:is>
      </x:c>
      <x:c r="D230" s="12" t="inlineStr">
        <x:is>
          <x:t xml:space="preserve">Doctrine of God and Trinity</x:t>
        </x:is>
      </x:c>
      <x:c r="E230" s="12" t="inlineStr">
        <x:is>
          <x:t xml:space="preserve">Conciliar formulations arose partly to constrain interpretations judged incompatible with worship and Scripture.</x:t>
        </x:is>
      </x:c>
      <x:c r="F230" s="12" t="n"/>
      <x:c r="G230" s="12" t="n"/>
      <x:c r="H230" s="12" t="n"/>
      <x:c r="I230" s="12" t="n"/>
      <x:c r="J230" s="12" t="n"/>
      <x:c r="K230" s="12" t="n"/>
      <x:c r="L230" s="12" t="n"/>
      <x:c r="M230" s="12" t="n"/>
      <x:c r="N230" s="12" t="n"/>
      <x:c r="O230" s="12" t="n"/>
      <x:c r="P230" s="12" t="n"/>
      <x:c r="Q230" s="12" t="n"/>
      <x:c r="R230" s="12" t="inlineStr">
        <x:is>
          <x:t xml:space="preserve">Not started</x:t>
        </x:is>
      </x:c>
      <x:c r="S230" s="12" t="n"/>
      <x:c r="T230" s="12" t="n"/>
      <x:c r="U230" s="12" t="n">
        <x:v>436</x:v>
      </x:c>
    </x:row>
    <x:row r="231">
      <x:c r="A231" s="13" t="inlineStr">
        <x:is>
          <x:t xml:space="preserve">TRI-0120</x:t>
        </x:is>
      </x:c>
      <x:c r="B231" s="12" t="inlineStr">
        <x:is>
          <x:t xml:space="preserve">XV</x:t>
        </x:is>
      </x:c>
      <x:c r="C231" s="12" t="inlineStr">
        <x:is>
          <x:t xml:space="preserve">TRI</x:t>
        </x:is>
      </x:c>
      <x:c r="D231" s="12" t="inlineStr">
        <x:is>
          <x:t xml:space="preserve">Doctrine of God and Trinity</x:t>
        </x:is>
      </x:c>
      <x:c r="E231" s="12" t="inlineStr">
        <x:is>
          <x:t xml:space="preserve">Social and Latin models of the Trinity emphasize different conceptual resources.</x:t>
        </x:is>
      </x:c>
      <x:c r="F231" s="12" t="n"/>
      <x:c r="G231" s="12" t="n"/>
      <x:c r="H231" s="12" t="n"/>
      <x:c r="I231" s="12" t="n"/>
      <x:c r="J231" s="12" t="n"/>
      <x:c r="K231" s="12" t="n"/>
      <x:c r="L231" s="12" t="n"/>
      <x:c r="M231" s="12" t="n"/>
      <x:c r="N231" s="12" t="n"/>
      <x:c r="O231" s="12" t="n"/>
      <x:c r="P231" s="12" t="n"/>
      <x:c r="Q231" s="12" t="n"/>
      <x:c r="R231" s="12" t="inlineStr">
        <x:is>
          <x:t xml:space="preserve">Not started</x:t>
        </x:is>
      </x:c>
      <x:c r="S231" s="12" t="n"/>
      <x:c r="T231" s="12" t="n"/>
      <x:c r="U231" s="12" t="n">
        <x:v>437</x:v>
      </x:c>
    </x:row>
    <x:row r="232">
      <x:c r="A232" s="13" t="inlineStr">
        <x:is>
          <x:t xml:space="preserve">TRI-0130</x:t>
        </x:is>
      </x:c>
      <x:c r="B232" s="12" t="inlineStr">
        <x:is>
          <x:t xml:space="preserve">XV</x:t>
        </x:is>
      </x:c>
      <x:c r="C232" s="12" t="inlineStr">
        <x:is>
          <x:t xml:space="preserve">TRI</x:t>
        </x:is>
      </x:c>
      <x:c r="D232" s="12" t="inlineStr">
        <x:is>
          <x:t xml:space="preserve">Doctrine of God and Trinity</x:t>
        </x:is>
      </x:c>
      <x:c r="E232" s="12" t="inlineStr">
        <x:is>
          <x:t xml:space="preserve">Perfect explanatory comprehension is not required for logical coherence.</x:t>
        </x:is>
      </x:c>
      <x:c r="F232" s="12" t="n"/>
      <x:c r="G232" s="12" t="n"/>
      <x:c r="H232" s="12" t="n"/>
      <x:c r="I232" s="12" t="n"/>
      <x:c r="J232" s="12" t="n"/>
      <x:c r="K232" s="12" t="n"/>
      <x:c r="L232" s="12" t="n"/>
      <x:c r="M232" s="12" t="n"/>
      <x:c r="N232" s="12" t="n"/>
      <x:c r="O232" s="12" t="n"/>
      <x:c r="P232" s="12" t="n"/>
      <x:c r="Q232" s="12" t="n"/>
      <x:c r="R232" s="12" t="inlineStr">
        <x:is>
          <x:t xml:space="preserve">Not started</x:t>
        </x:is>
      </x:c>
      <x:c r="S232" s="12" t="n"/>
      <x:c r="T232" s="12" t="n"/>
      <x:c r="U232" s="12" t="n">
        <x:v>438</x:v>
      </x:c>
    </x:row>
    <x:row r="233">
      <x:c r="A233" s="13" t="inlineStr">
        <x:is>
          <x:t xml:space="preserve">TRI-0140</x:t>
        </x:is>
      </x:c>
      <x:c r="B233" s="12" t="inlineStr">
        <x:is>
          <x:t xml:space="preserve">XV</x:t>
        </x:is>
      </x:c>
      <x:c r="C233" s="12" t="inlineStr">
        <x:is>
          <x:t xml:space="preserve">TRI</x:t>
        </x:is>
      </x:c>
      <x:c r="D233" s="12" t="inlineStr">
        <x:is>
          <x:t xml:space="preserve">Doctrine of God and Trinity</x:t>
        </x:is>
      </x:c>
      <x:c r="E233" s="12" t="inlineStr">
        <x:is>
          <x:t xml:space="preserve">Appeals to mystery cannot license formal contradiction.</x:t>
        </x:is>
      </x:c>
      <x:c r="F233" s="12" t="n"/>
      <x:c r="G233" s="12" t="n"/>
      <x:c r="H233" s="12" t="n"/>
      <x:c r="I233" s="12" t="n"/>
      <x:c r="J233" s="12" t="n"/>
      <x:c r="K233" s="12" t="n"/>
      <x:c r="L233" s="12" t="n"/>
      <x:c r="M233" s="12" t="n"/>
      <x:c r="N233" s="12" t="n"/>
      <x:c r="O233" s="12" t="n"/>
      <x:c r="P233" s="12" t="n"/>
      <x:c r="Q233" s="12" t="n"/>
      <x:c r="R233" s="12" t="inlineStr">
        <x:is>
          <x:t xml:space="preserve">Not started</x:t>
        </x:is>
      </x:c>
      <x:c r="S233" s="12" t="n"/>
      <x:c r="T233" s="12" t="n"/>
      <x:c r="U233" s="12" t="n">
        <x:v>439</x:v>
      </x:c>
    </x:row>
    <x:row r="234">
      <x:c r="A234" s="13" t="inlineStr">
        <x:is>
          <x:t xml:space="preserve">INC-0010</x:t>
        </x:is>
      </x:c>
      <x:c r="B234" s="12" t="inlineStr">
        <x:is>
          <x:t xml:space="preserve">XVI</x:t>
        </x:is>
      </x:c>
      <x:c r="C234" s="12" t="inlineStr">
        <x:is>
          <x:t xml:space="preserve">INC</x:t>
        </x:is>
      </x:c>
      <x:c r="D234" s="12" t="inlineStr">
        <x:is>
          <x:t xml:space="preserve">Incarnation and Christology</x:t>
        </x:is>
      </x:c>
      <x:c r="E234" s="12" t="inlineStr">
        <x:is>
          <x:t xml:space="preserve">Classical Christology asserts one person with divine and human natures.</x:t>
        </x:is>
      </x:c>
      <x:c r="F234" s="12" t="n"/>
      <x:c r="G234" s="12" t="n"/>
      <x:c r="H234" s="12" t="n"/>
      <x:c r="I234" s="12" t="n"/>
      <x:c r="J234" s="12" t="n"/>
      <x:c r="K234" s="12" t="n"/>
      <x:c r="L234" s="12" t="n"/>
      <x:c r="M234" s="12" t="n"/>
      <x:c r="N234" s="12" t="n"/>
      <x:c r="O234" s="12" t="n"/>
      <x:c r="P234" s="12" t="n"/>
      <x:c r="Q234" s="12" t="n"/>
      <x:c r="R234" s="12" t="inlineStr">
        <x:is>
          <x:t xml:space="preserve">Not started</x:t>
        </x:is>
      </x:c>
      <x:c r="S234" s="12" t="n"/>
      <x:c r="T234" s="12" t="n"/>
      <x:c r="U234" s="12" t="n">
        <x:v>447</x:v>
      </x:c>
    </x:row>
    <x:row r="235">
      <x:c r="A235" s="13" t="inlineStr">
        <x:is>
          <x:t xml:space="preserve">INC-0020</x:t>
        </x:is>
      </x:c>
      <x:c r="B235" s="12" t="inlineStr">
        <x:is>
          <x:t xml:space="preserve">XVI</x:t>
        </x:is>
      </x:c>
      <x:c r="C235" s="12" t="inlineStr">
        <x:is>
          <x:t xml:space="preserve">INC</x:t>
        </x:is>
      </x:c>
      <x:c r="D235" s="12" t="inlineStr">
        <x:is>
          <x:t xml:space="preserve">Incarnation and Christology</x:t>
        </x:is>
      </x:c>
      <x:c r="E235" s="12" t="inlineStr">
        <x:is>
          <x:t xml:space="preserve">It does not assert that one nature is both finite and infinite in the same respect.</x:t>
        </x:is>
      </x:c>
      <x:c r="F235" s="12" t="n"/>
      <x:c r="G235" s="12" t="n"/>
      <x:c r="H235" s="12" t="n"/>
      <x:c r="I235" s="12" t="n"/>
      <x:c r="J235" s="12" t="n"/>
      <x:c r="K235" s="12" t="n"/>
      <x:c r="L235" s="12" t="n"/>
      <x:c r="M235" s="12" t="n"/>
      <x:c r="N235" s="12" t="n"/>
      <x:c r="O235" s="12" t="n"/>
      <x:c r="P235" s="12" t="n"/>
      <x:c r="Q235" s="12" t="n"/>
      <x:c r="R235" s="12" t="inlineStr">
        <x:is>
          <x:t xml:space="preserve">Not started</x:t>
        </x:is>
      </x:c>
      <x:c r="S235" s="12" t="n"/>
      <x:c r="T235" s="12" t="n"/>
      <x:c r="U235" s="12" t="n">
        <x:v>448</x:v>
      </x:c>
    </x:row>
    <x:row r="236">
      <x:c r="A236" s="13" t="inlineStr">
        <x:is>
          <x:t xml:space="preserve">INC-0030</x:t>
        </x:is>
      </x:c>
      <x:c r="B236" s="12" t="inlineStr">
        <x:is>
          <x:t xml:space="preserve">XVI</x:t>
        </x:is>
      </x:c>
      <x:c r="C236" s="12" t="inlineStr">
        <x:is>
          <x:t xml:space="preserve">INC</x:t>
        </x:is>
      </x:c>
      <x:c r="D236" s="12" t="inlineStr">
        <x:is>
          <x:t xml:space="preserve">Incarnation and Christology</x:t>
        </x:is>
      </x:c>
      <x:c r="E236" s="12" t="inlineStr">
        <x:is>
          <x:t xml:space="preserve">Predication about Christ requires distinction between person and nature.</x:t>
        </x:is>
      </x:c>
      <x:c r="F236" s="12" t="n"/>
      <x:c r="G236" s="12" t="n"/>
      <x:c r="H236" s="12" t="n"/>
      <x:c r="I236" s="12" t="n"/>
      <x:c r="J236" s="12" t="n"/>
      <x:c r="K236" s="12" t="n"/>
      <x:c r="L236" s="12" t="n"/>
      <x:c r="M236" s="12" t="n"/>
      <x:c r="N236" s="12" t="n"/>
      <x:c r="O236" s="12" t="n"/>
      <x:c r="P236" s="12" t="n"/>
      <x:c r="Q236" s="12" t="n"/>
      <x:c r="R236" s="12" t="inlineStr">
        <x:is>
          <x:t xml:space="preserve">Not started</x:t>
        </x:is>
      </x:c>
      <x:c r="S236" s="12" t="n"/>
      <x:c r="T236" s="12" t="n"/>
      <x:c r="U236" s="12" t="n">
        <x:v>449</x:v>
      </x:c>
    </x:row>
    <x:row r="237">
      <x:c r="A237" s="13" t="inlineStr">
        <x:is>
          <x:t xml:space="preserve">INC-0040</x:t>
        </x:is>
      </x:c>
      <x:c r="B237" s="12" t="inlineStr">
        <x:is>
          <x:t xml:space="preserve">XVI</x:t>
        </x:is>
      </x:c>
      <x:c r="C237" s="12" t="inlineStr">
        <x:is>
          <x:t xml:space="preserve">INC</x:t>
        </x:is>
      </x:c>
      <x:c r="D237" s="12" t="inlineStr">
        <x:is>
          <x:t xml:space="preserve">Incarnation and Christology</x:t>
        </x:is>
      </x:c>
      <x:c r="E237" s="12" t="inlineStr">
        <x:is>
          <x:t xml:space="preserve">Divine immutability and incarnation require a model of relational or assumed-human change.</x:t>
        </x:is>
      </x:c>
      <x:c r="F237" s="12" t="n"/>
      <x:c r="G237" s="12" t="n"/>
      <x:c r="H237" s="12" t="n"/>
      <x:c r="I237" s="12" t="n"/>
      <x:c r="J237" s="12" t="n"/>
      <x:c r="K237" s="12" t="n"/>
      <x:c r="L237" s="12" t="n"/>
      <x:c r="M237" s="12" t="n"/>
      <x:c r="N237" s="12" t="n"/>
      <x:c r="O237" s="12" t="n"/>
      <x:c r="P237" s="12" t="n"/>
      <x:c r="Q237" s="12" t="n"/>
      <x:c r="R237" s="12" t="inlineStr">
        <x:is>
          <x:t xml:space="preserve">Not started</x:t>
        </x:is>
      </x:c>
      <x:c r="S237" s="12" t="n"/>
      <x:c r="T237" s="12" t="n"/>
      <x:c r="U237" s="12" t="n">
        <x:v>450</x:v>
      </x:c>
    </x:row>
    <x:row r="238">
      <x:c r="A238" s="13" t="inlineStr">
        <x:is>
          <x:t xml:space="preserve">INC-0050</x:t>
        </x:is>
      </x:c>
      <x:c r="B238" s="12" t="inlineStr">
        <x:is>
          <x:t xml:space="preserve">XVI</x:t>
        </x:is>
      </x:c>
      <x:c r="C238" s="12" t="inlineStr">
        <x:is>
          <x:t xml:space="preserve">INC</x:t>
        </x:is>
      </x:c>
      <x:c r="D238" s="12" t="inlineStr">
        <x:is>
          <x:t xml:space="preserve">Incarnation and Christology</x:t>
        </x:is>
      </x:c>
      <x:c r="E238" s="12" t="inlineStr">
        <x:is>
          <x:t xml:space="preserve">Jesus’ human limitations do not automatically disprove divine identity under a two-natures model.</x:t>
        </x:is>
      </x:c>
      <x:c r="F238" s="12" t="n"/>
      <x:c r="G238" s="12" t="n"/>
      <x:c r="H238" s="12" t="n"/>
      <x:c r="I238" s="12" t="n"/>
      <x:c r="J238" s="12" t="n"/>
      <x:c r="K238" s="12" t="n"/>
      <x:c r="L238" s="12" t="n"/>
      <x:c r="M238" s="12" t="n"/>
      <x:c r="N238" s="12" t="n"/>
      <x:c r="O238" s="12" t="n"/>
      <x:c r="P238" s="12" t="n"/>
      <x:c r="Q238" s="12" t="n"/>
      <x:c r="R238" s="12" t="inlineStr">
        <x:is>
          <x:t xml:space="preserve">Not started</x:t>
        </x:is>
      </x:c>
      <x:c r="S238" s="12" t="n"/>
      <x:c r="T238" s="12" t="n"/>
      <x:c r="U238" s="12" t="n">
        <x:v>452</x:v>
      </x:c>
    </x:row>
    <x:row r="239" ht="28.799999237060547" customHeight="1">
      <x:c r="A239" s="13" t="inlineStr">
        <x:is>
          <x:t xml:space="preserve">INC-0060</x:t>
        </x:is>
      </x:c>
      <x:c r="B239" s="12" t="inlineStr">
        <x:is>
          <x:t xml:space="preserve">XVI</x:t>
        </x:is>
      </x:c>
      <x:c r="C239" s="12" t="inlineStr">
        <x:is>
          <x:t xml:space="preserve">INC</x:t>
        </x:is>
      </x:c>
      <x:c r="D239" s="12" t="inlineStr">
        <x:is>
          <x:t xml:space="preserve">Incarnation and Christology</x:t>
        </x:is>
      </x:c>
      <x:c r="E239" s="12" t="inlineStr">
        <x:is>
          <x:t xml:space="preserve">Temptation can be meaningful even where sinlessness is affirmed, depending on the account of freedom.</x:t>
        </x:is>
      </x:c>
      <x:c r="F239" s="12" t="n"/>
      <x:c r="G239" s="12" t="n"/>
      <x:c r="H239" s="12" t="n"/>
      <x:c r="I239" s="12" t="n"/>
      <x:c r="J239" s="12" t="n"/>
      <x:c r="K239" s="12" t="n"/>
      <x:c r="L239" s="12" t="n"/>
      <x:c r="M239" s="12" t="n"/>
      <x:c r="N239" s="12" t="n"/>
      <x:c r="O239" s="12" t="n"/>
      <x:c r="P239" s="12" t="n"/>
      <x:c r="Q239" s="12" t="n"/>
      <x:c r="R239" s="12" t="inlineStr">
        <x:is>
          <x:t xml:space="preserve">Not started</x:t>
        </x:is>
      </x:c>
      <x:c r="S239" s="12" t="n"/>
      <x:c r="T239" s="12" t="n"/>
      <x:c r="U239" s="12" t="n">
        <x:v>453</x:v>
      </x:c>
    </x:row>
    <x:row r="240">
      <x:c r="A240" s="13" t="inlineStr">
        <x:is>
          <x:t xml:space="preserve">INC-0070</x:t>
        </x:is>
      </x:c>
      <x:c r="B240" s="12" t="inlineStr">
        <x:is>
          <x:t xml:space="preserve">XVI</x:t>
        </x:is>
      </x:c>
      <x:c r="C240" s="12" t="inlineStr">
        <x:is>
          <x:t xml:space="preserve">INC</x:t>
        </x:is>
      </x:c>
      <x:c r="D240" s="12" t="inlineStr">
        <x:is>
          <x:t xml:space="preserve">Incarnation and Christology</x:t>
        </x:is>
      </x:c>
      <x:c r="E240" s="12" t="inlineStr">
        <x:is>
          <x:t xml:space="preserve">Christological doctrine developed in response to competing interpretations.</x:t>
        </x:is>
      </x:c>
      <x:c r="F240" s="12" t="n"/>
      <x:c r="G240" s="12" t="n"/>
      <x:c r="H240" s="12" t="n"/>
      <x:c r="I240" s="12" t="n"/>
      <x:c r="J240" s="12" t="n"/>
      <x:c r="K240" s="12" t="n"/>
      <x:c r="L240" s="12" t="n"/>
      <x:c r="M240" s="12" t="n"/>
      <x:c r="N240" s="12" t="n"/>
      <x:c r="O240" s="12" t="n"/>
      <x:c r="P240" s="12" t="n"/>
      <x:c r="Q240" s="12" t="n"/>
      <x:c r="R240" s="12" t="inlineStr">
        <x:is>
          <x:t xml:space="preserve">Not started</x:t>
        </x:is>
      </x:c>
      <x:c r="S240" s="12" t="n"/>
      <x:c r="T240" s="12" t="n"/>
      <x:c r="U240" s="12" t="n">
        <x:v>454</x:v>
      </x:c>
    </x:row>
    <x:row r="241">
      <x:c r="A241" s="13" t="inlineStr">
        <x:is>
          <x:t xml:space="preserve">INC-0080</x:t>
        </x:is>
      </x:c>
      <x:c r="B241" s="12" t="inlineStr">
        <x:is>
          <x:t xml:space="preserve">XVI</x:t>
        </x:is>
      </x:c>
      <x:c r="C241" s="12" t="inlineStr">
        <x:is>
          <x:t xml:space="preserve">INC</x:t>
        </x:is>
      </x:c>
      <x:c r="D241" s="12" t="inlineStr">
        <x:is>
          <x:t xml:space="preserve">Incarnation and Christology</x:t>
        </x:is>
      </x:c>
      <x:c r="E241" s="12" t="inlineStr">
        <x:is>
          <x:t xml:space="preserve">Chalcedonian terminology seeks to exclude confusion, change, division, and separation.</x:t>
        </x:is>
      </x:c>
      <x:c r="F241" s="12" t="n"/>
      <x:c r="G241" s="12" t="n"/>
      <x:c r="H241" s="12" t="n"/>
      <x:c r="I241" s="12" t="n"/>
      <x:c r="J241" s="12" t="n"/>
      <x:c r="K241" s="12" t="n"/>
      <x:c r="L241" s="12" t="n"/>
      <x:c r="M241" s="12" t="n"/>
      <x:c r="N241" s="12" t="n"/>
      <x:c r="O241" s="12" t="n"/>
      <x:c r="P241" s="12" t="n"/>
      <x:c r="Q241" s="12" t="n"/>
      <x:c r="R241" s="12" t="inlineStr">
        <x:is>
          <x:t xml:space="preserve">Not started</x:t>
        </x:is>
      </x:c>
      <x:c r="S241" s="12" t="n"/>
      <x:c r="T241" s="12" t="n"/>
      <x:c r="U241" s="12" t="n">
        <x:v>455</x:v>
      </x:c>
    </x:row>
    <x:row r="242">
      <x:c r="A242" s="13" t="inlineStr">
        <x:is>
          <x:t xml:space="preserve">INC-0090</x:t>
        </x:is>
      </x:c>
      <x:c r="B242" s="12" t="inlineStr">
        <x:is>
          <x:t xml:space="preserve">XVI</x:t>
        </x:is>
      </x:c>
      <x:c r="C242" s="12" t="inlineStr">
        <x:is>
          <x:t xml:space="preserve">INC</x:t>
        </x:is>
      </x:c>
      <x:c r="D242" s="12" t="inlineStr">
        <x:is>
          <x:t xml:space="preserve">Incarnation and Christology</x:t>
        </x:is>
      </x:c>
      <x:c r="E242" s="12" t="inlineStr">
        <x:is>
          <x:t xml:space="preserve">Logical coherence is not identical to historical truth.</x:t>
        </x:is>
      </x:c>
      <x:c r="F242" s="12" t="n"/>
      <x:c r="G242" s="12" t="n"/>
      <x:c r="H242" s="12" t="n"/>
      <x:c r="I242" s="12" t="n"/>
      <x:c r="J242" s="12" t="n"/>
      <x:c r="K242" s="12" t="n"/>
      <x:c r="L242" s="12" t="n"/>
      <x:c r="M242" s="12" t="n"/>
      <x:c r="N242" s="12" t="n"/>
      <x:c r="O242" s="12" t="n"/>
      <x:c r="P242" s="12" t="n"/>
      <x:c r="Q242" s="12" t="n"/>
      <x:c r="R242" s="12" t="inlineStr">
        <x:is>
          <x:t xml:space="preserve">Not started</x:t>
        </x:is>
      </x:c>
      <x:c r="S242" s="12" t="n"/>
      <x:c r="T242" s="12" t="n"/>
      <x:c r="U242" s="12" t="n">
        <x:v>456</x:v>
      </x:c>
    </x:row>
    <x:row r="243">
      <x:c r="A243" s="13" t="inlineStr">
        <x:is>
          <x:t xml:space="preserve">INC-0100</x:t>
        </x:is>
      </x:c>
      <x:c r="B243" s="12" t="inlineStr">
        <x:is>
          <x:t xml:space="preserve">XVI</x:t>
        </x:is>
      </x:c>
      <x:c r="C243" s="12" t="inlineStr">
        <x:is>
          <x:t xml:space="preserve">INC</x:t>
        </x:is>
      </x:c>
      <x:c r="D243" s="12" t="inlineStr">
        <x:is>
          <x:t xml:space="preserve">Incarnation and Christology</x:t>
        </x:is>
      </x:c>
      <x:c r="E243" s="12" t="inlineStr">
        <x:is>
          <x:t xml:space="preserve">The incarnation may connect divine transcendence and human accessibility.</x:t>
        </x:is>
      </x:c>
      <x:c r="F243" s="12" t="n"/>
      <x:c r="G243" s="12" t="n"/>
      <x:c r="H243" s="12" t="n"/>
      <x:c r="I243" s="12" t="n"/>
      <x:c r="J243" s="12" t="n"/>
      <x:c r="K243" s="12" t="n"/>
      <x:c r="L243" s="12" t="n"/>
      <x:c r="M243" s="12" t="n"/>
      <x:c r="N243" s="12" t="n"/>
      <x:c r="O243" s="12" t="n"/>
      <x:c r="P243" s="12" t="n"/>
      <x:c r="Q243" s="12" t="n"/>
      <x:c r="R243" s="12" t="inlineStr">
        <x:is>
          <x:t xml:space="preserve">Not started</x:t>
        </x:is>
      </x:c>
      <x:c r="S243" s="12" t="n"/>
      <x:c r="T243" s="12" t="n"/>
      <x:c r="U243" s="12" t="n">
        <x:v>457</x:v>
      </x:c>
    </x:row>
    <x:row r="244">
      <x:c r="A244" s="13" t="inlineStr">
        <x:is>
          <x:t xml:space="preserve">INC-0110</x:t>
        </x:is>
      </x:c>
      <x:c r="B244" s="12" t="inlineStr">
        <x:is>
          <x:t xml:space="preserve">XVI</x:t>
        </x:is>
      </x:c>
      <x:c r="C244" s="12" t="inlineStr">
        <x:is>
          <x:t xml:space="preserve">INC</x:t>
        </x:is>
      </x:c>
      <x:c r="D244" s="12" t="inlineStr">
        <x:is>
          <x:t xml:space="preserve">Incarnation and Christology</x:t>
        </x:is>
      </x:c>
      <x:c r="E244" s="12" t="inlineStr">
        <x:is>
          <x:t xml:space="preserve">Atonement theories depend on Christological assumptions.</x:t>
        </x:is>
      </x:c>
      <x:c r="F244" s="12" t="n"/>
      <x:c r="G244" s="12" t="n"/>
      <x:c r="H244" s="12" t="n"/>
      <x:c r="I244" s="12" t="n"/>
      <x:c r="J244" s="12" t="n"/>
      <x:c r="K244" s="12" t="n"/>
      <x:c r="L244" s="12" t="n"/>
      <x:c r="M244" s="12" t="n"/>
      <x:c r="N244" s="12" t="n"/>
      <x:c r="O244" s="12" t="n"/>
      <x:c r="P244" s="12" t="n"/>
      <x:c r="Q244" s="12" t="n"/>
      <x:c r="R244" s="12" t="inlineStr">
        <x:is>
          <x:t xml:space="preserve">Not started</x:t>
        </x:is>
      </x:c>
      <x:c r="S244" s="12" t="n"/>
      <x:c r="T244" s="12" t="n"/>
      <x:c r="U244" s="12" t="n">
        <x:v>458</x:v>
      </x:c>
    </x:row>
    <x:row r="245">
      <x:c r="A245" s="13" t="inlineStr">
        <x:is>
          <x:t xml:space="preserve">SIN-0010</x:t>
        </x:is>
      </x:c>
      <x:c r="B245" s="12" t="inlineStr">
        <x:is>
          <x:t xml:space="preserve">XVII</x:t>
        </x:is>
      </x:c>
      <x:c r="C245" s="12" t="inlineStr">
        <x:is>
          <x:t xml:space="preserve">SIN</x:t>
        </x:is>
      </x:c>
      <x:c r="D245" s="12" t="inlineStr">
        <x:is>
          <x:t xml:space="preserve">Sin, freedom, and human nature</x:t>
        </x:is>
      </x:c>
      <x:c r="E245" s="12" t="inlineStr">
        <x:is>
          <x:t xml:space="preserve">Moral responsibility requires some meaningful relation between agency and action.</x:t>
        </x:is>
      </x:c>
      <x:c r="F245" s="12" t="n"/>
      <x:c r="G245" s="12" t="n"/>
      <x:c r="H245" s="12" t="n"/>
      <x:c r="I245" s="12" t="n"/>
      <x:c r="J245" s="12" t="n"/>
      <x:c r="K245" s="12" t="n"/>
      <x:c r="L245" s="12" t="n"/>
      <x:c r="M245" s="12" t="n"/>
      <x:c r="N245" s="12" t="n"/>
      <x:c r="O245" s="12" t="n"/>
      <x:c r="P245" s="12" t="n"/>
      <x:c r="Q245" s="12" t="n"/>
      <x:c r="R245" s="12" t="inlineStr">
        <x:is>
          <x:t xml:space="preserve">Not started</x:t>
        </x:is>
      </x:c>
      <x:c r="S245" s="12" t="n"/>
      <x:c r="T245" s="12" t="n"/>
      <x:c r="U245" s="12" t="n">
        <x:v>464</x:v>
      </x:c>
    </x:row>
    <x:row r="246">
      <x:c r="A246" s="13" t="inlineStr">
        <x:is>
          <x:t xml:space="preserve">SIN-0020</x:t>
        </x:is>
      </x:c>
      <x:c r="B246" s="12" t="inlineStr">
        <x:is>
          <x:t xml:space="preserve">XVII</x:t>
        </x:is>
      </x:c>
      <x:c r="C246" s="12" t="inlineStr">
        <x:is>
          <x:t xml:space="preserve">SIN</x:t>
        </x:is>
      </x:c>
      <x:c r="D246" s="12" t="inlineStr">
        <x:is>
          <x:t xml:space="preserve">Sin, freedom, and human nature</x:t>
        </x:is>
      </x:c>
      <x:c r="E246" s="12" t="inlineStr">
        <x:is>
          <x:t xml:space="preserve">Libertarian, compatibilist, and sourcehood accounts of freedom differ.</x:t>
        </x:is>
      </x:c>
      <x:c r="F246" s="12" t="n"/>
      <x:c r="G246" s="12" t="n"/>
      <x:c r="H246" s="12" t="n"/>
      <x:c r="I246" s="12" t="n"/>
      <x:c r="J246" s="12" t="n"/>
      <x:c r="K246" s="12" t="n"/>
      <x:c r="L246" s="12" t="n"/>
      <x:c r="M246" s="12" t="n"/>
      <x:c r="N246" s="12" t="n"/>
      <x:c r="O246" s="12" t="n"/>
      <x:c r="P246" s="12" t="n"/>
      <x:c r="Q246" s="12" t="n"/>
      <x:c r="R246" s="12" t="inlineStr">
        <x:is>
          <x:t xml:space="preserve">Not started</x:t>
        </x:is>
      </x:c>
      <x:c r="S246" s="12" t="n"/>
      <x:c r="T246" s="12" t="n"/>
      <x:c r="U246" s="12" t="n">
        <x:v>465</x:v>
      </x:c>
    </x:row>
    <x:row r="247">
      <x:c r="A247" s="13" t="inlineStr">
        <x:is>
          <x:t xml:space="preserve">SIN-0030</x:t>
        </x:is>
      </x:c>
      <x:c r="B247" s="12" t="inlineStr">
        <x:is>
          <x:t xml:space="preserve">XVII</x:t>
        </x:is>
      </x:c>
      <x:c r="C247" s="12" t="inlineStr">
        <x:is>
          <x:t xml:space="preserve">SIN</x:t>
        </x:is>
      </x:c>
      <x:c r="D247" s="12" t="inlineStr">
        <x:is>
          <x:t xml:space="preserve">Sin, freedom, and human nature</x:t>
        </x:is>
      </x:c>
      <x:c r="E247" s="12" t="inlineStr">
        <x:is>
          <x:t xml:space="preserve">Original sin has multiple theological models.</x:t>
        </x:is>
      </x:c>
      <x:c r="F247" s="12" t="n"/>
      <x:c r="G247" s="12" t="n"/>
      <x:c r="H247" s="12" t="n"/>
      <x:c r="I247" s="12" t="n"/>
      <x:c r="J247" s="12" t="n"/>
      <x:c r="K247" s="12" t="n"/>
      <x:c r="L247" s="12" t="n"/>
      <x:c r="M247" s="12" t="n"/>
      <x:c r="N247" s="12" t="n"/>
      <x:c r="O247" s="12" t="n"/>
      <x:c r="P247" s="12" t="n"/>
      <x:c r="Q247" s="12" t="n"/>
      <x:c r="R247" s="12" t="inlineStr">
        <x:is>
          <x:t xml:space="preserve">Not started</x:t>
        </x:is>
      </x:c>
      <x:c r="S247" s="12" t="n"/>
      <x:c r="T247" s="12" t="n"/>
      <x:c r="U247" s="12" t="n">
        <x:v>466</x:v>
      </x:c>
    </x:row>
    <x:row r="248" ht="28.799999237060547" customHeight="1">
      <x:c r="A248" s="13" t="inlineStr">
        <x:is>
          <x:t xml:space="preserve">SIN-0040</x:t>
        </x:is>
      </x:c>
      <x:c r="B248" s="12" t="inlineStr">
        <x:is>
          <x:t xml:space="preserve">XVII</x:t>
        </x:is>
      </x:c>
      <x:c r="C248" s="12" t="inlineStr">
        <x:is>
          <x:t xml:space="preserve">SIN</x:t>
        </x:is>
      </x:c>
      <x:c r="D248" s="12" t="inlineStr">
        <x:is>
          <x:t xml:space="preserve">Sin, freedom, and human nature</x:t>
        </x:is>
      </x:c>
      <x:c r="E248" s="12" t="inlineStr">
        <x:is>
          <x:t xml:space="preserve">Inherited guilt, inherited corruption, mortality, social sin, and solidarity in Adam must be distinguished.</x:t>
        </x:is>
      </x:c>
      <x:c r="F248" s="12" t="n"/>
      <x:c r="G248" s="12" t="n"/>
      <x:c r="H248" s="12" t="n"/>
      <x:c r="I248" s="12" t="n"/>
      <x:c r="J248" s="12" t="n"/>
      <x:c r="K248" s="12" t="n"/>
      <x:c r="L248" s="12" t="n"/>
      <x:c r="M248" s="12" t="n"/>
      <x:c r="N248" s="12" t="n"/>
      <x:c r="O248" s="12" t="n"/>
      <x:c r="P248" s="12" t="n"/>
      <x:c r="Q248" s="12" t="n"/>
      <x:c r="R248" s="12" t="inlineStr">
        <x:is>
          <x:t xml:space="preserve">Not started</x:t>
        </x:is>
      </x:c>
      <x:c r="S248" s="12" t="n"/>
      <x:c r="T248" s="12" t="n"/>
      <x:c r="U248" s="12" t="n">
        <x:v>467</x:v>
      </x:c>
    </x:row>
    <x:row r="249">
      <x:c r="A249" s="13" t="inlineStr">
        <x:is>
          <x:t xml:space="preserve">SIN-0050</x:t>
        </x:is>
      </x:c>
      <x:c r="B249" s="12" t="inlineStr">
        <x:is>
          <x:t xml:space="preserve">XVII</x:t>
        </x:is>
      </x:c>
      <x:c r="C249" s="12" t="inlineStr">
        <x:is>
          <x:t xml:space="preserve">SIN</x:t>
        </x:is>
      </x:c>
      <x:c r="D249" s="12" t="inlineStr">
        <x:is>
          <x:t xml:space="preserve">Sin, freedom, and human nature</x:t>
        </x:is>
      </x:c>
      <x:c r="E249" s="12" t="inlineStr">
        <x:is>
          <x:t xml:space="preserve">Human depravity does not entail that every person is maximally evil.</x:t>
        </x:is>
      </x:c>
      <x:c r="F249" s="12" t="n"/>
      <x:c r="G249" s="12" t="n"/>
      <x:c r="H249" s="12" t="n"/>
      <x:c r="I249" s="12" t="n"/>
      <x:c r="J249" s="12" t="n"/>
      <x:c r="K249" s="12" t="n"/>
      <x:c r="L249" s="12" t="n"/>
      <x:c r="M249" s="12" t="n"/>
      <x:c r="N249" s="12" t="n"/>
      <x:c r="O249" s="12" t="n"/>
      <x:c r="P249" s="12" t="n"/>
      <x:c r="Q249" s="12" t="n"/>
      <x:c r="R249" s="12" t="inlineStr">
        <x:is>
          <x:t xml:space="preserve">Not started</x:t>
        </x:is>
      </x:c>
      <x:c r="S249" s="12" t="n"/>
      <x:c r="T249" s="12" t="n"/>
      <x:c r="U249" s="12" t="n">
        <x:v>468</x:v>
      </x:c>
    </x:row>
    <x:row r="250">
      <x:c r="A250" s="13" t="inlineStr">
        <x:is>
          <x:t xml:space="preserve">SIN-0060</x:t>
        </x:is>
      </x:c>
      <x:c r="B250" s="12" t="inlineStr">
        <x:is>
          <x:t xml:space="preserve">XVII</x:t>
        </x:is>
      </x:c>
      <x:c r="C250" s="12" t="inlineStr">
        <x:is>
          <x:t xml:space="preserve">SIN</x:t>
        </x:is>
      </x:c>
      <x:c r="D250" s="12" t="inlineStr">
        <x:is>
          <x:t xml:space="preserve">Sin, freedom, and human nature</x:t>
        </x:is>
      </x:c>
      <x:c r="E250" s="12" t="inlineStr">
        <x:is>
          <x:t xml:space="preserve">Christian traditions disagree about the extent of fallen human freedom.</x:t>
        </x:is>
      </x:c>
      <x:c r="F250" s="12" t="n"/>
      <x:c r="G250" s="12" t="n"/>
      <x:c r="H250" s="12" t="n"/>
      <x:c r="I250" s="12" t="n"/>
      <x:c r="J250" s="12" t="n"/>
      <x:c r="K250" s="12" t="n"/>
      <x:c r="L250" s="12" t="n"/>
      <x:c r="M250" s="12" t="n"/>
      <x:c r="N250" s="12" t="n"/>
      <x:c r="O250" s="12" t="n"/>
      <x:c r="P250" s="12" t="n"/>
      <x:c r="Q250" s="12" t="n"/>
      <x:c r="R250" s="12" t="inlineStr">
        <x:is>
          <x:t xml:space="preserve">Not started</x:t>
        </x:is>
      </x:c>
      <x:c r="S250" s="12" t="n"/>
      <x:c r="T250" s="12" t="n"/>
      <x:c r="U250" s="12" t="n">
        <x:v>469</x:v>
      </x:c>
    </x:row>
    <x:row r="251">
      <x:c r="A251" s="13" t="inlineStr">
        <x:is>
          <x:t xml:space="preserve">SIN-0070</x:t>
        </x:is>
      </x:c>
      <x:c r="B251" s="12" t="inlineStr">
        <x:is>
          <x:t xml:space="preserve">XVII</x:t>
        </x:is>
      </x:c>
      <x:c r="C251" s="12" t="inlineStr">
        <x:is>
          <x:t xml:space="preserve">SIN</x:t>
        </x:is>
      </x:c>
      <x:c r="D251" s="12" t="inlineStr">
        <x:is>
          <x:t xml:space="preserve">Sin, freedom, and human nature</x:t>
        </x:is>
      </x:c>
      <x:c r="E251" s="12" t="inlineStr">
        <x:is>
          <x:t xml:space="preserve">Sin may be understood as act, condition, power, relationship, and social structure.</x:t>
        </x:is>
      </x:c>
      <x:c r="F251" s="12" t="n"/>
      <x:c r="G251" s="12" t="n"/>
      <x:c r="H251" s="12" t="n"/>
      <x:c r="I251" s="12" t="n"/>
      <x:c r="J251" s="12" t="n"/>
      <x:c r="K251" s="12" t="n"/>
      <x:c r="L251" s="12" t="n"/>
      <x:c r="M251" s="12" t="n"/>
      <x:c r="N251" s="12" t="n"/>
      <x:c r="O251" s="12" t="n"/>
      <x:c r="P251" s="12" t="n"/>
      <x:c r="Q251" s="12" t="n"/>
      <x:c r="R251" s="12" t="inlineStr">
        <x:is>
          <x:t xml:space="preserve">Not started</x:t>
        </x:is>
      </x:c>
      <x:c r="S251" s="12" t="n"/>
      <x:c r="T251" s="12" t="n"/>
      <x:c r="U251" s="12" t="n">
        <x:v>470</x:v>
      </x:c>
    </x:row>
    <x:row r="252">
      <x:c r="A252" s="13" t="inlineStr">
        <x:is>
          <x:t xml:space="preserve">SIN-0080</x:t>
        </x:is>
      </x:c>
      <x:c r="B252" s="12" t="inlineStr">
        <x:is>
          <x:t xml:space="preserve">XVII</x:t>
        </x:is>
      </x:c>
      <x:c r="C252" s="12" t="inlineStr">
        <x:is>
          <x:t xml:space="preserve">SIN</x:t>
        </x:is>
      </x:c>
      <x:c r="D252" s="12" t="inlineStr">
        <x:is>
          <x:t xml:space="preserve">Sin, freedom, and human nature</x:t>
        </x:is>
      </x:c>
      <x:c r="E252" s="12" t="inlineStr">
        <x:is>
          <x:t xml:space="preserve">A doctrine of sin attempts to explain both individual wrongdoing and pervasive systemic disorder.</x:t>
        </x:is>
      </x:c>
      <x:c r="F252" s="12" t="n"/>
      <x:c r="G252" s="12" t="n"/>
      <x:c r="H252" s="12" t="n"/>
      <x:c r="I252" s="12" t="n"/>
      <x:c r="J252" s="12" t="n"/>
      <x:c r="K252" s="12" t="n"/>
      <x:c r="L252" s="12" t="n"/>
      <x:c r="M252" s="12" t="n"/>
      <x:c r="N252" s="12" t="n"/>
      <x:c r="O252" s="12" t="n"/>
      <x:c r="P252" s="12" t="n"/>
      <x:c r="Q252" s="12" t="n"/>
      <x:c r="R252" s="12" t="inlineStr">
        <x:is>
          <x:t xml:space="preserve">Not started</x:t>
        </x:is>
      </x:c>
      <x:c r="S252" s="12" t="n"/>
      <x:c r="T252" s="12" t="n"/>
      <x:c r="U252" s="12" t="n">
        <x:v>471</x:v>
      </x:c>
    </x:row>
    <x:row r="253" ht="28.799999237060547" customHeight="1">
      <x:c r="A253" s="13" t="inlineStr">
        <x:is>
          <x:t xml:space="preserve">SIN-0090</x:t>
        </x:is>
      </x:c>
      <x:c r="B253" s="12" t="inlineStr">
        <x:is>
          <x:t xml:space="preserve">XVII</x:t>
        </x:is>
      </x:c>
      <x:c r="C253" s="12" t="inlineStr">
        <x:is>
          <x:t xml:space="preserve">SIN</x:t>
        </x:is>
      </x:c>
      <x:c r="D253" s="12" t="inlineStr">
        <x:is>
          <x:t xml:space="preserve">Sin, freedom, and human nature</x:t>
        </x:is>
      </x:c>
      <x:c r="E253" s="12" t="inlineStr">
        <x:is>
          <x:t xml:space="preserve">Evolutionary accounts of human origins create challenges for some formulations of an ancestral Fall.</x:t>
        </x:is>
      </x:c>
      <x:c r="F253" s="12" t="n"/>
      <x:c r="G253" s="12" t="n"/>
      <x:c r="H253" s="12" t="n"/>
      <x:c r="I253" s="12" t="n"/>
      <x:c r="J253" s="12" t="n"/>
      <x:c r="K253" s="12" t="n"/>
      <x:c r="L253" s="12" t="n"/>
      <x:c r="M253" s="12" t="n"/>
      <x:c r="N253" s="12" t="n"/>
      <x:c r="O253" s="12" t="n"/>
      <x:c r="P253" s="12" t="n"/>
      <x:c r="Q253" s="12" t="n"/>
      <x:c r="R253" s="12" t="inlineStr">
        <x:is>
          <x:t xml:space="preserve">Not started</x:t>
        </x:is>
      </x:c>
      <x:c r="S253" s="12" t="n"/>
      <x:c r="T253" s="12" t="n"/>
      <x:c r="U253" s="12" t="n">
        <x:v>472</x:v>
      </x:c>
    </x:row>
    <x:row r="254">
      <x:c r="A254" s="13" t="inlineStr">
        <x:is>
          <x:t xml:space="preserve">SIN-0100</x:t>
        </x:is>
      </x:c>
      <x:c r="B254" s="12" t="inlineStr">
        <x:is>
          <x:t xml:space="preserve">XVII</x:t>
        </x:is>
      </x:c>
      <x:c r="C254" s="12" t="inlineStr">
        <x:is>
          <x:t xml:space="preserve">SIN</x:t>
        </x:is>
      </x:c>
      <x:c r="D254" s="12" t="inlineStr">
        <x:is>
          <x:t xml:space="preserve">Sin, freedom, and human nature</x:t>
        </x:is>
      </x:c>
      <x:c r="E254" s="12" t="inlineStr">
        <x:is>
          <x:t xml:space="preserve">Alternative models must be assessed for scriptural and doctrinal coherence.</x:t>
        </x:is>
      </x:c>
      <x:c r="F254" s="12" t="n"/>
      <x:c r="G254" s="12" t="n"/>
      <x:c r="H254" s="12" t="n"/>
      <x:c r="I254" s="12" t="n"/>
      <x:c r="J254" s="12" t="n"/>
      <x:c r="K254" s="12" t="n"/>
      <x:c r="L254" s="12" t="n"/>
      <x:c r="M254" s="12" t="n"/>
      <x:c r="N254" s="12" t="n"/>
      <x:c r="O254" s="12" t="n"/>
      <x:c r="P254" s="12" t="n"/>
      <x:c r="Q254" s="12" t="n"/>
      <x:c r="R254" s="12" t="inlineStr">
        <x:is>
          <x:t xml:space="preserve">Not started</x:t>
        </x:is>
      </x:c>
      <x:c r="S254" s="12" t="n"/>
      <x:c r="T254" s="12" t="n"/>
      <x:c r="U254" s="12" t="n">
        <x:v>473</x:v>
      </x:c>
    </x:row>
    <x:row r="255">
      <x:c r="A255" s="13" t="inlineStr">
        <x:is>
          <x:t xml:space="preserve">SIN-0110</x:t>
        </x:is>
      </x:c>
      <x:c r="B255" s="12" t="inlineStr">
        <x:is>
          <x:t xml:space="preserve">XVII</x:t>
        </x:is>
      </x:c>
      <x:c r="C255" s="12" t="inlineStr">
        <x:is>
          <x:t xml:space="preserve">SIN</x:t>
        </x:is>
      </x:c>
      <x:c r="D255" s="12" t="inlineStr">
        <x:is>
          <x:t xml:space="preserve">Sin, freedom, and human nature</x:t>
        </x:is>
      </x:c>
      <x:c r="E255" s="12" t="inlineStr">
        <x:is>
          <x:t xml:space="preserve">Divine foreknowledge and human freedom require separate treatment.</x:t>
        </x:is>
      </x:c>
      <x:c r="F255" s="12" t="n"/>
      <x:c r="G255" s="12" t="n"/>
      <x:c r="H255" s="12" t="n"/>
      <x:c r="I255" s="12" t="n"/>
      <x:c r="J255" s="12" t="n"/>
      <x:c r="K255" s="12" t="n"/>
      <x:c r="L255" s="12" t="n"/>
      <x:c r="M255" s="12" t="n"/>
      <x:c r="N255" s="12" t="n"/>
      <x:c r="O255" s="12" t="n"/>
      <x:c r="P255" s="12" t="n"/>
      <x:c r="Q255" s="12" t="n"/>
      <x:c r="R255" s="12" t="inlineStr">
        <x:is>
          <x:t xml:space="preserve">Not started</x:t>
        </x:is>
      </x:c>
      <x:c r="S255" s="12" t="n"/>
      <x:c r="T255" s="12" t="n"/>
      <x:c r="U255" s="12" t="n">
        <x:v>474</x:v>
      </x:c>
    </x:row>
    <x:row r="256">
      <x:c r="A256" s="13" t="inlineStr">
        <x:is>
          <x:t xml:space="preserve">SIN-0120</x:t>
        </x:is>
      </x:c>
      <x:c r="B256" s="12" t="inlineStr">
        <x:is>
          <x:t xml:space="preserve">XVII</x:t>
        </x:is>
      </x:c>
      <x:c r="C256" s="12" t="inlineStr">
        <x:is>
          <x:t xml:space="preserve">SIN</x:t>
        </x:is>
      </x:c>
      <x:c r="D256" s="12" t="inlineStr">
        <x:is>
          <x:t xml:space="preserve">Sin, freedom, and human nature</x:t>
        </x:is>
      </x:c>
      <x:c r="E256" s="12" t="inlineStr">
        <x:is>
          <x:t xml:space="preserve">Knowing an act does not obviously cause the act.</x:t>
        </x:is>
      </x:c>
      <x:c r="F256" s="12" t="n"/>
      <x:c r="G256" s="12" t="n"/>
      <x:c r="H256" s="12" t="n"/>
      <x:c r="I256" s="12" t="n"/>
      <x:c r="J256" s="12" t="n"/>
      <x:c r="K256" s="12" t="n"/>
      <x:c r="L256" s="12" t="n"/>
      <x:c r="M256" s="12" t="n"/>
      <x:c r="N256" s="12" t="n"/>
      <x:c r="O256" s="12" t="n"/>
      <x:c r="P256" s="12" t="n"/>
      <x:c r="Q256" s="12" t="n"/>
      <x:c r="R256" s="12" t="inlineStr">
        <x:is>
          <x:t xml:space="preserve">Not started</x:t>
        </x:is>
      </x:c>
      <x:c r="S256" s="12" t="n"/>
      <x:c r="T256" s="12" t="n"/>
      <x:c r="U256" s="12" t="n">
        <x:v>475</x:v>
      </x:c>
    </x:row>
    <x:row r="257">
      <x:c r="A257" s="13" t="inlineStr">
        <x:is>
          <x:t xml:space="preserve">SIN-0130</x:t>
        </x:is>
      </x:c>
      <x:c r="B257" s="12" t="inlineStr">
        <x:is>
          <x:t xml:space="preserve">XVII</x:t>
        </x:is>
      </x:c>
      <x:c r="C257" s="12" t="inlineStr">
        <x:is>
          <x:t xml:space="preserve">SIN</x:t>
        </x:is>
      </x:c>
      <x:c r="D257" s="12" t="inlineStr">
        <x:is>
          <x:t xml:space="preserve">Sin, freedom, and human nature</x:t>
        </x:is>
      </x:c>
      <x:c r="E257" s="12" t="inlineStr">
        <x:is>
          <x:t xml:space="preserve">Infallible foreknowledge and alternative possibilities generate a real modal problem.</x:t>
        </x:is>
      </x:c>
      <x:c r="F257" s="12" t="n"/>
      <x:c r="G257" s="12" t="n"/>
      <x:c r="H257" s="12" t="n"/>
      <x:c r="I257" s="12" t="n"/>
      <x:c r="J257" s="12" t="n"/>
      <x:c r="K257" s="12" t="n"/>
      <x:c r="L257" s="12" t="n"/>
      <x:c r="M257" s="12" t="n"/>
      <x:c r="N257" s="12" t="n"/>
      <x:c r="O257" s="12" t="n"/>
      <x:c r="P257" s="12" t="n"/>
      <x:c r="Q257" s="12" t="n"/>
      <x:c r="R257" s="12" t="inlineStr">
        <x:is>
          <x:t xml:space="preserve">Not started</x:t>
        </x:is>
      </x:c>
      <x:c r="S257" s="12" t="n"/>
      <x:c r="T257" s="12" t="n"/>
      <x:c r="U257" s="12" t="n">
        <x:v>476</x:v>
      </x:c>
    </x:row>
    <x:row r="258">
      <x:c r="A258" s="13" t="inlineStr">
        <x:is>
          <x:t xml:space="preserve">SIN-0140</x:t>
        </x:is>
      </x:c>
      <x:c r="B258" s="12" t="inlineStr">
        <x:is>
          <x:t xml:space="preserve">XVII</x:t>
        </x:is>
      </x:c>
      <x:c r="C258" s="12" t="inlineStr">
        <x:is>
          <x:t xml:space="preserve">SIN</x:t>
        </x:is>
      </x:c>
      <x:c r="D258" s="12" t="inlineStr">
        <x:is>
          <x:t xml:space="preserve">Sin, freedom, and human nature</x:t>
        </x:is>
      </x:c>
      <x:c r="E258" s="12" t="inlineStr">
        <x:is>
          <x:t xml:space="preserve">Molinist, Thomist, open-theist, simple-foreknowledge, and eternalist solutions differ.</x:t>
        </x:is>
      </x:c>
      <x:c r="F258" s="12" t="n"/>
      <x:c r="G258" s="12" t="n"/>
      <x:c r="H258" s="12" t="n"/>
      <x:c r="I258" s="12" t="n"/>
      <x:c r="J258" s="12" t="n"/>
      <x:c r="K258" s="12" t="n"/>
      <x:c r="L258" s="12" t="n"/>
      <x:c r="M258" s="12" t="n"/>
      <x:c r="N258" s="12" t="n"/>
      <x:c r="O258" s="12" t="n"/>
      <x:c r="P258" s="12" t="n"/>
      <x:c r="Q258" s="12" t="n"/>
      <x:c r="R258" s="12" t="inlineStr">
        <x:is>
          <x:t xml:space="preserve">Not started</x:t>
        </x:is>
      </x:c>
      <x:c r="S258" s="12" t="n"/>
      <x:c r="T258" s="12" t="n"/>
      <x:c r="U258" s="12" t="n">
        <x:v>477</x:v>
      </x:c>
    </x:row>
    <x:row r="259">
      <x:c r="A259" s="13" t="inlineStr">
        <x:is>
          <x:t xml:space="preserve">ATO-0010</x:t>
        </x:is>
      </x:c>
      <x:c r="B259" s="12" t="inlineStr">
        <x:is>
          <x:t xml:space="preserve">XVIII</x:t>
        </x:is>
      </x:c>
      <x:c r="C259" s="12" t="inlineStr">
        <x:is>
          <x:t xml:space="preserve">ATO</x:t>
        </x:is>
      </x:c>
      <x:c r="D259" s="12" t="inlineStr">
        <x:is>
          <x:t xml:space="preserve">Atonement and salvation</x:t>
        </x:is>
      </x:c>
      <x:c r="E259" s="12" t="inlineStr">
        <x:is>
          <x:t xml:space="preserve">The New Testament uses multiple salvation metaphors.</x:t>
        </x:is>
      </x:c>
      <x:c r="F259" s="12" t="n"/>
      <x:c r="G259" s="12" t="n"/>
      <x:c r="H259" s="12" t="n"/>
      <x:c r="I259" s="12" t="n"/>
      <x:c r="J259" s="12" t="n"/>
      <x:c r="K259" s="12" t="n"/>
      <x:c r="L259" s="12" t="n"/>
      <x:c r="M259" s="12" t="n"/>
      <x:c r="N259" s="12" t="n"/>
      <x:c r="O259" s="12" t="n"/>
      <x:c r="P259" s="12" t="n"/>
      <x:c r="Q259" s="12" t="n"/>
      <x:c r="R259" s="12" t="inlineStr">
        <x:is>
          <x:t xml:space="preserve">Not started</x:t>
        </x:is>
      </x:c>
      <x:c r="S259" s="12" t="n"/>
      <x:c r="T259" s="12" t="n"/>
      <x:c r="U259" s="12" t="n">
        <x:v>483</x:v>
      </x:c>
    </x:row>
    <x:row r="260" ht="28.799999237060547" customHeight="1">
      <x:c r="A260" s="13" t="inlineStr">
        <x:is>
          <x:t xml:space="preserve">ATO-0020</x:t>
        </x:is>
      </x:c>
      <x:c r="B260" s="12" t="inlineStr">
        <x:is>
          <x:t xml:space="preserve">XVIII</x:t>
        </x:is>
      </x:c>
      <x:c r="C260" s="12" t="inlineStr">
        <x:is>
          <x:t xml:space="preserve">ATO</x:t>
        </x:is>
      </x:c>
      <x:c r="D260" s="12" t="inlineStr">
        <x:is>
          <x:t xml:space="preserve">Atonement and salvation</x:t>
        </x:is>
      </x:c>
      <x:c r="E260" s="12" t="inlineStr">
        <x:is>
          <x:t xml:space="preserve">Penal substitution, Christus Victor, satisfaction, moral influence, recapitulation, ransom, participation, and governmental models are not necessarily mutually exclusive.</x:t>
        </x:is>
      </x:c>
      <x:c r="F260" s="12" t="n"/>
      <x:c r="G260" s="12" t="n"/>
      <x:c r="H260" s="12" t="n"/>
      <x:c r="I260" s="12" t="n"/>
      <x:c r="J260" s="12" t="n"/>
      <x:c r="K260" s="12" t="n"/>
      <x:c r="L260" s="12" t="n"/>
      <x:c r="M260" s="12" t="n"/>
      <x:c r="N260" s="12" t="n"/>
      <x:c r="O260" s="12" t="n"/>
      <x:c r="P260" s="12" t="n"/>
      <x:c r="Q260" s="12" t="n"/>
      <x:c r="R260" s="12" t="inlineStr">
        <x:is>
          <x:t xml:space="preserve">Not started</x:t>
        </x:is>
      </x:c>
      <x:c r="S260" s="12" t="n"/>
      <x:c r="T260" s="12" t="n"/>
      <x:c r="U260" s="12" t="n">
        <x:v>484</x:v>
      </x:c>
    </x:row>
    <x:row r="261">
      <x:c r="A261" s="13" t="inlineStr">
        <x:is>
          <x:t xml:space="preserve">ATO-0030</x:t>
        </x:is>
      </x:c>
      <x:c r="B261" s="12" t="inlineStr">
        <x:is>
          <x:t xml:space="preserve">XVIII</x:t>
        </x:is>
      </x:c>
      <x:c r="C261" s="12" t="inlineStr">
        <x:is>
          <x:t xml:space="preserve">ATO</x:t>
        </x:is>
      </x:c>
      <x:c r="D261" s="12" t="inlineStr">
        <x:is>
          <x:t xml:space="preserve">Atonement and salvation</x:t>
        </x:is>
      </x:c>
      <x:c r="E261" s="12" t="inlineStr">
        <x:is>
          <x:t xml:space="preserve">Punishment of an unwilling innocent differs morally from voluntary self-giving by a divine person.</x:t>
        </x:is>
      </x:c>
      <x:c r="F261" s="12" t="n"/>
      <x:c r="G261" s="12" t="n"/>
      <x:c r="H261" s="12" t="n"/>
      <x:c r="I261" s="12" t="n"/>
      <x:c r="J261" s="12" t="n"/>
      <x:c r="K261" s="12" t="n"/>
      <x:c r="L261" s="12" t="n"/>
      <x:c r="M261" s="12" t="n"/>
      <x:c r="N261" s="12" t="n"/>
      <x:c r="O261" s="12" t="n"/>
      <x:c r="P261" s="12" t="n"/>
      <x:c r="Q261" s="12" t="n"/>
      <x:c r="R261" s="12" t="inlineStr">
        <x:is>
          <x:t xml:space="preserve">Not started</x:t>
        </x:is>
      </x:c>
      <x:c r="S261" s="12" t="n"/>
      <x:c r="T261" s="12" t="n"/>
      <x:c r="U261" s="12" t="n">
        <x:v>485</x:v>
      </x:c>
    </x:row>
    <x:row r="262">
      <x:c r="A262" s="13" t="inlineStr">
        <x:is>
          <x:t xml:space="preserve">ATO-0040</x:t>
        </x:is>
      </x:c>
      <x:c r="B262" s="12" t="inlineStr">
        <x:is>
          <x:t xml:space="preserve">XVIII</x:t>
        </x:is>
      </x:c>
      <x:c r="C262" s="12" t="inlineStr">
        <x:is>
          <x:t xml:space="preserve">ATO</x:t>
        </x:is>
      </x:c>
      <x:c r="D262" s="12" t="inlineStr">
        <x:is>
          <x:t xml:space="preserve">Atonement and salvation</x:t>
        </x:is>
      </x:c>
      <x:c r="E262" s="12" t="inlineStr">
        <x:is>
          <x:t xml:space="preserve">Trinitarian unity is relevant to objections that the Father punishes an unrelated third party.</x:t>
        </x:is>
      </x:c>
      <x:c r="F262" s="12" t="n"/>
      <x:c r="G262" s="12" t="n"/>
      <x:c r="H262" s="12" t="n"/>
      <x:c r="I262" s="12" t="n"/>
      <x:c r="J262" s="12" t="n"/>
      <x:c r="K262" s="12" t="n"/>
      <x:c r="L262" s="12" t="n"/>
      <x:c r="M262" s="12" t="n"/>
      <x:c r="N262" s="12" t="n"/>
      <x:c r="O262" s="12" t="n"/>
      <x:c r="P262" s="12" t="n"/>
      <x:c r="Q262" s="12" t="n"/>
      <x:c r="R262" s="12" t="inlineStr">
        <x:is>
          <x:t xml:space="preserve">Not started</x:t>
        </x:is>
      </x:c>
      <x:c r="S262" s="12" t="n"/>
      <x:c r="T262" s="12" t="n"/>
      <x:c r="U262" s="12" t="n">
        <x:v>486</x:v>
      </x:c>
    </x:row>
    <x:row r="263">
      <x:c r="A263" s="13" t="inlineStr">
        <x:is>
          <x:t xml:space="preserve">ATO-0050</x:t>
        </x:is>
      </x:c>
      <x:c r="B263" s="12" t="inlineStr">
        <x:is>
          <x:t xml:space="preserve">XVIII</x:t>
        </x:is>
      </x:c>
      <x:c r="C263" s="12" t="inlineStr">
        <x:is>
          <x:t xml:space="preserve">ATO</x:t>
        </x:is>
      </x:c>
      <x:c r="D263" s="12" t="inlineStr">
        <x:is>
          <x:t xml:space="preserve">Atonement and salvation</x:t>
        </x:is>
      </x:c>
      <x:c r="E263" s="12" t="inlineStr">
        <x:is>
          <x:t xml:space="preserve">Forgiveness and satisfaction may be compatible under some theories of justice.</x:t>
        </x:is>
      </x:c>
      <x:c r="F263" s="12" t="n"/>
      <x:c r="G263" s="12" t="n"/>
      <x:c r="H263" s="12" t="n"/>
      <x:c r="I263" s="12" t="n"/>
      <x:c r="J263" s="12" t="n"/>
      <x:c r="K263" s="12" t="n"/>
      <x:c r="L263" s="12" t="n"/>
      <x:c r="M263" s="12" t="n"/>
      <x:c r="N263" s="12" t="n"/>
      <x:c r="O263" s="12" t="n"/>
      <x:c r="P263" s="12" t="n"/>
      <x:c r="Q263" s="12" t="n"/>
      <x:c r="R263" s="12" t="inlineStr">
        <x:is>
          <x:t xml:space="preserve">Not started</x:t>
        </x:is>
      </x:c>
      <x:c r="S263" s="12" t="n"/>
      <x:c r="T263" s="12" t="n"/>
      <x:c r="U263" s="12" t="n">
        <x:v>487</x:v>
      </x:c>
    </x:row>
    <x:row r="264" ht="28.799999237060547" customHeight="1">
      <x:c r="A264" s="13" t="inlineStr">
        <x:is>
          <x:t xml:space="preserve">ATO-0060</x:t>
        </x:is>
      </x:c>
      <x:c r="B264" s="12" t="inlineStr">
        <x:is>
          <x:t xml:space="preserve">XVIII</x:t>
        </x:is>
      </x:c>
      <x:c r="C264" s="12" t="inlineStr">
        <x:is>
          <x:t xml:space="preserve">ATO</x:t>
        </x:is>
      </x:c>
      <x:c r="D264" s="12" t="inlineStr">
        <x:is>
          <x:t xml:space="preserve">Atonement and salvation</x:t>
        </x:is>
      </x:c>
      <x:c r="E264" s="12" t="inlineStr">
        <x:is>
          <x:t xml:space="preserve">Atonement theories must explain divine forgiveness, justice, transformation, union, victory, and reconciliation.</x:t>
        </x:is>
      </x:c>
      <x:c r="F264" s="12" t="n"/>
      <x:c r="G264" s="12" t="n"/>
      <x:c r="H264" s="12" t="n"/>
      <x:c r="I264" s="12" t="n"/>
      <x:c r="J264" s="12" t="n"/>
      <x:c r="K264" s="12" t="n"/>
      <x:c r="L264" s="12" t="n"/>
      <x:c r="M264" s="12" t="n"/>
      <x:c r="N264" s="12" t="n"/>
      <x:c r="O264" s="12" t="n"/>
      <x:c r="P264" s="12" t="n"/>
      <x:c r="Q264" s="12" t="n"/>
      <x:c r="R264" s="12" t="inlineStr">
        <x:is>
          <x:t xml:space="preserve">Not started</x:t>
        </x:is>
      </x:c>
      <x:c r="S264" s="12" t="n"/>
      <x:c r="T264" s="12" t="n"/>
      <x:c r="U264" s="12" t="n">
        <x:v>488</x:v>
      </x:c>
    </x:row>
    <x:row r="265">
      <x:c r="A265" s="13" t="inlineStr">
        <x:is>
          <x:t xml:space="preserve">ATO-0070</x:t>
        </x:is>
      </x:c>
      <x:c r="B265" s="12" t="inlineStr">
        <x:is>
          <x:t xml:space="preserve">XVIII</x:t>
        </x:is>
      </x:c>
      <x:c r="C265" s="12" t="inlineStr">
        <x:is>
          <x:t xml:space="preserve">ATO</x:t>
        </x:is>
      </x:c>
      <x:c r="D265" s="12" t="inlineStr">
        <x:is>
          <x:t xml:space="preserve">Atonement and salvation</x:t>
        </x:is>
      </x:c>
      <x:c r="E265" s="12" t="inlineStr">
        <x:is>
          <x:t xml:space="preserve">Salvation by grace does not imply that conduct is irrelevant.</x:t>
        </x:is>
      </x:c>
      <x:c r="F265" s="12" t="n"/>
      <x:c r="G265" s="12" t="n"/>
      <x:c r="H265" s="12" t="n"/>
      <x:c r="I265" s="12" t="n"/>
      <x:c r="J265" s="12" t="n"/>
      <x:c r="K265" s="12" t="n"/>
      <x:c r="L265" s="12" t="n"/>
      <x:c r="M265" s="12" t="n"/>
      <x:c r="N265" s="12" t="n"/>
      <x:c r="O265" s="12" t="n"/>
      <x:c r="P265" s="12" t="n"/>
      <x:c r="Q265" s="12" t="n"/>
      <x:c r="R265" s="12" t="inlineStr">
        <x:is>
          <x:t xml:space="preserve">Not started</x:t>
        </x:is>
      </x:c>
      <x:c r="S265" s="12" t="n"/>
      <x:c r="T265" s="12" t="n"/>
      <x:c r="U265" s="12" t="n">
        <x:v>489</x:v>
      </x:c>
    </x:row>
    <x:row r="266">
      <x:c r="A266" s="13" t="inlineStr">
        <x:is>
          <x:t xml:space="preserve">ATO-0080</x:t>
        </x:is>
      </x:c>
      <x:c r="B266" s="12" t="inlineStr">
        <x:is>
          <x:t xml:space="preserve">XVIII</x:t>
        </x:is>
      </x:c>
      <x:c r="C266" s="12" t="inlineStr">
        <x:is>
          <x:t xml:space="preserve">ATO</x:t>
        </x:is>
      </x:c>
      <x:c r="D266" s="12" t="inlineStr">
        <x:is>
          <x:t xml:space="preserve">Atonement and salvation</x:t>
        </x:is>
      </x:c>
      <x:c r="E266" s="12" t="inlineStr">
        <x:is>
          <x:t xml:space="preserve">Faith and works disputes depend partly on definitions and covenantal frameworks.</x:t>
        </x:is>
      </x:c>
      <x:c r="F266" s="12" t="n"/>
      <x:c r="G266" s="12" t="n"/>
      <x:c r="H266" s="12" t="n"/>
      <x:c r="I266" s="12" t="n"/>
      <x:c r="J266" s="12" t="n"/>
      <x:c r="K266" s="12" t="n"/>
      <x:c r="L266" s="12" t="n"/>
      <x:c r="M266" s="12" t="n"/>
      <x:c r="N266" s="12" t="n"/>
      <x:c r="O266" s="12" t="n"/>
      <x:c r="P266" s="12" t="n"/>
      <x:c r="Q266" s="12" t="n"/>
      <x:c r="R266" s="12" t="inlineStr">
        <x:is>
          <x:t xml:space="preserve">Not started</x:t>
        </x:is>
      </x:c>
      <x:c r="S266" s="12" t="n"/>
      <x:c r="T266" s="12" t="n"/>
      <x:c r="U266" s="12" t="n">
        <x:v>490</x:v>
      </x:c>
    </x:row>
    <x:row r="267">
      <x:c r="A267" s="13" t="inlineStr">
        <x:is>
          <x:t xml:space="preserve">ATO-0090</x:t>
        </x:is>
      </x:c>
      <x:c r="B267" s="12" t="inlineStr">
        <x:is>
          <x:t xml:space="preserve">XVIII</x:t>
        </x:is>
      </x:c>
      <x:c r="C267" s="12" t="inlineStr">
        <x:is>
          <x:t xml:space="preserve">ATO</x:t>
        </x:is>
      </x:c>
      <x:c r="D267" s="12" t="inlineStr">
        <x:is>
          <x:t xml:space="preserve">Atonement and salvation</x:t>
        </x:is>
      </x:c>
      <x:c r="E267" s="12" t="inlineStr">
        <x:is>
          <x:t xml:space="preserve">Justification, sanctification, regeneration, adoption, reconciliation, and glorification are distinct.</x:t>
        </x:is>
      </x:c>
      <x:c r="F267" s="12" t="n"/>
      <x:c r="G267" s="12" t="n"/>
      <x:c r="H267" s="12" t="n"/>
      <x:c r="I267" s="12" t="n"/>
      <x:c r="J267" s="12" t="n"/>
      <x:c r="K267" s="12" t="n"/>
      <x:c r="L267" s="12" t="n"/>
      <x:c r="M267" s="12" t="n"/>
      <x:c r="N267" s="12" t="n"/>
      <x:c r="O267" s="12" t="n"/>
      <x:c r="P267" s="12" t="n"/>
      <x:c r="Q267" s="12" t="n"/>
      <x:c r="R267" s="12" t="inlineStr">
        <x:is>
          <x:t xml:space="preserve">Not started</x:t>
        </x:is>
      </x:c>
      <x:c r="S267" s="12" t="n"/>
      <x:c r="T267" s="12" t="n"/>
      <x:c r="U267" s="12" t="n">
        <x:v>491</x:v>
      </x:c>
    </x:row>
    <x:row r="268" ht="28.799999237060547" customHeight="1">
      <x:c r="A268" s="13" t="inlineStr">
        <x:is>
          <x:t xml:space="preserve">ATO-0100</x:t>
        </x:is>
      </x:c>
      <x:c r="B268" s="12" t="inlineStr">
        <x:is>
          <x:t xml:space="preserve">XVIII</x:t>
        </x:is>
      </x:c>
      <x:c r="C268" s="12" t="inlineStr">
        <x:is>
          <x:t xml:space="preserve">ATO</x:t>
        </x:is>
      </x:c>
      <x:c r="D268" s="12" t="inlineStr">
        <x:is>
          <x:t xml:space="preserve">Atonement and salvation</x:t>
        </x:is>
      </x:c>
      <x:c r="E268" s="12" t="inlineStr">
        <x:is>
          <x:t xml:space="preserve">Catholic, Orthodox, Lutheran, Reformed, Wesleyan, and other accounts require separate formal maps.</x:t>
        </x:is>
      </x:c>
      <x:c r="F268" s="12" t="n"/>
      <x:c r="G268" s="12" t="n"/>
      <x:c r="H268" s="12" t="n"/>
      <x:c r="I268" s="12" t="n"/>
      <x:c r="J268" s="12" t="n"/>
      <x:c r="K268" s="12" t="n"/>
      <x:c r="L268" s="12" t="n"/>
      <x:c r="M268" s="12" t="n"/>
      <x:c r="N268" s="12" t="n"/>
      <x:c r="O268" s="12" t="n"/>
      <x:c r="P268" s="12" t="n"/>
      <x:c r="Q268" s="12" t="n"/>
      <x:c r="R268" s="12" t="inlineStr">
        <x:is>
          <x:t xml:space="preserve">Not started</x:t>
        </x:is>
      </x:c>
      <x:c r="S268" s="12" t="n"/>
      <x:c r="T268" s="12" t="n"/>
      <x:c r="U268" s="12" t="n">
        <x:v>492</x:v>
      </x:c>
    </x:row>
    <x:row r="269" ht="28.799999237060547" customHeight="1">
      <x:c r="A269" s="13" t="inlineStr">
        <x:is>
          <x:t xml:space="preserve">ATO-0110</x:t>
        </x:is>
      </x:c>
      <x:c r="B269" s="12" t="inlineStr">
        <x:is>
          <x:t xml:space="preserve">XVIII</x:t>
        </x:is>
      </x:c>
      <x:c r="C269" s="12" t="inlineStr">
        <x:is>
          <x:t xml:space="preserve">ATO</x:t>
        </x:is>
      </x:c>
      <x:c r="D269" s="12" t="inlineStr">
        <x:is>
          <x:t xml:space="preserve">Atonement and salvation</x:t>
        </x:is>
      </x:c>
      <x:c r="E269" s="12" t="inlineStr">
        <x:is>
          <x:t xml:space="preserve">Universalism, conditional immortality, and eternal-conscious-punishment models should be distinguished.</x:t>
        </x:is>
      </x:c>
      <x:c r="F269" s="12" t="n"/>
      <x:c r="G269" s="12" t="n"/>
      <x:c r="H269" s="12" t="n"/>
      <x:c r="I269" s="12" t="n"/>
      <x:c r="J269" s="12" t="n"/>
      <x:c r="K269" s="12" t="n"/>
      <x:c r="L269" s="12" t="n"/>
      <x:c r="M269" s="12" t="n"/>
      <x:c r="N269" s="12" t="n"/>
      <x:c r="O269" s="12" t="n"/>
      <x:c r="P269" s="12" t="n"/>
      <x:c r="Q269" s="12" t="n"/>
      <x:c r="R269" s="12" t="inlineStr">
        <x:is>
          <x:t xml:space="preserve">Not started</x:t>
        </x:is>
      </x:c>
      <x:c r="S269" s="12" t="n"/>
      <x:c r="T269" s="12" t="n"/>
      <x:c r="U269" s="12" t="n">
        <x:v>493</x:v>
      </x:c>
    </x:row>
    <x:row r="270">
      <x:c r="A270" s="13" t="inlineStr">
        <x:is>
          <x:t xml:space="preserve">ATO-0120</x:t>
        </x:is>
      </x:c>
      <x:c r="B270" s="12" t="inlineStr">
        <x:is>
          <x:t xml:space="preserve">XVIII</x:t>
        </x:is>
      </x:c>
      <x:c r="C270" s="12" t="inlineStr">
        <x:is>
          <x:t xml:space="preserve">ATO</x:t>
        </x:is>
      </x:c>
      <x:c r="D270" s="12" t="inlineStr">
        <x:is>
          <x:t xml:space="preserve">Atonement and salvation</x:t>
        </x:is>
      </x:c>
      <x:c r="E270" s="12" t="inlineStr">
        <x:is>
          <x:t xml:space="preserve">Claims of exclusivity require analysis of revelation, responsibility, access, and divine justice.</x:t>
        </x:is>
      </x:c>
      <x:c r="F270" s="12" t="n"/>
      <x:c r="G270" s="12" t="n"/>
      <x:c r="H270" s="12" t="n"/>
      <x:c r="I270" s="12" t="n"/>
      <x:c r="J270" s="12" t="n"/>
      <x:c r="K270" s="12" t="n"/>
      <x:c r="L270" s="12" t="n"/>
      <x:c r="M270" s="12" t="n"/>
      <x:c r="N270" s="12" t="n"/>
      <x:c r="O270" s="12" t="n"/>
      <x:c r="P270" s="12" t="n"/>
      <x:c r="Q270" s="12" t="n"/>
      <x:c r="R270" s="12" t="inlineStr">
        <x:is>
          <x:t xml:space="preserve">Not started</x:t>
        </x:is>
      </x:c>
      <x:c r="S270" s="12" t="n"/>
      <x:c r="T270" s="12" t="n"/>
      <x:c r="U270" s="12" t="n">
        <x:v>494</x:v>
      </x:c>
    </x:row>
    <x:row r="271">
      <x:c r="A271" s="13" t="inlineStr">
        <x:is>
          <x:t xml:space="preserve">ATO-0130</x:t>
        </x:is>
      </x:c>
      <x:c r="B271" s="12" t="inlineStr">
        <x:is>
          <x:t xml:space="preserve">XVIII</x:t>
        </x:is>
      </x:c>
      <x:c r="C271" s="12" t="inlineStr">
        <x:is>
          <x:t xml:space="preserve">ATO</x:t>
        </x:is>
      </x:c>
      <x:c r="D271" s="12" t="inlineStr">
        <x:is>
          <x:t xml:space="preserve">Atonement and salvation</x:t>
        </x:is>
      </x:c>
      <x:c r="E271" s="12" t="inlineStr">
        <x:is>
          <x:t xml:space="preserve">Inclusivism and exclusivism are families of positions, not single views.</x:t>
        </x:is>
      </x:c>
      <x:c r="F271" s="12" t="n"/>
      <x:c r="G271" s="12" t="n"/>
      <x:c r="H271" s="12" t="n"/>
      <x:c r="I271" s="12" t="n"/>
      <x:c r="J271" s="12" t="n"/>
      <x:c r="K271" s="12" t="n"/>
      <x:c r="L271" s="12" t="n"/>
      <x:c r="M271" s="12" t="n"/>
      <x:c r="N271" s="12" t="n"/>
      <x:c r="O271" s="12" t="n"/>
      <x:c r="P271" s="12" t="n"/>
      <x:c r="Q271" s="12" t="n"/>
      <x:c r="R271" s="12" t="inlineStr">
        <x:is>
          <x:t xml:space="preserve">Not started</x:t>
        </x:is>
      </x:c>
      <x:c r="S271" s="12" t="n"/>
      <x:c r="T271" s="12" t="n"/>
      <x:c r="U271" s="12" t="n">
        <x:v>495</x:v>
      </x:c>
    </x:row>
    <x:row r="272">
      <x:c r="A272" s="13" t="inlineStr">
        <x:is>
          <x:t xml:space="preserve">EVL-0010</x:t>
        </x:is>
      </x:c>
      <x:c r="B272" s="12" t="inlineStr">
        <x:is>
          <x:t xml:space="preserve">XIX</x:t>
        </x:is>
      </x:c>
      <x:c r="C272" s="12" t="inlineStr">
        <x:is>
          <x:t xml:space="preserve">EVL</x:t>
        </x:is>
      </x:c>
      <x:c r="D272" s="12" t="inlineStr">
        <x:is>
          <x:t xml:space="preserve">Problem of evil and suffering</x:t>
        </x:is>
      </x:c>
      <x:c r="E272" s="12" t="inlineStr">
        <x:is>
          <x:t xml:space="preserve">The logical problem of evil and evidential problem of evil are distinct.</x:t>
        </x:is>
      </x:c>
      <x:c r="F272" s="12" t="n"/>
      <x:c r="G272" s="12" t="n"/>
      <x:c r="H272" s="12" t="n"/>
      <x:c r="I272" s="12" t="n"/>
      <x:c r="J272" s="12" t="n"/>
      <x:c r="K272" s="12" t="n"/>
      <x:c r="L272" s="12" t="n"/>
      <x:c r="M272" s="12" t="n"/>
      <x:c r="N272" s="12" t="n"/>
      <x:c r="O272" s="12" t="n"/>
      <x:c r="P272" s="12" t="n"/>
      <x:c r="Q272" s="12" t="n"/>
      <x:c r="R272" s="12" t="inlineStr">
        <x:is>
          <x:t xml:space="preserve">Not started</x:t>
        </x:is>
      </x:c>
      <x:c r="S272" s="12" t="n"/>
      <x:c r="T272" s="12" t="n"/>
      <x:c r="U272" s="12" t="n">
        <x:v>503</x:v>
      </x:c>
    </x:row>
    <x:row r="273" ht="28.799999237060547" customHeight="1">
      <x:c r="A273" s="13" t="inlineStr">
        <x:is>
          <x:t xml:space="preserve">EVL-0020</x:t>
        </x:is>
      </x:c>
      <x:c r="B273" s="12" t="inlineStr">
        <x:is>
          <x:t xml:space="preserve">XIX</x:t>
        </x:is>
      </x:c>
      <x:c r="C273" s="12" t="inlineStr">
        <x:is>
          <x:t xml:space="preserve">EVL</x:t>
        </x:is>
      </x:c>
      <x:c r="D273" s="12" t="inlineStr">
        <x:is>
          <x:t xml:space="preserve">Problem of evil and suffering</x:t>
        </x:is>
      </x:c>
      <x:c r="E273" s="12" t="inlineStr">
        <x:is>
          <x:t xml:space="preserve">The existence of any evil is not formally contradictory with an omnipotent, omniscient, perfectly good God unless additional premises are supplied.</x:t>
        </x:is>
      </x:c>
      <x:c r="F273" s="12" t="n"/>
      <x:c r="G273" s="12" t="n"/>
      <x:c r="H273" s="12" t="n"/>
      <x:c r="I273" s="12" t="n"/>
      <x:c r="J273" s="12" t="n"/>
      <x:c r="K273" s="12" t="n"/>
      <x:c r="L273" s="12" t="n"/>
      <x:c r="M273" s="12" t="n"/>
      <x:c r="N273" s="12" t="n"/>
      <x:c r="O273" s="12" t="n"/>
      <x:c r="P273" s="12" t="n"/>
      <x:c r="Q273" s="12" t="n"/>
      <x:c r="R273" s="12" t="inlineStr">
        <x:is>
          <x:t xml:space="preserve">Not started</x:t>
        </x:is>
      </x:c>
      <x:c r="S273" s="12" t="n"/>
      <x:c r="T273" s="12" t="n"/>
      <x:c r="U273" s="12" t="n">
        <x:v>504</x:v>
      </x:c>
    </x:row>
    <x:row r="274">
      <x:c r="A274" s="13" t="inlineStr">
        <x:is>
          <x:t xml:space="preserve">EVL-0030</x:t>
        </x:is>
      </x:c>
      <x:c r="B274" s="12" t="inlineStr">
        <x:is>
          <x:t xml:space="preserve">XIX</x:t>
        </x:is>
      </x:c>
      <x:c r="C274" s="12" t="inlineStr">
        <x:is>
          <x:t xml:space="preserve">EVL</x:t>
        </x:is>
      </x:c>
      <x:c r="D274" s="12" t="inlineStr">
        <x:is>
          <x:t xml:space="preserve">Problem of evil and suffering</x:t>
        </x:is>
      </x:c>
      <x:c r="E274" s="12" t="inlineStr">
        <x:is>
          <x:t xml:space="preserve">A morally sufficient reason need not be known by the observer to exist.</x:t>
        </x:is>
      </x:c>
      <x:c r="F274" s="12" t="n"/>
      <x:c r="G274" s="12" t="n"/>
      <x:c r="H274" s="12" t="n"/>
      <x:c r="I274" s="12" t="n"/>
      <x:c r="J274" s="12" t="n"/>
      <x:c r="K274" s="12" t="n"/>
      <x:c r="L274" s="12" t="n"/>
      <x:c r="M274" s="12" t="n"/>
      <x:c r="N274" s="12" t="n"/>
      <x:c r="O274" s="12" t="n"/>
      <x:c r="P274" s="12" t="n"/>
      <x:c r="Q274" s="12" t="n"/>
      <x:c r="R274" s="12" t="inlineStr">
        <x:is>
          <x:t xml:space="preserve">Not started</x:t>
        </x:is>
      </x:c>
      <x:c r="S274" s="12" t="n"/>
      <x:c r="T274" s="12" t="n"/>
      <x:c r="U274" s="12" t="n">
        <x:v>505</x:v>
      </x:c>
    </x:row>
    <x:row r="275">
      <x:c r="A275" s="13" t="inlineStr">
        <x:is>
          <x:t xml:space="preserve">EVL-0040</x:t>
        </x:is>
      </x:c>
      <x:c r="B275" s="12" t="inlineStr">
        <x:is>
          <x:t xml:space="preserve">XIX</x:t>
        </x:is>
      </x:c>
      <x:c r="C275" s="12" t="inlineStr">
        <x:is>
          <x:t xml:space="preserve">EVL</x:t>
        </x:is>
      </x:c>
      <x:c r="D275" s="12" t="inlineStr">
        <x:is>
          <x:t xml:space="preserve">Problem of evil and suffering</x:t>
        </x:is>
      </x:c>
      <x:c r="E275" s="12" t="inlineStr">
        <x:is>
          <x:t xml:space="preserve">Skeptical theism can block some inferences but may create broader epistemic costs.</x:t>
        </x:is>
      </x:c>
      <x:c r="F275" s="12" t="n"/>
      <x:c r="G275" s="12" t="n"/>
      <x:c r="H275" s="12" t="n"/>
      <x:c r="I275" s="12" t="n"/>
      <x:c r="J275" s="12" t="n"/>
      <x:c r="K275" s="12" t="n"/>
      <x:c r="L275" s="12" t="n"/>
      <x:c r="M275" s="12" t="n"/>
      <x:c r="N275" s="12" t="n"/>
      <x:c r="O275" s="12" t="n"/>
      <x:c r="P275" s="12" t="n"/>
      <x:c r="Q275" s="12" t="n"/>
      <x:c r="R275" s="12" t="inlineStr">
        <x:is>
          <x:t xml:space="preserve">Not started</x:t>
        </x:is>
      </x:c>
      <x:c r="S275" s="12" t="n"/>
      <x:c r="T275" s="12" t="n"/>
      <x:c r="U275" s="12" t="n">
        <x:v>506</x:v>
      </x:c>
    </x:row>
    <x:row r="276">
      <x:c r="A276" s="13" t="inlineStr">
        <x:is>
          <x:t xml:space="preserve">EVL-0050</x:t>
        </x:is>
      </x:c>
      <x:c r="B276" s="12" t="inlineStr">
        <x:is>
          <x:t xml:space="preserve">XIX</x:t>
        </x:is>
      </x:c>
      <x:c r="C276" s="12" t="inlineStr">
        <x:is>
          <x:t xml:space="preserve">EVL</x:t>
        </x:is>
      </x:c>
      <x:c r="D276" s="12" t="inlineStr">
        <x:is>
          <x:t xml:space="preserve">Problem of evil and suffering</x:t>
        </x:is>
      </x:c>
      <x:c r="E276" s="12" t="inlineStr">
        <x:is>
          <x:t xml:space="preserve">Free will may explain some moral evil but not all natural evil.</x:t>
        </x:is>
      </x:c>
      <x:c r="F276" s="12" t="n"/>
      <x:c r="G276" s="12" t="n"/>
      <x:c r="H276" s="12" t="n"/>
      <x:c r="I276" s="12" t="n"/>
      <x:c r="J276" s="12" t="n"/>
      <x:c r="K276" s="12" t="n"/>
      <x:c r="L276" s="12" t="n"/>
      <x:c r="M276" s="12" t="n"/>
      <x:c r="N276" s="12" t="n"/>
      <x:c r="O276" s="12" t="n"/>
      <x:c r="P276" s="12" t="n"/>
      <x:c r="Q276" s="12" t="n"/>
      <x:c r="R276" s="12" t="inlineStr">
        <x:is>
          <x:t xml:space="preserve">Not started</x:t>
        </x:is>
      </x:c>
      <x:c r="S276" s="12" t="n"/>
      <x:c r="T276" s="12" t="n"/>
      <x:c r="U276" s="12" t="n">
        <x:v>507</x:v>
      </x:c>
    </x:row>
    <x:row r="277">
      <x:c r="A277" s="13" t="inlineStr">
        <x:is>
          <x:t xml:space="preserve">EVL-0060</x:t>
        </x:is>
      </x:c>
      <x:c r="B277" s="12" t="inlineStr">
        <x:is>
          <x:t xml:space="preserve">XIX</x:t>
        </x:is>
      </x:c>
      <x:c r="C277" s="12" t="inlineStr">
        <x:is>
          <x:t xml:space="preserve">EVL</x:t>
        </x:is>
      </x:c>
      <x:c r="D277" s="12" t="inlineStr">
        <x:is>
          <x:t xml:space="preserve">Problem of evil and suffering</x:t>
        </x:is>
      </x:c>
      <x:c r="E277" s="12" t="inlineStr">
        <x:is>
          <x:t xml:space="preserve">Soul-making may explain some suffering but risks instrumentalizing victims.</x:t>
        </x:is>
      </x:c>
      <x:c r="F277" s="12" t="n"/>
      <x:c r="G277" s="12" t="n"/>
      <x:c r="H277" s="12" t="n"/>
      <x:c r="I277" s="12" t="n"/>
      <x:c r="J277" s="12" t="n"/>
      <x:c r="K277" s="12" t="n"/>
      <x:c r="L277" s="12" t="n"/>
      <x:c r="M277" s="12" t="n"/>
      <x:c r="N277" s="12" t="n"/>
      <x:c r="O277" s="12" t="n"/>
      <x:c r="P277" s="12" t="n"/>
      <x:c r="Q277" s="12" t="n"/>
      <x:c r="R277" s="12" t="inlineStr">
        <x:is>
          <x:t xml:space="preserve">Not started</x:t>
        </x:is>
      </x:c>
      <x:c r="S277" s="12" t="n"/>
      <x:c r="T277" s="12" t="n"/>
      <x:c r="U277" s="12" t="n">
        <x:v>508</x:v>
      </x:c>
    </x:row>
    <x:row r="278">
      <x:c r="A278" s="13" t="inlineStr">
        <x:is>
          <x:t xml:space="preserve">EVL-0070</x:t>
        </x:is>
      </x:c>
      <x:c r="B278" s="12" t="inlineStr">
        <x:is>
          <x:t xml:space="preserve">XIX</x:t>
        </x:is>
      </x:c>
      <x:c r="C278" s="12" t="inlineStr">
        <x:is>
          <x:t xml:space="preserve">EVL</x:t>
        </x:is>
      </x:c>
      <x:c r="D278" s="12" t="inlineStr">
        <x:is>
          <x:t xml:space="preserve">Problem of evil and suffering</x:t>
        </x:is>
      </x:c>
      <x:c r="E278" s="12" t="inlineStr">
        <x:is>
          <x:t xml:space="preserve">Stable natural laws may make meaningful agency possible while also permitting harm.</x:t>
        </x:is>
      </x:c>
      <x:c r="F278" s="12" t="n"/>
      <x:c r="G278" s="12" t="n"/>
      <x:c r="H278" s="12" t="n"/>
      <x:c r="I278" s="12" t="n"/>
      <x:c r="J278" s="12" t="n"/>
      <x:c r="K278" s="12" t="n"/>
      <x:c r="L278" s="12" t="n"/>
      <x:c r="M278" s="12" t="n"/>
      <x:c r="N278" s="12" t="n"/>
      <x:c r="O278" s="12" t="n"/>
      <x:c r="P278" s="12" t="n"/>
      <x:c r="Q278" s="12" t="n"/>
      <x:c r="R278" s="12" t="inlineStr">
        <x:is>
          <x:t xml:space="preserve">Not started</x:t>
        </x:is>
      </x:c>
      <x:c r="S278" s="12" t="n"/>
      <x:c r="T278" s="12" t="n"/>
      <x:c r="U278" s="12" t="n">
        <x:v>509</x:v>
      </x:c>
    </x:row>
    <x:row r="279">
      <x:c r="A279" s="13" t="inlineStr">
        <x:is>
          <x:t xml:space="preserve">EVL-0080</x:t>
        </x:is>
      </x:c>
      <x:c r="B279" s="12" t="inlineStr">
        <x:is>
          <x:t xml:space="preserve">XIX</x:t>
        </x:is>
      </x:c>
      <x:c r="C279" s="12" t="inlineStr">
        <x:is>
          <x:t xml:space="preserve">EVL</x:t>
        </x:is>
      </x:c>
      <x:c r="D279" s="12" t="inlineStr">
        <x:is>
          <x:t xml:space="preserve">Problem of evil and suffering</x:t>
        </x:is>
      </x:c>
      <x:c r="E279" s="12" t="inlineStr">
        <x:is>
          <x:t xml:space="preserve">Evolutionary creation raises questions concerning animal suffering before humans.</x:t>
        </x:is>
      </x:c>
      <x:c r="F279" s="12" t="n"/>
      <x:c r="G279" s="12" t="n"/>
      <x:c r="H279" s="12" t="n"/>
      <x:c r="I279" s="12" t="n"/>
      <x:c r="J279" s="12" t="n"/>
      <x:c r="K279" s="12" t="n"/>
      <x:c r="L279" s="12" t="n"/>
      <x:c r="M279" s="12" t="n"/>
      <x:c r="N279" s="12" t="n"/>
      <x:c r="O279" s="12" t="n"/>
      <x:c r="P279" s="12" t="n"/>
      <x:c r="Q279" s="12" t="n"/>
      <x:c r="R279" s="12" t="inlineStr">
        <x:is>
          <x:t xml:space="preserve">Not started</x:t>
        </x:is>
      </x:c>
      <x:c r="S279" s="12" t="n"/>
      <x:c r="T279" s="12" t="n"/>
      <x:c r="U279" s="12" t="n">
        <x:v>510</x:v>
      </x:c>
    </x:row>
    <x:row r="280">
      <x:c r="A280" s="13" t="inlineStr">
        <x:is>
          <x:t xml:space="preserve">EVL-0090</x:t>
        </x:is>
      </x:c>
      <x:c r="B280" s="12" t="inlineStr">
        <x:is>
          <x:t xml:space="preserve">XIX</x:t>
        </x:is>
      </x:c>
      <x:c r="C280" s="12" t="inlineStr">
        <x:is>
          <x:t xml:space="preserve">EVL</x:t>
        </x:is>
      </x:c>
      <x:c r="D280" s="12" t="inlineStr">
        <x:is>
          <x:t xml:space="preserve">Problem of evil and suffering</x:t>
        </x:is>
      </x:c>
      <x:c r="E280" s="12" t="inlineStr">
        <x:is>
          <x:t xml:space="preserve">Eschatological compensation does not make every act that caused suffering morally permissible.</x:t>
        </x:is>
      </x:c>
      <x:c r="F280" s="12" t="n"/>
      <x:c r="G280" s="12" t="n"/>
      <x:c r="H280" s="12" t="n"/>
      <x:c r="I280" s="12" t="n"/>
      <x:c r="J280" s="12" t="n"/>
      <x:c r="K280" s="12" t="n"/>
      <x:c r="L280" s="12" t="n"/>
      <x:c r="M280" s="12" t="n"/>
      <x:c r="N280" s="12" t="n"/>
      <x:c r="O280" s="12" t="n"/>
      <x:c r="P280" s="12" t="n"/>
      <x:c r="Q280" s="12" t="n"/>
      <x:c r="R280" s="12" t="inlineStr">
        <x:is>
          <x:t xml:space="preserve">Not started</x:t>
        </x:is>
      </x:c>
      <x:c r="S280" s="12" t="n"/>
      <x:c r="T280" s="12" t="n"/>
      <x:c r="U280" s="12" t="n">
        <x:v>511</x:v>
      </x:c>
    </x:row>
    <x:row r="281">
      <x:c r="A281" s="13" t="inlineStr">
        <x:is>
          <x:t xml:space="preserve">EVL-0100</x:t>
        </x:is>
      </x:c>
      <x:c r="B281" s="12" t="inlineStr">
        <x:is>
          <x:t xml:space="preserve">XIX</x:t>
        </x:is>
      </x:c>
      <x:c r="C281" s="12" t="inlineStr">
        <x:is>
          <x:t xml:space="preserve">EVL</x:t>
        </x:is>
      </x:c>
      <x:c r="D281" s="12" t="inlineStr">
        <x:is>
          <x:t xml:space="preserve">Problem of evil and suffering</x:t>
        </x:is>
      </x:c>
      <x:c r="E281" s="12" t="inlineStr">
        <x:is>
          <x:t xml:space="preserve">Redemption of suffering differs from justification of the wrongdoing that produced it.</x:t>
        </x:is>
      </x:c>
      <x:c r="F281" s="12" t="n"/>
      <x:c r="G281" s="12" t="n"/>
      <x:c r="H281" s="12" t="n"/>
      <x:c r="I281" s="12" t="n"/>
      <x:c r="J281" s="12" t="n"/>
      <x:c r="K281" s="12" t="n"/>
      <x:c r="L281" s="12" t="n"/>
      <x:c r="M281" s="12" t="n"/>
      <x:c r="N281" s="12" t="n"/>
      <x:c r="O281" s="12" t="n"/>
      <x:c r="P281" s="12" t="n"/>
      <x:c r="Q281" s="12" t="n"/>
      <x:c r="R281" s="12" t="inlineStr">
        <x:is>
          <x:t xml:space="preserve">Not started</x:t>
        </x:is>
      </x:c>
      <x:c r="S281" s="12" t="n"/>
      <x:c r="T281" s="12" t="n"/>
      <x:c r="U281" s="12" t="n">
        <x:v>512</x:v>
      </x:c>
    </x:row>
    <x:row r="282">
      <x:c r="A282" s="13" t="inlineStr">
        <x:is>
          <x:t xml:space="preserve">EVL-0110</x:t>
        </x:is>
      </x:c>
      <x:c r="B282" s="12" t="inlineStr">
        <x:is>
          <x:t xml:space="preserve">XIX</x:t>
        </x:is>
      </x:c>
      <x:c r="C282" s="12" t="inlineStr">
        <x:is>
          <x:t xml:space="preserve">EVL</x:t>
        </x:is>
      </x:c>
      <x:c r="D282" s="12" t="inlineStr">
        <x:is>
          <x:t xml:space="preserve">Problem of evil and suffering</x:t>
        </x:is>
      </x:c>
      <x:c r="E282" s="12" t="inlineStr">
        <x:is>
          <x:t xml:space="preserve">The cross is Christianity’s central internal response to divine distance from suffering.</x:t>
        </x:is>
      </x:c>
      <x:c r="F282" s="12" t="n"/>
      <x:c r="G282" s="12" t="n"/>
      <x:c r="H282" s="12" t="n"/>
      <x:c r="I282" s="12" t="n"/>
      <x:c r="J282" s="12" t="n"/>
      <x:c r="K282" s="12" t="n"/>
      <x:c r="L282" s="12" t="n"/>
      <x:c r="M282" s="12" t="n"/>
      <x:c r="N282" s="12" t="n"/>
      <x:c r="O282" s="12" t="n"/>
      <x:c r="P282" s="12" t="n"/>
      <x:c r="Q282" s="12" t="n"/>
      <x:c r="R282" s="12" t="inlineStr">
        <x:is>
          <x:t xml:space="preserve">Not started</x:t>
        </x:is>
      </x:c>
      <x:c r="S282" s="12" t="n"/>
      <x:c r="T282" s="12" t="n"/>
      <x:c r="U282" s="12" t="n">
        <x:v>513</x:v>
      </x:c>
    </x:row>
    <x:row r="283">
      <x:c r="A283" s="13" t="inlineStr">
        <x:is>
          <x:t xml:space="preserve">EVL-0120</x:t>
        </x:is>
      </x:c>
      <x:c r="B283" s="12" t="inlineStr">
        <x:is>
          <x:t xml:space="preserve">XIX</x:t>
        </x:is>
      </x:c>
      <x:c r="C283" s="12" t="inlineStr">
        <x:is>
          <x:t xml:space="preserve">EVL</x:t>
        </x:is>
      </x:c>
      <x:c r="D283" s="12" t="inlineStr">
        <x:is>
          <x:t xml:space="preserve">Problem of evil and suffering</x:t>
        </x:is>
      </x:c>
      <x:c r="E283" s="12" t="inlineStr">
        <x:is>
          <x:t xml:space="preserve">Divine participation in suffering does not alone explain why suffering was permitted.</x:t>
        </x:is>
      </x:c>
      <x:c r="F283" s="12" t="n"/>
      <x:c r="G283" s="12" t="n"/>
      <x:c r="H283" s="12" t="n"/>
      <x:c r="I283" s="12" t="n"/>
      <x:c r="J283" s="12" t="n"/>
      <x:c r="K283" s="12" t="n"/>
      <x:c r="L283" s="12" t="n"/>
      <x:c r="M283" s="12" t="n"/>
      <x:c r="N283" s="12" t="n"/>
      <x:c r="O283" s="12" t="n"/>
      <x:c r="P283" s="12" t="n"/>
      <x:c r="Q283" s="12" t="n"/>
      <x:c r="R283" s="12" t="inlineStr">
        <x:is>
          <x:t xml:space="preserve">Not started</x:t>
        </x:is>
      </x:c>
      <x:c r="S283" s="12" t="n"/>
      <x:c r="T283" s="12" t="n"/>
      <x:c r="U283" s="12" t="n">
        <x:v>514</x:v>
      </x:c>
    </x:row>
    <x:row r="284" ht="28.799999237060547" customHeight="1">
      <x:c r="A284" s="13" t="inlineStr">
        <x:is>
          <x:t xml:space="preserve">EVL-0130</x:t>
        </x:is>
      </x:c>
      <x:c r="B284" s="12" t="inlineStr">
        <x:is>
          <x:t xml:space="preserve">XIX</x:t>
        </x:is>
      </x:c>
      <x:c r="C284" s="12" t="inlineStr">
        <x:is>
          <x:t xml:space="preserve">EVL</x:t>
        </x:is>
      </x:c>
      <x:c r="D284" s="12" t="inlineStr">
        <x:is>
          <x:t xml:space="preserve">Problem of evil and suffering</x:t>
        </x:is>
      </x:c>
      <x:c r="E284" s="12" t="inlineStr">
        <x:is>
          <x:t xml:space="preserve">Gratuitous evil is difficult to establish because of epistemic limitations, but those limitations do not eliminate evidential force.</x:t>
        </x:is>
      </x:c>
      <x:c r="F284" s="12" t="n"/>
      <x:c r="G284" s="12" t="n"/>
      <x:c r="H284" s="12" t="n"/>
      <x:c r="I284" s="12" t="n"/>
      <x:c r="J284" s="12" t="n"/>
      <x:c r="K284" s="12" t="n"/>
      <x:c r="L284" s="12" t="n"/>
      <x:c r="M284" s="12" t="n"/>
      <x:c r="N284" s="12" t="n"/>
      <x:c r="O284" s="12" t="n"/>
      <x:c r="P284" s="12" t="n"/>
      <x:c r="Q284" s="12" t="n"/>
      <x:c r="R284" s="12" t="inlineStr">
        <x:is>
          <x:t xml:space="preserve">Not started</x:t>
        </x:is>
      </x:c>
      <x:c r="S284" s="12" t="n"/>
      <x:c r="T284" s="12" t="n"/>
      <x:c r="U284" s="12" t="n">
        <x:v>515</x:v>
      </x:c>
    </x:row>
    <x:row r="285">
      <x:c r="A285" s="13" t="inlineStr">
        <x:is>
          <x:t xml:space="preserve">EVL-0140</x:t>
        </x:is>
      </x:c>
      <x:c r="B285" s="12" t="inlineStr">
        <x:is>
          <x:t xml:space="preserve">XIX</x:t>
        </x:is>
      </x:c>
      <x:c r="C285" s="12" t="inlineStr">
        <x:is>
          <x:t xml:space="preserve">EVL</x:t>
        </x:is>
      </x:c>
      <x:c r="D285" s="12" t="inlineStr">
        <x:is>
          <x:t xml:space="preserve">Problem of evil and suffering</x:t>
        </x:is>
      </x:c>
      <x:c r="E285" s="12" t="inlineStr">
        <x:is>
          <x:t xml:space="preserve">Horrendous evils require more than generic free-will responses.</x:t>
        </x:is>
      </x:c>
      <x:c r="F285" s="12" t="n"/>
      <x:c r="G285" s="12" t="n"/>
      <x:c r="H285" s="12" t="n"/>
      <x:c r="I285" s="12" t="n"/>
      <x:c r="J285" s="12" t="n"/>
      <x:c r="K285" s="12" t="n"/>
      <x:c r="L285" s="12" t="n"/>
      <x:c r="M285" s="12" t="n"/>
      <x:c r="N285" s="12" t="n"/>
      <x:c r="O285" s="12" t="n"/>
      <x:c r="P285" s="12" t="n"/>
      <x:c r="Q285" s="12" t="n"/>
      <x:c r="R285" s="12" t="inlineStr">
        <x:is>
          <x:t xml:space="preserve">Not started</x:t>
        </x:is>
      </x:c>
      <x:c r="S285" s="12" t="n"/>
      <x:c r="T285" s="12" t="n"/>
      <x:c r="U285" s="12" t="n">
        <x:v>516</x:v>
      </x:c>
    </x:row>
    <x:row r="286">
      <x:c r="A286" s="13" t="inlineStr">
        <x:is>
          <x:t xml:space="preserve">EVL-0150</x:t>
        </x:is>
      </x:c>
      <x:c r="B286" s="12" t="inlineStr">
        <x:is>
          <x:t xml:space="preserve">XIX</x:t>
        </x:is>
      </x:c>
      <x:c r="C286" s="12" t="inlineStr">
        <x:is>
          <x:t xml:space="preserve">EVL</x:t>
        </x:is>
      </x:c>
      <x:c r="D286" s="12" t="inlineStr">
        <x:is>
          <x:t xml:space="preserve">Problem of evil and suffering</x:t>
        </x:is>
      </x:c>
      <x:c r="E286" s="12" t="inlineStr">
        <x:is>
          <x:t xml:space="preserve">Lament and protest are present within Christian Scripture and need not represent unbelief.</x:t>
        </x:is>
      </x:c>
      <x:c r="F286" s="12" t="n"/>
      <x:c r="G286" s="12" t="n"/>
      <x:c r="H286" s="12" t="n"/>
      <x:c r="I286" s="12" t="n"/>
      <x:c r="J286" s="12" t="n"/>
      <x:c r="K286" s="12" t="n"/>
      <x:c r="L286" s="12" t="n"/>
      <x:c r="M286" s="12" t="n"/>
      <x:c r="N286" s="12" t="n"/>
      <x:c r="O286" s="12" t="n"/>
      <x:c r="P286" s="12" t="n"/>
      <x:c r="Q286" s="12" t="n"/>
      <x:c r="R286" s="12" t="inlineStr">
        <x:is>
          <x:t xml:space="preserve">Not started</x:t>
        </x:is>
      </x:c>
      <x:c r="S286" s="12" t="n"/>
      <x:c r="T286" s="12" t="n"/>
      <x:c r="U286" s="12" t="n">
        <x:v>517</x:v>
      </x:c>
    </x:row>
    <x:row r="287" ht="28.799999237060547" customHeight="1">
      <x:c r="A287" s="13" t="inlineStr">
        <x:is>
          <x:t xml:space="preserve">EVL-0160</x:t>
        </x:is>
      </x:c>
      <x:c r="B287" s="12" t="inlineStr">
        <x:is>
          <x:t xml:space="preserve">XIX</x:t>
        </x:is>
      </x:c>
      <x:c r="C287" s="12" t="inlineStr">
        <x:is>
          <x:t xml:space="preserve">EVL</x:t>
        </x:is>
      </x:c>
      <x:c r="D287" s="12" t="inlineStr">
        <x:is>
          <x:t xml:space="preserve">Problem of evil and suffering</x:t>
        </x:is>
      </x:c>
      <x:c r="E287" s="12" t="inlineStr">
        <x:is>
          <x:t xml:space="preserve">The problem of evil may count against theism while moral experience and other evidence count for it.</x:t>
        </x:is>
      </x:c>
      <x:c r="F287" s="12" t="n"/>
      <x:c r="G287" s="12" t="n"/>
      <x:c r="H287" s="12" t="n"/>
      <x:c r="I287" s="12" t="n"/>
      <x:c r="J287" s="12" t="n"/>
      <x:c r="K287" s="12" t="n"/>
      <x:c r="L287" s="12" t="n"/>
      <x:c r="M287" s="12" t="n"/>
      <x:c r="N287" s="12" t="n"/>
      <x:c r="O287" s="12" t="n"/>
      <x:c r="P287" s="12" t="n"/>
      <x:c r="Q287" s="12" t="n"/>
      <x:c r="R287" s="12" t="inlineStr">
        <x:is>
          <x:t xml:space="preserve">Not started</x:t>
        </x:is>
      </x:c>
      <x:c r="S287" s="12" t="n"/>
      <x:c r="T287" s="12" t="n"/>
      <x:c r="U287" s="12" t="n">
        <x:v>518</x:v>
      </x:c>
    </x:row>
    <x:row r="288">
      <x:c r="A288" s="13" t="inlineStr">
        <x:is>
          <x:t xml:space="preserve">EVL-0170</x:t>
        </x:is>
      </x:c>
      <x:c r="B288" s="12" t="inlineStr">
        <x:is>
          <x:t xml:space="preserve">XIX</x:t>
        </x:is>
      </x:c>
      <x:c r="C288" s="12" t="inlineStr">
        <x:is>
          <x:t xml:space="preserve">EVL</x:t>
        </x:is>
      </x:c>
      <x:c r="D288" s="12" t="inlineStr">
        <x:is>
          <x:t xml:space="preserve">Problem of evil and suffering</x:t>
        </x:is>
      </x:c>
      <x:c r="E288" s="12" t="inlineStr">
        <x:is>
          <x:t xml:space="preserve">Cumulative assessment must consider both directions.</x:t>
        </x:is>
      </x:c>
      <x:c r="F288" s="12" t="n"/>
      <x:c r="G288" s="12" t="n"/>
      <x:c r="H288" s="12" t="n"/>
      <x:c r="I288" s="12" t="n"/>
      <x:c r="J288" s="12" t="n"/>
      <x:c r="K288" s="12" t="n"/>
      <x:c r="L288" s="12" t="n"/>
      <x:c r="M288" s="12" t="n"/>
      <x:c r="N288" s="12" t="n"/>
      <x:c r="O288" s="12" t="n"/>
      <x:c r="P288" s="12" t="n"/>
      <x:c r="Q288" s="12" t="n"/>
      <x:c r="R288" s="12" t="inlineStr">
        <x:is>
          <x:t xml:space="preserve">Not started</x:t>
        </x:is>
      </x:c>
      <x:c r="S288" s="12" t="n"/>
      <x:c r="T288" s="12" t="n"/>
      <x:c r="U288" s="12" t="n">
        <x:v>519</x:v>
      </x:c>
    </x:row>
    <x:row r="289" ht="28.799999237060547" customHeight="1">
      <x:c r="A289" s="13" t="inlineStr">
        <x:is>
          <x:t xml:space="preserve">HID-0010</x:t>
        </x:is>
      </x:c>
      <x:c r="B289" s="12" t="inlineStr">
        <x:is>
          <x:t xml:space="preserve">XX</x:t>
        </x:is>
      </x:c>
      <x:c r="C289" s="12" t="inlineStr">
        <x:is>
          <x:t xml:space="preserve">HID</x:t>
        </x:is>
      </x:c>
      <x:c r="D289" s="12" t="inlineStr">
        <x:is>
          <x:t xml:space="preserve">Divine hiddenness, prayer, and providence</x:t>
        </x:is>
      </x:c>
      <x:c r="E289" s="12" t="inlineStr">
        <x:is>
          <x:t xml:space="preserve">Nonresistant nonbelief is a significant challenge to a perfectly loving God.</x:t>
        </x:is>
      </x:c>
      <x:c r="F289" s="12" t="n"/>
      <x:c r="G289" s="12" t="n"/>
      <x:c r="H289" s="12" t="n"/>
      <x:c r="I289" s="12" t="n"/>
      <x:c r="J289" s="12" t="n"/>
      <x:c r="K289" s="12" t="n"/>
      <x:c r="L289" s="12" t="n"/>
      <x:c r="M289" s="12" t="n"/>
      <x:c r="N289" s="12" t="n"/>
      <x:c r="O289" s="12" t="n"/>
      <x:c r="P289" s="12" t="n"/>
      <x:c r="Q289" s="12" t="n"/>
      <x:c r="R289" s="12" t="inlineStr">
        <x:is>
          <x:t xml:space="preserve">Not started</x:t>
        </x:is>
      </x:c>
      <x:c r="S289" s="12" t="n"/>
      <x:c r="T289" s="12" t="n"/>
      <x:c r="U289" s="12" t="n">
        <x:v>525</x:v>
      </x:c>
    </x:row>
    <x:row r="290" ht="28.799999237060547" customHeight="1">
      <x:c r="A290" s="13" t="inlineStr">
        <x:is>
          <x:t xml:space="preserve">HID-0020</x:t>
        </x:is>
      </x:c>
      <x:c r="B290" s="12" t="inlineStr">
        <x:is>
          <x:t xml:space="preserve">XX</x:t>
        </x:is>
      </x:c>
      <x:c r="C290" s="12" t="inlineStr">
        <x:is>
          <x:t xml:space="preserve">HID</x:t>
        </x:is>
      </x:c>
      <x:c r="D290" s="12" t="inlineStr">
        <x:is>
          <x:t xml:space="preserve">Divine hiddenness, prayer, and providence</x:t>
        </x:is>
      </x:c>
      <x:c r="E290" s="12" t="inlineStr">
        <x:is>
          <x:t xml:space="preserve">Some unbelief may involve resistance, but not all unbelief can be assumed culpable.</x:t>
        </x:is>
      </x:c>
      <x:c r="F290" s="12" t="n"/>
      <x:c r="G290" s="12" t="n"/>
      <x:c r="H290" s="12" t="n"/>
      <x:c r="I290" s="12" t="n"/>
      <x:c r="J290" s="12" t="n"/>
      <x:c r="K290" s="12" t="n"/>
      <x:c r="L290" s="12" t="n"/>
      <x:c r="M290" s="12" t="n"/>
      <x:c r="N290" s="12" t="n"/>
      <x:c r="O290" s="12" t="n"/>
      <x:c r="P290" s="12" t="n"/>
      <x:c r="Q290" s="12" t="n"/>
      <x:c r="R290" s="12" t="inlineStr">
        <x:is>
          <x:t xml:space="preserve">Not started</x:t>
        </x:is>
      </x:c>
      <x:c r="S290" s="12" t="n"/>
      <x:c r="T290" s="12" t="n"/>
      <x:c r="U290" s="12" t="n">
        <x:v>526</x:v>
      </x:c>
    </x:row>
    <x:row r="291" ht="28.799999237060547" customHeight="1">
      <x:c r="A291" s="13" t="inlineStr">
        <x:is>
          <x:t xml:space="preserve">HID-0030</x:t>
        </x:is>
      </x:c>
      <x:c r="B291" s="12" t="inlineStr">
        <x:is>
          <x:t xml:space="preserve">XX</x:t>
        </x:is>
      </x:c>
      <x:c r="C291" s="12" t="inlineStr">
        <x:is>
          <x:t xml:space="preserve">HID</x:t>
        </x:is>
      </x:c>
      <x:c r="D291" s="12" t="inlineStr">
        <x:is>
          <x:t xml:space="preserve">Divine hiddenness, prayer, and providence</x:t>
        </x:is>
      </x:c>
      <x:c r="E291" s="12" t="inlineStr">
        <x:is>
          <x:t xml:space="preserve">Divine relationship may not require overwhelming public evidence.</x:t>
        </x:is>
      </x:c>
      <x:c r="F291" s="12" t="n"/>
      <x:c r="G291" s="12" t="n"/>
      <x:c r="H291" s="12" t="n"/>
      <x:c r="I291" s="12" t="n"/>
      <x:c r="J291" s="12" t="n"/>
      <x:c r="K291" s="12" t="n"/>
      <x:c r="L291" s="12" t="n"/>
      <x:c r="M291" s="12" t="n"/>
      <x:c r="N291" s="12" t="n"/>
      <x:c r="O291" s="12" t="n"/>
      <x:c r="P291" s="12" t="n"/>
      <x:c r="Q291" s="12" t="n"/>
      <x:c r="R291" s="12" t="inlineStr">
        <x:is>
          <x:t xml:space="preserve">Not started</x:t>
        </x:is>
      </x:c>
      <x:c r="S291" s="12" t="n"/>
      <x:c r="T291" s="12" t="n"/>
      <x:c r="U291" s="12" t="n">
        <x:v>527</x:v>
      </x:c>
    </x:row>
    <x:row r="292" ht="28.799999237060547" customHeight="1">
      <x:c r="A292" s="13" t="inlineStr">
        <x:is>
          <x:t xml:space="preserve">HID-0040</x:t>
        </x:is>
      </x:c>
      <x:c r="B292" s="12" t="inlineStr">
        <x:is>
          <x:t xml:space="preserve">XX</x:t>
        </x:is>
      </x:c>
      <x:c r="C292" s="12" t="inlineStr">
        <x:is>
          <x:t xml:space="preserve">HID</x:t>
        </x:is>
      </x:c>
      <x:c r="D292" s="12" t="inlineStr">
        <x:is>
          <x:t xml:space="preserve">Divine hiddenness, prayer, and providence</x:t>
        </x:is>
      </x:c>
      <x:c r="E292" s="12" t="inlineStr">
        <x:is>
          <x:t xml:space="preserve">Coercion and epistemic certainty are not identical.</x:t>
        </x:is>
      </x:c>
      <x:c r="F292" s="12" t="n"/>
      <x:c r="G292" s="12" t="n"/>
      <x:c r="H292" s="12" t="n"/>
      <x:c r="I292" s="12" t="n"/>
      <x:c r="J292" s="12" t="n"/>
      <x:c r="K292" s="12" t="n"/>
      <x:c r="L292" s="12" t="n"/>
      <x:c r="M292" s="12" t="n"/>
      <x:c r="N292" s="12" t="n"/>
      <x:c r="O292" s="12" t="n"/>
      <x:c r="P292" s="12" t="n"/>
      <x:c r="Q292" s="12" t="n"/>
      <x:c r="R292" s="12" t="inlineStr">
        <x:is>
          <x:t xml:space="preserve">Not started</x:t>
        </x:is>
      </x:c>
      <x:c r="S292" s="12" t="n"/>
      <x:c r="T292" s="12" t="n"/>
      <x:c r="U292" s="12" t="n">
        <x:v>528</x:v>
      </x:c>
    </x:row>
    <x:row r="293" ht="28.799999237060547" customHeight="1">
      <x:c r="A293" s="13" t="inlineStr">
        <x:is>
          <x:t xml:space="preserve">HID-0050</x:t>
        </x:is>
      </x:c>
      <x:c r="B293" s="12" t="inlineStr">
        <x:is>
          <x:t xml:space="preserve">XX</x:t>
        </x:is>
      </x:c>
      <x:c r="C293" s="12" t="inlineStr">
        <x:is>
          <x:t xml:space="preserve">HID</x:t>
        </x:is>
      </x:c>
      <x:c r="D293" s="12" t="inlineStr">
        <x:is>
          <x:t xml:space="preserve">Divine hiddenness, prayer, and providence</x:t>
        </x:is>
      </x:c>
      <x:c r="E293" s="12" t="inlineStr">
        <x:is>
          <x:t xml:space="preserve">Greater evidence does not automatically destroy freedom.</x:t>
        </x:is>
      </x:c>
      <x:c r="F293" s="12" t="n"/>
      <x:c r="G293" s="12" t="n"/>
      <x:c r="H293" s="12" t="n"/>
      <x:c r="I293" s="12" t="n"/>
      <x:c r="J293" s="12" t="n"/>
      <x:c r="K293" s="12" t="n"/>
      <x:c r="L293" s="12" t="n"/>
      <x:c r="M293" s="12" t="n"/>
      <x:c r="N293" s="12" t="n"/>
      <x:c r="O293" s="12" t="n"/>
      <x:c r="P293" s="12" t="n"/>
      <x:c r="Q293" s="12" t="n"/>
      <x:c r="R293" s="12" t="inlineStr">
        <x:is>
          <x:t xml:space="preserve">Not started</x:t>
        </x:is>
      </x:c>
      <x:c r="S293" s="12" t="n"/>
      <x:c r="T293" s="12" t="n"/>
      <x:c r="U293" s="12" t="n">
        <x:v>529</x:v>
      </x:c>
    </x:row>
    <x:row r="294" ht="28.799999237060547" customHeight="1">
      <x:c r="A294" s="13" t="inlineStr">
        <x:is>
          <x:t xml:space="preserve">HID-0060</x:t>
        </x:is>
      </x:c>
      <x:c r="B294" s="12" t="inlineStr">
        <x:is>
          <x:t xml:space="preserve">XX</x:t>
        </x:is>
      </x:c>
      <x:c r="C294" s="12" t="inlineStr">
        <x:is>
          <x:t xml:space="preserve">HID</x:t>
        </x:is>
      </x:c>
      <x:c r="D294" s="12" t="inlineStr">
        <x:is>
          <x:t xml:space="preserve">Divine hiddenness, prayer, and providence</x:t>
        </x:is>
      </x:c>
      <x:c r="E294" s="12" t="inlineStr">
        <x:is>
          <x:t xml:space="preserve">Hiddenness responses must explain uneven religious access.</x:t>
        </x:is>
      </x:c>
      <x:c r="F294" s="12" t="n"/>
      <x:c r="G294" s="12" t="n"/>
      <x:c r="H294" s="12" t="n"/>
      <x:c r="I294" s="12" t="n"/>
      <x:c r="J294" s="12" t="n"/>
      <x:c r="K294" s="12" t="n"/>
      <x:c r="L294" s="12" t="n"/>
      <x:c r="M294" s="12" t="n"/>
      <x:c r="N294" s="12" t="n"/>
      <x:c r="O294" s="12" t="n"/>
      <x:c r="P294" s="12" t="n"/>
      <x:c r="Q294" s="12" t="n"/>
      <x:c r="R294" s="12" t="inlineStr">
        <x:is>
          <x:t xml:space="preserve">Not started</x:t>
        </x:is>
      </x:c>
      <x:c r="S294" s="12" t="n"/>
      <x:c r="T294" s="12" t="n"/>
      <x:c r="U294" s="12" t="n">
        <x:v>530</x:v>
      </x:c>
    </x:row>
    <x:row r="295" ht="28.799999237060547" customHeight="1">
      <x:c r="A295" s="13" t="inlineStr">
        <x:is>
          <x:t xml:space="preserve">HID-0070</x:t>
        </x:is>
      </x:c>
      <x:c r="B295" s="12" t="inlineStr">
        <x:is>
          <x:t xml:space="preserve">XX</x:t>
        </x:is>
      </x:c>
      <x:c r="C295" s="12" t="inlineStr">
        <x:is>
          <x:t xml:space="preserve">HID</x:t>
        </x:is>
      </x:c>
      <x:c r="D295" s="12" t="inlineStr">
        <x:is>
          <x:t xml:space="preserve">Divine hiddenness, prayer, and providence</x:t>
        </x:is>
      </x:c>
      <x:c r="E295" s="12" t="inlineStr">
        <x:is>
          <x:t xml:space="preserve">Petitionary prayer presents questions concerning foreknowledge, providence, and causal interaction.</x:t>
        </x:is>
      </x:c>
      <x:c r="F295" s="12" t="n"/>
      <x:c r="G295" s="12" t="n"/>
      <x:c r="H295" s="12" t="n"/>
      <x:c r="I295" s="12" t="n"/>
      <x:c r="J295" s="12" t="n"/>
      <x:c r="K295" s="12" t="n"/>
      <x:c r="L295" s="12" t="n"/>
      <x:c r="M295" s="12" t="n"/>
      <x:c r="N295" s="12" t="n"/>
      <x:c r="O295" s="12" t="n"/>
      <x:c r="P295" s="12" t="n"/>
      <x:c r="Q295" s="12" t="n"/>
      <x:c r="R295" s="12" t="inlineStr">
        <x:is>
          <x:t xml:space="preserve">Not started</x:t>
        </x:is>
      </x:c>
      <x:c r="S295" s="12" t="n"/>
      <x:c r="T295" s="12" t="n"/>
      <x:c r="U295" s="12" t="n">
        <x:v>531</x:v>
      </x:c>
    </x:row>
    <x:row r="296" ht="28.799999237060547" customHeight="1">
      <x:c r="A296" s="13" t="inlineStr">
        <x:is>
          <x:t xml:space="preserve">HID-0080</x:t>
        </x:is>
      </x:c>
      <x:c r="B296" s="12" t="inlineStr">
        <x:is>
          <x:t xml:space="preserve">XX</x:t>
        </x:is>
      </x:c>
      <x:c r="C296" s="12" t="inlineStr">
        <x:is>
          <x:t xml:space="preserve">HID</x:t>
        </x:is>
      </x:c>
      <x:c r="D296" s="12" t="inlineStr">
        <x:is>
          <x:t xml:space="preserve">Divine hiddenness, prayer, and providence</x:t>
        </x:is>
      </x:c>
      <x:c r="E296" s="12" t="inlineStr">
        <x:is>
          <x:t xml:space="preserve">Unanswered prayer does not logically disprove God.</x:t>
        </x:is>
      </x:c>
      <x:c r="F296" s="12" t="n"/>
      <x:c r="G296" s="12" t="n"/>
      <x:c r="H296" s="12" t="n"/>
      <x:c r="I296" s="12" t="n"/>
      <x:c r="J296" s="12" t="n"/>
      <x:c r="K296" s="12" t="n"/>
      <x:c r="L296" s="12" t="n"/>
      <x:c r="M296" s="12" t="n"/>
      <x:c r="N296" s="12" t="n"/>
      <x:c r="O296" s="12" t="n"/>
      <x:c r="P296" s="12" t="n"/>
      <x:c r="Q296" s="12" t="n"/>
      <x:c r="R296" s="12" t="inlineStr">
        <x:is>
          <x:t xml:space="preserve">Not started</x:t>
        </x:is>
      </x:c>
      <x:c r="S296" s="12" t="n"/>
      <x:c r="T296" s="12" t="n"/>
      <x:c r="U296" s="12" t="n">
        <x:v>532</x:v>
      </x:c>
    </x:row>
    <x:row r="297" ht="28.799999237060547" customHeight="1">
      <x:c r="A297" s="13" t="inlineStr">
        <x:is>
          <x:t xml:space="preserve">HID-0090</x:t>
        </x:is>
      </x:c>
      <x:c r="B297" s="12" t="inlineStr">
        <x:is>
          <x:t xml:space="preserve">XX</x:t>
        </x:is>
      </x:c>
      <x:c r="C297" s="12" t="inlineStr">
        <x:is>
          <x:t xml:space="preserve">HID</x:t>
        </x:is>
      </x:c>
      <x:c r="D297" s="12" t="inlineStr">
        <x:is>
          <x:t xml:space="preserve">Divine hiddenness, prayer, and providence</x:t>
        </x:is>
      </x:c>
      <x:c r="E297" s="12" t="inlineStr">
        <x:is>
          <x:t xml:space="preserve">Any account that treats every possible outcome as confirmation risks unfalsifiability.</x:t>
        </x:is>
      </x:c>
      <x:c r="F297" s="12" t="n"/>
      <x:c r="G297" s="12" t="n"/>
      <x:c r="H297" s="12" t="n"/>
      <x:c r="I297" s="12" t="n"/>
      <x:c r="J297" s="12" t="n"/>
      <x:c r="K297" s="12" t="n"/>
      <x:c r="L297" s="12" t="n"/>
      <x:c r="M297" s="12" t="n"/>
      <x:c r="N297" s="12" t="n"/>
      <x:c r="O297" s="12" t="n"/>
      <x:c r="P297" s="12" t="n"/>
      <x:c r="Q297" s="12" t="n"/>
      <x:c r="R297" s="12" t="inlineStr">
        <x:is>
          <x:t xml:space="preserve">Not started</x:t>
        </x:is>
      </x:c>
      <x:c r="S297" s="12" t="n"/>
      <x:c r="T297" s="12" t="n"/>
      <x:c r="U297" s="12" t="n">
        <x:v>533</x:v>
      </x:c>
    </x:row>
    <x:row r="298" ht="28.799999237060547" customHeight="1">
      <x:c r="A298" s="13" t="inlineStr">
        <x:is>
          <x:t xml:space="preserve">HID-0100</x:t>
        </x:is>
      </x:c>
      <x:c r="B298" s="12" t="inlineStr">
        <x:is>
          <x:t xml:space="preserve">XX</x:t>
        </x:is>
      </x:c>
      <x:c r="C298" s="12" t="inlineStr">
        <x:is>
          <x:t xml:space="preserve">HID</x:t>
        </x:is>
      </x:c>
      <x:c r="D298" s="12" t="inlineStr">
        <x:is>
          <x:t xml:space="preserve">Divine hiddenness, prayer, and providence</x:t>
        </x:is>
      </x:c>
      <x:c r="E298" s="12" t="inlineStr">
        <x:is>
          <x:t xml:space="preserve">Prayer studies cannot capture every theological claim about prayer.</x:t>
        </x:is>
      </x:c>
      <x:c r="F298" s="12" t="n"/>
      <x:c r="G298" s="12" t="n"/>
      <x:c r="H298" s="12" t="n"/>
      <x:c r="I298" s="12" t="n"/>
      <x:c r="J298" s="12" t="n"/>
      <x:c r="K298" s="12" t="n"/>
      <x:c r="L298" s="12" t="n"/>
      <x:c r="M298" s="12" t="n"/>
      <x:c r="N298" s="12" t="n"/>
      <x:c r="O298" s="12" t="n"/>
      <x:c r="P298" s="12" t="n"/>
      <x:c r="Q298" s="12" t="n"/>
      <x:c r="R298" s="12" t="inlineStr">
        <x:is>
          <x:t xml:space="preserve">Not started</x:t>
        </x:is>
      </x:c>
      <x:c r="S298" s="12" t="n"/>
      <x:c r="T298" s="12" t="n"/>
      <x:c r="U298" s="12" t="n">
        <x:v>534</x:v>
      </x:c>
    </x:row>
    <x:row r="299" ht="28.799999237060547" customHeight="1">
      <x:c r="A299" s="13" t="inlineStr">
        <x:is>
          <x:t xml:space="preserve">HID-0110</x:t>
        </x:is>
      </x:c>
      <x:c r="B299" s="12" t="inlineStr">
        <x:is>
          <x:t xml:space="preserve">XX</x:t>
        </x:is>
      </x:c>
      <x:c r="C299" s="12" t="inlineStr">
        <x:is>
          <x:t xml:space="preserve">HID</x:t>
        </x:is>
      </x:c>
      <x:c r="D299" s="12" t="inlineStr">
        <x:is>
          <x:t xml:space="preserve">Divine hiddenness, prayer, and providence</x:t>
        </x:is>
      </x:c>
      <x:c r="E299" s="12" t="inlineStr">
        <x:is>
          <x:t xml:space="preserve">Providence can be modeled as meticulous control, concurrence, permission, middle knowledge, open interaction, or general governance.</x:t>
        </x:is>
      </x:c>
      <x:c r="F299" s="12" t="n"/>
      <x:c r="G299" s="12" t="n"/>
      <x:c r="H299" s="12" t="n"/>
      <x:c r="I299" s="12" t="n"/>
      <x:c r="J299" s="12" t="n"/>
      <x:c r="K299" s="12" t="n"/>
      <x:c r="L299" s="12" t="n"/>
      <x:c r="M299" s="12" t="n"/>
      <x:c r="N299" s="12" t="n"/>
      <x:c r="O299" s="12" t="n"/>
      <x:c r="P299" s="12" t="n"/>
      <x:c r="Q299" s="12" t="n"/>
      <x:c r="R299" s="12" t="inlineStr">
        <x:is>
          <x:t xml:space="preserve">Not started</x:t>
        </x:is>
      </x:c>
      <x:c r="S299" s="12" t="n"/>
      <x:c r="T299" s="12" t="n"/>
      <x:c r="U299" s="12" t="n">
        <x:v>535</x:v>
      </x:c>
    </x:row>
    <x:row r="300" ht="28.799999237060547" customHeight="1">
      <x:c r="A300" s="13" t="inlineStr">
        <x:is>
          <x:t xml:space="preserve">HID-0120</x:t>
        </x:is>
      </x:c>
      <x:c r="B300" s="12" t="inlineStr">
        <x:is>
          <x:t xml:space="preserve">XX</x:t>
        </x:is>
      </x:c>
      <x:c r="C300" s="12" t="inlineStr">
        <x:is>
          <x:t xml:space="preserve">HID</x:t>
        </x:is>
      </x:c>
      <x:c r="D300" s="12" t="inlineStr">
        <x:is>
          <x:t xml:space="preserve">Divine hiddenness, prayer, and providence</x:t>
        </x:is>
      </x:c>
      <x:c r="E300" s="12" t="inlineStr">
        <x:is>
          <x:t xml:space="preserve">Different models create different responses to evil and prayer.</x:t>
        </x:is>
      </x:c>
      <x:c r="F300" s="12" t="n"/>
      <x:c r="G300" s="12" t="n"/>
      <x:c r="H300" s="12" t="n"/>
      <x:c r="I300" s="12" t="n"/>
      <x:c r="J300" s="12" t="n"/>
      <x:c r="K300" s="12" t="n"/>
      <x:c r="L300" s="12" t="n"/>
      <x:c r="M300" s="12" t="n"/>
      <x:c r="N300" s="12" t="n"/>
      <x:c r="O300" s="12" t="n"/>
      <x:c r="P300" s="12" t="n"/>
      <x:c r="Q300" s="12" t="n"/>
      <x:c r="R300" s="12" t="inlineStr">
        <x:is>
          <x:t xml:space="preserve">Not started</x:t>
        </x:is>
      </x:c>
      <x:c r="S300" s="12" t="n"/>
      <x:c r="T300" s="12" t="n"/>
      <x:c r="U300" s="12" t="n">
        <x:v>536</x:v>
      </x:c>
    </x:row>
    <x:row r="301" ht="28.799999237060547" customHeight="1">
      <x:c r="A301" s="13" t="inlineStr">
        <x:is>
          <x:t xml:space="preserve">HID-0130</x:t>
        </x:is>
      </x:c>
      <x:c r="B301" s="12" t="inlineStr">
        <x:is>
          <x:t xml:space="preserve">XX</x:t>
        </x:is>
      </x:c>
      <x:c r="C301" s="12" t="inlineStr">
        <x:is>
          <x:t xml:space="preserve">HID</x:t>
        </x:is>
      </x:c>
      <x:c r="D301" s="12" t="inlineStr">
        <x:is>
          <x:t xml:space="preserve">Divine hiddenness, prayer, and providence</x:t>
        </x:is>
      </x:c>
      <x:c r="E301" s="12" t="inlineStr">
        <x:is>
          <x:t xml:space="preserve">Christian testimony about prayer requires the same care regarding selection bias, coincidence, memory, and alternative explanation as other testimony.</x:t>
        </x:is>
      </x:c>
      <x:c r="F301" s="12" t="n"/>
      <x:c r="G301" s="12" t="n"/>
      <x:c r="H301" s="12" t="n"/>
      <x:c r="I301" s="12" t="n"/>
      <x:c r="J301" s="12" t="n"/>
      <x:c r="K301" s="12" t="n"/>
      <x:c r="L301" s="12" t="n"/>
      <x:c r="M301" s="12" t="n"/>
      <x:c r="N301" s="12" t="n"/>
      <x:c r="O301" s="12" t="n"/>
      <x:c r="P301" s="12" t="n"/>
      <x:c r="Q301" s="12" t="n"/>
      <x:c r="R301" s="12" t="inlineStr">
        <x:is>
          <x:t xml:space="preserve">Not started</x:t>
        </x:is>
      </x:c>
      <x:c r="S301" s="12" t="n"/>
      <x:c r="T301" s="12" t="n"/>
      <x:c r="U301" s="12" t="n">
        <x:v>537</x:v>
      </x:c>
    </x:row>
    <x:row r="302">
      <x:c r="A302" s="13" t="inlineStr">
        <x:is>
          <x:t xml:space="preserve">MIR-0010</x:t>
        </x:is>
      </x:c>
      <x:c r="B302" s="12" t="inlineStr">
        <x:is>
          <x:t xml:space="preserve">XXI</x:t>
        </x:is>
      </x:c>
      <x:c r="C302" s="12" t="inlineStr">
        <x:is>
          <x:t xml:space="preserve">MIR</x:t>
        </x:is>
      </x:c>
      <x:c r="D302" s="12" t="inlineStr">
        <x:is>
          <x:t xml:space="preserve">Miracles</x:t>
        </x:is>
      </x:c>
      <x:c r="E302" s="12" t="inlineStr">
        <x:is>
          <x:t xml:space="preserve">A miracle is not necessarily a violation of a law of nature.</x:t>
        </x:is>
      </x:c>
      <x:c r="F302" s="12" t="n"/>
      <x:c r="G302" s="12" t="n"/>
      <x:c r="H302" s="12" t="n"/>
      <x:c r="I302" s="12" t="n"/>
      <x:c r="J302" s="12" t="n"/>
      <x:c r="K302" s="12" t="n"/>
      <x:c r="L302" s="12" t="n"/>
      <x:c r="M302" s="12" t="n"/>
      <x:c r="N302" s="12" t="n"/>
      <x:c r="O302" s="12" t="n"/>
      <x:c r="P302" s="12" t="n"/>
      <x:c r="Q302" s="12" t="n"/>
      <x:c r="R302" s="12" t="inlineStr">
        <x:is>
          <x:t xml:space="preserve">Not started</x:t>
        </x:is>
      </x:c>
      <x:c r="S302" s="12" t="n"/>
      <x:c r="T302" s="12" t="n"/>
      <x:c r="U302" s="12" t="n">
        <x:v>543</x:v>
      </x:c>
    </x:row>
    <x:row r="303">
      <x:c r="A303" s="13" t="inlineStr">
        <x:is>
          <x:t xml:space="preserve">MIR-0020</x:t>
        </x:is>
      </x:c>
      <x:c r="B303" s="12" t="inlineStr">
        <x:is>
          <x:t xml:space="preserve">XXI</x:t>
        </x:is>
      </x:c>
      <x:c r="C303" s="12" t="inlineStr">
        <x:is>
          <x:t xml:space="preserve">MIR</x:t>
        </x:is>
      </x:c>
      <x:c r="D303" s="12" t="inlineStr">
        <x:is>
          <x:t xml:space="preserve">Miracles</x:t>
        </x:is>
      </x:c>
      <x:c r="E303" s="12" t="inlineStr">
        <x:is>
          <x:t xml:space="preserve">Laws of nature describe regularities or governing structures under specified conditions.</x:t>
        </x:is>
      </x:c>
      <x:c r="F303" s="12" t="n"/>
      <x:c r="G303" s="12" t="n"/>
      <x:c r="H303" s="12" t="n"/>
      <x:c r="I303" s="12" t="n"/>
      <x:c r="J303" s="12" t="n"/>
      <x:c r="K303" s="12" t="n"/>
      <x:c r="L303" s="12" t="n"/>
      <x:c r="M303" s="12" t="n"/>
      <x:c r="N303" s="12" t="n"/>
      <x:c r="O303" s="12" t="n"/>
      <x:c r="P303" s="12" t="n"/>
      <x:c r="Q303" s="12" t="n"/>
      <x:c r="R303" s="12" t="inlineStr">
        <x:is>
          <x:t xml:space="preserve">Not started</x:t>
        </x:is>
      </x:c>
      <x:c r="S303" s="12" t="n"/>
      <x:c r="T303" s="12" t="n"/>
      <x:c r="U303" s="12" t="n">
        <x:v>544</x:v>
      </x:c>
    </x:row>
    <x:row r="304">
      <x:c r="A304" s="13" t="inlineStr">
        <x:is>
          <x:t xml:space="preserve">MIR-0030</x:t>
        </x:is>
      </x:c>
      <x:c r="B304" s="12" t="inlineStr">
        <x:is>
          <x:t xml:space="preserve">XXI</x:t>
        </x:is>
      </x:c>
      <x:c r="C304" s="12" t="inlineStr">
        <x:is>
          <x:t xml:space="preserve">MIR</x:t>
        </x:is>
      </x:c>
      <x:c r="D304" s="12" t="inlineStr">
        <x:is>
          <x:t xml:space="preserve">Miracles</x:t>
        </x:is>
      </x:c>
      <x:c r="E304" s="12" t="inlineStr">
        <x:is>
          <x:t xml:space="preserve">Divine action may introduce a cause not included in a closed physical description.</x:t>
        </x:is>
      </x:c>
      <x:c r="F304" s="12" t="n"/>
      <x:c r="G304" s="12" t="n"/>
      <x:c r="H304" s="12" t="n"/>
      <x:c r="I304" s="12" t="n"/>
      <x:c r="J304" s="12" t="n"/>
      <x:c r="K304" s="12" t="n"/>
      <x:c r="L304" s="12" t="n"/>
      <x:c r="M304" s="12" t="n"/>
      <x:c r="N304" s="12" t="n"/>
      <x:c r="O304" s="12" t="n"/>
      <x:c r="P304" s="12" t="n"/>
      <x:c r="Q304" s="12" t="n"/>
      <x:c r="R304" s="12" t="inlineStr">
        <x:is>
          <x:t xml:space="preserve">Not started</x:t>
        </x:is>
      </x:c>
      <x:c r="S304" s="12" t="n"/>
      <x:c r="T304" s="12" t="n"/>
      <x:c r="U304" s="12" t="n">
        <x:v>545</x:v>
      </x:c>
    </x:row>
    <x:row r="305">
      <x:c r="A305" s="13" t="inlineStr">
        <x:is>
          <x:t xml:space="preserve">MIR-0040</x:t>
        </x:is>
      </x:c>
      <x:c r="B305" s="12" t="inlineStr">
        <x:is>
          <x:t xml:space="preserve">XXI</x:t>
        </x:is>
      </x:c>
      <x:c r="C305" s="12" t="inlineStr">
        <x:is>
          <x:t xml:space="preserve">MIR</x:t>
        </x:is>
      </x:c>
      <x:c r="D305" s="12" t="inlineStr">
        <x:is>
          <x:t xml:space="preserve">Miracles</x:t>
        </x:is>
      </x:c>
      <x:c r="E305" s="12" t="inlineStr">
        <x:is>
          <x:t xml:space="preserve">A miracle claim requires both evidence for an event and argument for divine causation.</x:t>
        </x:is>
      </x:c>
      <x:c r="F305" s="12" t="n"/>
      <x:c r="G305" s="12" t="n"/>
      <x:c r="H305" s="12" t="n"/>
      <x:c r="I305" s="12" t="n"/>
      <x:c r="J305" s="12" t="n"/>
      <x:c r="K305" s="12" t="n"/>
      <x:c r="L305" s="12" t="n"/>
      <x:c r="M305" s="12" t="n"/>
      <x:c r="N305" s="12" t="n"/>
      <x:c r="O305" s="12" t="n"/>
      <x:c r="P305" s="12" t="n"/>
      <x:c r="Q305" s="12" t="n"/>
      <x:c r="R305" s="12" t="inlineStr">
        <x:is>
          <x:t xml:space="preserve">Not started</x:t>
        </x:is>
      </x:c>
      <x:c r="S305" s="12" t="n"/>
      <x:c r="T305" s="12" t="n"/>
      <x:c r="U305" s="12" t="n">
        <x:v>546</x:v>
      </x:c>
    </x:row>
    <x:row r="306">
      <x:c r="A306" s="13" t="inlineStr">
        <x:is>
          <x:t xml:space="preserve">MIR-0050</x:t>
        </x:is>
      </x:c>
      <x:c r="B306" s="12" t="inlineStr">
        <x:is>
          <x:t xml:space="preserve">XXI</x:t>
        </x:is>
      </x:c>
      <x:c r="C306" s="12" t="inlineStr">
        <x:is>
          <x:t xml:space="preserve">MIR</x:t>
        </x:is>
      </x:c>
      <x:c r="D306" s="12" t="inlineStr">
        <x:is>
          <x:t xml:space="preserve">Miracles</x:t>
        </x:is>
      </x:c>
      <x:c r="E306" s="12" t="inlineStr">
        <x:is>
          <x:t xml:space="preserve">Unusual events are not automatically miracles.</x:t>
        </x:is>
      </x:c>
      <x:c r="F306" s="12" t="n"/>
      <x:c r="G306" s="12" t="n"/>
      <x:c r="H306" s="12" t="n"/>
      <x:c r="I306" s="12" t="n"/>
      <x:c r="J306" s="12" t="n"/>
      <x:c r="K306" s="12" t="n"/>
      <x:c r="L306" s="12" t="n"/>
      <x:c r="M306" s="12" t="n"/>
      <x:c r="N306" s="12" t="n"/>
      <x:c r="O306" s="12" t="n"/>
      <x:c r="P306" s="12" t="n"/>
      <x:c r="Q306" s="12" t="n"/>
      <x:c r="R306" s="12" t="inlineStr">
        <x:is>
          <x:t xml:space="preserve">Not started</x:t>
        </x:is>
      </x:c>
      <x:c r="S306" s="12" t="n"/>
      <x:c r="T306" s="12" t="n"/>
      <x:c r="U306" s="12" t="n">
        <x:v>547</x:v>
      </x:c>
    </x:row>
    <x:row r="307" ht="28.799999237060547" customHeight="1">
      <x:c r="A307" s="13" t="inlineStr">
        <x:is>
          <x:t xml:space="preserve">MIR-0060</x:t>
        </x:is>
      </x:c>
      <x:c r="B307" s="12" t="inlineStr">
        <x:is>
          <x:t xml:space="preserve">XXI</x:t>
        </x:is>
      </x:c>
      <x:c r="C307" s="12" t="inlineStr">
        <x:is>
          <x:t xml:space="preserve">MIR</x:t>
        </x:is>
      </x:c>
      <x:c r="D307" s="12" t="inlineStr">
        <x:is>
          <x:t xml:space="preserve">Miracles</x:t>
        </x:is>
      </x:c>
      <x:c r="E307" s="12" t="inlineStr">
        <x:is>
          <x:t xml:space="preserve">Medical recovery claims require diagnosis, prognosis, timing, documentation, and alternative explanations.</x:t>
        </x:is>
      </x:c>
      <x:c r="F307" s="12" t="n"/>
      <x:c r="G307" s="12" t="n"/>
      <x:c r="H307" s="12" t="n"/>
      <x:c r="I307" s="12" t="n"/>
      <x:c r="J307" s="12" t="n"/>
      <x:c r="K307" s="12" t="n"/>
      <x:c r="L307" s="12" t="n"/>
      <x:c r="M307" s="12" t="n"/>
      <x:c r="N307" s="12" t="n"/>
      <x:c r="O307" s="12" t="n"/>
      <x:c r="P307" s="12" t="n"/>
      <x:c r="Q307" s="12" t="n"/>
      <x:c r="R307" s="12" t="inlineStr">
        <x:is>
          <x:t xml:space="preserve">Not started</x:t>
        </x:is>
      </x:c>
      <x:c r="S307" s="12" t="n"/>
      <x:c r="T307" s="12" t="n"/>
      <x:c r="U307" s="12" t="n">
        <x:v>548</x:v>
      </x:c>
    </x:row>
    <x:row r="308" ht="28.799999237060547" customHeight="1">
      <x:c r="A308" s="13" t="inlineStr">
        <x:is>
          <x:t xml:space="preserve">MIR-0070</x:t>
        </x:is>
      </x:c>
      <x:c r="B308" s="12" t="inlineStr">
        <x:is>
          <x:t xml:space="preserve">XXI</x:t>
        </x:is>
      </x:c>
      <x:c r="C308" s="12" t="inlineStr">
        <x:is>
          <x:t xml:space="preserve">MIR</x:t>
        </x:is>
      </x:c>
      <x:c r="D308" s="12" t="inlineStr">
        <x:is>
          <x:t xml:space="preserve">Miracles</x:t>
        </x:is>
      </x:c>
      <x:c r="E308" s="12" t="inlineStr">
        <x:is>
          <x:t xml:space="preserve">Fraud, exaggeration, psychosomatic effects, spontaneous remission, and unknown natural causes must be considered.</x:t>
        </x:is>
      </x:c>
      <x:c r="F308" s="12" t="n"/>
      <x:c r="G308" s="12" t="n"/>
      <x:c r="H308" s="12" t="n"/>
      <x:c r="I308" s="12" t="n"/>
      <x:c r="J308" s="12" t="n"/>
      <x:c r="K308" s="12" t="n"/>
      <x:c r="L308" s="12" t="n"/>
      <x:c r="M308" s="12" t="n"/>
      <x:c r="N308" s="12" t="n"/>
      <x:c r="O308" s="12" t="n"/>
      <x:c r="P308" s="12" t="n"/>
      <x:c r="Q308" s="12" t="n"/>
      <x:c r="R308" s="12" t="inlineStr">
        <x:is>
          <x:t xml:space="preserve">Not started</x:t>
        </x:is>
      </x:c>
      <x:c r="S308" s="12" t="n"/>
      <x:c r="T308" s="12" t="n"/>
      <x:c r="U308" s="12" t="n">
        <x:v>549</x:v>
      </x:c>
    </x:row>
    <x:row r="309">
      <x:c r="A309" s="13" t="inlineStr">
        <x:is>
          <x:t xml:space="preserve">MIR-0080</x:t>
        </x:is>
      </x:c>
      <x:c r="B309" s="12" t="inlineStr">
        <x:is>
          <x:t xml:space="preserve">XXI</x:t>
        </x:is>
      </x:c>
      <x:c r="C309" s="12" t="inlineStr">
        <x:is>
          <x:t xml:space="preserve">MIR</x:t>
        </x:is>
      </x:c>
      <x:c r="D309" s="12" t="inlineStr">
        <x:is>
          <x:t xml:space="preserve">Miracles</x:t>
        </x:is>
      </x:c>
      <x:c r="E309" s="12" t="inlineStr">
        <x:is>
          <x:t xml:space="preserve">Multiple independent, well-documented cases would have greater force than anecdotal reports.</x:t>
        </x:is>
      </x:c>
      <x:c r="F309" s="12" t="n"/>
      <x:c r="G309" s="12" t="n"/>
      <x:c r="H309" s="12" t="n"/>
      <x:c r="I309" s="12" t="n"/>
      <x:c r="J309" s="12" t="n"/>
      <x:c r="K309" s="12" t="n"/>
      <x:c r="L309" s="12" t="n"/>
      <x:c r="M309" s="12" t="n"/>
      <x:c r="N309" s="12" t="n"/>
      <x:c r="O309" s="12" t="n"/>
      <x:c r="P309" s="12" t="n"/>
      <x:c r="Q309" s="12" t="n"/>
      <x:c r="R309" s="12" t="inlineStr">
        <x:is>
          <x:t xml:space="preserve">Not started</x:t>
        </x:is>
      </x:c>
      <x:c r="S309" s="12" t="n"/>
      <x:c r="T309" s="12" t="n"/>
      <x:c r="U309" s="12" t="n">
        <x:v>550</x:v>
      </x:c>
    </x:row>
    <x:row r="310">
      <x:c r="A310" s="13" t="inlineStr">
        <x:is>
          <x:t xml:space="preserve">MIR-0090</x:t>
        </x:is>
      </x:c>
      <x:c r="B310" s="12" t="inlineStr">
        <x:is>
          <x:t xml:space="preserve">XXI</x:t>
        </x:is>
      </x:c>
      <x:c r="C310" s="12" t="inlineStr">
        <x:is>
          <x:t xml:space="preserve">MIR</x:t>
        </x:is>
      </x:c>
      <x:c r="D310" s="12" t="inlineStr">
        <x:is>
          <x:t xml:space="preserve">Miracles</x:t>
        </x:is>
      </x:c>
      <x:c r="E310" s="12" t="inlineStr">
        <x:is>
          <x:t xml:space="preserve">Miracle testimony cannot be dismissed merely because it reports a miracle.</x:t>
        </x:is>
      </x:c>
      <x:c r="F310" s="12" t="n"/>
      <x:c r="G310" s="12" t="n"/>
      <x:c r="H310" s="12" t="n"/>
      <x:c r="I310" s="12" t="n"/>
      <x:c r="J310" s="12" t="n"/>
      <x:c r="K310" s="12" t="n"/>
      <x:c r="L310" s="12" t="n"/>
      <x:c r="M310" s="12" t="n"/>
      <x:c r="N310" s="12" t="n"/>
      <x:c r="O310" s="12" t="n"/>
      <x:c r="P310" s="12" t="n"/>
      <x:c r="Q310" s="12" t="n"/>
      <x:c r="R310" s="12" t="inlineStr">
        <x:is>
          <x:t xml:space="preserve">Not started</x:t>
        </x:is>
      </x:c>
      <x:c r="S310" s="12" t="n"/>
      <x:c r="T310" s="12" t="n"/>
      <x:c r="U310" s="12" t="n">
        <x:v>551</x:v>
      </x:c>
    </x:row>
    <x:row r="311">
      <x:c r="A311" s="13" t="inlineStr">
        <x:is>
          <x:t xml:space="preserve">MIR-0100</x:t>
        </x:is>
      </x:c>
      <x:c r="B311" s="12" t="inlineStr">
        <x:is>
          <x:t xml:space="preserve">XXI</x:t>
        </x:is>
      </x:c>
      <x:c r="C311" s="12" t="inlineStr">
        <x:is>
          <x:t xml:space="preserve">MIR</x:t>
        </x:is>
      </x:c>
      <x:c r="D311" s="12" t="inlineStr">
        <x:is>
          <x:t xml:space="preserve">Miracles</x:t>
        </x:is>
      </x:c>
      <x:c r="E311" s="12" t="inlineStr">
        <x:is>
          <x:t xml:space="preserve">Humean objections can be interpreted probabilistically rather than as absolute prohibitions.</x:t>
        </x:is>
      </x:c>
      <x:c r="F311" s="12" t="n"/>
      <x:c r="G311" s="12" t="n"/>
      <x:c r="H311" s="12" t="n"/>
      <x:c r="I311" s="12" t="n"/>
      <x:c r="J311" s="12" t="n"/>
      <x:c r="K311" s="12" t="n"/>
      <x:c r="L311" s="12" t="n"/>
      <x:c r="M311" s="12" t="n"/>
      <x:c r="N311" s="12" t="n"/>
      <x:c r="O311" s="12" t="n"/>
      <x:c r="P311" s="12" t="n"/>
      <x:c r="Q311" s="12" t="n"/>
      <x:c r="R311" s="12" t="inlineStr">
        <x:is>
          <x:t xml:space="preserve">Not started</x:t>
        </x:is>
      </x:c>
      <x:c r="S311" s="12" t="n"/>
      <x:c r="T311" s="12" t="n"/>
      <x:c r="U311" s="12" t="n">
        <x:v>552</x:v>
      </x:c>
    </x:row>
    <x:row r="312">
      <x:c r="A312" s="13" t="inlineStr">
        <x:is>
          <x:t xml:space="preserve">MIR-0110</x:t>
        </x:is>
      </x:c>
      <x:c r="B312" s="12" t="inlineStr">
        <x:is>
          <x:t xml:space="preserve">XXI</x:t>
        </x:is>
      </x:c>
      <x:c r="C312" s="12" t="inlineStr">
        <x:is>
          <x:t xml:space="preserve">MIR</x:t>
        </x:is>
      </x:c>
      <x:c r="D312" s="12" t="inlineStr">
        <x:is>
          <x:t xml:space="preserve">Miracles</x:t>
        </x:is>
      </x:c>
      <x:c r="E312" s="12" t="inlineStr">
        <x:is>
          <x:t xml:space="preserve">The prior probability of miracles depends partly on whether God exists and has reason to act.</x:t>
        </x:is>
      </x:c>
      <x:c r="F312" s="12" t="n"/>
      <x:c r="G312" s="12" t="n"/>
      <x:c r="H312" s="12" t="n"/>
      <x:c r="I312" s="12" t="n"/>
      <x:c r="J312" s="12" t="n"/>
      <x:c r="K312" s="12" t="n"/>
      <x:c r="L312" s="12" t="n"/>
      <x:c r="M312" s="12" t="n"/>
      <x:c r="N312" s="12" t="n"/>
      <x:c r="O312" s="12" t="n"/>
      <x:c r="P312" s="12" t="n"/>
      <x:c r="Q312" s="12" t="n"/>
      <x:c r="R312" s="12" t="inlineStr">
        <x:is>
          <x:t xml:space="preserve">Not started</x:t>
        </x:is>
      </x:c>
      <x:c r="S312" s="12" t="n"/>
      <x:c r="T312" s="12" t="n"/>
      <x:c r="U312" s="12" t="n">
        <x:v>553</x:v>
      </x:c>
    </x:row>
    <x:row r="313" ht="28.799999237060547" customHeight="1">
      <x:c r="A313" s="13" t="inlineStr">
        <x:is>
          <x:t xml:space="preserve">MIR-0120</x:t>
        </x:is>
      </x:c>
      <x:c r="B313" s="12" t="inlineStr">
        <x:is>
          <x:t xml:space="preserve">XXI</x:t>
        </x:is>
      </x:c>
      <x:c r="C313" s="12" t="inlineStr">
        <x:is>
          <x:t xml:space="preserve">MIR</x:t>
        </x:is>
      </x:c>
      <x:c r="D313" s="12" t="inlineStr">
        <x:is>
          <x:t xml:space="preserve">Miracles</x:t>
        </x:is>
      </x:c>
      <x:c r="E313" s="12" t="inlineStr">
        <x:is>
          <x:t xml:space="preserve">Christian miracle claims are strongest when embedded in a revelatory context rather than functioning as isolated anomalies.</x:t>
        </x:is>
      </x:c>
      <x:c r="F313" s="12" t="n"/>
      <x:c r="G313" s="12" t="n"/>
      <x:c r="H313" s="12" t="n"/>
      <x:c r="I313" s="12" t="n"/>
      <x:c r="J313" s="12" t="n"/>
      <x:c r="K313" s="12" t="n"/>
      <x:c r="L313" s="12" t="n"/>
      <x:c r="M313" s="12" t="n"/>
      <x:c r="N313" s="12" t="n"/>
      <x:c r="O313" s="12" t="n"/>
      <x:c r="P313" s="12" t="n"/>
      <x:c r="Q313" s="12" t="n"/>
      <x:c r="R313" s="12" t="inlineStr">
        <x:is>
          <x:t xml:space="preserve">Not started</x:t>
        </x:is>
      </x:c>
      <x:c r="S313" s="12" t="n"/>
      <x:c r="T313" s="12" t="n"/>
      <x:c r="U313" s="12" t="n">
        <x:v>554</x:v>
      </x:c>
    </x:row>
    <x:row r="314" ht="28.799999237060547" customHeight="1">
      <x:c r="A314" s="13" t="inlineStr">
        <x:is>
          <x:t xml:space="preserve">CHH-0010</x:t>
        </x:is>
      </x:c>
      <x:c r="B314" s="12" t="inlineStr">
        <x:is>
          <x:t xml:space="preserve">XXII</x:t>
        </x:is>
      </x:c>
      <x:c r="C314" s="12" t="inlineStr">
        <x:is>
          <x:t xml:space="preserve">CHH</x:t>
        </x:is>
      </x:c>
      <x:c r="D314" s="12" t="inlineStr">
        <x:is>
          <x:t xml:space="preserve">Church history and doctrinal development</x:t>
        </x:is>
      </x:c>
      <x:c r="E314" s="12" t="inlineStr">
        <x:is>
          <x:t xml:space="preserve">Early Christianity was diverse but not infinitely plastic.</x:t>
        </x:is>
      </x:c>
      <x:c r="F314" s="12" t="n"/>
      <x:c r="G314" s="12" t="n"/>
      <x:c r="H314" s="12" t="n"/>
      <x:c r="I314" s="12" t="n"/>
      <x:c r="J314" s="12" t="n"/>
      <x:c r="K314" s="12" t="n"/>
      <x:c r="L314" s="12" t="n"/>
      <x:c r="M314" s="12" t="n"/>
      <x:c r="N314" s="12" t="n"/>
      <x:c r="O314" s="12" t="n"/>
      <x:c r="P314" s="12" t="n"/>
      <x:c r="Q314" s="12" t="n"/>
      <x:c r="R314" s="12" t="inlineStr">
        <x:is>
          <x:t xml:space="preserve">Not started</x:t>
        </x:is>
      </x:c>
      <x:c r="S314" s="12" t="n"/>
      <x:c r="T314" s="12" t="n"/>
      <x:c r="U314" s="12" t="n">
        <x:v>560</x:v>
      </x:c>
    </x:row>
    <x:row r="315" ht="28.799999237060547" customHeight="1">
      <x:c r="A315" s="13" t="inlineStr">
        <x:is>
          <x:t xml:space="preserve">CHH-0020</x:t>
        </x:is>
      </x:c>
      <x:c r="B315" s="12" t="inlineStr">
        <x:is>
          <x:t xml:space="preserve">XXII</x:t>
        </x:is>
      </x:c>
      <x:c r="C315" s="12" t="inlineStr">
        <x:is>
          <x:t xml:space="preserve">CHH</x:t>
        </x:is>
      </x:c>
      <x:c r="D315" s="12" t="inlineStr">
        <x:is>
          <x:t xml:space="preserve">Church history and doctrinal development</x:t>
        </x:is>
      </x:c>
      <x:c r="E315" s="12" t="inlineStr">
        <x:is>
          <x:t xml:space="preserve">Diversity does not prove the absence of boundaries.</x:t>
        </x:is>
      </x:c>
      <x:c r="F315" s="12" t="n"/>
      <x:c r="G315" s="12" t="n"/>
      <x:c r="H315" s="12" t="n"/>
      <x:c r="I315" s="12" t="n"/>
      <x:c r="J315" s="12" t="n"/>
      <x:c r="K315" s="12" t="n"/>
      <x:c r="L315" s="12" t="n"/>
      <x:c r="M315" s="12" t="n"/>
      <x:c r="N315" s="12" t="n"/>
      <x:c r="O315" s="12" t="n"/>
      <x:c r="P315" s="12" t="n"/>
      <x:c r="Q315" s="12" t="n"/>
      <x:c r="R315" s="12" t="inlineStr">
        <x:is>
          <x:t xml:space="preserve">Not started</x:t>
        </x:is>
      </x:c>
      <x:c r="S315" s="12" t="n"/>
      <x:c r="T315" s="12" t="n"/>
      <x:c r="U315" s="12" t="n">
        <x:v>561</x:v>
      </x:c>
    </x:row>
    <x:row r="316" ht="28.799999237060547" customHeight="1">
      <x:c r="A316" s="13" t="inlineStr">
        <x:is>
          <x:t xml:space="preserve">CHH-0030</x:t>
        </x:is>
      </x:c>
      <x:c r="B316" s="12" t="inlineStr">
        <x:is>
          <x:t xml:space="preserve">XXII</x:t>
        </x:is>
      </x:c>
      <x:c r="C316" s="12" t="inlineStr">
        <x:is>
          <x:t xml:space="preserve">CHH</x:t>
        </x:is>
      </x:c>
      <x:c r="D316" s="12" t="inlineStr">
        <x:is>
          <x:t xml:space="preserve">Church history and doctrinal development</x:t>
        </x:is>
      </x:c>
      <x:c r="E316" s="12" t="inlineStr">
        <x:is>
          <x:t xml:space="preserve">Orthodoxy and heresy developed through historical interaction.</x:t>
        </x:is>
      </x:c>
      <x:c r="F316" s="12" t="n"/>
      <x:c r="G316" s="12" t="n"/>
      <x:c r="H316" s="12" t="n"/>
      <x:c r="I316" s="12" t="n"/>
      <x:c r="J316" s="12" t="n"/>
      <x:c r="K316" s="12" t="n"/>
      <x:c r="L316" s="12" t="n"/>
      <x:c r="M316" s="12" t="n"/>
      <x:c r="N316" s="12" t="n"/>
      <x:c r="O316" s="12" t="n"/>
      <x:c r="P316" s="12" t="n"/>
      <x:c r="Q316" s="12" t="n"/>
      <x:c r="R316" s="12" t="inlineStr">
        <x:is>
          <x:t xml:space="preserve">Not started</x:t>
        </x:is>
      </x:c>
      <x:c r="S316" s="12" t="n"/>
      <x:c r="T316" s="12" t="n"/>
      <x:c r="U316" s="12" t="n">
        <x:v>562</x:v>
      </x:c>
    </x:row>
    <x:row r="317" ht="28.799999237060547" customHeight="1">
      <x:c r="A317" s="13" t="inlineStr">
        <x:is>
          <x:t xml:space="preserve">CHH-0040</x:t>
        </x:is>
      </x:c>
      <x:c r="B317" s="12" t="inlineStr">
        <x:is>
          <x:t xml:space="preserve">XXII</x:t>
        </x:is>
      </x:c>
      <x:c r="C317" s="12" t="inlineStr">
        <x:is>
          <x:t xml:space="preserve">CHH</x:t>
        </x:is>
      </x:c>
      <x:c r="D317" s="12" t="inlineStr">
        <x:is>
          <x:t xml:space="preserve">Church history and doctrinal development</x:t>
        </x:is>
      </x:c>
      <x:c r="E317" s="12" t="inlineStr">
        <x:is>
          <x:t xml:space="preserve">Political involvement in councils does not by itself invalidate doctrinal conclusions.</x:t>
        </x:is>
      </x:c>
      <x:c r="F317" s="12" t="n"/>
      <x:c r="G317" s="12" t="n"/>
      <x:c r="H317" s="12" t="n"/>
      <x:c r="I317" s="12" t="n"/>
      <x:c r="J317" s="12" t="n"/>
      <x:c r="K317" s="12" t="n"/>
      <x:c r="L317" s="12" t="n"/>
      <x:c r="M317" s="12" t="n"/>
      <x:c r="N317" s="12" t="n"/>
      <x:c r="O317" s="12" t="n"/>
      <x:c r="P317" s="12" t="n"/>
      <x:c r="Q317" s="12" t="n"/>
      <x:c r="R317" s="12" t="inlineStr">
        <x:is>
          <x:t xml:space="preserve">Not started</x:t>
        </x:is>
      </x:c>
      <x:c r="S317" s="12" t="n"/>
      <x:c r="T317" s="12" t="n"/>
      <x:c r="U317" s="12" t="n">
        <x:v>563</x:v>
      </x:c>
    </x:row>
    <x:row r="318" ht="28.799999237060547" customHeight="1">
      <x:c r="A318" s="13" t="inlineStr">
        <x:is>
          <x:t xml:space="preserve">CHH-0050</x:t>
        </x:is>
      </x:c>
      <x:c r="B318" s="12" t="inlineStr">
        <x:is>
          <x:t xml:space="preserve">XXII</x:t>
        </x:is>
      </x:c>
      <x:c r="C318" s="12" t="inlineStr">
        <x:is>
          <x:t xml:space="preserve">CHH</x:t>
        </x:is>
      </x:c>
      <x:c r="D318" s="12" t="inlineStr">
        <x:is>
          <x:t xml:space="preserve">Church history and doctrinal development</x:t>
        </x:is>
      </x:c>
      <x:c r="E318" s="12" t="inlineStr">
        <x:is>
          <x:t xml:space="preserve">Constantine did not invent the divinity of Christ.</x:t>
        </x:is>
      </x:c>
      <x:c r="F318" s="12" t="n"/>
      <x:c r="G318" s="12" t="n"/>
      <x:c r="H318" s="12" t="n"/>
      <x:c r="I318" s="12" t="n"/>
      <x:c r="J318" s="12" t="n"/>
      <x:c r="K318" s="12" t="n"/>
      <x:c r="L318" s="12" t="n"/>
      <x:c r="M318" s="12" t="n"/>
      <x:c r="N318" s="12" t="n"/>
      <x:c r="O318" s="12" t="n"/>
      <x:c r="P318" s="12" t="n"/>
      <x:c r="Q318" s="12" t="n"/>
      <x:c r="R318" s="12" t="inlineStr">
        <x:is>
          <x:t xml:space="preserve">Not started</x:t>
        </x:is>
      </x:c>
      <x:c r="S318" s="12" t="n"/>
      <x:c r="T318" s="12" t="n"/>
      <x:c r="U318" s="12" t="n">
        <x:v>564</x:v>
      </x:c>
    </x:row>
    <x:row r="319" ht="28.799999237060547" customHeight="1">
      <x:c r="A319" s="13" t="inlineStr">
        <x:is>
          <x:t xml:space="preserve">CHH-0060</x:t>
        </x:is>
      </x:c>
      <x:c r="B319" s="12" t="inlineStr">
        <x:is>
          <x:t xml:space="preserve">XXII</x:t>
        </x:is>
      </x:c>
      <x:c r="C319" s="12" t="inlineStr">
        <x:is>
          <x:t xml:space="preserve">CHH</x:t>
        </x:is>
      </x:c>
      <x:c r="D319" s="12" t="inlineStr">
        <x:is>
          <x:t xml:space="preserve">Church history and doctrinal development</x:t>
        </x:is>
      </x:c>
      <x:c r="E319" s="12" t="inlineStr">
        <x:is>
          <x:t xml:space="preserve">Imperial influence affected church institutions and conflicts.</x:t>
        </x:is>
      </x:c>
      <x:c r="F319" s="12" t="n"/>
      <x:c r="G319" s="12" t="n"/>
      <x:c r="H319" s="12" t="n"/>
      <x:c r="I319" s="12" t="n"/>
      <x:c r="J319" s="12" t="n"/>
      <x:c r="K319" s="12" t="n"/>
      <x:c r="L319" s="12" t="n"/>
      <x:c r="M319" s="12" t="n"/>
      <x:c r="N319" s="12" t="n"/>
      <x:c r="O319" s="12" t="n"/>
      <x:c r="P319" s="12" t="n"/>
      <x:c r="Q319" s="12" t="n"/>
      <x:c r="R319" s="12" t="inlineStr">
        <x:is>
          <x:t xml:space="preserve">Not started</x:t>
        </x:is>
      </x:c>
      <x:c r="S319" s="12" t="n"/>
      <x:c r="T319" s="12" t="n"/>
      <x:c r="U319" s="12" t="n">
        <x:v>565</x:v>
      </x:c>
    </x:row>
    <x:row r="320" ht="28.799999237060547" customHeight="1">
      <x:c r="A320" s="13" t="inlineStr">
        <x:is>
          <x:t xml:space="preserve">CHH-0070</x:t>
        </x:is>
      </x:c>
      <x:c r="B320" s="12" t="inlineStr">
        <x:is>
          <x:t xml:space="preserve">XXII</x:t>
        </x:is>
      </x:c>
      <x:c r="C320" s="12" t="inlineStr">
        <x:is>
          <x:t xml:space="preserve">CHH</x:t>
        </x:is>
      </x:c>
      <x:c r="D320" s="12" t="inlineStr">
        <x:is>
          <x:t xml:space="preserve">Church history and doctrinal development</x:t>
        </x:is>
      </x:c>
      <x:c r="E320" s="12" t="inlineStr">
        <x:is>
          <x:t xml:space="preserve">Development of doctrine can preserve, clarify, expand, or distort earlier beliefs.</x:t>
        </x:is>
      </x:c>
      <x:c r="F320" s="12" t="n"/>
      <x:c r="G320" s="12" t="n"/>
      <x:c r="H320" s="12" t="n"/>
      <x:c r="I320" s="12" t="n"/>
      <x:c r="J320" s="12" t="n"/>
      <x:c r="K320" s="12" t="n"/>
      <x:c r="L320" s="12" t="n"/>
      <x:c r="M320" s="12" t="n"/>
      <x:c r="N320" s="12" t="n"/>
      <x:c r="O320" s="12" t="n"/>
      <x:c r="P320" s="12" t="n"/>
      <x:c r="Q320" s="12" t="n"/>
      <x:c r="R320" s="12" t="inlineStr">
        <x:is>
          <x:t xml:space="preserve">Not started</x:t>
        </x:is>
      </x:c>
      <x:c r="S320" s="12" t="n"/>
      <x:c r="T320" s="12" t="n"/>
      <x:c r="U320" s="12" t="n">
        <x:v>566</x:v>
      </x:c>
    </x:row>
    <x:row r="321" ht="28.799999237060547" customHeight="1">
      <x:c r="A321" s="13" t="inlineStr">
        <x:is>
          <x:t xml:space="preserve">CHH-0080</x:t>
        </x:is>
      </x:c>
      <x:c r="B321" s="12" t="inlineStr">
        <x:is>
          <x:t xml:space="preserve">XXII</x:t>
        </x:is>
      </x:c>
      <x:c r="C321" s="12" t="inlineStr">
        <x:is>
          <x:t xml:space="preserve">CHH</x:t>
        </x:is>
      </x:c>
      <x:c r="D321" s="12" t="inlineStr">
        <x:is>
          <x:t xml:space="preserve">Church history and doctrinal development</x:t>
        </x:is>
      </x:c>
      <x:c r="E321" s="12" t="inlineStr">
        <x:is>
          <x:t xml:space="preserve">Apostolic succession has historical and theological dimensions.</x:t>
        </x:is>
      </x:c>
      <x:c r="F321" s="12" t="n"/>
      <x:c r="G321" s="12" t="n"/>
      <x:c r="H321" s="12" t="n"/>
      <x:c r="I321" s="12" t="n"/>
      <x:c r="J321" s="12" t="n"/>
      <x:c r="K321" s="12" t="n"/>
      <x:c r="L321" s="12" t="n"/>
      <x:c r="M321" s="12" t="n"/>
      <x:c r="N321" s="12" t="n"/>
      <x:c r="O321" s="12" t="n"/>
      <x:c r="P321" s="12" t="n"/>
      <x:c r="Q321" s="12" t="n"/>
      <x:c r="R321" s="12" t="inlineStr">
        <x:is>
          <x:t xml:space="preserve">Not started</x:t>
        </x:is>
      </x:c>
      <x:c r="S321" s="12" t="n"/>
      <x:c r="T321" s="12" t="n"/>
      <x:c r="U321" s="12" t="n">
        <x:v>567</x:v>
      </x:c>
    </x:row>
    <x:row r="322" ht="28.799999237060547" customHeight="1">
      <x:c r="A322" s="13" t="inlineStr">
        <x:is>
          <x:t xml:space="preserve">CHH-0090</x:t>
        </x:is>
      </x:c>
      <x:c r="B322" s="12" t="inlineStr">
        <x:is>
          <x:t xml:space="preserve">XXII</x:t>
        </x:is>
      </x:c>
      <x:c r="C322" s="12" t="inlineStr">
        <x:is>
          <x:t xml:space="preserve">CHH</x:t>
        </x:is>
      </x:c>
      <x:c r="D322" s="12" t="inlineStr">
        <x:is>
          <x:t xml:space="preserve">Church history and doctrinal development</x:t>
        </x:is>
      </x:c>
      <x:c r="E322" s="12" t="inlineStr">
        <x:is>
          <x:t xml:space="preserve">The papacy developed historically; disagreement concerns whether the development is legitimate.</x:t>
        </x:is>
      </x:c>
      <x:c r="F322" s="12" t="n"/>
      <x:c r="G322" s="12" t="n"/>
      <x:c r="H322" s="12" t="n"/>
      <x:c r="I322" s="12" t="n"/>
      <x:c r="J322" s="12" t="n"/>
      <x:c r="K322" s="12" t="n"/>
      <x:c r="L322" s="12" t="n"/>
      <x:c r="M322" s="12" t="n"/>
      <x:c r="N322" s="12" t="n"/>
      <x:c r="O322" s="12" t="n"/>
      <x:c r="P322" s="12" t="n"/>
      <x:c r="Q322" s="12" t="n"/>
      <x:c r="R322" s="12" t="inlineStr">
        <x:is>
          <x:t xml:space="preserve">Not started</x:t>
        </x:is>
      </x:c>
      <x:c r="S322" s="12" t="n"/>
      <x:c r="T322" s="12" t="n"/>
      <x:c r="U322" s="12" t="n">
        <x:v>568</x:v>
      </x:c>
    </x:row>
    <x:row r="323" ht="28.799999237060547" customHeight="1">
      <x:c r="A323" s="13" t="inlineStr">
        <x:is>
          <x:t xml:space="preserve">CHH-0100</x:t>
        </x:is>
      </x:c>
      <x:c r="B323" s="12" t="inlineStr">
        <x:is>
          <x:t xml:space="preserve">XXII</x:t>
        </x:is>
      </x:c>
      <x:c r="C323" s="12" t="inlineStr">
        <x:is>
          <x:t xml:space="preserve">CHH</x:t>
        </x:is>
      </x:c>
      <x:c r="D323" s="12" t="inlineStr">
        <x:is>
          <x:t xml:space="preserve">Church history and doctrinal development</x:t>
        </x:is>
      </x:c>
      <x:c r="E323" s="12" t="inlineStr">
        <x:is>
          <x:t xml:space="preserve">The East–West Schism had theological, political, linguistic, and cultural causes.</x:t>
        </x:is>
      </x:c>
      <x:c r="F323" s="12" t="n"/>
      <x:c r="G323" s="12" t="n"/>
      <x:c r="H323" s="12" t="n"/>
      <x:c r="I323" s="12" t="n"/>
      <x:c r="J323" s="12" t="n"/>
      <x:c r="K323" s="12" t="n"/>
      <x:c r="L323" s="12" t="n"/>
      <x:c r="M323" s="12" t="n"/>
      <x:c r="N323" s="12" t="n"/>
      <x:c r="O323" s="12" t="n"/>
      <x:c r="P323" s="12" t="n"/>
      <x:c r="Q323" s="12" t="n"/>
      <x:c r="R323" s="12" t="inlineStr">
        <x:is>
          <x:t xml:space="preserve">Not started</x:t>
        </x:is>
      </x:c>
      <x:c r="S323" s="12" t="n"/>
      <x:c r="T323" s="12" t="n"/>
      <x:c r="U323" s="12" t="n">
        <x:v>569</x:v>
      </x:c>
    </x:row>
    <x:row r="324" ht="28.799999237060547" customHeight="1">
      <x:c r="A324" s="13" t="inlineStr">
        <x:is>
          <x:t xml:space="preserve">CHH-0110</x:t>
        </x:is>
      </x:c>
      <x:c r="B324" s="12" t="inlineStr">
        <x:is>
          <x:t xml:space="preserve">XXII</x:t>
        </x:is>
      </x:c>
      <x:c r="C324" s="12" t="inlineStr">
        <x:is>
          <x:t xml:space="preserve">CHH</x:t>
        </x:is>
      </x:c>
      <x:c r="D324" s="12" t="inlineStr">
        <x:is>
          <x:t xml:space="preserve">Church history and doctrinal development</x:t>
        </x:is>
      </x:c>
      <x:c r="E324" s="12" t="inlineStr">
        <x:is>
          <x:t xml:space="preserve">The Reformation involved doctrinal, pastoral, political, economic, and technological factors.</x:t>
        </x:is>
      </x:c>
      <x:c r="F324" s="12" t="n"/>
      <x:c r="G324" s="12" t="n"/>
      <x:c r="H324" s="12" t="n"/>
      <x:c r="I324" s="12" t="n"/>
      <x:c r="J324" s="12" t="n"/>
      <x:c r="K324" s="12" t="n"/>
      <x:c r="L324" s="12" t="n"/>
      <x:c r="M324" s="12" t="n"/>
      <x:c r="N324" s="12" t="n"/>
      <x:c r="O324" s="12" t="n"/>
      <x:c r="P324" s="12" t="n"/>
      <x:c r="Q324" s="12" t="n"/>
      <x:c r="R324" s="12" t="inlineStr">
        <x:is>
          <x:t xml:space="preserve">Not started</x:t>
        </x:is>
      </x:c>
      <x:c r="S324" s="12" t="n"/>
      <x:c r="T324" s="12" t="n"/>
      <x:c r="U324" s="12" t="n">
        <x:v>570</x:v>
      </x:c>
    </x:row>
    <x:row r="325" ht="28.799999237060547" customHeight="1">
      <x:c r="A325" s="13" t="inlineStr">
        <x:is>
          <x:t xml:space="preserve">CHH-0120</x:t>
        </x:is>
      </x:c>
      <x:c r="B325" s="12" t="inlineStr">
        <x:is>
          <x:t xml:space="preserve">XXII</x:t>
        </x:is>
      </x:c>
      <x:c r="C325" s="12" t="inlineStr">
        <x:is>
          <x:t xml:space="preserve">CHH</x:t>
        </x:is>
      </x:c>
      <x:c r="D325" s="12" t="inlineStr">
        <x:is>
          <x:t xml:space="preserve">Church history and doctrinal development</x:t>
        </x:is>
      </x:c>
      <x:c r="E325" s="12" t="inlineStr">
        <x:is>
          <x:t xml:space="preserve">Institutional corruption does not logically disprove Christianity.</x:t>
        </x:is>
      </x:c>
      <x:c r="F325" s="12" t="n"/>
      <x:c r="G325" s="12" t="n"/>
      <x:c r="H325" s="12" t="n"/>
      <x:c r="I325" s="12" t="n"/>
      <x:c r="J325" s="12" t="n"/>
      <x:c r="K325" s="12" t="n"/>
      <x:c r="L325" s="12" t="n"/>
      <x:c r="M325" s="12" t="n"/>
      <x:c r="N325" s="12" t="n"/>
      <x:c r="O325" s="12" t="n"/>
      <x:c r="P325" s="12" t="n"/>
      <x:c r="Q325" s="12" t="n"/>
      <x:c r="R325" s="12" t="inlineStr">
        <x:is>
          <x:t xml:space="preserve">Not started</x:t>
        </x:is>
      </x:c>
      <x:c r="S325" s="12" t="n"/>
      <x:c r="T325" s="12" t="n"/>
      <x:c r="U325" s="12" t="n">
        <x:v>571</x:v>
      </x:c>
    </x:row>
    <x:row r="326" ht="28.799999237060547" customHeight="1">
      <x:c r="A326" s="13" t="inlineStr">
        <x:is>
          <x:t xml:space="preserve">CHH-0130</x:t>
        </x:is>
      </x:c>
      <x:c r="B326" s="12" t="inlineStr">
        <x:is>
          <x:t xml:space="preserve">XXII</x:t>
        </x:is>
      </x:c>
      <x:c r="C326" s="12" t="inlineStr">
        <x:is>
          <x:t xml:space="preserve">CHH</x:t>
        </x:is>
      </x:c>
      <x:c r="D326" s="12" t="inlineStr">
        <x:is>
          <x:t xml:space="preserve">Church history and doctrinal development</x:t>
        </x:is>
      </x:c>
      <x:c r="E326" s="12" t="inlineStr">
        <x:is>
          <x:t xml:space="preserve">Institutional holiness claims must nevertheless face historical wrongdoing.</x:t>
        </x:is>
      </x:c>
      <x:c r="F326" s="12" t="n"/>
      <x:c r="G326" s="12" t="n"/>
      <x:c r="H326" s="12" t="n"/>
      <x:c r="I326" s="12" t="n"/>
      <x:c r="J326" s="12" t="n"/>
      <x:c r="K326" s="12" t="n"/>
      <x:c r="L326" s="12" t="n"/>
      <x:c r="M326" s="12" t="n"/>
      <x:c r="N326" s="12" t="n"/>
      <x:c r="O326" s="12" t="n"/>
      <x:c r="P326" s="12" t="n"/>
      <x:c r="Q326" s="12" t="n"/>
      <x:c r="R326" s="12" t="inlineStr">
        <x:is>
          <x:t xml:space="preserve">Not started</x:t>
        </x:is>
      </x:c>
      <x:c r="S326" s="12" t="n"/>
      <x:c r="T326" s="12" t="n"/>
      <x:c r="U326" s="12" t="n">
        <x:v>572</x:v>
      </x:c>
    </x:row>
    <x:row r="327" ht="28.799999237060547" customHeight="1">
      <x:c r="A327" s="13" t="inlineStr">
        <x:is>
          <x:t xml:space="preserve">CHH-0140</x:t>
        </x:is>
      </x:c>
      <x:c r="B327" s="12" t="inlineStr">
        <x:is>
          <x:t xml:space="preserve">XXII</x:t>
        </x:is>
      </x:c>
      <x:c r="C327" s="12" t="inlineStr">
        <x:is>
          <x:t xml:space="preserve">CHH</x:t>
        </x:is>
      </x:c>
      <x:c r="D327" s="12" t="inlineStr">
        <x:is>
          <x:t xml:space="preserve">Church history and doctrinal development</x:t>
        </x:is>
      </x:c>
      <x:c r="E327" s="12" t="inlineStr">
        <x:is>
          <x:t xml:space="preserve">Crusades, inquisitions, colonialism, antisemitism, slavery, and abuse must be addressed individually rather than defended or condemned through slogans.</x:t>
        </x:is>
      </x:c>
      <x:c r="F327" s="12" t="n"/>
      <x:c r="G327" s="12" t="n"/>
      <x:c r="H327" s="12" t="n"/>
      <x:c r="I327" s="12" t="n"/>
      <x:c r="J327" s="12" t="n"/>
      <x:c r="K327" s="12" t="n"/>
      <x:c r="L327" s="12" t="n"/>
      <x:c r="M327" s="12" t="n"/>
      <x:c r="N327" s="12" t="n"/>
      <x:c r="O327" s="12" t="n"/>
      <x:c r="P327" s="12" t="n"/>
      <x:c r="Q327" s="12" t="n"/>
      <x:c r="R327" s="12" t="inlineStr">
        <x:is>
          <x:t xml:space="preserve">Not started</x:t>
        </x:is>
      </x:c>
      <x:c r="S327" s="12" t="n"/>
      <x:c r="T327" s="12" t="n"/>
      <x:c r="U327" s="12" t="n">
        <x:v>573</x:v>
      </x:c>
    </x:row>
    <x:row r="328" ht="28.799999237060547" customHeight="1">
      <x:c r="A328" s="13" t="inlineStr">
        <x:is>
          <x:t xml:space="preserve">CHH-0150</x:t>
        </x:is>
      </x:c>
      <x:c r="B328" s="12" t="inlineStr">
        <x:is>
          <x:t xml:space="preserve">XXII</x:t>
        </x:is>
      </x:c>
      <x:c r="C328" s="12" t="inlineStr">
        <x:is>
          <x:t xml:space="preserve">CHH</x:t>
        </x:is>
      </x:c>
      <x:c r="D328" s="12" t="inlineStr">
        <x:is>
          <x:t xml:space="preserve">Church history and doctrinal development</x:t>
        </x:is>
      </x:c>
      <x:c r="E328" s="12" t="inlineStr">
        <x:is>
          <x:t xml:space="preserve">Christian movements contributed both to oppressive systems and to reform movements.</x:t>
        </x:is>
      </x:c>
      <x:c r="F328" s="12" t="n"/>
      <x:c r="G328" s="12" t="n"/>
      <x:c r="H328" s="12" t="n"/>
      <x:c r="I328" s="12" t="n"/>
      <x:c r="J328" s="12" t="n"/>
      <x:c r="K328" s="12" t="n"/>
      <x:c r="L328" s="12" t="n"/>
      <x:c r="M328" s="12" t="n"/>
      <x:c r="N328" s="12" t="n"/>
      <x:c r="O328" s="12" t="n"/>
      <x:c r="P328" s="12" t="n"/>
      <x:c r="Q328" s="12" t="n"/>
      <x:c r="R328" s="12" t="inlineStr">
        <x:is>
          <x:t xml:space="preserve">Not started</x:t>
        </x:is>
      </x:c>
      <x:c r="S328" s="12" t="n"/>
      <x:c r="T328" s="12" t="n"/>
      <x:c r="U328" s="12" t="n">
        <x:v>574</x:v>
      </x:c>
    </x:row>
    <x:row r="329" ht="28.799999237060547" customHeight="1">
      <x:c r="A329" s="13" t="inlineStr">
        <x:is>
          <x:t xml:space="preserve">CHH-0160</x:t>
        </x:is>
      </x:c>
      <x:c r="B329" s="12" t="inlineStr">
        <x:is>
          <x:t xml:space="preserve">XXII</x:t>
        </x:is>
      </x:c>
      <x:c r="C329" s="12" t="inlineStr">
        <x:is>
          <x:t xml:space="preserve">CHH</x:t>
        </x:is>
      </x:c>
      <x:c r="D329" s="12" t="inlineStr">
        <x:is>
          <x:t xml:space="preserve">Church history and doctrinal development</x:t>
        </x:is>
      </x:c>
      <x:c r="E329" s="12" t="inlineStr">
        <x:is>
          <x:t xml:space="preserve">Historical moral failure can function as evidence against claims of distinctive transformation unless adequately contextualized.</x:t>
        </x:is>
      </x:c>
      <x:c r="F329" s="12" t="n"/>
      <x:c r="G329" s="12" t="n"/>
      <x:c r="H329" s="12" t="n"/>
      <x:c r="I329" s="12" t="n"/>
      <x:c r="J329" s="12" t="n"/>
      <x:c r="K329" s="12" t="n"/>
      <x:c r="L329" s="12" t="n"/>
      <x:c r="M329" s="12" t="n"/>
      <x:c r="N329" s="12" t="n"/>
      <x:c r="O329" s="12" t="n"/>
      <x:c r="P329" s="12" t="n"/>
      <x:c r="Q329" s="12" t="n"/>
      <x:c r="R329" s="12" t="inlineStr">
        <x:is>
          <x:t xml:space="preserve">Not started</x:t>
        </x:is>
      </x:c>
      <x:c r="S329" s="12" t="n"/>
      <x:c r="T329" s="12" t="n"/>
      <x:c r="U329" s="12" t="n">
        <x:v>575</x:v>
      </x:c>
    </x:row>
    <x:row r="330" ht="28.799999237060547" customHeight="1">
      <x:c r="A330" s="13" t="inlineStr">
        <x:is>
          <x:t xml:space="preserve">CHH-0170</x:t>
        </x:is>
      </x:c>
      <x:c r="B330" s="12" t="inlineStr">
        <x:is>
          <x:t xml:space="preserve">XXII</x:t>
        </x:is>
      </x:c>
      <x:c r="C330" s="12" t="inlineStr">
        <x:is>
          <x:t xml:space="preserve">CHH</x:t>
        </x:is>
      </x:c>
      <x:c r="D330" s="12" t="inlineStr">
        <x:is>
          <x:t xml:space="preserve">Church history and doctrinal development</x:t>
        </x:is>
      </x:c>
      <x:c r="E330" s="12" t="inlineStr">
        <x:is>
          <x:t xml:space="preserve">Repentance and institutional reform are relevant Christian responses but do not erase victims’ harms.</x:t>
        </x:is>
      </x:c>
      <x:c r="F330" s="12" t="n"/>
      <x:c r="G330" s="12" t="n"/>
      <x:c r="H330" s="12" t="n"/>
      <x:c r="I330" s="12" t="n"/>
      <x:c r="J330" s="12" t="n"/>
      <x:c r="K330" s="12" t="n"/>
      <x:c r="L330" s="12" t="n"/>
      <x:c r="M330" s="12" t="n"/>
      <x:c r="N330" s="12" t="n"/>
      <x:c r="O330" s="12" t="n"/>
      <x:c r="P330" s="12" t="n"/>
      <x:c r="Q330" s="12" t="n"/>
      <x:c r="R330" s="12" t="inlineStr">
        <x:is>
          <x:t xml:space="preserve">Not started</x:t>
        </x:is>
      </x:c>
      <x:c r="S330" s="12" t="n"/>
      <x:c r="T330" s="12" t="n"/>
      <x:c r="U330" s="12" t="n">
        <x:v>576</x:v>
      </x:c>
    </x:row>
    <x:row r="331" ht="28.799999237060547" customHeight="1">
      <x:c r="A331" s="13" t="inlineStr">
        <x:is>
          <x:t xml:space="preserve">SCR-0010</x:t>
        </x:is>
      </x:c>
      <x:c r="B331" s="12" t="inlineStr">
        <x:is>
          <x:t xml:space="preserve">XXIII</x:t>
        </x:is>
      </x:c>
      <x:c r="C331" s="12" t="inlineStr">
        <x:is>
          <x:t xml:space="preserve">SCR</x:t>
        </x:is>
      </x:c>
      <x:c r="D331" s="12" t="inlineStr">
        <x:is>
          <x:t xml:space="preserve">Scripture, inspiration, inerrancy, and interpretation</x:t>
        </x:is>
      </x:c>
      <x:c r="E331" s="12" t="inlineStr">
        <x:is>
          <x:t xml:space="preserve">Inspiration, authority, infallibility, and inerrancy are distinct concepts.</x:t>
        </x:is>
      </x:c>
      <x:c r="F331" s="12" t="n"/>
      <x:c r="G331" s="12" t="n"/>
      <x:c r="H331" s="12" t="n"/>
      <x:c r="I331" s="12" t="n"/>
      <x:c r="J331" s="12" t="n"/>
      <x:c r="K331" s="12" t="n"/>
      <x:c r="L331" s="12" t="n"/>
      <x:c r="M331" s="12" t="n"/>
      <x:c r="N331" s="12" t="n"/>
      <x:c r="O331" s="12" t="n"/>
      <x:c r="P331" s="12" t="n"/>
      <x:c r="Q331" s="12" t="n"/>
      <x:c r="R331" s="12" t="inlineStr">
        <x:is>
          <x:t xml:space="preserve">Not started</x:t>
        </x:is>
      </x:c>
      <x:c r="S331" s="12" t="n"/>
      <x:c r="T331" s="12" t="n"/>
      <x:c r="U331" s="12" t="n">
        <x:v>582</x:v>
      </x:c>
    </x:row>
    <x:row r="332" ht="28.799999237060547" customHeight="1">
      <x:c r="A332" s="13" t="inlineStr">
        <x:is>
          <x:t xml:space="preserve">SCR-0020</x:t>
        </x:is>
      </x:c>
      <x:c r="B332" s="12" t="inlineStr">
        <x:is>
          <x:t xml:space="preserve">XXIII</x:t>
        </x:is>
      </x:c>
      <x:c r="C332" s="12" t="inlineStr">
        <x:is>
          <x:t xml:space="preserve">SCR</x:t>
        </x:is>
      </x:c>
      <x:c r="D332" s="12" t="inlineStr">
        <x:is>
          <x:t xml:space="preserve">Scripture, inspiration, inerrancy, and interpretation</x:t>
        </x:is>
      </x:c>
      <x:c r="E332" s="12" t="inlineStr">
        <x:is>
          <x:t xml:space="preserve">The Bible is a collection rather than one literary genre.</x:t>
        </x:is>
      </x:c>
      <x:c r="F332" s="12" t="n"/>
      <x:c r="G332" s="12" t="n"/>
      <x:c r="H332" s="12" t="n"/>
      <x:c r="I332" s="12" t="n"/>
      <x:c r="J332" s="12" t="n"/>
      <x:c r="K332" s="12" t="n"/>
      <x:c r="L332" s="12" t="n"/>
      <x:c r="M332" s="12" t="n"/>
      <x:c r="N332" s="12" t="n"/>
      <x:c r="O332" s="12" t="n"/>
      <x:c r="P332" s="12" t="n"/>
      <x:c r="Q332" s="12" t="n"/>
      <x:c r="R332" s="12" t="inlineStr">
        <x:is>
          <x:t xml:space="preserve">Not started</x:t>
        </x:is>
      </x:c>
      <x:c r="S332" s="12" t="n"/>
      <x:c r="T332" s="12" t="n"/>
      <x:c r="U332" s="12" t="n">
        <x:v>583</x:v>
      </x:c>
    </x:row>
    <x:row r="333" ht="28.799999237060547" customHeight="1">
      <x:c r="A333" s="13" t="inlineStr">
        <x:is>
          <x:t xml:space="preserve">SCR-0030</x:t>
        </x:is>
      </x:c>
      <x:c r="B333" s="12" t="inlineStr">
        <x:is>
          <x:t xml:space="preserve">XXIII</x:t>
        </x:is>
      </x:c>
      <x:c r="C333" s="12" t="inlineStr">
        <x:is>
          <x:t xml:space="preserve">SCR</x:t>
        </x:is>
      </x:c>
      <x:c r="D333" s="12" t="inlineStr">
        <x:is>
          <x:t xml:space="preserve">Scripture, inspiration, inerrancy, and interpretation</x:t>
        </x:is>
      </x:c>
      <x:c r="E333" s="12" t="inlineStr">
        <x:is>
          <x:t xml:space="preserve">Meaning depends on genre, language, context, authorship, audience, and canonical placement.</x:t>
        </x:is>
      </x:c>
      <x:c r="F333" s="12" t="n"/>
      <x:c r="G333" s="12" t="n"/>
      <x:c r="H333" s="12" t="n"/>
      <x:c r="I333" s="12" t="n"/>
      <x:c r="J333" s="12" t="n"/>
      <x:c r="K333" s="12" t="n"/>
      <x:c r="L333" s="12" t="n"/>
      <x:c r="M333" s="12" t="n"/>
      <x:c r="N333" s="12" t="n"/>
      <x:c r="O333" s="12" t="n"/>
      <x:c r="P333" s="12" t="n"/>
      <x:c r="Q333" s="12" t="n"/>
      <x:c r="R333" s="12" t="inlineStr">
        <x:is>
          <x:t xml:space="preserve">Not started</x:t>
        </x:is>
      </x:c>
      <x:c r="S333" s="12" t="n"/>
      <x:c r="T333" s="12" t="n"/>
      <x:c r="U333" s="12" t="n">
        <x:v>584</x:v>
      </x:c>
    </x:row>
    <x:row r="334" ht="28.799999237060547" customHeight="1">
      <x:c r="A334" s="13" t="inlineStr">
        <x:is>
          <x:t xml:space="preserve">SCR-0040</x:t>
        </x:is>
      </x:c>
      <x:c r="B334" s="12" t="inlineStr">
        <x:is>
          <x:t xml:space="preserve">XXIII</x:t>
        </x:is>
      </x:c>
      <x:c r="C334" s="12" t="inlineStr">
        <x:is>
          <x:t xml:space="preserve">SCR</x:t>
        </x:is>
      </x:c>
      <x:c r="D334" s="12" t="inlineStr">
        <x:is>
          <x:t xml:space="preserve">Scripture, inspiration, inerrancy, and interpretation</x:t>
        </x:is>
      </x:c>
      <x:c r="E334" s="12" t="inlineStr">
        <x:is>
          <x:t xml:space="preserve">Literal interpretation is not equivalent to literalistic interpretation.</x:t>
        </x:is>
      </x:c>
      <x:c r="F334" s="12" t="n"/>
      <x:c r="G334" s="12" t="n"/>
      <x:c r="H334" s="12" t="n"/>
      <x:c r="I334" s="12" t="n"/>
      <x:c r="J334" s="12" t="n"/>
      <x:c r="K334" s="12" t="n"/>
      <x:c r="L334" s="12" t="n"/>
      <x:c r="M334" s="12" t="n"/>
      <x:c r="N334" s="12" t="n"/>
      <x:c r="O334" s="12" t="n"/>
      <x:c r="P334" s="12" t="n"/>
      <x:c r="Q334" s="12" t="n"/>
      <x:c r="R334" s="12" t="inlineStr">
        <x:is>
          <x:t xml:space="preserve">Not started</x:t>
        </x:is>
      </x:c>
      <x:c r="S334" s="12" t="n"/>
      <x:c r="T334" s="12" t="n"/>
      <x:c r="U334" s="12" t="n">
        <x:v>585</x:v>
      </x:c>
    </x:row>
    <x:row r="335" ht="28.799999237060547" customHeight="1">
      <x:c r="A335" s="13" t="inlineStr">
        <x:is>
          <x:t xml:space="preserve">SCR-0050</x:t>
        </x:is>
      </x:c>
      <x:c r="B335" s="12" t="inlineStr">
        <x:is>
          <x:t xml:space="preserve">XXIII</x:t>
        </x:is>
      </x:c>
      <x:c r="C335" s="12" t="inlineStr">
        <x:is>
          <x:t xml:space="preserve">SCR</x:t>
        </x:is>
      </x:c>
      <x:c r="D335" s="12" t="inlineStr">
        <x:is>
          <x:t xml:space="preserve">Scripture, inspiration, inerrancy, and interpretation</x:t>
        </x:is>
      </x:c>
      <x:c r="E335" s="12" t="inlineStr">
        <x:is>
          <x:t xml:space="preserve">Ancient historiography need not follow modern conventions.</x:t>
        </x:is>
      </x:c>
      <x:c r="F335" s="12" t="n"/>
      <x:c r="G335" s="12" t="n"/>
      <x:c r="H335" s="12" t="n"/>
      <x:c r="I335" s="12" t="n"/>
      <x:c r="J335" s="12" t="n"/>
      <x:c r="K335" s="12" t="n"/>
      <x:c r="L335" s="12" t="n"/>
      <x:c r="M335" s="12" t="n"/>
      <x:c r="N335" s="12" t="n"/>
      <x:c r="O335" s="12" t="n"/>
      <x:c r="P335" s="12" t="n"/>
      <x:c r="Q335" s="12" t="n"/>
      <x:c r="R335" s="12" t="inlineStr">
        <x:is>
          <x:t xml:space="preserve">Not started</x:t>
        </x:is>
      </x:c>
      <x:c r="S335" s="12" t="n"/>
      <x:c r="T335" s="12" t="n"/>
      <x:c r="U335" s="12" t="n">
        <x:v>587</x:v>
      </x:c>
    </x:row>
    <x:row r="336" ht="28.799999237060547" customHeight="1">
      <x:c r="A336" s="13" t="inlineStr">
        <x:is>
          <x:t xml:space="preserve">SCR-0060</x:t>
        </x:is>
      </x:c>
      <x:c r="B336" s="12" t="inlineStr">
        <x:is>
          <x:t xml:space="preserve">XXIII</x:t>
        </x:is>
      </x:c>
      <x:c r="C336" s="12" t="inlineStr">
        <x:is>
          <x:t xml:space="preserve">SCR</x:t>
        </x:is>
      </x:c>
      <x:c r="D336" s="12" t="inlineStr">
        <x:is>
          <x:t xml:space="preserve">Scripture, inspiration, inerrancy, and interpretation</x:t>
        </x:is>
      </x:c>
      <x:c r="E336" s="12" t="inlineStr">
        <x:is>
          <x:t xml:space="preserve">Inerrancy requires specification of scope, originals, genre, intention, and textual transmission.</x:t>
        </x:is>
      </x:c>
      <x:c r="F336" s="12" t="n"/>
      <x:c r="G336" s="12" t="n"/>
      <x:c r="H336" s="12" t="n"/>
      <x:c r="I336" s="12" t="n"/>
      <x:c r="J336" s="12" t="n"/>
      <x:c r="K336" s="12" t="n"/>
      <x:c r="L336" s="12" t="n"/>
      <x:c r="M336" s="12" t="n"/>
      <x:c r="N336" s="12" t="n"/>
      <x:c r="O336" s="12" t="n"/>
      <x:c r="P336" s="12" t="n"/>
      <x:c r="Q336" s="12" t="n"/>
      <x:c r="R336" s="12" t="inlineStr">
        <x:is>
          <x:t xml:space="preserve">Not started</x:t>
        </x:is>
      </x:c>
      <x:c r="S336" s="12" t="n"/>
      <x:c r="T336" s="12" t="n"/>
      <x:c r="U336" s="12" t="n">
        <x:v>588</x:v>
      </x:c>
    </x:row>
    <x:row r="337" ht="28.799999237060547" customHeight="1">
      <x:c r="A337" s="13" t="inlineStr">
        <x:is>
          <x:t xml:space="preserve">SCR-0070</x:t>
        </x:is>
      </x:c>
      <x:c r="B337" s="12" t="inlineStr">
        <x:is>
          <x:t xml:space="preserve">XXIII</x:t>
        </x:is>
      </x:c>
      <x:c r="C337" s="12" t="inlineStr">
        <x:is>
          <x:t xml:space="preserve">SCR</x:t>
        </x:is>
      </x:c>
      <x:c r="D337" s="12" t="inlineStr">
        <x:is>
          <x:t xml:space="preserve">Scripture, inspiration, inerrancy, and interpretation</x:t>
        </x:is>
      </x:c>
      <x:c r="E337" s="12" t="inlineStr">
        <x:is>
          <x:t xml:space="preserve">Apparent discrepancies require case-by-case analysis.</x:t>
        </x:is>
      </x:c>
      <x:c r="F337" s="12" t="n"/>
      <x:c r="G337" s="12" t="n"/>
      <x:c r="H337" s="12" t="n"/>
      <x:c r="I337" s="12" t="n"/>
      <x:c r="J337" s="12" t="n"/>
      <x:c r="K337" s="12" t="n"/>
      <x:c r="L337" s="12" t="n"/>
      <x:c r="M337" s="12" t="n"/>
      <x:c r="N337" s="12" t="n"/>
      <x:c r="O337" s="12" t="n"/>
      <x:c r="P337" s="12" t="n"/>
      <x:c r="Q337" s="12" t="n"/>
      <x:c r="R337" s="12" t="inlineStr">
        <x:is>
          <x:t xml:space="preserve">Not started</x:t>
        </x:is>
      </x:c>
      <x:c r="S337" s="12" t="n"/>
      <x:c r="T337" s="12" t="n"/>
      <x:c r="U337" s="12" t="n">
        <x:v>589</x:v>
      </x:c>
    </x:row>
    <x:row r="338" ht="28.799999237060547" customHeight="1">
      <x:c r="A338" s="13" t="inlineStr">
        <x:is>
          <x:t xml:space="preserve">SCR-0080</x:t>
        </x:is>
      </x:c>
      <x:c r="B338" s="12" t="inlineStr">
        <x:is>
          <x:t xml:space="preserve">XXIII</x:t>
        </x:is>
      </x:c>
      <x:c r="C338" s="12" t="inlineStr">
        <x:is>
          <x:t xml:space="preserve">SCR</x:t>
        </x:is>
      </x:c>
      <x:c r="D338" s="12" t="inlineStr">
        <x:is>
          <x:t xml:space="preserve">Scripture, inspiration, inerrancy, and interpretation</x:t>
        </x:is>
      </x:c>
      <x:c r="E338" s="12" t="inlineStr">
        <x:is>
          <x:t xml:space="preserve">Some harmonizations are plausible; others are ad hoc.</x:t>
        </x:is>
      </x:c>
      <x:c r="F338" s="12" t="n"/>
      <x:c r="G338" s="12" t="n"/>
      <x:c r="H338" s="12" t="n"/>
      <x:c r="I338" s="12" t="n"/>
      <x:c r="J338" s="12" t="n"/>
      <x:c r="K338" s="12" t="n"/>
      <x:c r="L338" s="12" t="n"/>
      <x:c r="M338" s="12" t="n"/>
      <x:c r="N338" s="12" t="n"/>
      <x:c r="O338" s="12" t="n"/>
      <x:c r="P338" s="12" t="n"/>
      <x:c r="Q338" s="12" t="n"/>
      <x:c r="R338" s="12" t="inlineStr">
        <x:is>
          <x:t xml:space="preserve">Not started</x:t>
        </x:is>
      </x:c>
      <x:c r="S338" s="12" t="n"/>
      <x:c r="T338" s="12" t="n"/>
      <x:c r="U338" s="12" t="n">
        <x:v>590</x:v>
      </x:c>
    </x:row>
    <x:row r="339" ht="28.799999237060547" customHeight="1">
      <x:c r="A339" s="13" t="inlineStr">
        <x:is>
          <x:t xml:space="preserve">SCR-0090</x:t>
        </x:is>
      </x:c>
      <x:c r="B339" s="12" t="inlineStr">
        <x:is>
          <x:t xml:space="preserve">XXIII</x:t>
        </x:is>
      </x:c>
      <x:c r="C339" s="12" t="inlineStr">
        <x:is>
          <x:t xml:space="preserve">SCR</x:t>
        </x:is>
      </x:c>
      <x:c r="D339" s="12" t="inlineStr">
        <x:is>
          <x:t xml:space="preserve">Scripture, inspiration, inerrancy, and interpretation</x:t>
        </x:is>
      </x:c>
      <x:c r="E339" s="12" t="inlineStr">
        <x:is>
          <x:t xml:space="preserve">A doctrine should not be protected by redefining every counterexample after the fact.</x:t>
        </x:is>
      </x:c>
      <x:c r="F339" s="12" t="n"/>
      <x:c r="G339" s="12" t="n"/>
      <x:c r="H339" s="12" t="n"/>
      <x:c r="I339" s="12" t="n"/>
      <x:c r="J339" s="12" t="n"/>
      <x:c r="K339" s="12" t="n"/>
      <x:c r="L339" s="12" t="n"/>
      <x:c r="M339" s="12" t="n"/>
      <x:c r="N339" s="12" t="n"/>
      <x:c r="O339" s="12" t="n"/>
      <x:c r="P339" s="12" t="n"/>
      <x:c r="Q339" s="12" t="n"/>
      <x:c r="R339" s="12" t="inlineStr">
        <x:is>
          <x:t xml:space="preserve">Not started</x:t>
        </x:is>
      </x:c>
      <x:c r="S339" s="12" t="n"/>
      <x:c r="T339" s="12" t="n"/>
      <x:c r="U339" s="12" t="n">
        <x:v>591</x:v>
      </x:c>
    </x:row>
    <x:row r="340" ht="28.799999237060547" customHeight="1">
      <x:c r="A340" s="13" t="inlineStr">
        <x:is>
          <x:t xml:space="preserve">SCR-0100</x:t>
        </x:is>
      </x:c>
      <x:c r="B340" s="12" t="inlineStr">
        <x:is>
          <x:t xml:space="preserve">XXIII</x:t>
        </x:is>
      </x:c>
      <x:c r="C340" s="12" t="inlineStr">
        <x:is>
          <x:t xml:space="preserve">SCR</x:t>
        </x:is>
      </x:c>
      <x:c r="D340" s="12" t="inlineStr">
        <x:is>
          <x:t xml:space="preserve">Scripture, inspiration, inerrancy, and interpretation</x:t>
        </x:is>
      </x:c>
      <x:c r="E340" s="12" t="inlineStr">
        <x:is>
          <x:t xml:space="preserve">Theological interpretation and historical-critical study need not be mutually exclusive.</x:t>
        </x:is>
      </x:c>
      <x:c r="F340" s="12" t="n"/>
      <x:c r="G340" s="12" t="n"/>
      <x:c r="H340" s="12" t="n"/>
      <x:c r="I340" s="12" t="n"/>
      <x:c r="J340" s="12" t="n"/>
      <x:c r="K340" s="12" t="n"/>
      <x:c r="L340" s="12" t="n"/>
      <x:c r="M340" s="12" t="n"/>
      <x:c r="N340" s="12" t="n"/>
      <x:c r="O340" s="12" t="n"/>
      <x:c r="P340" s="12" t="n"/>
      <x:c r="Q340" s="12" t="n"/>
      <x:c r="R340" s="12" t="inlineStr">
        <x:is>
          <x:t xml:space="preserve">Not started</x:t>
        </x:is>
      </x:c>
      <x:c r="S340" s="12" t="n"/>
      <x:c r="T340" s="12" t="n"/>
      <x:c r="U340" s="12" t="n">
        <x:v>592</x:v>
      </x:c>
    </x:row>
    <x:row r="341" ht="28.799999237060547" customHeight="1">
      <x:c r="A341" s="13" t="inlineStr">
        <x:is>
          <x:t xml:space="preserve">SCR-0110</x:t>
        </x:is>
      </x:c>
      <x:c r="B341" s="12" t="inlineStr">
        <x:is>
          <x:t xml:space="preserve">XXIII</x:t>
        </x:is>
      </x:c>
      <x:c r="C341" s="12" t="inlineStr">
        <x:is>
          <x:t xml:space="preserve">SCR</x:t>
        </x:is>
      </x:c>
      <x:c r="D341" s="12" t="inlineStr">
        <x:is>
          <x:t xml:space="preserve">Scripture, inspiration, inerrancy, and interpretation</x:t>
        </x:is>
      </x:c>
      <x:c r="E341" s="12" t="inlineStr">
        <x:is>
          <x:t xml:space="preserve">Private interpretation and ecclesial authority represent different epistemic models.</x:t>
        </x:is>
      </x:c>
      <x:c r="F341" s="12" t="n"/>
      <x:c r="G341" s="12" t="n"/>
      <x:c r="H341" s="12" t="n"/>
      <x:c r="I341" s="12" t="n"/>
      <x:c r="J341" s="12" t="n"/>
      <x:c r="K341" s="12" t="n"/>
      <x:c r="L341" s="12" t="n"/>
      <x:c r="M341" s="12" t="n"/>
      <x:c r="N341" s="12" t="n"/>
      <x:c r="O341" s="12" t="n"/>
      <x:c r="P341" s="12" t="n"/>
      <x:c r="Q341" s="12" t="n"/>
      <x:c r="R341" s="12" t="inlineStr">
        <x:is>
          <x:t xml:space="preserve">Not started</x:t>
        </x:is>
      </x:c>
      <x:c r="S341" s="12" t="n"/>
      <x:c r="T341" s="12" t="n"/>
      <x:c r="U341" s="12" t="n">
        <x:v>593</x:v>
      </x:c>
    </x:row>
    <x:row r="342" ht="28.799999237060547" customHeight="1">
      <x:c r="A342" s="13" t="inlineStr">
        <x:is>
          <x:t xml:space="preserve">SCR-0120</x:t>
        </x:is>
      </x:c>
      <x:c r="B342" s="12" t="inlineStr">
        <x:is>
          <x:t xml:space="preserve">XXIII</x:t>
        </x:is>
      </x:c>
      <x:c r="C342" s="12" t="inlineStr">
        <x:is>
          <x:t xml:space="preserve">SCR</x:t>
        </x:is>
      </x:c>
      <x:c r="D342" s="12" t="inlineStr">
        <x:is>
          <x:t xml:space="preserve">Scripture, inspiration, inerrancy, and interpretation</x:t>
        </x:is>
      </x:c>
      <x:c r="E342" s="12" t="inlineStr">
        <x:is>
          <x:t xml:space="preserve">Perspicuity does not mean every biblical passage is equally clear.</x:t>
        </x:is>
      </x:c>
      <x:c r="F342" s="12" t="n"/>
      <x:c r="G342" s="12" t="n"/>
      <x:c r="H342" s="12" t="n"/>
      <x:c r="I342" s="12" t="n"/>
      <x:c r="J342" s="12" t="n"/>
      <x:c r="K342" s="12" t="n"/>
      <x:c r="L342" s="12" t="n"/>
      <x:c r="M342" s="12" t="n"/>
      <x:c r="N342" s="12" t="n"/>
      <x:c r="O342" s="12" t="n"/>
      <x:c r="P342" s="12" t="n"/>
      <x:c r="Q342" s="12" t="n"/>
      <x:c r="R342" s="12" t="inlineStr">
        <x:is>
          <x:t xml:space="preserve">Not started</x:t>
        </x:is>
      </x:c>
      <x:c r="S342" s="12" t="n"/>
      <x:c r="T342" s="12" t="n"/>
      <x:c r="U342" s="12" t="n">
        <x:v>594</x:v>
      </x:c>
    </x:row>
    <x:row r="343" ht="28.799999237060547" customHeight="1">
      <x:c r="A343" s="13" t="inlineStr">
        <x:is>
          <x:t xml:space="preserve">SCR-0130</x:t>
        </x:is>
      </x:c>
      <x:c r="B343" s="12" t="inlineStr">
        <x:is>
          <x:t xml:space="preserve">XXIII</x:t>
        </x:is>
      </x:c>
      <x:c r="C343" s="12" t="inlineStr">
        <x:is>
          <x:t xml:space="preserve">SCR</x:t>
        </x:is>
      </x:c>
      <x:c r="D343" s="12" t="inlineStr">
        <x:is>
          <x:t xml:space="preserve">Scripture, inspiration, inerrancy, and interpretation</x:t>
        </x:is>
      </x:c>
      <x:c r="E343" s="12" t="inlineStr">
        <x:is>
          <x:t xml:space="preserve">Canonical disagreement creates a challenge for simplistic Bible-only arguments.</x:t>
        </x:is>
      </x:c>
      <x:c r="F343" s="12" t="n"/>
      <x:c r="G343" s="12" t="n"/>
      <x:c r="H343" s="12" t="n"/>
      <x:c r="I343" s="12" t="n"/>
      <x:c r="J343" s="12" t="n"/>
      <x:c r="K343" s="12" t="n"/>
      <x:c r="L343" s="12" t="n"/>
      <x:c r="M343" s="12" t="n"/>
      <x:c r="N343" s="12" t="n"/>
      <x:c r="O343" s="12" t="n"/>
      <x:c r="P343" s="12" t="n"/>
      <x:c r="Q343" s="12" t="n"/>
      <x:c r="R343" s="12" t="inlineStr">
        <x:is>
          <x:t xml:space="preserve">Not started</x:t>
        </x:is>
      </x:c>
      <x:c r="S343" s="12" t="n"/>
      <x:c r="T343" s="12" t="n"/>
      <x:c r="U343" s="12" t="n">
        <x:v>595</x:v>
      </x:c>
    </x:row>
    <x:row r="344" ht="28.799999237060547" customHeight="1">
      <x:c r="A344" s="13" t="inlineStr">
        <x:is>
          <x:t xml:space="preserve">SCR-0140</x:t>
        </x:is>
      </x:c>
      <x:c r="B344" s="12" t="inlineStr">
        <x:is>
          <x:t xml:space="preserve">XXIII</x:t>
        </x:is>
      </x:c>
      <x:c r="C344" s="12" t="inlineStr">
        <x:is>
          <x:t xml:space="preserve">SCR</x:t>
        </x:is>
      </x:c>
      <x:c r="D344" s="12" t="inlineStr">
        <x:is>
          <x:t xml:space="preserve">Scripture, inspiration, inerrancy, and interpretation</x:t>
        </x:is>
      </x:c>
      <x:c r="E344" s="12" t="inlineStr">
        <x:is>
          <x:t xml:space="preserve">Claims about biblical authority ultimately depend on Christology, church authority, religious experience, internal qualities, historical process, or some combination.</x:t>
        </x:is>
      </x:c>
      <x:c r="F344" s="12" t="n"/>
      <x:c r="G344" s="12" t="n"/>
      <x:c r="H344" s="12" t="n"/>
      <x:c r="I344" s="12" t="n"/>
      <x:c r="J344" s="12" t="n"/>
      <x:c r="K344" s="12" t="n"/>
      <x:c r="L344" s="12" t="n"/>
      <x:c r="M344" s="12" t="n"/>
      <x:c r="N344" s="12" t="n"/>
      <x:c r="O344" s="12" t="n"/>
      <x:c r="P344" s="12" t="n"/>
      <x:c r="Q344" s="12" t="n"/>
      <x:c r="R344" s="12" t="inlineStr">
        <x:is>
          <x:t xml:space="preserve">Not started</x:t>
        </x:is>
      </x:c>
      <x:c r="S344" s="12" t="n"/>
      <x:c r="T344" s="12" t="n"/>
      <x:c r="U344" s="12" t="n">
        <x:v>596</x:v>
      </x:c>
    </x:row>
    <x:row r="345">
      <x:c r="A345" s="13" t="inlineStr">
        <x:is>
          <x:t xml:space="preserve">ETH-0010</x:t>
        </x:is>
      </x:c>
      <x:c r="B345" s="12" t="inlineStr">
        <x:is>
          <x:t xml:space="preserve">XXIV</x:t>
        </x:is>
      </x:c>
      <x:c r="C345" s="12" t="inlineStr">
        <x:is>
          <x:t xml:space="preserve">ETH</x:t>
        </x:is>
      </x:c>
      <x:c r="D345" s="12" t="inlineStr">
        <x:is>
          <x:t xml:space="preserve">Christian ethics and difficult texts</x:t>
        </x:is>
      </x:c>
      <x:c r="E345" s="12" t="inlineStr">
        <x:is>
          <x:t xml:space="preserve">Violence in the Old Testament.</x:t>
        </x:is>
      </x:c>
      <x:c r="F345" s="12" t="n"/>
      <x:c r="G345" s="12" t="n"/>
      <x:c r="H345" s="12" t="n"/>
      <x:c r="I345" s="12" t="n"/>
      <x:c r="J345" s="12" t="n"/>
      <x:c r="K345" s="12" t="n"/>
      <x:c r="L345" s="12" t="n"/>
      <x:c r="M345" s="12" t="n"/>
      <x:c r="N345" s="12" t="n"/>
      <x:c r="O345" s="12" t="n"/>
      <x:c r="P345" s="12" t="n"/>
      <x:c r="Q345" s="12" t="n"/>
      <x:c r="R345" s="12" t="inlineStr">
        <x:is>
          <x:t xml:space="preserve">Not started</x:t>
        </x:is>
      </x:c>
      <x:c r="S345" s="12" t="n"/>
      <x:c r="T345" s="12" t="n"/>
      <x:c r="U345" s="12" t="n">
        <x:v>602</x:v>
      </x:c>
    </x:row>
    <x:row r="346">
      <x:c r="A346" s="13" t="inlineStr">
        <x:is>
          <x:t xml:space="preserve">ETH-0020</x:t>
        </x:is>
      </x:c>
      <x:c r="B346" s="12" t="inlineStr">
        <x:is>
          <x:t xml:space="preserve">XXIV</x:t>
        </x:is>
      </x:c>
      <x:c r="C346" s="12" t="inlineStr">
        <x:is>
          <x:t xml:space="preserve">ETH</x:t>
        </x:is>
      </x:c>
      <x:c r="D346" s="12" t="inlineStr">
        <x:is>
          <x:t xml:space="preserve">Christian ethics and difficult texts</x:t>
        </x:is>
      </x:c>
      <x:c r="E346" s="12" t="inlineStr">
        <x:is>
          <x:t xml:space="preserve">Description is not automatically prescription.</x:t>
        </x:is>
      </x:c>
      <x:c r="F346" s="12" t="n"/>
      <x:c r="G346" s="12" t="n"/>
      <x:c r="H346" s="12" t="n"/>
      <x:c r="I346" s="12" t="n"/>
      <x:c r="J346" s="12" t="n"/>
      <x:c r="K346" s="12" t="n"/>
      <x:c r="L346" s="12" t="n"/>
      <x:c r="M346" s="12" t="n"/>
      <x:c r="N346" s="12" t="n"/>
      <x:c r="O346" s="12" t="n"/>
      <x:c r="P346" s="12" t="n"/>
      <x:c r="Q346" s="12" t="n"/>
      <x:c r="R346" s="12" t="inlineStr">
        <x:is>
          <x:t xml:space="preserve">Not started</x:t>
        </x:is>
      </x:c>
      <x:c r="S346" s="12" t="n"/>
      <x:c r="T346" s="12" t="n"/>
      <x:c r="U346" s="12" t="n">
        <x:v>619</x:v>
      </x:c>
    </x:row>
    <x:row r="347">
      <x:c r="A347" s="13" t="inlineStr">
        <x:is>
          <x:t xml:space="preserve">ETH-0030</x:t>
        </x:is>
      </x:c>
      <x:c r="B347" s="12" t="inlineStr">
        <x:is>
          <x:t xml:space="preserve">XXIV</x:t>
        </x:is>
      </x:c>
      <x:c r="C347" s="12" t="inlineStr">
        <x:is>
          <x:t xml:space="preserve">ETH</x:t>
        </x:is>
      </x:c>
      <x:c r="D347" s="12" t="inlineStr">
        <x:is>
          <x:t xml:space="preserve">Christian ethics and difficult texts</x:t>
        </x:is>
      </x:c>
      <x:c r="E347" s="12" t="inlineStr">
        <x:is>
          <x:t xml:space="preserve">Divine commands reported in a text require historical, literary, and theological analysis.</x:t>
        </x:is>
      </x:c>
      <x:c r="F347" s="12" t="n"/>
      <x:c r="G347" s="12" t="n"/>
      <x:c r="H347" s="12" t="n"/>
      <x:c r="I347" s="12" t="n"/>
      <x:c r="J347" s="12" t="n"/>
      <x:c r="K347" s="12" t="n"/>
      <x:c r="L347" s="12" t="n"/>
      <x:c r="M347" s="12" t="n"/>
      <x:c r="N347" s="12" t="n"/>
      <x:c r="O347" s="12" t="n"/>
      <x:c r="P347" s="12" t="n"/>
      <x:c r="Q347" s="12" t="n"/>
      <x:c r="R347" s="12" t="inlineStr">
        <x:is>
          <x:t xml:space="preserve">Not started</x:t>
        </x:is>
      </x:c>
      <x:c r="S347" s="12" t="n"/>
      <x:c r="T347" s="12" t="n"/>
      <x:c r="U347" s="12" t="n">
        <x:v>620</x:v>
      </x:c>
    </x:row>
    <x:row r="348" ht="28.799999237060547" customHeight="1">
      <x:c r="A348" s="13" t="inlineStr">
        <x:is>
          <x:t xml:space="preserve">ETH-0040</x:t>
        </x:is>
      </x:c>
      <x:c r="B348" s="12" t="inlineStr">
        <x:is>
          <x:t xml:space="preserve">XXIV</x:t>
        </x:is>
      </x:c>
      <x:c r="C348" s="12" t="inlineStr">
        <x:is>
          <x:t xml:space="preserve">ETH</x:t>
        </x:is>
      </x:c>
      <x:c r="D348" s="12" t="inlineStr">
        <x:is>
          <x:t xml:space="preserve">Christian ethics and difficult texts</x:t>
        </x:is>
      </x:c>
      <x:c r="E348" s="12" t="inlineStr">
        <x:is>
          <x:t xml:space="preserve">Ancient servitude and modern race-based chattel slavery overlap in some respects but are not identical.</x:t>
        </x:is>
      </x:c>
      <x:c r="F348" s="12" t="n"/>
      <x:c r="G348" s="12" t="n"/>
      <x:c r="H348" s="12" t="n"/>
      <x:c r="I348" s="12" t="n"/>
      <x:c r="J348" s="12" t="n"/>
      <x:c r="K348" s="12" t="n"/>
      <x:c r="L348" s="12" t="n"/>
      <x:c r="M348" s="12" t="n"/>
      <x:c r="N348" s="12" t="n"/>
      <x:c r="O348" s="12" t="n"/>
      <x:c r="P348" s="12" t="n"/>
      <x:c r="Q348" s="12" t="n"/>
      <x:c r="R348" s="12" t="inlineStr">
        <x:is>
          <x:t xml:space="preserve">Not started</x:t>
        </x:is>
      </x:c>
      <x:c r="S348" s="12" t="n"/>
      <x:c r="T348" s="12" t="n"/>
      <x:c r="U348" s="12" t="n">
        <x:v>621</x:v>
      </x:c>
    </x:row>
    <x:row r="349">
      <x:c r="A349" s="13" t="inlineStr">
        <x:is>
          <x:t xml:space="preserve">ETH-0050</x:t>
        </x:is>
      </x:c>
      <x:c r="B349" s="12" t="inlineStr">
        <x:is>
          <x:t xml:space="preserve">XXIV</x:t>
        </x:is>
      </x:c>
      <x:c r="C349" s="12" t="inlineStr">
        <x:is>
          <x:t xml:space="preserve">ETH</x:t>
        </x:is>
      </x:c>
      <x:c r="D349" s="12" t="inlineStr">
        <x:is>
          <x:t xml:space="preserve">Christian ethics and difficult texts</x:t>
        </x:is>
      </x:c>
      <x:c r="E349" s="12" t="inlineStr">
        <x:is>
          <x:t xml:space="preserve">Distinction does not excuse all biblical servitude practices.</x:t>
        </x:is>
      </x:c>
      <x:c r="F349" s="12" t="n"/>
      <x:c r="G349" s="12" t="n"/>
      <x:c r="H349" s="12" t="n"/>
      <x:c r="I349" s="12" t="n"/>
      <x:c r="J349" s="12" t="n"/>
      <x:c r="K349" s="12" t="n"/>
      <x:c r="L349" s="12" t="n"/>
      <x:c r="M349" s="12" t="n"/>
      <x:c r="N349" s="12" t="n"/>
      <x:c r="O349" s="12" t="n"/>
      <x:c r="P349" s="12" t="n"/>
      <x:c r="Q349" s="12" t="n"/>
      <x:c r="R349" s="12" t="inlineStr">
        <x:is>
          <x:t xml:space="preserve">Not started</x:t>
        </x:is>
      </x:c>
      <x:c r="S349" s="12" t="n"/>
      <x:c r="T349" s="12" t="n"/>
      <x:c r="U349" s="12" t="n">
        <x:v>622</x:v>
      </x:c>
    </x:row>
    <x:row r="350">
      <x:c r="A350" s="13" t="inlineStr">
        <x:is>
          <x:t xml:space="preserve">ETH-0060</x:t>
        </x:is>
      </x:c>
      <x:c r="B350" s="12" t="inlineStr">
        <x:is>
          <x:t xml:space="preserve">XXIV</x:t>
        </x:is>
      </x:c>
      <x:c r="C350" s="12" t="inlineStr">
        <x:is>
          <x:t xml:space="preserve">ETH</x:t>
        </x:is>
      </x:c>
      <x:c r="D350" s="12" t="inlineStr">
        <x:is>
          <x:t xml:space="preserve">Christian ethics and difficult texts</x:t>
        </x:is>
      </x:c>
      <x:c r="E350" s="12" t="inlineStr">
        <x:is>
          <x:t xml:space="preserve">Progressive-revelation arguments require criteria that are not arbitrary.</x:t>
        </x:is>
      </x:c>
      <x:c r="F350" s="12" t="n"/>
      <x:c r="G350" s="12" t="n"/>
      <x:c r="H350" s="12" t="n"/>
      <x:c r="I350" s="12" t="n"/>
      <x:c r="J350" s="12" t="n"/>
      <x:c r="K350" s="12" t="n"/>
      <x:c r="L350" s="12" t="n"/>
      <x:c r="M350" s="12" t="n"/>
      <x:c r="N350" s="12" t="n"/>
      <x:c r="O350" s="12" t="n"/>
      <x:c r="P350" s="12" t="n"/>
      <x:c r="Q350" s="12" t="n"/>
      <x:c r="R350" s="12" t="inlineStr">
        <x:is>
          <x:t xml:space="preserve">Not started</x:t>
        </x:is>
      </x:c>
      <x:c r="S350" s="12" t="n"/>
      <x:c r="T350" s="12" t="n"/>
      <x:c r="U350" s="12" t="n">
        <x:v>623</x:v>
      </x:c>
    </x:row>
    <x:row r="351" ht="28.799999237060547" customHeight="1">
      <x:c r="A351" s="13" t="inlineStr">
        <x:is>
          <x:t xml:space="preserve">ETH-0070</x:t>
        </x:is>
      </x:c>
      <x:c r="B351" s="12" t="inlineStr">
        <x:is>
          <x:t xml:space="preserve">XXIV</x:t>
        </x:is>
      </x:c>
      <x:c r="C351" s="12" t="inlineStr">
        <x:is>
          <x:t xml:space="preserve">ETH</x:t>
        </x:is>
      </x:c>
      <x:c r="D351" s="12" t="inlineStr">
        <x:is>
          <x:t xml:space="preserve">Christian ethics and difficult texts</x:t>
        </x:is>
      </x:c>
      <x:c r="E351" s="12" t="inlineStr">
        <x:is>
          <x:t xml:space="preserve">Christian moral reasoning draws from creation, covenant, Christ, apostolic teaching, virtue, natural law, community, and eschatology.</x:t>
        </x:is>
      </x:c>
      <x:c r="F351" s="12" t="n"/>
      <x:c r="G351" s="12" t="n"/>
      <x:c r="H351" s="12" t="n"/>
      <x:c r="I351" s="12" t="n"/>
      <x:c r="J351" s="12" t="n"/>
      <x:c r="K351" s="12" t="n"/>
      <x:c r="L351" s="12" t="n"/>
      <x:c r="M351" s="12" t="n"/>
      <x:c r="N351" s="12" t="n"/>
      <x:c r="O351" s="12" t="n"/>
      <x:c r="P351" s="12" t="n"/>
      <x:c r="Q351" s="12" t="n"/>
      <x:c r="R351" s="12" t="inlineStr">
        <x:is>
          <x:t xml:space="preserve">Not started</x:t>
        </x:is>
      </x:c>
      <x:c r="S351" s="12" t="n"/>
      <x:c r="T351" s="12" t="n"/>
      <x:c r="U351" s="12" t="n">
        <x:v>624</x:v>
      </x:c>
    </x:row>
    <x:row r="352" ht="28.799999237060547" customHeight="1">
      <x:c r="A352" s="13" t="inlineStr">
        <x:is>
          <x:t xml:space="preserve">ETH-0080</x:t>
        </x:is>
      </x:c>
      <x:c r="B352" s="12" t="inlineStr">
        <x:is>
          <x:t xml:space="preserve">XXIV</x:t>
        </x:is>
      </x:c>
      <x:c r="C352" s="12" t="inlineStr">
        <x:is>
          <x:t xml:space="preserve">ETH</x:t>
        </x:is>
      </x:c>
      <x:c r="D352" s="12" t="inlineStr">
        <x:is>
          <x:t xml:space="preserve">Christian ethics and difficult texts</x:t>
        </x:is>
      </x:c>
      <x:c r="E352" s="12" t="inlineStr">
        <x:is>
          <x:t xml:space="preserve">Appeals to cultural context can clarify a command but can also be abused to avoid difficult teachings.</x:t>
        </x:is>
      </x:c>
      <x:c r="F352" s="12" t="n"/>
      <x:c r="G352" s="12" t="n"/>
      <x:c r="H352" s="12" t="n"/>
      <x:c r="I352" s="12" t="n"/>
      <x:c r="J352" s="12" t="n"/>
      <x:c r="K352" s="12" t="n"/>
      <x:c r="L352" s="12" t="n"/>
      <x:c r="M352" s="12" t="n"/>
      <x:c r="N352" s="12" t="n"/>
      <x:c r="O352" s="12" t="n"/>
      <x:c r="P352" s="12" t="n"/>
      <x:c r="Q352" s="12" t="n"/>
      <x:c r="R352" s="12" t="inlineStr">
        <x:is>
          <x:t xml:space="preserve">Not started</x:t>
        </x:is>
      </x:c>
      <x:c r="S352" s="12" t="n"/>
      <x:c r="T352" s="12" t="n"/>
      <x:c r="U352" s="12" t="n">
        <x:v>625</x:v>
      </x:c>
    </x:row>
    <x:row r="353">
      <x:c r="A353" s="13" t="inlineStr">
        <x:is>
          <x:t xml:space="preserve">ETH-0090</x:t>
        </x:is>
      </x:c>
      <x:c r="B353" s="12" t="inlineStr">
        <x:is>
          <x:t xml:space="preserve">XXIV</x:t>
        </x:is>
      </x:c>
      <x:c r="C353" s="12" t="inlineStr">
        <x:is>
          <x:t xml:space="preserve">ETH</x:t>
        </x:is>
      </x:c>
      <x:c r="D353" s="12" t="inlineStr">
        <x:is>
          <x:t xml:space="preserve">Christian ethics and difficult texts</x:t>
        </x:is>
      </x:c>
      <x:c r="E353" s="12" t="inlineStr">
        <x:is>
          <x:t xml:space="preserve">Consistency requires applying interpretive principles across preferred and disfavoured passages.</x:t>
        </x:is>
      </x:c>
      <x:c r="F353" s="12" t="n"/>
      <x:c r="G353" s="12" t="n"/>
      <x:c r="H353" s="12" t="n"/>
      <x:c r="I353" s="12" t="n"/>
      <x:c r="J353" s="12" t="n"/>
      <x:c r="K353" s="12" t="n"/>
      <x:c r="L353" s="12" t="n"/>
      <x:c r="M353" s="12" t="n"/>
      <x:c r="N353" s="12" t="n"/>
      <x:c r="O353" s="12" t="n"/>
      <x:c r="P353" s="12" t="n"/>
      <x:c r="Q353" s="12" t="n"/>
      <x:c r="R353" s="12" t="inlineStr">
        <x:is>
          <x:t xml:space="preserve">Not started</x:t>
        </x:is>
      </x:c>
      <x:c r="S353" s="12" t="n"/>
      <x:c r="T353" s="12" t="n"/>
      <x:c r="U353" s="12" t="n">
        <x:v>626</x:v>
      </x:c>
    </x:row>
    <x:row r="354">
      <x:c r="A354" s="13" t="inlineStr">
        <x:is>
          <x:t xml:space="preserve">ETH-0100</x:t>
        </x:is>
      </x:c>
      <x:c r="B354" s="12" t="inlineStr">
        <x:is>
          <x:t xml:space="preserve">XXIV</x:t>
        </x:is>
      </x:c>
      <x:c r="C354" s="12" t="inlineStr">
        <x:is>
          <x:t xml:space="preserve">ETH</x:t>
        </x:is>
      </x:c>
      <x:c r="D354" s="12" t="inlineStr">
        <x:is>
          <x:t xml:space="preserve">Christian ethics and difficult texts</x:t>
        </x:is>
      </x:c>
      <x:c r="E354" s="12" t="inlineStr">
        <x:is>
          <x:t xml:space="preserve">Christian ethical claims must distinguish moral principle from civil enforcement.</x:t>
        </x:is>
      </x:c>
      <x:c r="F354" s="12" t="n"/>
      <x:c r="G354" s="12" t="n"/>
      <x:c r="H354" s="12" t="n"/>
      <x:c r="I354" s="12" t="n"/>
      <x:c r="J354" s="12" t="n"/>
      <x:c r="K354" s="12" t="n"/>
      <x:c r="L354" s="12" t="n"/>
      <x:c r="M354" s="12" t="n"/>
      <x:c r="N354" s="12" t="n"/>
      <x:c r="O354" s="12" t="n"/>
      <x:c r="P354" s="12" t="n"/>
      <x:c r="Q354" s="12" t="n"/>
      <x:c r="R354" s="12" t="inlineStr">
        <x:is>
          <x:t xml:space="preserve">Not started</x:t>
        </x:is>
      </x:c>
      <x:c r="S354" s="12" t="n"/>
      <x:c r="T354" s="12" t="n"/>
      <x:c r="U354" s="12" t="n">
        <x:v>627</x:v>
      </x:c>
    </x:row>
    <x:row r="355" ht="28.799999237060547" customHeight="1">
      <x:c r="A355" s="13" t="inlineStr">
        <x:is>
          <x:t xml:space="preserve">ETH-0110</x:t>
        </x:is>
      </x:c>
      <x:c r="B355" s="12" t="inlineStr">
        <x:is>
          <x:t xml:space="preserve">XXIV</x:t>
        </x:is>
      </x:c>
      <x:c r="C355" s="12" t="inlineStr">
        <x:is>
          <x:t xml:space="preserve">ETH</x:t>
        </x:is>
      </x:c>
      <x:c r="D355" s="12" t="inlineStr">
        <x:is>
          <x:t xml:space="preserve">Christian ethics and difficult texts</x:t>
        </x:is>
      </x:c>
      <x:c r="E355" s="12" t="inlineStr">
        <x:is>
          <x:t xml:space="preserve">Disagreement among Christians weakens simplistic claims of perfect ethical clarity but does not prove that no interpretation is better supported.</x:t>
        </x:is>
      </x:c>
      <x:c r="F355" s="12" t="n"/>
      <x:c r="G355" s="12" t="n"/>
      <x:c r="H355" s="12" t="n"/>
      <x:c r="I355" s="12" t="n"/>
      <x:c r="J355" s="12" t="n"/>
      <x:c r="K355" s="12" t="n"/>
      <x:c r="L355" s="12" t="n"/>
      <x:c r="M355" s="12" t="n"/>
      <x:c r="N355" s="12" t="n"/>
      <x:c r="O355" s="12" t="n"/>
      <x:c r="P355" s="12" t="n"/>
      <x:c r="Q355" s="12" t="n"/>
      <x:c r="R355" s="12" t="inlineStr">
        <x:is>
          <x:t xml:space="preserve">Not started</x:t>
        </x:is>
      </x:c>
      <x:c r="S355" s="12" t="n"/>
      <x:c r="T355" s="12" t="n"/>
      <x:c r="U355" s="12" t="n">
        <x:v>628</x:v>
      </x:c>
    </x:row>
    <x:row r="356">
      <x:c r="A356" s="13" t="inlineStr">
        <x:is>
          <x:t xml:space="preserve">CMP-0010</x:t>
        </x:is>
      </x:c>
      <x:c r="B356" s="12" t="inlineStr">
        <x:is>
          <x:t xml:space="preserve">XXV</x:t>
        </x:is>
      </x:c>
      <x:c r="C356" s="12" t="inlineStr">
        <x:is>
          <x:t xml:space="preserve">CMP</x:t>
        </x:is>
      </x:c>
      <x:c r="D356" s="12" t="inlineStr">
        <x:is>
          <x:t xml:space="preserve">Comparative worldview analysis</x:t>
        </x:is>
      </x:c>
      <x:c r="E356" s="12" t="inlineStr">
        <x:is>
          <x:t xml:space="preserve">What does the worldview predict?</x:t>
        </x:is>
      </x:c>
      <x:c r="F356" s="12" t="n"/>
      <x:c r="G356" s="12" t="n"/>
      <x:c r="H356" s="12" t="n"/>
      <x:c r="I356" s="12" t="n"/>
      <x:c r="J356" s="12" t="n"/>
      <x:c r="K356" s="12" t="n"/>
      <x:c r="L356" s="12" t="n"/>
      <x:c r="M356" s="12" t="n"/>
      <x:c r="N356" s="12" t="n"/>
      <x:c r="O356" s="12" t="n"/>
      <x:c r="P356" s="12" t="n"/>
      <x:c r="Q356" s="12" t="n"/>
      <x:c r="R356" s="12" t="inlineStr">
        <x:is>
          <x:t xml:space="preserve">Not started</x:t>
        </x:is>
      </x:c>
      <x:c r="S356" s="12" t="n"/>
      <x:c r="T356" s="12" t="n"/>
      <x:c r="U356" s="12" t="n">
        <x:v>675</x:v>
      </x:c>
    </x:row>
    <x:row r="357">
      <x:c r="A357" s="13" t="inlineStr">
        <x:is>
          <x:t xml:space="preserve">CMP-0020</x:t>
        </x:is>
      </x:c>
      <x:c r="B357" s="12" t="inlineStr">
        <x:is>
          <x:t xml:space="preserve">XXV</x:t>
        </x:is>
      </x:c>
      <x:c r="C357" s="12" t="inlineStr">
        <x:is>
          <x:t xml:space="preserve">CMP</x:t>
        </x:is>
      </x:c>
      <x:c r="D357" s="12" t="inlineStr">
        <x:is>
          <x:t xml:space="preserve">Comparative worldview analysis</x:t>
        </x:is>
      </x:c>
      <x:c r="E357" s="12" t="inlineStr">
        <x:is>
          <x:t xml:space="preserve">What must it treat as brute?</x:t>
        </x:is>
      </x:c>
      <x:c r="F357" s="12" t="n"/>
      <x:c r="G357" s="12" t="n"/>
      <x:c r="H357" s="12" t="n"/>
      <x:c r="I357" s="12" t="n"/>
      <x:c r="J357" s="12" t="n"/>
      <x:c r="K357" s="12" t="n"/>
      <x:c r="L357" s="12" t="n"/>
      <x:c r="M357" s="12" t="n"/>
      <x:c r="N357" s="12" t="n"/>
      <x:c r="O357" s="12" t="n"/>
      <x:c r="P357" s="12" t="n"/>
      <x:c r="Q357" s="12" t="n"/>
      <x:c r="R357" s="12" t="inlineStr">
        <x:is>
          <x:t xml:space="preserve">Not started</x:t>
        </x:is>
      </x:c>
      <x:c r="S357" s="12" t="n"/>
      <x:c r="T357" s="12" t="n"/>
      <x:c r="U357" s="12" t="n">
        <x:v>677</x:v>
      </x:c>
    </x:row>
    <x:row r="358">
      <x:c r="A358" s="13" t="inlineStr">
        <x:is>
          <x:t xml:space="preserve">CMP-0030</x:t>
        </x:is>
      </x:c>
      <x:c r="B358" s="12" t="inlineStr">
        <x:is>
          <x:t xml:space="preserve">XXV</x:t>
        </x:is>
      </x:c>
      <x:c r="C358" s="12" t="inlineStr">
        <x:is>
          <x:t xml:space="preserve">CMP</x:t>
        </x:is>
      </x:c>
      <x:c r="D358" s="12" t="inlineStr">
        <x:is>
          <x:t xml:space="preserve">Comparative worldview analysis</x:t>
        </x:is>
      </x:c>
      <x:c r="E358" s="12" t="inlineStr">
        <x:is>
          <x:t xml:space="preserve">How many auxiliary assumptions are required?</x:t>
        </x:is>
      </x:c>
      <x:c r="F358" s="12" t="n"/>
      <x:c r="G358" s="12" t="n"/>
      <x:c r="H358" s="12" t="n"/>
      <x:c r="I358" s="12" t="n"/>
      <x:c r="J358" s="12" t="n"/>
      <x:c r="K358" s="12" t="n"/>
      <x:c r="L358" s="12" t="n"/>
      <x:c r="M358" s="12" t="n"/>
      <x:c r="N358" s="12" t="n"/>
      <x:c r="O358" s="12" t="n"/>
      <x:c r="P358" s="12" t="n"/>
      <x:c r="Q358" s="12" t="n"/>
      <x:c r="R358" s="12" t="inlineStr">
        <x:is>
          <x:t xml:space="preserve">Not started</x:t>
        </x:is>
      </x:c>
      <x:c r="S358" s="12" t="n"/>
      <x:c r="T358" s="12" t="n"/>
      <x:c r="U358" s="12" t="n">
        <x:v>679</x:v>
      </x:c>
    </x:row>
    <x:row r="359">
      <x:c r="A359" s="13" t="inlineStr">
        <x:is>
          <x:t xml:space="preserve">CMP-0040</x:t>
        </x:is>
      </x:c>
      <x:c r="B359" s="12" t="inlineStr">
        <x:is>
          <x:t xml:space="preserve">XXV</x:t>
        </x:is>
      </x:c>
      <x:c r="C359" s="12" t="inlineStr">
        <x:is>
          <x:t xml:space="preserve">CMP</x:t>
        </x:is>
      </x:c>
      <x:c r="D359" s="12" t="inlineStr">
        <x:is>
          <x:t xml:space="preserve">Comparative worldview analysis</x:t>
        </x:is>
      </x:c>
      <x:c r="E359" s="12" t="inlineStr">
        <x:is>
          <x:t xml:space="preserve">What evidence is surprising under it?</x:t>
        </x:is>
      </x:c>
      <x:c r="F359" s="12" t="n"/>
      <x:c r="G359" s="12" t="n"/>
      <x:c r="H359" s="12" t="n"/>
      <x:c r="I359" s="12" t="n"/>
      <x:c r="J359" s="12" t="n"/>
      <x:c r="K359" s="12" t="n"/>
      <x:c r="L359" s="12" t="n"/>
      <x:c r="M359" s="12" t="n"/>
      <x:c r="N359" s="12" t="n"/>
      <x:c r="O359" s="12" t="n"/>
      <x:c r="P359" s="12" t="n"/>
      <x:c r="Q359" s="12" t="n"/>
      <x:c r="R359" s="12" t="inlineStr">
        <x:is>
          <x:t xml:space="preserve">Not started</x:t>
        </x:is>
      </x:c>
      <x:c r="S359" s="12" t="n"/>
      <x:c r="T359" s="12" t="n"/>
      <x:c r="U359" s="12" t="n">
        <x:v>680</x:v>
      </x:c>
    </x:row>
    <x:row r="360">
      <x:c r="A360" s="13" t="inlineStr">
        <x:is>
          <x:t xml:space="preserve">CMP-0050</x:t>
        </x:is>
      </x:c>
      <x:c r="B360" s="12" t="inlineStr">
        <x:is>
          <x:t xml:space="preserve">XXV</x:t>
        </x:is>
      </x:c>
      <x:c r="C360" s="12" t="inlineStr">
        <x:is>
          <x:t xml:space="preserve">CMP</x:t>
        </x:is>
      </x:c>
      <x:c r="D360" s="12" t="inlineStr">
        <x:is>
          <x:t xml:space="preserve">Comparative worldview analysis</x:t>
        </x:is>
      </x:c>
      <x:c r="E360" s="12" t="inlineStr">
        <x:is>
          <x:t xml:space="preserve">What evidence is expected under it?</x:t>
        </x:is>
      </x:c>
      <x:c r="F360" s="12" t="n"/>
      <x:c r="G360" s="12" t="n"/>
      <x:c r="H360" s="12" t="n"/>
      <x:c r="I360" s="12" t="n"/>
      <x:c r="J360" s="12" t="n"/>
      <x:c r="K360" s="12" t="n"/>
      <x:c r="L360" s="12" t="n"/>
      <x:c r="M360" s="12" t="n"/>
      <x:c r="N360" s="12" t="n"/>
      <x:c r="O360" s="12" t="n"/>
      <x:c r="P360" s="12" t="n"/>
      <x:c r="Q360" s="12" t="n"/>
      <x:c r="R360" s="12" t="inlineStr">
        <x:is>
          <x:t xml:space="preserve">Not started</x:t>
        </x:is>
      </x:c>
      <x:c r="S360" s="12" t="n"/>
      <x:c r="T360" s="12" t="n"/>
      <x:c r="U360" s="12" t="n">
        <x:v>681</x:v>
      </x:c>
    </x:row>
    <x:row r="361">
      <x:c r="A361" s="13" t="inlineStr">
        <x:is>
          <x:t xml:space="preserve">OBJ-0010</x:t>
        </x:is>
      </x:c>
      <x:c r="B361" s="12" t="inlineStr">
        <x:is>
          <x:t xml:space="preserve">XXVI</x:t>
        </x:is>
      </x:c>
      <x:c r="C361" s="12" t="inlineStr">
        <x:is>
          <x:t xml:space="preserve">OBJ</x:t>
        </x:is>
      </x:c>
      <x:c r="D361" s="12" t="inlineStr">
        <x:is>
          <x:t xml:space="preserve">Arguments against Christianity</x:t>
        </x:is>
      </x:c>
      <x:c r="E361" s="12" t="inlineStr">
        <x:is>
          <x:t xml:space="preserve">Neuroscientific explanations of religious experience.</x:t>
        </x:is>
      </x:c>
      <x:c r="F361" s="12" t="n"/>
      <x:c r="G361" s="12" t="n"/>
      <x:c r="H361" s="12" t="n"/>
      <x:c r="I361" s="12" t="n"/>
      <x:c r="J361" s="12" t="n"/>
      <x:c r="K361" s="12" t="n"/>
      <x:c r="L361" s="12" t="n"/>
      <x:c r="M361" s="12" t="n"/>
      <x:c r="N361" s="12" t="n"/>
      <x:c r="O361" s="12" t="n"/>
      <x:c r="P361" s="12" t="n"/>
      <x:c r="Q361" s="12" t="n"/>
      <x:c r="R361" s="12" t="inlineStr">
        <x:is>
          <x:t xml:space="preserve">Not started</x:t>
        </x:is>
      </x:c>
      <x:c r="S361" s="12" t="n"/>
      <x:c r="T361" s="12" t="n"/>
      <x:c r="U361" s="12" t="n">
        <x:v>723</x:v>
      </x:c>
    </x:row>
    <x:row r="362">
      <x:c r="A362" s="13" t="inlineStr">
        <x:is>
          <x:t xml:space="preserve">OBJ-0020</x:t>
        </x:is>
      </x:c>
      <x:c r="B362" s="12" t="inlineStr">
        <x:is>
          <x:t xml:space="preserve">XXVI</x:t>
        </x:is>
      </x:c>
      <x:c r="C362" s="12" t="inlineStr">
        <x:is>
          <x:t xml:space="preserve">OBJ</x:t>
        </x:is>
      </x:c>
      <x:c r="D362" s="12" t="inlineStr">
        <x:is>
          <x:t xml:space="preserve">Arguments against Christianity</x:t>
        </x:is>
      </x:c>
      <x:c r="E362" s="12" t="inlineStr">
        <x:is>
          <x:t xml:space="preserve">Argument from poor divine communication.</x:t>
        </x:is>
      </x:c>
      <x:c r="F362" s="12" t="n"/>
      <x:c r="G362" s="12" t="n"/>
      <x:c r="H362" s="12" t="n"/>
      <x:c r="I362" s="12" t="n"/>
      <x:c r="J362" s="12" t="n"/>
      <x:c r="K362" s="12" t="n"/>
      <x:c r="L362" s="12" t="n"/>
      <x:c r="M362" s="12" t="n"/>
      <x:c r="N362" s="12" t="n"/>
      <x:c r="O362" s="12" t="n"/>
      <x:c r="P362" s="12" t="n"/>
      <x:c r="Q362" s="12" t="n"/>
      <x:c r="R362" s="12" t="inlineStr">
        <x:is>
          <x:t xml:space="preserve">Not started</x:t>
        </x:is>
      </x:c>
      <x:c r="S362" s="12" t="n"/>
      <x:c r="T362" s="12" t="n"/>
      <x:c r="U362" s="12" t="n">
        <x:v>730</x:v>
      </x:c>
    </x:row>
    <x:row r="363">
      <x:c r="A363" s="13" t="inlineStr">
        <x:is>
          <x:t xml:space="preserve">OBJ-0030</x:t>
        </x:is>
      </x:c>
      <x:c r="B363" s="12" t="inlineStr">
        <x:is>
          <x:t xml:space="preserve">XXVI</x:t>
        </x:is>
      </x:c>
      <x:c r="C363" s="12" t="inlineStr">
        <x:is>
          <x:t xml:space="preserve">OBJ</x:t>
        </x:is>
      </x:c>
      <x:c r="D363" s="12" t="inlineStr">
        <x:is>
          <x:t xml:space="preserve">Arguments against Christianity</x:t>
        </x:is>
      </x:c>
      <x:c r="E363" s="12" t="inlineStr">
        <x:is>
          <x:t xml:space="preserve">Argument from apparently pointless biological history.</x:t>
        </x:is>
      </x:c>
      <x:c r="F363" s="12" t="n"/>
      <x:c r="G363" s="12" t="n"/>
      <x:c r="H363" s="12" t="n"/>
      <x:c r="I363" s="12" t="n"/>
      <x:c r="J363" s="12" t="n"/>
      <x:c r="K363" s="12" t="n"/>
      <x:c r="L363" s="12" t="n"/>
      <x:c r="M363" s="12" t="n"/>
      <x:c r="N363" s="12" t="n"/>
      <x:c r="O363" s="12" t="n"/>
      <x:c r="P363" s="12" t="n"/>
      <x:c r="Q363" s="12" t="n"/>
      <x:c r="R363" s="12" t="inlineStr">
        <x:is>
          <x:t xml:space="preserve">Not started</x:t>
        </x:is>
      </x:c>
      <x:c r="S363" s="12" t="n"/>
      <x:c r="T363" s="12" t="n"/>
      <x:c r="U363" s="12" t="n">
        <x:v>731</x:v>
      </x:c>
    </x:row>
    <x:row r="364">
      <x:c r="A364" s="13" t="inlineStr">
        <x:is>
          <x:t xml:space="preserve">OBJ-0040</x:t>
        </x:is>
      </x:c>
      <x:c r="B364" s="12" t="inlineStr">
        <x:is>
          <x:t xml:space="preserve">XXVI</x:t>
        </x:is>
      </x:c>
      <x:c r="C364" s="12" t="inlineStr">
        <x:is>
          <x:t xml:space="preserve">OBJ</x:t>
        </x:is>
      </x:c>
      <x:c r="D364" s="12" t="inlineStr">
        <x:is>
          <x:t xml:space="preserve">Arguments against Christianity</x:t>
        </x:is>
      </x:c>
      <x:c r="E364" s="12" t="inlineStr">
        <x:is>
          <x:t xml:space="preserve">Argument from luck in religious birthplace.</x:t>
        </x:is>
      </x:c>
      <x:c r="F364" s="12" t="n"/>
      <x:c r="G364" s="12" t="n"/>
      <x:c r="H364" s="12" t="n"/>
      <x:c r="I364" s="12" t="n"/>
      <x:c r="J364" s="12" t="n"/>
      <x:c r="K364" s="12" t="n"/>
      <x:c r="L364" s="12" t="n"/>
      <x:c r="M364" s="12" t="n"/>
      <x:c r="N364" s="12" t="n"/>
      <x:c r="O364" s="12" t="n"/>
      <x:c r="P364" s="12" t="n"/>
      <x:c r="Q364" s="12" t="n"/>
      <x:c r="R364" s="12" t="inlineStr">
        <x:is>
          <x:t xml:space="preserve">Not started</x:t>
        </x:is>
      </x:c>
      <x:c r="S364" s="12" t="n"/>
      <x:c r="T364" s="12" t="n"/>
      <x:c r="U364" s="12" t="n">
        <x:v>734</x:v>
      </x:c>
    </x:row>
    <x:row r="365">
      <x:c r="A365" s="13" t="inlineStr">
        <x:is>
          <x:t xml:space="preserve">OBJ-0050</x:t>
        </x:is>
      </x:c>
      <x:c r="B365" s="12" t="inlineStr">
        <x:is>
          <x:t xml:space="preserve">XXVI</x:t>
        </x:is>
      </x:c>
      <x:c r="C365" s="12" t="inlineStr">
        <x:is>
          <x:t xml:space="preserve">OBJ</x:t>
        </x:is>
      </x:c>
      <x:c r="D365" s="12" t="inlineStr">
        <x:is>
          <x:t xml:space="preserve">Arguments against Christianity</x:t>
        </x:is>
      </x:c>
      <x:c r="E365" s="12" t="inlineStr">
        <x:is>
          <x:t xml:space="preserve">Argument from divine silence during atrocities.</x:t>
        </x:is>
      </x:c>
      <x:c r="F365" s="12" t="n"/>
      <x:c r="G365" s="12" t="n"/>
      <x:c r="H365" s="12" t="n"/>
      <x:c r="I365" s="12" t="n"/>
      <x:c r="J365" s="12" t="n"/>
      <x:c r="K365" s="12" t="n"/>
      <x:c r="L365" s="12" t="n"/>
      <x:c r="M365" s="12" t="n"/>
      <x:c r="N365" s="12" t="n"/>
      <x:c r="O365" s="12" t="n"/>
      <x:c r="P365" s="12" t="n"/>
      <x:c r="Q365" s="12" t="n"/>
      <x:c r="R365" s="12" t="inlineStr">
        <x:is>
          <x:t xml:space="preserve">Not started</x:t>
        </x:is>
      </x:c>
      <x:c r="S365" s="12" t="n"/>
      <x:c r="T365" s="12" t="n"/>
      <x:c r="U365" s="12" t="n">
        <x:v>736</x:v>
      </x:c>
    </x:row>
  </x:sheetData>
  <x:dataValidations count="4">
    <x:dataValidation type="list" allowBlank="1" showDropDown="0" showInputMessage="1" showErrorMessage="1" sqref="F5:F365">
      <x:formula1>"1 Deductive theorem,2 Conceptual result,3 Probabilistic,4 Abductive,5 Historical,6 Interpretive,7 Doctrinal construction,8 Internal coherence,9 Comparative,10 Defeater response"</x:formula1>
    </x:dataValidation>
    <x:dataValidation type="list" allowBlank="1" showDropDown="0" showInputMessage="1" showErrorMessage="1" sqref="T5:T365">
      <x:formula1>"Very low,Low,Moderate,High,Very high,Contested"</x:formula1>
    </x:dataValidation>
    <x:dataValidation type="list" allowBlank="1" showDropDown="0" showInputMessage="1" showErrorMessage="1" sqref="U5:U365">
      <x:formula1>"Ecumenical,Catholic,Orthodox,Protestant,Reformed,Wesleyan,Anabaptist,Contested,N/A"</x:formula1>
    </x:dataValidation>
    <x:dataValidation type="list" allowBlank="1" showDropDown="0" showInputMessage="1" showErrorMessage="1" sqref="S5:S365">
      <x:formula1>"Not started,Stated informally,Formalized (unproved),Proved in Lean 4,Proof failed,Countermodel found"</x:formula1>
    </x:dataValidation>
  </x:dataValidations>
  <x:pageMargins left="0.7" right="0.7" top="0.75" bottom="0.75" header="0.3" footer="0.3"/>
  <x:tableParts count="1">
    <x:tablePart xmlns:r="http://schemas.openxmlformats.org/officeDocument/2006/relationships" r:id="R0656b9df5df54f2a"/>
  </x:tableParts>
</x:worksheet>
</file>

<file path=xl/worksheets/sheet6.xml><?xml version="1.0" encoding="utf-8"?>
<x:worksheet xmlns:x="http://schemas.openxmlformats.org/spreadsheetml/2006/main">
  <x:sheetPr>
    <x:tabColor rgb="FFC00000"/>
  </x:sheetPr>
  <x:sheetFormatPr baseColWidth="8" defaultRowHeight="14.399999618530273"/>
  <x:cols>
    <x:col min="1" max="1" width="16.33203125" customWidth="1"/>
    <x:col min="2" max="2" width="61.109375" customWidth="1"/>
    <x:col min="3" max="4" width="33.33203125" customWidth="1"/>
    <x:col min="5" max="5" width="31.44140625" customWidth="1"/>
    <x:col min="6" max="6" width="29.6640625" customWidth="1"/>
    <x:col min="7" max="7" width="31.44140625" customWidth="1"/>
    <x:col min="8" max="8" width="29.6640625" customWidth="1"/>
    <x:col min="9" max="9" width="33.33203125" customWidth="1"/>
    <x:col min="10" max="10" width="22.21875" customWidth="1"/>
    <x:col min="11" max="11" width="14.44140625" customWidth="1"/>
    <x:col min="12" max="12" width="16.33203125" customWidth="1"/>
    <x:col min="13" max="13" width="13" customWidth="1"/>
    <x:col min="14" max="14" width="27.77734375" customWidth="1"/>
  </x:cols>
  <x:sheetData>
    <x:row r="1" ht="18" customHeight="1">
      <x:c r="A1" s="8" t="inlineStr">
        <x:is>
          <x:t xml:space="preserve">NEGATIVE PROOFS — OBJECTION LEDGER</x:t>
        </x:is>
      </x:c>
    </x:row>
    <x:row r="2">
      <x:c r="A2" s="14" t="inlineStr">
        <x:is>
          <x:t xml:space="preserve">Every objection gets a steelman, a formal structure, its hidden premises, and an honest residual-force verdict. No objection is retired until Residual Force is filled in.</x:t>
        </x:is>
      </x:c>
    </x:row>
    <x:row r="4" ht="28.799999237060547" customHeight="1">
      <x:c r="A4" s="9" t="inlineStr">
        <x:is>
          <x:t xml:space="preserve">Obj ID</x:t>
        </x:is>
      </x:c>
      <x:c r="B4" s="9" t="inlineStr">
        <x:is>
          <x:t xml:space="preserve">Objection</x:t>
        </x:is>
      </x:c>
      <x:c r="C4" s="9" t="inlineStr">
        <x:is>
          <x:t xml:space="preserve">Strongest Formulation (steelman)</x:t>
        </x:is>
      </x:c>
      <x:c r="D4" s="9" t="inlineStr">
        <x:is>
          <x:t xml:space="preserve">Formal Structure (premises → conclusion)</x:t>
        </x:is>
      </x:c>
      <x:c r="E4" s="9" t="inlineStr">
        <x:is>
          <x:t xml:space="preserve">Hidden Premises</x:t>
        </x:is>
      </x:c>
      <x:c r="F4" s="9" t="inlineStr">
        <x:is>
          <x:t xml:space="preserve">Evidence Cited</x:t>
        </x:is>
      </x:c>
      <x:c r="G4" s="9" t="inlineStr">
        <x:is>
          <x:t xml:space="preserve">Response Families</x:t>
        </x:is>
      </x:c>
      <x:c r="H4" s="9" t="inlineStr">
        <x:is>
          <x:t xml:space="preserve">Cost of Each Response</x:t>
        </x:is>
      </x:c>
      <x:c r="I4" s="9" t="inlineStr">
        <x:is>
          <x:t xml:space="preserve">Residual Force After Response</x:t>
        </x:is>
      </x:c>
      <x:c r="J4" s="9" t="inlineStr">
        <x:is>
          <x:t xml:space="preserve">Claims Targeted (IDs)</x:t>
        </x:is>
      </x:c>
      <x:c r="K4" s="9" t="inlineStr">
        <x:is>
          <x:t xml:space="preserve">Severity</x:t>
        </x:is>
      </x:c>
      <x:c r="L4" s="9" t="inlineStr">
        <x:is>
          <x:t xml:space="preserve">Lean Status</x:t>
        </x:is>
      </x:c>
      <x:c r="M4" s="9" t="inlineStr">
        <x:is>
          <x:t xml:space="preserve">Owner</x:t>
        </x:is>
      </x:c>
      <x:c r="N4" s="9" t="inlineStr">
        <x:is>
          <x:t xml:space="preserve">Notes</x:t>
        </x:is>
      </x:c>
    </x:row>
    <x:row r="5">
      <x:c r="A5" s="13" t="inlineStr">
        <x:is>
          <x:t xml:space="preserve">NEG-0010</x:t>
        </x:is>
      </x:c>
      <x:c r="B5" s="12" t="inlineStr">
        <x:is>
          <x:t xml:space="preserve">Logical and evidential evil</x:t>
        </x:is>
      </x:c>
      <x:c r="C5" s="12" t="n"/>
      <x:c r="D5" s="12" t="n"/>
      <x:c r="E5" s="12" t="n"/>
      <x:c r="F5" s="12" t="n"/>
      <x:c r="G5" s="12" t="n"/>
      <x:c r="H5" s="12" t="n"/>
      <x:c r="I5" s="12" t="n"/>
      <x:c r="J5" s="12" t="n"/>
      <x:c r="K5" s="12" t="n"/>
      <x:c r="L5" s="12" t="inlineStr">
        <x:is>
          <x:t xml:space="preserve">Not started</x:t>
        </x:is>
      </x:c>
      <x:c r="M5" s="12" t="n"/>
      <x:c r="N5" s="12" t="n"/>
    </x:row>
    <x:row r="6">
      <x:c r="A6" s="13" t="inlineStr">
        <x:is>
          <x:t xml:space="preserve">NEG-0020</x:t>
        </x:is>
      </x:c>
      <x:c r="B6" s="12" t="inlineStr">
        <x:is>
          <x:t xml:space="preserve">Divine hiddenness</x:t>
        </x:is>
      </x:c>
      <x:c r="C6" s="12" t="n"/>
      <x:c r="D6" s="12" t="n"/>
      <x:c r="E6" s="12" t="n"/>
      <x:c r="F6" s="12" t="n"/>
      <x:c r="G6" s="12" t="n"/>
      <x:c r="H6" s="12" t="n"/>
      <x:c r="I6" s="12" t="n"/>
      <x:c r="J6" s="12" t="n"/>
      <x:c r="K6" s="12" t="n"/>
      <x:c r="L6" s="12" t="inlineStr">
        <x:is>
          <x:t xml:space="preserve">Not started</x:t>
        </x:is>
      </x:c>
      <x:c r="M6" s="12" t="n"/>
      <x:c r="N6" s="12" t="n"/>
    </x:row>
    <x:row r="7">
      <x:c r="A7" s="13" t="inlineStr">
        <x:is>
          <x:t xml:space="preserve">NEG-0030</x:t>
        </x:is>
      </x:c>
      <x:c r="B7" s="12" t="inlineStr">
        <x:is>
          <x:t xml:space="preserve">Religious diversity</x:t>
        </x:is>
      </x:c>
      <x:c r="C7" s="12" t="n"/>
      <x:c r="D7" s="12" t="n"/>
      <x:c r="E7" s="12" t="n"/>
      <x:c r="F7" s="12" t="n"/>
      <x:c r="G7" s="12" t="n"/>
      <x:c r="H7" s="12" t="n"/>
      <x:c r="I7" s="12" t="n"/>
      <x:c r="J7" s="12" t="n"/>
      <x:c r="K7" s="12" t="n"/>
      <x:c r="L7" s="12" t="inlineStr">
        <x:is>
          <x:t xml:space="preserve">Not started</x:t>
        </x:is>
      </x:c>
      <x:c r="M7" s="12" t="n"/>
      <x:c r="N7" s="12" t="n"/>
    </x:row>
    <x:row r="8">
      <x:c r="A8" s="13" t="inlineStr">
        <x:is>
          <x:t xml:space="preserve">NEG-0040</x:t>
        </x:is>
      </x:c>
      <x:c r="B8" s="12" t="inlineStr">
        <x:is>
          <x:t xml:space="preserve">Hell</x:t>
        </x:is>
      </x:c>
      <x:c r="C8" s="12" t="n"/>
      <x:c r="D8" s="12" t="n"/>
      <x:c r="E8" s="12" t="n"/>
      <x:c r="F8" s="12" t="n"/>
      <x:c r="G8" s="12" t="n"/>
      <x:c r="H8" s="12" t="n"/>
      <x:c r="I8" s="12" t="n"/>
      <x:c r="J8" s="12" t="n"/>
      <x:c r="K8" s="12" t="n"/>
      <x:c r="L8" s="12" t="inlineStr">
        <x:is>
          <x:t xml:space="preserve">Not started</x:t>
        </x:is>
      </x:c>
      <x:c r="M8" s="12" t="n"/>
      <x:c r="N8" s="12" t="n"/>
    </x:row>
    <x:row r="9">
      <x:c r="A9" s="13" t="inlineStr">
        <x:is>
          <x:t xml:space="preserve">NEG-0050</x:t>
        </x:is>
      </x:c>
      <x:c r="B9" s="12" t="inlineStr">
        <x:is>
          <x:t xml:space="preserve">Exclusivity</x:t>
        </x:is>
      </x:c>
      <x:c r="C9" s="12" t="n"/>
      <x:c r="D9" s="12" t="n"/>
      <x:c r="E9" s="12" t="n"/>
      <x:c r="F9" s="12" t="n"/>
      <x:c r="G9" s="12" t="n"/>
      <x:c r="H9" s="12" t="n"/>
      <x:c r="I9" s="12" t="n"/>
      <x:c r="J9" s="12" t="n"/>
      <x:c r="K9" s="12" t="n"/>
      <x:c r="L9" s="12" t="inlineStr">
        <x:is>
          <x:t xml:space="preserve">Not started</x:t>
        </x:is>
      </x:c>
      <x:c r="M9" s="12" t="n"/>
      <x:c r="N9" s="12" t="n"/>
    </x:row>
    <x:row r="10">
      <x:c r="A10" s="13" t="inlineStr">
        <x:is>
          <x:t xml:space="preserve">NEG-0060</x:t>
        </x:is>
      </x:c>
      <x:c r="B10" s="12" t="inlineStr">
        <x:is>
          <x:t xml:space="preserve">Biblical violence</x:t>
        </x:is>
      </x:c>
      <x:c r="C10" s="12" t="n"/>
      <x:c r="D10" s="12" t="n"/>
      <x:c r="E10" s="12" t="n"/>
      <x:c r="F10" s="12" t="n"/>
      <x:c r="G10" s="12" t="n"/>
      <x:c r="H10" s="12" t="n"/>
      <x:c r="I10" s="12" t="n"/>
      <x:c r="J10" s="12" t="n"/>
      <x:c r="K10" s="12" t="n"/>
      <x:c r="L10" s="12" t="inlineStr">
        <x:is>
          <x:t xml:space="preserve">Not started</x:t>
        </x:is>
      </x:c>
      <x:c r="M10" s="12" t="n"/>
      <x:c r="N10" s="12" t="n"/>
    </x:row>
    <x:row r="11">
      <x:c r="A11" s="13" t="inlineStr">
        <x:is>
          <x:t xml:space="preserve">NEG-0070</x:t>
        </x:is>
      </x:c>
      <x:c r="B11" s="12" t="inlineStr">
        <x:is>
          <x:t xml:space="preserve">Slavery</x:t>
        </x:is>
      </x:c>
      <x:c r="C11" s="12" t="n"/>
      <x:c r="D11" s="12" t="n"/>
      <x:c r="E11" s="12" t="n"/>
      <x:c r="F11" s="12" t="n"/>
      <x:c r="G11" s="12" t="n"/>
      <x:c r="H11" s="12" t="n"/>
      <x:c r="I11" s="12" t="n"/>
      <x:c r="J11" s="12" t="n"/>
      <x:c r="K11" s="12" t="n"/>
      <x:c r="L11" s="12" t="inlineStr">
        <x:is>
          <x:t xml:space="preserve">Not started</x:t>
        </x:is>
      </x:c>
      <x:c r="M11" s="12" t="n"/>
      <x:c r="N11" s="12" t="n"/>
    </x:row>
    <x:row r="12">
      <x:c r="A12" s="13" t="inlineStr">
        <x:is>
          <x:t xml:space="preserve">NEG-0080</x:t>
        </x:is>
      </x:c>
      <x:c r="B12" s="12" t="inlineStr">
        <x:is>
          <x:t xml:space="preserve">Gender ethics</x:t>
        </x:is>
      </x:c>
      <x:c r="C12" s="12" t="n"/>
      <x:c r="D12" s="12" t="n"/>
      <x:c r="E12" s="12" t="n"/>
      <x:c r="F12" s="12" t="n"/>
      <x:c r="G12" s="12" t="n"/>
      <x:c r="H12" s="12" t="n"/>
      <x:c r="I12" s="12" t="n"/>
      <x:c r="J12" s="12" t="n"/>
      <x:c r="K12" s="12" t="n"/>
      <x:c r="L12" s="12" t="inlineStr">
        <x:is>
          <x:t xml:space="preserve">Not started</x:t>
        </x:is>
      </x:c>
      <x:c r="M12" s="12" t="n"/>
      <x:c r="N12" s="12" t="n"/>
    </x:row>
    <x:row r="13">
      <x:c r="A13" s="13" t="inlineStr">
        <x:is>
          <x:t xml:space="preserve">NEG-0090</x:t>
        </x:is>
      </x:c>
      <x:c r="B13" s="12" t="inlineStr">
        <x:is>
          <x:t xml:space="preserve">Sexual ethics</x:t>
        </x:is>
      </x:c>
      <x:c r="C13" s="12" t="n"/>
      <x:c r="D13" s="12" t="n"/>
      <x:c r="E13" s="12" t="n"/>
      <x:c r="F13" s="12" t="n"/>
      <x:c r="G13" s="12" t="n"/>
      <x:c r="H13" s="12" t="n"/>
      <x:c r="I13" s="12" t="n"/>
      <x:c r="J13" s="12" t="n"/>
      <x:c r="K13" s="12" t="n"/>
      <x:c r="L13" s="12" t="inlineStr">
        <x:is>
          <x:t xml:space="preserve">Not started</x:t>
        </x:is>
      </x:c>
      <x:c r="M13" s="12" t="n"/>
      <x:c r="N13" s="12" t="n"/>
    </x:row>
    <x:row r="14">
      <x:c r="A14" s="13" t="inlineStr">
        <x:is>
          <x:t xml:space="preserve">NEG-0100</x:t>
        </x:is>
      </x:c>
      <x:c r="B14" s="12" t="inlineStr">
        <x:is>
          <x:t xml:space="preserve">Scientific conflict</x:t>
        </x:is>
      </x:c>
      <x:c r="C14" s="12" t="n"/>
      <x:c r="D14" s="12" t="n"/>
      <x:c r="E14" s="12" t="n"/>
      <x:c r="F14" s="12" t="n"/>
      <x:c r="G14" s="12" t="n"/>
      <x:c r="H14" s="12" t="n"/>
      <x:c r="I14" s="12" t="n"/>
      <x:c r="J14" s="12" t="n"/>
      <x:c r="K14" s="12" t="n"/>
      <x:c r="L14" s="12" t="inlineStr">
        <x:is>
          <x:t xml:space="preserve">Not started</x:t>
        </x:is>
      </x:c>
      <x:c r="M14" s="12" t="n"/>
      <x:c r="N14" s="12" t="n"/>
    </x:row>
    <x:row r="15">
      <x:c r="A15" s="13" t="inlineStr">
        <x:is>
          <x:t xml:space="preserve">NEG-0110</x:t>
        </x:is>
      </x:c>
      <x:c r="B15" s="12" t="inlineStr">
        <x:is>
          <x:t xml:space="preserve">Evolution</x:t>
        </x:is>
      </x:c>
      <x:c r="C15" s="12" t="n"/>
      <x:c r="D15" s="12" t="n"/>
      <x:c r="E15" s="12" t="n"/>
      <x:c r="F15" s="12" t="n"/>
      <x:c r="G15" s="12" t="n"/>
      <x:c r="H15" s="12" t="n"/>
      <x:c r="I15" s="12" t="n"/>
      <x:c r="J15" s="12" t="n"/>
      <x:c r="K15" s="12" t="n"/>
      <x:c r="L15" s="12" t="inlineStr">
        <x:is>
          <x:t xml:space="preserve">Not started</x:t>
        </x:is>
      </x:c>
      <x:c r="M15" s="12" t="n"/>
      <x:c r="N15" s="12" t="n"/>
    </x:row>
    <x:row r="16">
      <x:c r="A16" s="13" t="inlineStr">
        <x:is>
          <x:t xml:space="preserve">NEG-0120</x:t>
        </x:is>
      </x:c>
      <x:c r="B16" s="12" t="inlineStr">
        <x:is>
          <x:t xml:space="preserve">Genesis</x:t>
        </x:is>
      </x:c>
      <x:c r="C16" s="12" t="n"/>
      <x:c r="D16" s="12" t="n"/>
      <x:c r="E16" s="12" t="n"/>
      <x:c r="F16" s="12" t="n"/>
      <x:c r="G16" s="12" t="n"/>
      <x:c r="H16" s="12" t="n"/>
      <x:c r="I16" s="12" t="n"/>
      <x:c r="J16" s="12" t="n"/>
      <x:c r="K16" s="12" t="n"/>
      <x:c r="L16" s="12" t="inlineStr">
        <x:is>
          <x:t xml:space="preserve">Not started</x:t>
        </x:is>
      </x:c>
      <x:c r="M16" s="12" t="n"/>
      <x:c r="N16" s="12" t="n"/>
    </x:row>
    <x:row r="17">
      <x:c r="A17" s="13" t="inlineStr">
        <x:is>
          <x:t xml:space="preserve">NEG-0130</x:t>
        </x:is>
      </x:c>
      <x:c r="B17" s="12" t="inlineStr">
        <x:is>
          <x:t xml:space="preserve">Historical Adam</x:t>
        </x:is>
      </x:c>
      <x:c r="C17" s="12" t="n"/>
      <x:c r="D17" s="12" t="n"/>
      <x:c r="E17" s="12" t="n"/>
      <x:c r="F17" s="12" t="n"/>
      <x:c r="G17" s="12" t="n"/>
      <x:c r="H17" s="12" t="n"/>
      <x:c r="I17" s="12" t="n"/>
      <x:c r="J17" s="12" t="n"/>
      <x:c r="K17" s="12" t="n"/>
      <x:c r="L17" s="12" t="inlineStr">
        <x:is>
          <x:t xml:space="preserve">Not started</x:t>
        </x:is>
      </x:c>
      <x:c r="M17" s="12" t="n"/>
      <x:c r="N17" s="12" t="n"/>
    </x:row>
    <x:row r="18">
      <x:c r="A18" s="13" t="inlineStr">
        <x:is>
          <x:t xml:space="preserve">NEG-0140</x:t>
        </x:is>
      </x:c>
      <x:c r="B18" s="12" t="inlineStr">
        <x:is>
          <x:t xml:space="preserve">Gospel contradictions</x:t>
        </x:is>
      </x:c>
      <x:c r="C18" s="12" t="n"/>
      <x:c r="D18" s="12" t="n"/>
      <x:c r="E18" s="12" t="n"/>
      <x:c r="F18" s="12" t="n"/>
      <x:c r="G18" s="12" t="n"/>
      <x:c r="H18" s="12" t="n"/>
      <x:c r="I18" s="12" t="n"/>
      <x:c r="J18" s="12" t="n"/>
      <x:c r="K18" s="12" t="n"/>
      <x:c r="L18" s="12" t="inlineStr">
        <x:is>
          <x:t xml:space="preserve">Not started</x:t>
        </x:is>
      </x:c>
      <x:c r="M18" s="12" t="n"/>
      <x:c r="N18" s="12" t="n"/>
    </x:row>
    <x:row r="19">
      <x:c r="A19" s="13" t="inlineStr">
        <x:is>
          <x:t xml:space="preserve">NEG-0150</x:t>
        </x:is>
      </x:c>
      <x:c r="B19" s="12" t="inlineStr">
        <x:is>
          <x:t xml:space="preserve">Failed prophecy</x:t>
        </x:is>
      </x:c>
      <x:c r="C19" s="12" t="n"/>
      <x:c r="D19" s="12" t="n"/>
      <x:c r="E19" s="12" t="n"/>
      <x:c r="F19" s="12" t="n"/>
      <x:c r="G19" s="12" t="n"/>
      <x:c r="H19" s="12" t="n"/>
      <x:c r="I19" s="12" t="n"/>
      <x:c r="J19" s="12" t="n"/>
      <x:c r="K19" s="12" t="n"/>
      <x:c r="L19" s="12" t="inlineStr">
        <x:is>
          <x:t xml:space="preserve">Not started</x:t>
        </x:is>
      </x:c>
      <x:c r="M19" s="12" t="n"/>
      <x:c r="N19" s="12" t="n"/>
    </x:row>
    <x:row r="20">
      <x:c r="A20" s="13" t="inlineStr">
        <x:is>
          <x:t xml:space="preserve">NEG-0160</x:t>
        </x:is>
      </x:c>
      <x:c r="B20" s="12" t="inlineStr">
        <x:is>
          <x:t xml:space="preserve">Unfulfilled eschatological expectation</x:t>
        </x:is>
      </x:c>
      <x:c r="C20" s="12" t="n"/>
      <x:c r="D20" s="12" t="n"/>
      <x:c r="E20" s="12" t="n"/>
      <x:c r="F20" s="12" t="n"/>
      <x:c r="G20" s="12" t="n"/>
      <x:c r="H20" s="12" t="n"/>
      <x:c r="I20" s="12" t="n"/>
      <x:c r="J20" s="12" t="n"/>
      <x:c r="K20" s="12" t="n"/>
      <x:c r="L20" s="12" t="inlineStr">
        <x:is>
          <x:t xml:space="preserve">Not started</x:t>
        </x:is>
      </x:c>
      <x:c r="M20" s="12" t="n"/>
      <x:c r="N20" s="12" t="n"/>
    </x:row>
    <x:row r="21">
      <x:c r="A21" s="13" t="inlineStr">
        <x:is>
          <x:t xml:space="preserve">NEG-0170</x:t>
        </x:is>
      </x:c>
      <x:c r="B21" s="12" t="inlineStr">
        <x:is>
          <x:t xml:space="preserve">Textual variants</x:t>
        </x:is>
      </x:c>
      <x:c r="C21" s="12" t="n"/>
      <x:c r="D21" s="12" t="n"/>
      <x:c r="E21" s="12" t="n"/>
      <x:c r="F21" s="12" t="n"/>
      <x:c r="G21" s="12" t="n"/>
      <x:c r="H21" s="12" t="n"/>
      <x:c r="I21" s="12" t="n"/>
      <x:c r="J21" s="12" t="n"/>
      <x:c r="K21" s="12" t="n"/>
      <x:c r="L21" s="12" t="inlineStr">
        <x:is>
          <x:t xml:space="preserve">Not started</x:t>
        </x:is>
      </x:c>
      <x:c r="M21" s="12" t="n"/>
      <x:c r="N21" s="12" t="n"/>
    </x:row>
    <x:row r="22">
      <x:c r="A22" s="13" t="inlineStr">
        <x:is>
          <x:t xml:space="preserve">NEG-0180</x:t>
        </x:is>
      </x:c>
      <x:c r="B22" s="12" t="inlineStr">
        <x:is>
          <x:t xml:space="preserve">Canon formation</x:t>
        </x:is>
      </x:c>
      <x:c r="C22" s="12" t="n"/>
      <x:c r="D22" s="12" t="n"/>
      <x:c r="E22" s="12" t="n"/>
      <x:c r="F22" s="12" t="n"/>
      <x:c r="G22" s="12" t="n"/>
      <x:c r="H22" s="12" t="n"/>
      <x:c r="I22" s="12" t="n"/>
      <x:c r="J22" s="12" t="n"/>
      <x:c r="K22" s="12" t="n"/>
      <x:c r="L22" s="12" t="inlineStr">
        <x:is>
          <x:t xml:space="preserve">Not started</x:t>
        </x:is>
      </x:c>
      <x:c r="M22" s="12" t="n"/>
      <x:c r="N22" s="12" t="n"/>
    </x:row>
    <x:row r="23">
      <x:c r="A23" s="13" t="inlineStr">
        <x:is>
          <x:t xml:space="preserve">NEG-0190</x:t>
        </x:is>
      </x:c>
      <x:c r="B23" s="12" t="inlineStr">
        <x:is>
          <x:t xml:space="preserve">Anonymous or disputed authorship</x:t>
        </x:is>
      </x:c>
      <x:c r="C23" s="12" t="n"/>
      <x:c r="D23" s="12" t="n"/>
      <x:c r="E23" s="12" t="n"/>
      <x:c r="F23" s="12" t="n"/>
      <x:c r="G23" s="12" t="n"/>
      <x:c r="H23" s="12" t="n"/>
      <x:c r="I23" s="12" t="n"/>
      <x:c r="J23" s="12" t="n"/>
      <x:c r="K23" s="12" t="n"/>
      <x:c r="L23" s="12" t="inlineStr">
        <x:is>
          <x:t xml:space="preserve">Not started</x:t>
        </x:is>
      </x:c>
      <x:c r="M23" s="12" t="n"/>
      <x:c r="N23" s="12" t="n"/>
    </x:row>
    <x:row r="24">
      <x:c r="A24" s="13" t="inlineStr">
        <x:is>
          <x:t xml:space="preserve">NEG-0200</x:t>
        </x:is>
      </x:c>
      <x:c r="B24" s="12" t="inlineStr">
        <x:is>
          <x:t xml:space="preserve">Legendary development</x:t>
        </x:is>
      </x:c>
      <x:c r="C24" s="12" t="n"/>
      <x:c r="D24" s="12" t="n"/>
      <x:c r="E24" s="12" t="n"/>
      <x:c r="F24" s="12" t="n"/>
      <x:c r="G24" s="12" t="n"/>
      <x:c r="H24" s="12" t="n"/>
      <x:c r="I24" s="12" t="n"/>
      <x:c r="J24" s="12" t="n"/>
      <x:c r="K24" s="12" t="n"/>
      <x:c r="L24" s="12" t="inlineStr">
        <x:is>
          <x:t xml:space="preserve">Not started</x:t>
        </x:is>
      </x:c>
      <x:c r="M24" s="12" t="n"/>
      <x:c r="N24" s="12" t="n"/>
    </x:row>
    <x:row r="25">
      <x:c r="A25" s="13" t="inlineStr">
        <x:is>
          <x:t xml:space="preserve">NEG-0210</x:t>
        </x:is>
      </x:c>
      <x:c r="B25" s="12" t="inlineStr">
        <x:is>
          <x:t xml:space="preserve">Pagan-parallel claims</x:t>
        </x:is>
      </x:c>
      <x:c r="C25" s="12" t="n"/>
      <x:c r="D25" s="12" t="n"/>
      <x:c r="E25" s="12" t="n"/>
      <x:c r="F25" s="12" t="n"/>
      <x:c r="G25" s="12" t="n"/>
      <x:c r="H25" s="12" t="n"/>
      <x:c r="I25" s="12" t="n"/>
      <x:c r="J25" s="12" t="n"/>
      <x:c r="K25" s="12" t="n"/>
      <x:c r="L25" s="12" t="inlineStr">
        <x:is>
          <x:t xml:space="preserve">Not started</x:t>
        </x:is>
      </x:c>
      <x:c r="M25" s="12" t="n"/>
      <x:c r="N25" s="12" t="n"/>
    </x:row>
    <x:row r="26">
      <x:c r="A26" s="13" t="inlineStr">
        <x:is>
          <x:t xml:space="preserve">NEG-0220</x:t>
        </x:is>
      </x:c>
      <x:c r="B26" s="12" t="inlineStr">
        <x:is>
          <x:t xml:space="preserve">Trinity contradiction</x:t>
        </x:is>
      </x:c>
      <x:c r="C26" s="12" t="n"/>
      <x:c r="D26" s="12" t="n"/>
      <x:c r="E26" s="12" t="n"/>
      <x:c r="F26" s="12" t="n"/>
      <x:c r="G26" s="12" t="n"/>
      <x:c r="H26" s="12" t="n"/>
      <x:c r="I26" s="12" t="n"/>
      <x:c r="J26" s="12" t="n"/>
      <x:c r="K26" s="12" t="n"/>
      <x:c r="L26" s="12" t="inlineStr">
        <x:is>
          <x:t xml:space="preserve">Not started</x:t>
        </x:is>
      </x:c>
      <x:c r="M26" s="12" t="n"/>
      <x:c r="N26" s="12" t="n"/>
    </x:row>
    <x:row r="27">
      <x:c r="A27" s="13" t="inlineStr">
        <x:is>
          <x:t xml:space="preserve">NEG-0230</x:t>
        </x:is>
      </x:c>
      <x:c r="B27" s="12" t="inlineStr">
        <x:is>
          <x:t xml:space="preserve">Incarnation contradiction</x:t>
        </x:is>
      </x:c>
      <x:c r="C27" s="12" t="n"/>
      <x:c r="D27" s="12" t="n"/>
      <x:c r="E27" s="12" t="n"/>
      <x:c r="F27" s="12" t="n"/>
      <x:c r="G27" s="12" t="n"/>
      <x:c r="H27" s="12" t="n"/>
      <x:c r="I27" s="12" t="n"/>
      <x:c r="J27" s="12" t="n"/>
      <x:c r="K27" s="12" t="n"/>
      <x:c r="L27" s="12" t="inlineStr">
        <x:is>
          <x:t xml:space="preserve">Not started</x:t>
        </x:is>
      </x:c>
      <x:c r="M27" s="12" t="n"/>
      <x:c r="N27" s="12" t="n"/>
    </x:row>
    <x:row r="28">
      <x:c r="A28" s="13" t="inlineStr">
        <x:is>
          <x:t xml:space="preserve">NEG-0240</x:t>
        </x:is>
      </x:c>
      <x:c r="B28" s="12" t="inlineStr">
        <x:is>
          <x:t xml:space="preserve">Atonement injustice</x:t>
        </x:is>
      </x:c>
      <x:c r="C28" s="12" t="n"/>
      <x:c r="D28" s="12" t="n"/>
      <x:c r="E28" s="12" t="n"/>
      <x:c r="F28" s="12" t="n"/>
      <x:c r="G28" s="12" t="n"/>
      <x:c r="H28" s="12" t="n"/>
      <x:c r="I28" s="12" t="n"/>
      <x:c r="J28" s="12" t="n"/>
      <x:c r="K28" s="12" t="n"/>
      <x:c r="L28" s="12" t="inlineStr">
        <x:is>
          <x:t xml:space="preserve">Not started</x:t>
        </x:is>
      </x:c>
      <x:c r="M28" s="12" t="n"/>
      <x:c r="N28" s="12" t="n"/>
    </x:row>
    <x:row r="29">
      <x:c r="A29" s="13" t="inlineStr">
        <x:is>
          <x:t xml:space="preserve">NEG-0250</x:t>
        </x:is>
      </x:c>
      <x:c r="B29" s="12" t="inlineStr">
        <x:is>
          <x:t xml:space="preserve">Foreknowledge and freedom</x:t>
        </x:is>
      </x:c>
      <x:c r="C29" s="12" t="n"/>
      <x:c r="D29" s="12" t="n"/>
      <x:c r="E29" s="12" t="n"/>
      <x:c r="F29" s="12" t="n"/>
      <x:c r="G29" s="12" t="n"/>
      <x:c r="H29" s="12" t="n"/>
      <x:c r="I29" s="12" t="n"/>
      <x:c r="J29" s="12" t="n"/>
      <x:c r="K29" s="12" t="n"/>
      <x:c r="L29" s="12" t="inlineStr">
        <x:is>
          <x:t xml:space="preserve">Not started</x:t>
        </x:is>
      </x:c>
      <x:c r="M29" s="12" t="n"/>
      <x:c r="N29" s="12" t="n"/>
    </x:row>
    <x:row r="30">
      <x:c r="A30" s="13" t="inlineStr">
        <x:is>
          <x:t xml:space="preserve">NEG-0260</x:t>
        </x:is>
      </x:c>
      <x:c r="B30" s="12" t="inlineStr">
        <x:is>
          <x:t xml:space="preserve">Prayer and divine immutability</x:t>
        </x:is>
      </x:c>
      <x:c r="C30" s="12" t="n"/>
      <x:c r="D30" s="12" t="n"/>
      <x:c r="E30" s="12" t="n"/>
      <x:c r="F30" s="12" t="n"/>
      <x:c r="G30" s="12" t="n"/>
      <x:c r="H30" s="12" t="n"/>
      <x:c r="I30" s="12" t="n"/>
      <x:c r="J30" s="12" t="n"/>
      <x:c r="K30" s="12" t="n"/>
      <x:c r="L30" s="12" t="inlineStr">
        <x:is>
          <x:t xml:space="preserve">Not started</x:t>
        </x:is>
      </x:c>
      <x:c r="M30" s="12" t="n"/>
      <x:c r="N30" s="12" t="n"/>
    </x:row>
    <x:row r="31">
      <x:c r="A31" s="13" t="inlineStr">
        <x:is>
          <x:t xml:space="preserve">NEG-0270</x:t>
        </x:is>
      </x:c>
      <x:c r="B31" s="12" t="inlineStr">
        <x:is>
          <x:t xml:space="preserve">Miracles and natural law</x:t>
        </x:is>
      </x:c>
      <x:c r="C31" s="12" t="n"/>
      <x:c r="D31" s="12" t="n"/>
      <x:c r="E31" s="12" t="n"/>
      <x:c r="F31" s="12" t="n"/>
      <x:c r="G31" s="12" t="n"/>
      <x:c r="H31" s="12" t="n"/>
      <x:c r="I31" s="12" t="n"/>
      <x:c r="J31" s="12" t="n"/>
      <x:c r="K31" s="12" t="n"/>
      <x:c r="L31" s="12" t="inlineStr">
        <x:is>
          <x:t xml:space="preserve">Not started</x:t>
        </x:is>
      </x:c>
      <x:c r="M31" s="12" t="n"/>
      <x:c r="N31" s="12" t="n"/>
    </x:row>
    <x:row r="32">
      <x:c r="A32" s="13" t="inlineStr">
        <x:is>
          <x:t xml:space="preserve">NEG-0280</x:t>
        </x:is>
      </x:c>
      <x:c r="B32" s="12" t="inlineStr">
        <x:is>
          <x:t xml:space="preserve">Church corruption</x:t>
        </x:is>
      </x:c>
      <x:c r="C32" s="12" t="n"/>
      <x:c r="D32" s="12" t="n"/>
      <x:c r="E32" s="12" t="n"/>
      <x:c r="F32" s="12" t="n"/>
      <x:c r="G32" s="12" t="n"/>
      <x:c r="H32" s="12" t="n"/>
      <x:c r="I32" s="12" t="n"/>
      <x:c r="J32" s="12" t="n"/>
      <x:c r="K32" s="12" t="n"/>
      <x:c r="L32" s="12" t="inlineStr">
        <x:is>
          <x:t xml:space="preserve">Not started</x:t>
        </x:is>
      </x:c>
      <x:c r="M32" s="12" t="n"/>
      <x:c r="N32" s="12" t="n"/>
    </x:row>
    <x:row r="33">
      <x:c r="A33" s="13" t="inlineStr">
        <x:is>
          <x:t xml:space="preserve">NEG-0290</x:t>
        </x:is>
      </x:c>
      <x:c r="B33" s="12" t="inlineStr">
        <x:is>
          <x:t xml:space="preserve">Abuse and institutional concealment</x:t>
        </x:is>
      </x:c>
      <x:c r="C33" s="12" t="n"/>
      <x:c r="D33" s="12" t="n"/>
      <x:c r="E33" s="12" t="n"/>
      <x:c r="F33" s="12" t="n"/>
      <x:c r="G33" s="12" t="n"/>
      <x:c r="H33" s="12" t="n"/>
      <x:c r="I33" s="12" t="n"/>
      <x:c r="J33" s="12" t="n"/>
      <x:c r="K33" s="12" t="n"/>
      <x:c r="L33" s="12" t="inlineStr">
        <x:is>
          <x:t xml:space="preserve">Not started</x:t>
        </x:is>
      </x:c>
      <x:c r="M33" s="12" t="n"/>
      <x:c r="N33" s="12" t="n"/>
    </x:row>
    <x:row r="34">
      <x:c r="A34" s="13" t="inlineStr">
        <x:is>
          <x:t xml:space="preserve">NEG-0300</x:t>
        </x:is>
      </x:c>
      <x:c r="B34" s="12" t="inlineStr">
        <x:is>
          <x:t xml:space="preserve">Christian nationalism</x:t>
        </x:is>
      </x:c>
      <x:c r="C34" s="12" t="n"/>
      <x:c r="D34" s="12" t="n"/>
      <x:c r="E34" s="12" t="n"/>
      <x:c r="F34" s="12" t="n"/>
      <x:c r="G34" s="12" t="n"/>
      <x:c r="H34" s="12" t="n"/>
      <x:c r="I34" s="12" t="n"/>
      <x:c r="J34" s="12" t="n"/>
      <x:c r="K34" s="12" t="n"/>
      <x:c r="L34" s="12" t="inlineStr">
        <x:is>
          <x:t xml:space="preserve">Not started</x:t>
        </x:is>
      </x:c>
      <x:c r="M34" s="12" t="n"/>
      <x:c r="N34" s="12" t="n"/>
    </x:row>
    <x:row r="35">
      <x:c r="A35" s="13" t="inlineStr">
        <x:is>
          <x:t xml:space="preserve">NEG-0310</x:t>
        </x:is>
      </x:c>
      <x:c r="B35" s="12" t="inlineStr">
        <x:is>
          <x:t xml:space="preserve">Colonialism</x:t>
        </x:is>
      </x:c>
      <x:c r="C35" s="12" t="n"/>
      <x:c r="D35" s="12" t="n"/>
      <x:c r="E35" s="12" t="n"/>
      <x:c r="F35" s="12" t="n"/>
      <x:c r="G35" s="12" t="n"/>
      <x:c r="H35" s="12" t="n"/>
      <x:c r="I35" s="12" t="n"/>
      <x:c r="J35" s="12" t="n"/>
      <x:c r="K35" s="12" t="n"/>
      <x:c r="L35" s="12" t="inlineStr">
        <x:is>
          <x:t xml:space="preserve">Not started</x:t>
        </x:is>
      </x:c>
      <x:c r="M35" s="12" t="n"/>
      <x:c r="N35" s="12" t="n"/>
    </x:row>
    <x:row r="36">
      <x:c r="A36" s="13" t="inlineStr">
        <x:is>
          <x:t xml:space="preserve">NEG-0320</x:t>
        </x:is>
      </x:c>
      <x:c r="B36" s="12" t="inlineStr">
        <x:is>
          <x:t xml:space="preserve">Antisemitism</x:t>
        </x:is>
      </x:c>
      <x:c r="C36" s="12" t="n"/>
      <x:c r="D36" s="12" t="n"/>
      <x:c r="E36" s="12" t="n"/>
      <x:c r="F36" s="12" t="n"/>
      <x:c r="G36" s="12" t="n"/>
      <x:c r="H36" s="12" t="n"/>
      <x:c r="I36" s="12" t="n"/>
      <x:c r="J36" s="12" t="n"/>
      <x:c r="K36" s="12" t="n"/>
      <x:c r="L36" s="12" t="inlineStr">
        <x:is>
          <x:t xml:space="preserve">Not started</x:t>
        </x:is>
      </x:c>
      <x:c r="M36" s="12" t="n"/>
      <x:c r="N36" s="12" t="n"/>
    </x:row>
    <x:row r="37">
      <x:c r="A37" s="13" t="inlineStr">
        <x:is>
          <x:t xml:space="preserve">NEG-0330</x:t>
        </x:is>
      </x:c>
      <x:c r="B37" s="12" t="inlineStr">
        <x:is>
          <x:t xml:space="preserve">Psychological explanations of belief</x:t>
        </x:is>
      </x:c>
      <x:c r="C37" s="12" t="n"/>
      <x:c r="D37" s="12" t="n"/>
      <x:c r="E37" s="12" t="n"/>
      <x:c r="F37" s="12" t="n"/>
      <x:c r="G37" s="12" t="n"/>
      <x:c r="H37" s="12" t="n"/>
      <x:c r="I37" s="12" t="n"/>
      <x:c r="J37" s="12" t="n"/>
      <x:c r="K37" s="12" t="n"/>
      <x:c r="L37" s="12" t="inlineStr">
        <x:is>
          <x:t xml:space="preserve">Not started</x:t>
        </x:is>
      </x:c>
      <x:c r="M37" s="12" t="n"/>
      <x:c r="N37" s="12" t="n"/>
    </x:row>
    <x:row r="38">
      <x:c r="A38" s="13" t="inlineStr">
        <x:is>
          <x:t xml:space="preserve">NEG-0340</x:t>
        </x:is>
      </x:c>
      <x:c r="B38" s="12" t="inlineStr">
        <x:is>
          <x:t xml:space="preserve">Evolutionary explanations of religion</x:t>
        </x:is>
      </x:c>
      <x:c r="C38" s="12" t="n"/>
      <x:c r="D38" s="12" t="n"/>
      <x:c r="E38" s="12" t="n"/>
      <x:c r="F38" s="12" t="n"/>
      <x:c r="G38" s="12" t="n"/>
      <x:c r="H38" s="12" t="n"/>
      <x:c r="I38" s="12" t="n"/>
      <x:c r="J38" s="12" t="n"/>
      <x:c r="K38" s="12" t="n"/>
      <x:c r="L38" s="12" t="inlineStr">
        <x:is>
          <x:t xml:space="preserve">Not started</x:t>
        </x:is>
      </x:c>
      <x:c r="M38" s="12" t="n"/>
      <x:c r="N38" s="12" t="n"/>
    </x:row>
    <x:row r="39">
      <x:c r="A39" s="13" t="inlineStr">
        <x:is>
          <x:t xml:space="preserve">NEG-0350</x:t>
        </x:is>
      </x:c>
      <x:c r="B39" s="12" t="inlineStr">
        <x:is>
          <x:t xml:space="preserve">Sociological transmission</x:t>
        </x:is>
      </x:c>
      <x:c r="C39" s="12" t="n"/>
      <x:c r="D39" s="12" t="n"/>
      <x:c r="E39" s="12" t="n"/>
      <x:c r="F39" s="12" t="n"/>
      <x:c r="G39" s="12" t="n"/>
      <x:c r="H39" s="12" t="n"/>
      <x:c r="I39" s="12" t="n"/>
      <x:c r="J39" s="12" t="n"/>
      <x:c r="K39" s="12" t="n"/>
      <x:c r="L39" s="12" t="inlineStr">
        <x:is>
          <x:t xml:space="preserve">Not started</x:t>
        </x:is>
      </x:c>
      <x:c r="M39" s="12" t="n"/>
      <x:c r="N39" s="12" t="n"/>
    </x:row>
    <x:row r="40">
      <x:c r="A40" s="13" t="inlineStr">
        <x:is>
          <x:t xml:space="preserve">NEG-0360</x:t>
        </x:is>
      </x:c>
      <x:c r="B40" s="12" t="inlineStr">
        <x:is>
          <x:t xml:space="preserve">Wish fulfilment</x:t>
        </x:is>
      </x:c>
      <x:c r="C40" s="12" t="n"/>
      <x:c r="D40" s="12" t="n"/>
      <x:c r="E40" s="12" t="n"/>
      <x:c r="F40" s="12" t="n"/>
      <x:c r="G40" s="12" t="n"/>
      <x:c r="H40" s="12" t="n"/>
      <x:c r="I40" s="12" t="n"/>
      <x:c r="J40" s="12" t="n"/>
      <x:c r="K40" s="12" t="n"/>
      <x:c r="L40" s="12" t="inlineStr">
        <x:is>
          <x:t xml:space="preserve">Not started</x:t>
        </x:is>
      </x:c>
      <x:c r="M40" s="12" t="n"/>
      <x:c r="N40" s="12" t="n"/>
    </x:row>
    <x:row r="41">
      <x:c r="A41" s="13" t="inlineStr">
        <x:is>
          <x:t xml:space="preserve">NEG-0370</x:t>
        </x:is>
      </x:c>
      <x:c r="B41" s="12" t="inlineStr">
        <x:is>
          <x:t xml:space="preserve">Fear of death</x:t>
        </x:is>
      </x:c>
      <x:c r="C41" s="12" t="n"/>
      <x:c r="D41" s="12" t="n"/>
      <x:c r="E41" s="12" t="n"/>
      <x:c r="F41" s="12" t="n"/>
      <x:c r="G41" s="12" t="n"/>
      <x:c r="H41" s="12" t="n"/>
      <x:c r="I41" s="12" t="n"/>
      <x:c r="J41" s="12" t="n"/>
      <x:c r="K41" s="12" t="n"/>
      <x:c r="L41" s="12" t="inlineStr">
        <x:is>
          <x:t xml:space="preserve">Not started</x:t>
        </x:is>
      </x:c>
      <x:c r="M41" s="12" t="n"/>
      <x:c r="N41" s="12" t="n"/>
    </x:row>
    <x:row r="42">
      <x:c r="A42" s="13" t="inlineStr">
        <x:is>
          <x:t xml:space="preserve">NEG-0380</x:t>
        </x:is>
      </x:c>
      <x:c r="B42" s="12" t="inlineStr">
        <x:is>
          <x:t xml:space="preserve">Cognitive bias</x:t>
        </x:is>
      </x:c>
      <x:c r="C42" s="12" t="n"/>
      <x:c r="D42" s="12" t="n"/>
      <x:c r="E42" s="12" t="n"/>
      <x:c r="F42" s="12" t="n"/>
      <x:c r="G42" s="12" t="n"/>
      <x:c r="H42" s="12" t="n"/>
      <x:c r="I42" s="12" t="n"/>
      <x:c r="J42" s="12" t="n"/>
      <x:c r="K42" s="12" t="n"/>
      <x:c r="L42" s="12" t="inlineStr">
        <x:is>
          <x:t xml:space="preserve">Not started</x:t>
        </x:is>
      </x:c>
      <x:c r="M42" s="12" t="n"/>
      <x:c r="N42" s="12" t="n"/>
    </x:row>
    <x:row r="43">
      <x:c r="A43" s="13" t="inlineStr">
        <x:is>
          <x:t xml:space="preserve">NEG-0390</x:t>
        </x:is>
      </x:c>
      <x:c r="B43" s="12" t="inlineStr">
        <x:is>
          <x:t xml:space="preserve">Argument from inconsistent revelations</x:t>
        </x:is>
      </x:c>
      <x:c r="C43" s="12" t="n"/>
      <x:c r="D43" s="12" t="n"/>
      <x:c r="E43" s="12" t="n"/>
      <x:c r="F43" s="12" t="n"/>
      <x:c r="G43" s="12" t="n"/>
      <x:c r="H43" s="12" t="n"/>
      <x:c r="I43" s="12" t="n"/>
      <x:c r="J43" s="12" t="n"/>
      <x:c r="K43" s="12" t="n"/>
      <x:c r="L43" s="12" t="inlineStr">
        <x:is>
          <x:t xml:space="preserve">Not started</x:t>
        </x:is>
      </x:c>
      <x:c r="M43" s="12" t="n"/>
      <x:c r="N43" s="12" t="n"/>
    </x:row>
    <x:row r="44">
      <x:c r="A44" s="13" t="inlineStr">
        <x:is>
          <x:t xml:space="preserve">NEG-0400</x:t>
        </x:is>
      </x:c>
      <x:c r="B44" s="12" t="inlineStr">
        <x:is>
          <x:t xml:space="preserve">Argument from reasonable unbelief</x:t>
        </x:is>
      </x:c>
      <x:c r="C44" s="12" t="n"/>
      <x:c r="D44" s="12" t="n"/>
      <x:c r="E44" s="12" t="n"/>
      <x:c r="F44" s="12" t="n"/>
      <x:c r="G44" s="12" t="n"/>
      <x:c r="H44" s="12" t="n"/>
      <x:c r="I44" s="12" t="n"/>
      <x:c r="J44" s="12" t="n"/>
      <x:c r="K44" s="12" t="n"/>
      <x:c r="L44" s="12" t="inlineStr">
        <x:is>
          <x:t xml:space="preserve">Not started</x:t>
        </x:is>
      </x:c>
      <x:c r="M44" s="12" t="n"/>
      <x:c r="N44" s="12" t="n"/>
    </x:row>
    <x:row r="45">
      <x:c r="A45" s="13" t="inlineStr">
        <x:is>
          <x:t xml:space="preserve">NEG-0410</x:t>
        </x:is>
      </x:c>
      <x:c r="B45" s="12" t="inlineStr">
        <x:is>
          <x:t xml:space="preserve">Argument from animal suffering</x:t>
        </x:is>
      </x:c>
      <x:c r="C45" s="12" t="n"/>
      <x:c r="D45" s="12" t="n"/>
      <x:c r="E45" s="12" t="n"/>
      <x:c r="F45" s="12" t="n"/>
      <x:c r="G45" s="12" t="n"/>
      <x:c r="H45" s="12" t="n"/>
      <x:c r="I45" s="12" t="n"/>
      <x:c r="J45" s="12" t="n"/>
      <x:c r="K45" s="12" t="n"/>
      <x:c r="L45" s="12" t="inlineStr">
        <x:is>
          <x:t xml:space="preserve">Not started</x:t>
        </x:is>
      </x:c>
      <x:c r="M45" s="12" t="n"/>
      <x:c r="N45" s="12" t="n"/>
    </x:row>
    <x:row r="46">
      <x:c r="A46" s="13" t="inlineStr">
        <x:is>
          <x:t xml:space="preserve">NEG-0420</x:t>
        </x:is>
      </x:c>
      <x:c r="B46" s="12" t="inlineStr">
        <x:is>
          <x:t xml:space="preserve">Argument from eternal punishment</x:t>
        </x:is>
      </x:c>
      <x:c r="C46" s="12" t="n"/>
      <x:c r="D46" s="12" t="n"/>
      <x:c r="E46" s="12" t="n"/>
      <x:c r="F46" s="12" t="n"/>
      <x:c r="G46" s="12" t="n"/>
      <x:c r="H46" s="12" t="n"/>
      <x:c r="I46" s="12" t="n"/>
      <x:c r="J46" s="12" t="n"/>
      <x:c r="K46" s="12" t="n"/>
      <x:c r="L46" s="12" t="inlineStr">
        <x:is>
          <x:t xml:space="preserve">Not started</x:t>
        </x:is>
      </x:c>
      <x:c r="M46" s="12" t="n"/>
      <x:c r="N46" s="12" t="n"/>
    </x:row>
    <x:row r="47">
      <x:c r="A47" s="13" t="inlineStr">
        <x:is>
          <x:t xml:space="preserve">NEG-0430</x:t>
        </x:is>
      </x:c>
      <x:c r="B47" s="12" t="inlineStr">
        <x:is>
          <x:t xml:space="preserve">Argument from doctrinal confusion</x:t>
        </x:is>
      </x:c>
      <x:c r="C47" s="12" t="n"/>
      <x:c r="D47" s="12" t="n"/>
      <x:c r="E47" s="12" t="n"/>
      <x:c r="F47" s="12" t="n"/>
      <x:c r="G47" s="12" t="n"/>
      <x:c r="H47" s="12" t="n"/>
      <x:c r="I47" s="12" t="n"/>
      <x:c r="J47" s="12" t="n"/>
      <x:c r="K47" s="12" t="n"/>
      <x:c r="L47" s="12" t="inlineStr">
        <x:is>
          <x:t xml:space="preserve">Not started</x:t>
        </x:is>
      </x:c>
      <x:c r="M47" s="12" t="n"/>
      <x:c r="N47" s="12" t="n"/>
    </x:row>
    <x:row r="48">
      <x:c r="A48" s="13" t="inlineStr">
        <x:is>
          <x:t xml:space="preserve">NEG-0440</x:t>
        </x:is>
      </x:c>
      <x:c r="B48" s="12" t="inlineStr">
        <x:is>
          <x:t xml:space="preserve">Strongest formulation</x:t>
        </x:is>
      </x:c>
      <x:c r="C48" s="12" t="n"/>
      <x:c r="D48" s="12" t="n"/>
      <x:c r="E48" s="12" t="n"/>
      <x:c r="F48" s="12" t="n"/>
      <x:c r="G48" s="12" t="n"/>
      <x:c r="H48" s="12" t="n"/>
      <x:c r="I48" s="12" t="n"/>
      <x:c r="J48" s="12" t="n"/>
      <x:c r="K48" s="12" t="n"/>
      <x:c r="L48" s="12" t="inlineStr">
        <x:is>
          <x:t xml:space="preserve">Not started</x:t>
        </x:is>
      </x:c>
      <x:c r="M48" s="12" t="n"/>
      <x:c r="N48" s="12" t="n"/>
    </x:row>
    <x:row r="49">
      <x:c r="A49" s="13" t="inlineStr">
        <x:is>
          <x:t xml:space="preserve">NEG-0450</x:t>
        </x:is>
      </x:c>
      <x:c r="B49" s="12" t="inlineStr">
        <x:is>
          <x:t xml:space="preserve">Formal structure</x:t>
        </x:is>
      </x:c>
      <x:c r="C49" s="12" t="n"/>
      <x:c r="D49" s="12" t="n"/>
      <x:c r="E49" s="12" t="n"/>
      <x:c r="F49" s="12" t="n"/>
      <x:c r="G49" s="12" t="n"/>
      <x:c r="H49" s="12" t="n"/>
      <x:c r="I49" s="12" t="n"/>
      <x:c r="J49" s="12" t="n"/>
      <x:c r="K49" s="12" t="n"/>
      <x:c r="L49" s="12" t="inlineStr">
        <x:is>
          <x:t xml:space="preserve">Not started</x:t>
        </x:is>
      </x:c>
      <x:c r="M49" s="12" t="n"/>
      <x:c r="N49" s="12" t="n"/>
    </x:row>
    <x:row r="50">
      <x:c r="A50" s="13" t="inlineStr">
        <x:is>
          <x:t xml:space="preserve">NEG-0460</x:t>
        </x:is>
      </x:c>
      <x:c r="B50" s="12" t="inlineStr">
        <x:is>
          <x:t xml:space="preserve">Hidden premises</x:t>
        </x:is>
      </x:c>
      <x:c r="C50" s="12" t="n"/>
      <x:c r="D50" s="12" t="n"/>
      <x:c r="E50" s="12" t="n"/>
      <x:c r="F50" s="12" t="n"/>
      <x:c r="G50" s="12" t="n"/>
      <x:c r="H50" s="12" t="n"/>
      <x:c r="I50" s="12" t="n"/>
      <x:c r="J50" s="12" t="n"/>
      <x:c r="K50" s="12" t="n"/>
      <x:c r="L50" s="12" t="inlineStr">
        <x:is>
          <x:t xml:space="preserve">Not started</x:t>
        </x:is>
      </x:c>
      <x:c r="M50" s="12" t="n"/>
      <x:c r="N50" s="12" t="n"/>
    </x:row>
    <x:row r="51">
      <x:c r="A51" s="13" t="inlineStr">
        <x:is>
          <x:t xml:space="preserve">NEG-0470</x:t>
        </x:is>
      </x:c>
      <x:c r="B51" s="12" t="inlineStr">
        <x:is>
          <x:t xml:space="preserve">Evidence cited</x:t>
        </x:is>
      </x:c>
      <x:c r="C51" s="12" t="n"/>
      <x:c r="D51" s="12" t="n"/>
      <x:c r="E51" s="12" t="n"/>
      <x:c r="F51" s="12" t="n"/>
      <x:c r="G51" s="12" t="n"/>
      <x:c r="H51" s="12" t="n"/>
      <x:c r="I51" s="12" t="n"/>
      <x:c r="J51" s="12" t="n"/>
      <x:c r="K51" s="12" t="n"/>
      <x:c r="L51" s="12" t="inlineStr">
        <x:is>
          <x:t xml:space="preserve">Not started</x:t>
        </x:is>
      </x:c>
      <x:c r="M51" s="12" t="n"/>
      <x:c r="N51" s="12" t="n"/>
    </x:row>
    <x:row r="52">
      <x:c r="A52" s="13" t="inlineStr">
        <x:is>
          <x:t xml:space="preserve">NEG-0480</x:t>
        </x:is>
      </x:c>
      <x:c r="B52" s="12" t="inlineStr">
        <x:is>
          <x:t xml:space="preserve">Christian response families</x:t>
        </x:is>
      </x:c>
      <x:c r="C52" s="12" t="n"/>
      <x:c r="D52" s="12" t="n"/>
      <x:c r="E52" s="12" t="n"/>
      <x:c r="F52" s="12" t="n"/>
      <x:c r="G52" s="12" t="n"/>
      <x:c r="H52" s="12" t="n"/>
      <x:c r="I52" s="12" t="n"/>
      <x:c r="J52" s="12" t="n"/>
      <x:c r="K52" s="12" t="n"/>
      <x:c r="L52" s="12" t="inlineStr">
        <x:is>
          <x:t xml:space="preserve">Not started</x:t>
        </x:is>
      </x:c>
      <x:c r="M52" s="12" t="n"/>
      <x:c r="N52" s="12" t="n"/>
    </x:row>
    <x:row r="53">
      <x:c r="A53" s="13" t="inlineStr">
        <x:is>
          <x:t xml:space="preserve">NEG-0490</x:t>
        </x:is>
      </x:c>
      <x:c r="B53" s="12" t="inlineStr">
        <x:is>
          <x:t xml:space="preserve">Cost of each response</x:t>
        </x:is>
      </x:c>
      <x:c r="C53" s="12" t="n"/>
      <x:c r="D53" s="12" t="n"/>
      <x:c r="E53" s="12" t="n"/>
      <x:c r="F53" s="12" t="n"/>
      <x:c r="G53" s="12" t="n"/>
      <x:c r="H53" s="12" t="n"/>
      <x:c r="I53" s="12" t="n"/>
      <x:c r="J53" s="12" t="n"/>
      <x:c r="K53" s="12" t="n"/>
      <x:c r="L53" s="12" t="inlineStr">
        <x:is>
          <x:t xml:space="preserve">Not started</x:t>
        </x:is>
      </x:c>
      <x:c r="M53" s="12" t="n"/>
      <x:c r="N53" s="12" t="n"/>
    </x:row>
    <x:row r="54">
      <x:c r="A54" s="13" t="inlineStr">
        <x:is>
          <x:t xml:space="preserve">NEG-0500</x:t>
        </x:is>
      </x:c>
      <x:c r="B54" s="12" t="inlineStr">
        <x:is>
          <x:t xml:space="preserve">Residual force after response</x:t>
        </x:is>
      </x:c>
      <x:c r="C54" s="12" t="n"/>
      <x:c r="D54" s="12" t="n"/>
      <x:c r="E54" s="12" t="n"/>
      <x:c r="F54" s="12" t="n"/>
      <x:c r="G54" s="12" t="n"/>
      <x:c r="H54" s="12" t="n"/>
      <x:c r="I54" s="12" t="n"/>
      <x:c r="J54" s="12" t="n"/>
      <x:c r="K54" s="12" t="n"/>
      <x:c r="L54" s="12" t="inlineStr">
        <x:is>
          <x:t xml:space="preserve">Not started</x:t>
        </x:is>
      </x:c>
      <x:c r="M54" s="12" t="n"/>
      <x:c r="N54" s="12" t="n"/>
    </x:row>
  </x:sheetData>
  <x:dataValidations count="2">
    <x:dataValidation type="list" allowBlank="1" showDropDown="0" showInputMessage="1" showErrorMessage="1" sqref="K5:K54">
      <x:formula1>"Fatal if unanswered,Serious,Moderate,Weak,Rhetorical only"</x:formula1>
    </x:dataValidation>
    <x:dataValidation type="list" allowBlank="1" showDropDown="0" showInputMessage="1" showErrorMessage="1" sqref="L5:L54">
      <x:formula1>"Not started,Steelmanned,Formalized (unproved),Answered in Lean 4,Partially answered,Concedes ground"</x:formula1>
    </x:dataValidation>
  </x:dataValidations>
  <x:pageMargins left="0.7" right="0.7" top="0.75" bottom="0.75" header="0.3" footer="0.3"/>
  <x:tableParts count="1">
    <x:tablePart xmlns:r="http://schemas.openxmlformats.org/officeDocument/2006/relationships" r:id="Rd13a97f900754866"/>
  </x:tableParts>
</x:worksheet>
</file>

<file path=xl/worksheets/sheet7.xml><?xml version="1.0" encoding="utf-8"?>
<x:worksheet xmlns:x="http://schemas.openxmlformats.org/spreadsheetml/2006/main">
  <x:sheetPr>
    <x:tabColor rgb="FFA9D08E"/>
  </x:sheetPr>
  <x:sheetFormatPr baseColWidth="8" defaultRowHeight="14.399999618530273"/>
  <x:sheetData>
    <x:row r="1">
      <x:c r="A1" t="inlineStr">
        <x:is>
          <x:t xml:space="preserve">DOMAIN TAXONOMY &amp; ID SCHEME</x:t>
        </x:is>
      </x:c>
    </x:row>
    <x:row r="2">
      <x:c r="A2" t="inlineStr">
        <x:is>
          <x:t xml:space="preserve">Format: PREFIX-0000. Ledger IDs increment by 10 so subclaims can be inserted without renumbering. 'Reserved' prefixes are defined but not yet populated.</x:t>
        </x:is>
      </x:c>
    </x:row>
    <x:row r="4">
      <x:c r="A4" t="inlineStr">
        <x:is>
          <x:t xml:space="preserve">Prefix</x:t>
        </x:is>
      </x:c>
      <x:c r="B4" t="inlineStr">
        <x:is>
          <x:t xml:space="preserve">Domain</x:t>
        </x:is>
      </x:c>
      <x:c r="C4" t="inlineStr">
        <x:is>
          <x:t xml:space="preserve">Source Section</x:t>
        </x:is>
      </x:c>
      <x:c r="D4" t="inlineStr">
        <x:is>
          <x:t xml:space="preserve">Claims in Ledger</x:t>
        </x:is>
      </x:c>
      <x:c r="E4" t="inlineStr">
        <x:is>
          <x:t xml:space="preserve">Backlog Topics</x:t>
        </x:is>
      </x:c>
    </x:row>
    <x:row r="5">
      <x:c r="A5" t="inlineStr">
        <x:is>
          <x:t xml:space="preserve">LOG</x:t>
        </x:is>
      </x:c>
      <x:c r="B5" t="inlineStr">
        <x:is>
          <x:t xml:space="preserve">Logic and epistemology</x:t>
        </x:is>
      </x:c>
      <x:c r="C5" t="inlineStr">
        <x:is>
          <x:t xml:space="preserve">I</x:t>
        </x:is>
      </x:c>
      <x:c r="D5" t="n">
        <x:f>COUNTIF('02_Claim_Ledger'!$C$5:$C$365,$A5)</x:f>
        <x:v>17</x:v>
      </x:c>
      <x:c r="E5" t="n">
        <x:f>COUNTIF('10_Module_Backlog'!$C$5:$C$112,$A5)</x:f>
        <x:v>2</x:v>
      </x:c>
    </x:row>
    <x:row r="6">
      <x:c r="A6" t="inlineStr">
        <x:is>
          <x:t xml:space="preserve">MET</x:t>
        </x:is>
      </x:c>
      <x:c r="B6" t="inlineStr">
        <x:is>
          <x:t xml:space="preserve">Metaphysics</x:t>
        </x:is>
      </x:c>
      <x:c r="C6" t="inlineStr">
        <x:is>
          <x:t xml:space="preserve">II</x:t>
        </x:is>
      </x:c>
      <x:c r="D6" t="n">
        <x:f>COUNTIF('02_Claim_Ledger'!$C$5:$C$365,$A6)</x:f>
        <x:v>15</x:v>
      </x:c>
      <x:c r="E6" t="n">
        <x:f>COUNTIF('10_Module_Backlog'!$C$5:$C$112,$A6)</x:f>
        <x:v>8</x:v>
      </x:c>
    </x:row>
    <x:row r="7">
      <x:c r="A7" t="inlineStr">
        <x:is>
          <x:t xml:space="preserve">COS</x:t>
        </x:is>
      </x:c>
      <x:c r="B7" t="inlineStr">
        <x:is>
          <x:t xml:space="preserve">Cosmological arguments</x:t>
        </x:is>
      </x:c>
      <x:c r="C7" t="inlineStr">
        <x:is>
          <x:t xml:space="preserve">II (reserved)</x:t>
        </x:is>
      </x:c>
      <x:c r="D7" t="n">
        <x:f>COUNTIF('02_Claim_Ledger'!$C$5:$C$365,$A7)</x:f>
        <x:v>0</x:v>
      </x:c>
      <x:c r="E7" t="n">
        <x:f>COUNTIF('10_Module_Backlog'!$C$5:$C$112,$A7)</x:f>
        <x:v>0</x:v>
      </x:c>
    </x:row>
    <x:row r="8">
      <x:c r="A8" t="inlineStr">
        <x:is>
          <x:t xml:space="preserve">DIV</x:t>
        </x:is>
      </x:c>
      <x:c r="B8" t="inlineStr">
        <x:is>
          <x:t xml:space="preserve">Divine attributes</x:t>
        </x:is>
      </x:c>
      <x:c r="C8" t="inlineStr">
        <x:is>
          <x:t xml:space="preserve">III</x:t>
        </x:is>
      </x:c>
      <x:c r="D8" t="n">
        <x:f>COUNTIF('02_Claim_Ledger'!$C$5:$C$365,$A8)</x:f>
        <x:v>13</x:v>
      </x:c>
      <x:c r="E8" t="n">
        <x:f>COUNTIF('10_Module_Backlog'!$C$5:$C$112,$A8)</x:f>
        <x:v>0</x:v>
      </x:c>
    </x:row>
    <x:row r="9">
      <x:c r="A9" t="inlineStr">
        <x:is>
          <x:t xml:space="preserve">FTN</x:t>
        </x:is>
      </x:c>
      <x:c r="B9" t="inlineStr">
        <x:is>
          <x:t xml:space="preserve">Fine-tuning</x:t>
        </x:is>
      </x:c>
      <x:c r="C9" t="inlineStr">
        <x:is>
          <x:t xml:space="preserve">IV</x:t>
        </x:is>
      </x:c>
      <x:c r="D9" t="n">
        <x:f>COUNTIF('02_Claim_Ledger'!$C$5:$C$365,$A9)</x:f>
        <x:v>15</x:v>
      </x:c>
      <x:c r="E9" t="n">
        <x:f>COUNTIF('10_Module_Backlog'!$C$5:$C$112,$A9)</x:f>
        <x:v>0</x:v>
      </x:c>
    </x:row>
    <x:row r="10">
      <x:c r="A10" t="inlineStr">
        <x:is>
          <x:t xml:space="preserve">BIO</x:t>
        </x:is>
      </x:c>
      <x:c r="B10" t="inlineStr">
        <x:is>
          <x:t xml:space="preserve">Biology</x:t>
        </x:is>
      </x:c>
      <x:c r="C10" t="inlineStr">
        <x:is>
          <x:t xml:space="preserve">V</x:t>
        </x:is>
      </x:c>
      <x:c r="D10" t="n">
        <x:f>COUNTIF('02_Claim_Ledger'!$C$5:$C$365,$A10)</x:f>
        <x:v>13</x:v>
      </x:c>
      <x:c r="E10" t="n">
        <x:f>COUNTIF('10_Module_Backlog'!$C$5:$C$112,$A10)</x:f>
        <x:v>5</x:v>
      </x:c>
    </x:row>
    <x:row r="11">
      <x:c r="A11" t="inlineStr">
        <x:is>
          <x:t xml:space="preserve">MND</x:t>
        </x:is>
      </x:c>
      <x:c r="B11" t="inlineStr">
        <x:is>
          <x:t xml:space="preserve">Mind and consciousness</x:t>
        </x:is>
      </x:c>
      <x:c r="C11" t="inlineStr">
        <x:is>
          <x:t xml:space="preserve">VI</x:t>
        </x:is>
      </x:c>
      <x:c r="D11" t="n">
        <x:f>COUNTIF('02_Claim_Ledger'!$C$5:$C$365,$A11)</x:f>
        <x:v>15</x:v>
      </x:c>
      <x:c r="E11" t="n">
        <x:f>COUNTIF('10_Module_Backlog'!$C$5:$C$112,$A11)</x:f>
        <x:v>1</x:v>
      </x:c>
    </x:row>
    <x:row r="12">
      <x:c r="A12" t="inlineStr">
        <x:is>
          <x:t xml:space="preserve">MOR</x:t>
        </x:is>
      </x:c>
      <x:c r="B12" t="inlineStr">
        <x:is>
          <x:t xml:space="preserve">Morality</x:t>
        </x:is>
      </x:c>
      <x:c r="C12" t="inlineStr">
        <x:is>
          <x:t xml:space="preserve">VII</x:t>
        </x:is>
      </x:c>
      <x:c r="D12" t="n">
        <x:f>COUNTIF('02_Claim_Ledger'!$C$5:$C$365,$A12)</x:f>
        <x:v>17</x:v>
      </x:c>
      <x:c r="E12" t="n">
        <x:f>COUNTIF('10_Module_Backlog'!$C$5:$C$112,$A12)</x:f>
        <x:v>0</x:v>
      </x:c>
    </x:row>
    <x:row r="13">
      <x:c r="A13" t="inlineStr">
        <x:is>
          <x:t xml:space="preserve">MNG</x:t>
        </x:is>
      </x:c>
      <x:c r="B13" t="inlineStr">
        <x:is>
          <x:t xml:space="preserve">Meaning and existential fit</x:t>
        </x:is>
      </x:c>
      <x:c r="C13" t="inlineStr">
        <x:is>
          <x:t xml:space="preserve">VIII</x:t>
        </x:is>
      </x:c>
      <x:c r="D13" t="n">
        <x:f>COUNTIF('02_Claim_Ledger'!$C$5:$C$365,$A13)</x:f>
        <x:v>12</x:v>
      </x:c>
      <x:c r="E13" t="n">
        <x:f>COUNTIF('10_Module_Backlog'!$C$5:$C$112,$A13)</x:f>
        <x:v>0</x:v>
      </x:c>
    </x:row>
    <x:row r="14">
      <x:c r="A14" t="inlineStr">
        <x:is>
          <x:t xml:space="preserve">EXP</x:t>
        </x:is>
      </x:c>
      <x:c r="B14" t="inlineStr">
        <x:is>
          <x:t xml:space="preserve">Religious experience</x:t>
        </x:is>
      </x:c>
      <x:c r="C14" t="inlineStr">
        <x:is>
          <x:t xml:space="preserve">IX</x:t>
        </x:is>
      </x:c>
      <x:c r="D14" t="n">
        <x:f>COUNTIF('02_Claim_Ledger'!$C$5:$C$365,$A14)</x:f>
        <x:v>14</x:v>
      </x:c>
      <x:c r="E14" t="n">
        <x:f>COUNTIF('10_Module_Backlog'!$C$5:$C$112,$A14)</x:f>
        <x:v>0</x:v>
      </x:c>
    </x:row>
    <x:row r="15">
      <x:c r="A15" t="inlineStr">
        <x:is>
          <x:t xml:space="preserve">HIS</x:t>
        </x:is>
      </x:c>
      <x:c r="B15" t="inlineStr">
        <x:is>
          <x:t xml:space="preserve">Historical method</x:t>
        </x:is>
      </x:c>
      <x:c r="C15" t="inlineStr">
        <x:is>
          <x:t xml:space="preserve">X</x:t>
        </x:is>
      </x:c>
      <x:c r="D15" t="n">
        <x:f>COUNTIF('02_Claim_Ledger'!$C$5:$C$365,$A15)</x:f>
        <x:v>19</x:v>
      </x:c>
      <x:c r="E15" t="n">
        <x:f>COUNTIF('10_Module_Backlog'!$C$5:$C$112,$A15)</x:f>
        <x:v>0</x:v>
      </x:c>
    </x:row>
    <x:row r="16">
      <x:c r="A16" t="inlineStr">
        <x:is>
          <x:t xml:space="preserve">HJE</x:t>
        </x:is>
      </x:c>
      <x:c r="B16" t="inlineStr">
        <x:is>
          <x:t xml:space="preserve">Historical Jesus</x:t>
        </x:is>
      </x:c>
      <x:c r="C16" t="inlineStr">
        <x:is>
          <x:t xml:space="preserve">XI</x:t>
        </x:is>
      </x:c>
      <x:c r="D16" t="n">
        <x:f>COUNTIF('02_Claim_Ledger'!$C$5:$C$365,$A16)</x:f>
        <x:v>9</x:v>
      </x:c>
      <x:c r="E16" t="n">
        <x:f>COUNTIF('10_Module_Backlog'!$C$5:$C$112,$A16)</x:f>
        <x:v>28</x:v>
      </x:c>
    </x:row>
    <x:row r="17">
      <x:c r="A17" t="inlineStr">
        <x:is>
          <x:t xml:space="preserve">RES</x:t>
        </x:is>
      </x:c>
      <x:c r="B17" t="inlineStr">
        <x:is>
          <x:t xml:space="preserve">Resurrection</x:t>
        </x:is>
      </x:c>
      <x:c r="C17" t="inlineStr">
        <x:is>
          <x:t xml:space="preserve">XII</x:t>
        </x:is>
      </x:c>
      <x:c r="D17" t="n">
        <x:f>COUNTIF('02_Claim_Ledger'!$C$5:$C$365,$A17)</x:f>
        <x:v>21</x:v>
      </x:c>
      <x:c r="E17" t="n">
        <x:f>COUNTIF('10_Module_Backlog'!$C$5:$C$112,$A17)</x:f>
        <x:v>1</x:v>
      </x:c>
    </x:row>
    <x:row r="18">
      <x:c r="A18" t="inlineStr">
        <x:is>
          <x:t xml:space="preserve">NTX</x:t>
        </x:is>
      </x:c>
      <x:c r="B18" t="inlineStr">
        <x:is>
          <x:t xml:space="preserve">New Testament text</x:t>
        </x:is>
      </x:c>
      <x:c r="C18" t="inlineStr">
        <x:is>
          <x:t xml:space="preserve">XIII</x:t>
        </x:is>
      </x:c>
      <x:c r="D18" t="n">
        <x:f>COUNTIF('02_Claim_Ledger'!$C$5:$C$365,$A18)</x:f>
        <x:v>23</x:v>
      </x:c>
      <x:c r="E18" t="n">
        <x:f>COUNTIF('10_Module_Backlog'!$C$5:$C$112,$A18)</x:f>
        <x:v>0</x:v>
      </x:c>
    </x:row>
    <x:row r="19">
      <x:c r="A19" t="inlineStr">
        <x:is>
          <x:t xml:space="preserve">OTX</x:t>
        </x:is>
      </x:c>
      <x:c r="B19" t="inlineStr">
        <x:is>
          <x:t xml:space="preserve">Old Testament text</x:t>
        </x:is>
      </x:c>
      <x:c r="C19" t="inlineStr">
        <x:is>
          <x:t xml:space="preserve">XIV</x:t>
        </x:is>
      </x:c>
      <x:c r="D19" t="n">
        <x:f>COUNTIF('02_Claim_Ledger'!$C$5:$C$365,$A19)</x:f>
        <x:v>12</x:v>
      </x:c>
      <x:c r="E19" t="n">
        <x:f>COUNTIF('10_Module_Backlog'!$C$5:$C$112,$A19)</x:f>
        <x:v>12</x:v>
      </x:c>
    </x:row>
    <x:row r="20">
      <x:c r="A20" t="inlineStr">
        <x:is>
          <x:t xml:space="preserve">TRI</x:t>
        </x:is>
      </x:c>
      <x:c r="B20" t="inlineStr">
        <x:is>
          <x:t xml:space="preserve">Trinity</x:t>
        </x:is>
      </x:c>
      <x:c r="C20" t="inlineStr">
        <x:is>
          <x:t xml:space="preserve">XV</x:t>
        </x:is>
      </x:c>
      <x:c r="D20" t="n">
        <x:f>COUNTIF('02_Claim_Ledger'!$C$5:$C$365,$A20)</x:f>
        <x:v>14</x:v>
      </x:c>
      <x:c r="E20" t="n">
        <x:f>COUNTIF('10_Module_Backlog'!$C$5:$C$112,$A20)</x:f>
        <x:v>1</x:v>
      </x:c>
    </x:row>
    <x:row r="21">
      <x:c r="A21" t="inlineStr">
        <x:is>
          <x:t xml:space="preserve">INC</x:t>
        </x:is>
      </x:c>
      <x:c r="B21" t="inlineStr">
        <x:is>
          <x:t xml:space="preserve">Incarnation</x:t>
        </x:is>
      </x:c>
      <x:c r="C21" t="inlineStr">
        <x:is>
          <x:t xml:space="preserve">XVI</x:t>
        </x:is>
      </x:c>
      <x:c r="D21" t="n">
        <x:f>COUNTIF('02_Claim_Ledger'!$C$5:$C$365,$A21)</x:f>
        <x:v>11</x:v>
      </x:c>
      <x:c r="E21" t="n">
        <x:f>COUNTIF('10_Module_Backlog'!$C$5:$C$112,$A21)</x:f>
        <x:v>1</x:v>
      </x:c>
    </x:row>
    <x:row r="22">
      <x:c r="A22" t="inlineStr">
        <x:is>
          <x:t xml:space="preserve">SIN</x:t>
        </x:is>
      </x:c>
      <x:c r="B22" t="inlineStr">
        <x:is>
          <x:t xml:space="preserve">Sin and anthropology</x:t>
        </x:is>
      </x:c>
      <x:c r="C22" t="inlineStr">
        <x:is>
          <x:t xml:space="preserve">XVII</x:t>
        </x:is>
      </x:c>
      <x:c r="D22" t="n">
        <x:f>COUNTIF('02_Claim_Ledger'!$C$5:$C$365,$A22)</x:f>
        <x:v>14</x:v>
      </x:c>
      <x:c r="E22" t="n">
        <x:f>COUNTIF('10_Module_Backlog'!$C$5:$C$112,$A22)</x:f>
        <x:v>0</x:v>
      </x:c>
    </x:row>
    <x:row r="23">
      <x:c r="A23" t="inlineStr">
        <x:is>
          <x:t xml:space="preserve">ATO</x:t>
        </x:is>
      </x:c>
      <x:c r="B23" t="inlineStr">
        <x:is>
          <x:t xml:space="preserve">Atonement</x:t>
        </x:is>
      </x:c>
      <x:c r="C23" t="inlineStr">
        <x:is>
          <x:t xml:space="preserve">XVIII</x:t>
        </x:is>
      </x:c>
      <x:c r="D23" t="n">
        <x:f>COUNTIF('02_Claim_Ledger'!$C$5:$C$365,$A23)</x:f>
        <x:v>13</x:v>
      </x:c>
      <x:c r="E23" t="n">
        <x:f>COUNTIF('10_Module_Backlog'!$C$5:$C$112,$A23)</x:f>
        <x:v>0</x:v>
      </x:c>
    </x:row>
    <x:row r="24">
      <x:c r="A24" t="inlineStr">
        <x:is>
          <x:t xml:space="preserve">SAL</x:t>
        </x:is>
      </x:c>
      <x:c r="B24" t="inlineStr">
        <x:is>
          <x:t xml:space="preserve">Salvation</x:t>
        </x:is>
      </x:c>
      <x:c r="C24" t="inlineStr">
        <x:is>
          <x:t xml:space="preserve">XVIII (reserved)</x:t>
        </x:is>
      </x:c>
      <x:c r="D24" t="n">
        <x:f>COUNTIF('02_Claim_Ledger'!$C$5:$C$365,$A24)</x:f>
        <x:v>0</x:v>
      </x:c>
      <x:c r="E24" t="n">
        <x:f>COUNTIF('10_Module_Backlog'!$C$5:$C$112,$A24)</x:f>
        <x:v>0</x:v>
      </x:c>
    </x:row>
    <x:row r="25">
      <x:c r="A25" t="inlineStr">
        <x:is>
          <x:t xml:space="preserve">EVL</x:t>
        </x:is>
      </x:c>
      <x:c r="B25" t="inlineStr">
        <x:is>
          <x:t xml:space="preserve">Evil</x:t>
        </x:is>
      </x:c>
      <x:c r="C25" t="inlineStr">
        <x:is>
          <x:t xml:space="preserve">XIX</x:t>
        </x:is>
      </x:c>
      <x:c r="D25" t="n">
        <x:f>COUNTIF('02_Claim_Ledger'!$C$5:$C$365,$A25)</x:f>
        <x:v>17</x:v>
      </x:c>
      <x:c r="E25" t="n">
        <x:f>COUNTIF('10_Module_Backlog'!$C$5:$C$112,$A25)</x:f>
        <x:v>0</x:v>
      </x:c>
    </x:row>
    <x:row r="26">
      <x:c r="A26" t="inlineStr">
        <x:is>
          <x:t xml:space="preserve">HID</x:t>
        </x:is>
      </x:c>
      <x:c r="B26" t="inlineStr">
        <x:is>
          <x:t xml:space="preserve">Hiddenness</x:t>
        </x:is>
      </x:c>
      <x:c r="C26" t="inlineStr">
        <x:is>
          <x:t xml:space="preserve">XX</x:t>
        </x:is>
      </x:c>
      <x:c r="D26" t="n">
        <x:f>COUNTIF('02_Claim_Ledger'!$C$5:$C$365,$A26)</x:f>
        <x:v>13</x:v>
      </x:c>
      <x:c r="E26" t="n">
        <x:f>COUNTIF('10_Module_Backlog'!$C$5:$C$112,$A26)</x:f>
        <x:v>0</x:v>
      </x:c>
    </x:row>
    <x:row r="27">
      <x:c r="A27" t="inlineStr">
        <x:is>
          <x:t xml:space="preserve">MIR</x:t>
        </x:is>
      </x:c>
      <x:c r="B27" t="inlineStr">
        <x:is>
          <x:t xml:space="preserve">Miracles</x:t>
        </x:is>
      </x:c>
      <x:c r="C27" t="inlineStr">
        <x:is>
          <x:t xml:space="preserve">XXI</x:t>
        </x:is>
      </x:c>
      <x:c r="D27" t="n">
        <x:f>COUNTIF('02_Claim_Ledger'!$C$5:$C$365,$A27)</x:f>
        <x:v>12</x:v>
      </x:c>
      <x:c r="E27" t="n">
        <x:f>COUNTIF('10_Module_Backlog'!$C$5:$C$112,$A27)</x:f>
        <x:v>0</x:v>
      </x:c>
    </x:row>
    <x:row r="28">
      <x:c r="A28" t="inlineStr">
        <x:is>
          <x:t xml:space="preserve">CHH</x:t>
        </x:is>
      </x:c>
      <x:c r="B28" t="inlineStr">
        <x:is>
          <x:t xml:space="preserve">Church history</x:t>
        </x:is>
      </x:c>
      <x:c r="C28" t="inlineStr">
        <x:is>
          <x:t xml:space="preserve">XXII</x:t>
        </x:is>
      </x:c>
      <x:c r="D28" t="n">
        <x:f>COUNTIF('02_Claim_Ledger'!$C$5:$C$365,$A28)</x:f>
        <x:v>17</x:v>
      </x:c>
      <x:c r="E28" t="n">
        <x:f>COUNTIF('10_Module_Backlog'!$C$5:$C$112,$A28)</x:f>
        <x:v>0</x:v>
      </x:c>
    </x:row>
    <x:row r="29">
      <x:c r="A29" t="inlineStr">
        <x:is>
          <x:t xml:space="preserve">SCR</x:t>
        </x:is>
      </x:c>
      <x:c r="B29" t="inlineStr">
        <x:is>
          <x:t xml:space="preserve">Scripture</x:t>
        </x:is>
      </x:c>
      <x:c r="C29" t="inlineStr">
        <x:is>
          <x:t xml:space="preserve">XXIII</x:t>
        </x:is>
      </x:c>
      <x:c r="D29" t="n">
        <x:f>COUNTIF('02_Claim_Ledger'!$C$5:$C$365,$A29)</x:f>
        <x:v>14</x:v>
      </x:c>
      <x:c r="E29" t="n">
        <x:f>COUNTIF('10_Module_Backlog'!$C$5:$C$112,$A29)</x:f>
        <x:v>1</x:v>
      </x:c>
    </x:row>
    <x:row r="30">
      <x:c r="A30" t="inlineStr">
        <x:is>
          <x:t xml:space="preserve">ETH</x:t>
        </x:is>
      </x:c>
      <x:c r="B30" t="inlineStr">
        <x:is>
          <x:t xml:space="preserve">Ethics</x:t>
        </x:is>
      </x:c>
      <x:c r="C30" t="inlineStr">
        <x:is>
          <x:t xml:space="preserve">XXIV</x:t>
        </x:is>
      </x:c>
      <x:c r="D30" t="n">
        <x:f>COUNTIF('02_Claim_Ledger'!$C$5:$C$365,$A30)</x:f>
        <x:v>11</x:v>
      </x:c>
      <x:c r="E30" t="n">
        <x:f>COUNTIF('10_Module_Backlog'!$C$5:$C$112,$A30)</x:f>
        <x:v>13</x:v>
      </x:c>
    </x:row>
    <x:row r="31">
      <x:c r="A31" t="inlineStr">
        <x:is>
          <x:t xml:space="preserve">CMP</x:t>
        </x:is>
      </x:c>
      <x:c r="B31" t="inlineStr">
        <x:is>
          <x:t xml:space="preserve">Comparative religion</x:t>
        </x:is>
      </x:c>
      <x:c r="C31" t="inlineStr">
        <x:is>
          <x:t xml:space="preserve">XXV</x:t>
        </x:is>
      </x:c>
      <x:c r="D31" t="n">
        <x:f>COUNTIF('02_Claim_Ledger'!$C$5:$C$365,$A31)</x:f>
        <x:v>5</x:v>
      </x:c>
      <x:c r="E31" t="n">
        <x:f>COUNTIF('10_Module_Backlog'!$C$5:$C$112,$A31)</x:f>
        <x:v>35</x:v>
      </x:c>
    </x:row>
    <x:row r="32">
      <x:c r="A32" t="inlineStr">
        <x:is>
          <x:t xml:space="preserve">OBJ</x:t>
        </x:is>
      </x:c>
      <x:c r="B32" t="inlineStr">
        <x:is>
          <x:t xml:space="preserve">Objections</x:t>
        </x:is>
      </x:c>
      <x:c r="C32" t="inlineStr">
        <x:is>
          <x:t xml:space="preserve">XXVI</x:t>
        </x:is>
      </x:c>
      <x:c r="D32" t="n">
        <x:f>COUNTIF('02_Claim_Ledger'!$C$5:$C$365,$A32)</x:f>
        <x:v>5</x:v>
      </x:c>
      <x:c r="E32" t="n">
        <x:f>COUNTIF('10_Module_Backlog'!$C$5:$C$112,$A32)</x:f>
        <x:v>0</x:v>
      </x:c>
    </x:row>
    <x:row r="33">
      <x:c r="A33" t="inlineStr">
        <x:is>
          <x:t xml:space="preserve">METR</x:t>
        </x:is>
      </x:c>
      <x:c r="B33" t="inlineStr">
        <x:is>
          <x:t xml:space="preserve">Meta-apologetics</x:t>
        </x:is>
      </x:c>
      <x:c r="C33" t="inlineStr">
        <x:is>
          <x:t xml:space="preserve">Tail (reserved)</x:t>
        </x:is>
      </x:c>
      <x:c r="D33" t="n">
        <x:f>COUNTIF('02_Claim_Ledger'!$C$5:$C$365,$A33)</x:f>
        <x:v>0</x:v>
      </x:c>
      <x:c r="E33" t="n">
        <x:f>COUNTIF('10_Module_Backlog'!$C$5:$C$112,$A33)</x:f>
        <x:v>0</x:v>
      </x:c>
    </x:row>
    <x:row r="34">
      <x:c r="A34" s="5" t="inlineStr">
        <x:is>
          <x:t xml:space="preserve">TOTAL</x:t>
        </x:is>
      </x:c>
      <x:c r="B34" s="5" t="n"/>
      <x:c r="C34" s="5" t="n"/>
      <x:c r="D34" s="5" t="n">
        <x:f>SUM(D5:D33)</x:f>
        <x:v>361</x:v>
      </x:c>
      <x:c r="E34" s="5" t="n">
        <x:f>SUM(E5:E33)</x:f>
        <x:v>108</x:v>
      </x:c>
    </x:row>
  </x:sheetData>
  <x:pageMargins left="0.7" right="0.7" top="0.75" bottom="0.75" header="0.3" footer="0.3"/>
</x:worksheet>
</file>

<file path=xl/worksheets/sheet8.xml><?xml version="1.0" encoding="utf-8"?>
<x:worksheet xmlns:x="http://schemas.openxmlformats.org/spreadsheetml/2006/main">
  <x:sheetPr>
    <x:tabColor rgb="FFA9D08E"/>
  </x:sheetPr>
  <x:sheetFormatPr baseColWidth="8" defaultRowHeight="14.399999618530273"/>
  <x:sheetData>
    <x:row r="1">
      <x:c r="A1" t="inlineStr">
        <x:is>
          <x:t xml:space="preserve">CLAIM STRENGTH CLASSIFICATION</x:t>
        </x:is>
      </x:c>
    </x:row>
    <x:row r="2">
      <x:c r="A2" t="inlineStr">
        <x:is>
          <x:t xml:space="preserve">This is the field that protects the corpus from overclaiming. An empirical premise relabelled as a theorem is a defect, not a win.</x:t>
        </x:is>
      </x:c>
    </x:row>
    <x:row r="4">
      <x:c r="A4" t="inlineStr">
        <x:is>
          <x:t xml:space="preserve">Type</x:t>
        </x:is>
      </x:c>
      <x:c r="B4" t="inlineStr">
        <x:is>
          <x:t xml:space="preserve">Definition</x:t>
        </x:is>
      </x:c>
      <x:c r="C4" t="inlineStr">
        <x:is>
          <x:t xml:space="preserve">Formalization Note</x:t>
        </x:is>
      </x:c>
      <x:c r="D4" t="inlineStr">
        <x:is>
          <x:t xml:space="preserve">Count in Ledger</x:t>
        </x:is>
      </x:c>
    </x:row>
    <x:row r="5">
      <x:c r="A5" t="inlineStr">
        <x:is>
          <x:t xml:space="preserve">1 Deductive theorem</x:t>
        </x:is>
      </x:c>
      <x:c r="B5" t="inlineStr">
        <x:is>
          <x:t xml:space="preserve">The conclusion follows necessarily from the premises.</x:t>
        </x:is>
      </x:c>
      <x:c r="C5" t="inlineStr">
        <x:is>
          <x:t xml:space="preserve">Machine-checkable in Lean 4</x:t>
        </x:is>
      </x:c>
      <x:c r="D5" t="n">
        <x:f>COUNTIF('02_Claim_Ledger'!$F$5:$F$365,$A5)</x:f>
        <x:v>0</x:v>
      </x:c>
    </x:row>
    <x:row r="6">
      <x:c r="A6" t="inlineStr">
        <x:is>
          <x:t xml:space="preserve">2 Conceptual result</x:t>
        </x:is>
      </x:c>
      <x:c r="B6" t="inlineStr">
        <x:is>
          <x:t xml:space="preserve">Follows from definitions or metaphysical commitments.</x:t>
        </x:is>
      </x:c>
      <x:c r="C6" t="inlineStr">
        <x:is>
          <x:t xml:space="preserve">Formalizable once definitions are fixed</x:t>
        </x:is>
      </x:c>
      <x:c r="D6" t="n">
        <x:f>COUNTIF('02_Claim_Ledger'!$F$5:$F$365,$A6)</x:f>
        <x:v>0</x:v>
      </x:c>
    </x:row>
    <x:row r="7">
      <x:c r="A7" t="inlineStr">
        <x:is>
          <x:t xml:space="preserve">3 Probabilistic</x:t>
        </x:is>
      </x:c>
      <x:c r="B7" t="inlineStr">
        <x:is>
          <x:t xml:space="preserve">Evidence raises or lowers probability.</x:t>
        </x:is>
      </x:c>
      <x:c r="C7" t="inlineStr">
        <x:is>
          <x:t xml:space="preserve">Model-relative; Lean checks arithmetic, not priors</x:t>
        </x:is>
      </x:c>
      <x:c r="D7" t="n">
        <x:f>COUNTIF('02_Claim_Ledger'!$F$5:$F$365,$A7)</x:f>
        <x:v>0</x:v>
      </x:c>
    </x:row>
    <x:row r="8">
      <x:c r="A8" t="inlineStr">
        <x:is>
          <x:t xml:space="preserve">4 Abductive</x:t>
        </x:is>
      </x:c>
      <x:c r="B8" t="inlineStr">
        <x:is>
          <x:t xml:space="preserve">Christianity is argued to be the best explanation.</x:t>
        </x:is>
      </x:c>
      <x:c r="C8" t="inlineStr">
        <x:is>
          <x:t xml:space="preserve">Requires rival-explanation table</x:t>
        </x:is>
      </x:c>
      <x:c r="D8" t="n">
        <x:f>COUNTIF('02_Claim_Ledger'!$F$5:$F$365,$A8)</x:f>
        <x:v>0</x:v>
      </x:c>
    </x:row>
    <x:row r="9">
      <x:c r="A9" t="inlineStr">
        <x:is>
          <x:t xml:space="preserve">5 Historical</x:t>
        </x:is>
      </x:c>
      <x:c r="B9" t="inlineStr">
        <x:is>
          <x:t xml:space="preserve">Supported by testimony, documents, archaeology, historical method.</x:t>
        </x:is>
      </x:c>
      <x:c r="C9" t="inlineStr">
        <x:is>
          <x:t xml:space="preserve">Evidence record, not theorem</x:t>
        </x:is>
      </x:c>
      <x:c r="D9" t="n">
        <x:f>COUNTIF('02_Claim_Ledger'!$F$5:$F$365,$A9)</x:f>
        <x:v>0</x:v>
      </x:c>
    </x:row>
    <x:row r="10">
      <x:c r="A10" t="inlineStr">
        <x:is>
          <x:t xml:space="preserve">6 Interpretive</x:t>
        </x:is>
      </x:c>
      <x:c r="B10" t="inlineStr">
        <x:is>
          <x:t xml:space="preserve">Concerns the meaning of a text or event.</x:t>
        </x:is>
      </x:c>
      <x:c r="C10" t="inlineStr">
        <x:is>
          <x:t xml:space="preserve">Requires stated hermeneutic</x:t>
        </x:is>
      </x:c>
      <x:c r="D10" t="n">
        <x:f>COUNTIF('02_Claim_Ledger'!$F$5:$F$365,$A10)</x:f>
        <x:v>0</x:v>
      </x:c>
    </x:row>
    <x:row r="11">
      <x:c r="A11" t="inlineStr">
        <x:is>
          <x:t xml:space="preserve">7 Doctrinal construction</x:t>
        </x:is>
      </x:c>
      <x:c r="B11" t="inlineStr">
        <x:is>
          <x:t xml:space="preserve">Derives doctrine from a chosen scriptural/theological framework.</x:t>
        </x:is>
      </x:c>
      <x:c r="C11" t="inlineStr">
        <x:is>
          <x:t xml:space="preserve">Tradition-flagged</x:t>
        </x:is>
      </x:c>
      <x:c r="D11" t="n">
        <x:f>COUNTIF('02_Claim_Ledger'!$F$5:$F$365,$A11)</x:f>
        <x:v>0</x:v>
      </x:c>
    </x:row>
    <x:row r="12">
      <x:c r="A12" t="inlineStr">
        <x:is>
          <x:t xml:space="preserve">8 Internal coherence</x:t>
        </x:is>
      </x:c>
      <x:c r="B12" t="inlineStr">
        <x:is>
          <x:t xml:space="preserve">Shows Christian beliefs are mutually consistent.</x:t>
        </x:is>
      </x:c>
      <x:c r="C12" t="inlineStr">
        <x:is>
          <x:t xml:space="preserve">Consistency proof / model</x:t>
        </x:is>
      </x:c>
      <x:c r="D12" t="n">
        <x:f>COUNTIF('02_Claim_Ledger'!$F$5:$F$365,$A12)</x:f>
        <x:v>0</x:v>
      </x:c>
    </x:row>
    <x:row r="13">
      <x:c r="A13" t="inlineStr">
        <x:is>
          <x:t xml:space="preserve">9 Comparative</x:t>
        </x:is>
      </x:c>
      <x:c r="B13" t="inlineStr">
        <x:is>
          <x:t xml:space="preserve">Compares Christianity with rival worldviews.</x:t>
        </x:is>
      </x:c>
      <x:c r="C13" t="inlineStr">
        <x:is>
          <x:t xml:space="preserve">Needs symmetric treatment of rival</x:t>
        </x:is>
      </x:c>
      <x:c r="D13" t="n">
        <x:f>COUNTIF('02_Claim_Ledger'!$F$5:$F$365,$A13)</x:f>
        <x:v>0</x:v>
      </x:c>
    </x:row>
    <x:row r="14">
      <x:c r="A14" t="inlineStr">
        <x:is>
          <x:t xml:space="preserve">10 Defeater response</x:t>
        </x:is>
      </x:c>
      <x:c r="B14" t="inlineStr">
        <x:is>
          <x:t xml:space="preserve">Answers an objection or alleged contradiction.</x:t>
        </x:is>
      </x:c>
      <x:c r="C14" t="inlineStr">
        <x:is>
          <x:t xml:space="preserve">Links to Objection Ledger</x:t>
        </x:is>
      </x:c>
      <x:c r="D14" t="n">
        <x:f>COUNTIF('02_Claim_Ledger'!$F$5:$F$365,$A14)</x:f>
        <x:v>0</x:v>
      </x:c>
    </x:row>
    <x:row r="16">
      <x:c r="A16" s="5" t="inlineStr">
        <x:is>
          <x:t xml:space="preserve">Unclassified</x:t>
        </x:is>
      </x:c>
      <x:c r="B16" s="5" t="n"/>
      <x:c r="C16" s="5" t="n"/>
      <x:c r="D16" s="5" t="n">
        <x:f>COUNTBLANK('02_Claim_Ledger'!$F$5:$F$365)</x:f>
        <x:v>361</x:v>
      </x:c>
    </x:row>
  </x:sheetData>
  <x:pageMargins left="0.7" right="0.7" top="0.75" bottom="0.75" header="0.3" footer="0.3"/>
</x:worksheet>
</file>

<file path=xl/worksheets/sheet9.xml><?xml version="1.0" encoding="utf-8"?>
<x:worksheet xmlns:x="http://schemas.openxmlformats.org/spreadsheetml/2006/main">
  <x:sheetPr>
    <x:tabColor rgb="FFA9D08E"/>
  </x:sheetPr>
  <x:sheetFormatPr baseColWidth="8" defaultRowHeight="14.399999618530273"/>
  <x:sheetData>
    <x:row r="1">
      <x:c r="A1" t="inlineStr">
        <x:is>
          <x:t xml:space="preserve">CLAIM FLAGS</x:t>
        </x:is>
      </x:c>
    </x:row>
    <x:row r="2">
      <x:c r="A2" t="inlineStr">
        <x:is>
          <x:t xml:space="preserve">Flags stack in the Ledger 'Flags' column. Example:  RES-0142 [H][A][C]</x:t>
        </x:is>
      </x:c>
    </x:row>
    <x:row r="4">
      <x:c r="A4" t="inlineStr">
        <x:is>
          <x:t xml:space="preserve">Flag</x:t>
        </x:is>
      </x:c>
      <x:c r="B4" t="inlineStr">
        <x:is>
          <x:t xml:space="preserve">Meaning</x:t>
        </x:is>
      </x:c>
      <x:c r="C4" t="inlineStr">
        <x:is>
          <x:t xml:space="preserve">Times Used</x:t>
        </x:is>
      </x:c>
    </x:row>
    <x:row r="5">
      <x:c r="A5" t="inlineStr">
        <x:is>
          <x:t xml:space="preserve">[D]</x:t>
        </x:is>
      </x:c>
      <x:c r="B5" t="inlineStr">
        <x:is>
          <x:t xml:space="preserve">Deductive</x:t>
        </x:is>
      </x:c>
      <x:c r="C5" t="n">
        <x:f>COUNTIF('02_Claim_Ledger'!$G$5:$G$365,"*"&amp;$A5&amp;"*")</x:f>
        <x:v>0</x:v>
      </x:c>
    </x:row>
    <x:row r="6">
      <x:c r="A6" t="inlineStr">
        <x:is>
          <x:t xml:space="preserve">[P]</x:t>
        </x:is>
      </x:c>
      <x:c r="B6" t="inlineStr">
        <x:is>
          <x:t xml:space="preserve">Probabilistic</x:t>
        </x:is>
      </x:c>
      <x:c r="C6" t="n">
        <x:f>COUNTIF('02_Claim_Ledger'!$G$5:$G$365,"*"&amp;$A6&amp;"*")</x:f>
        <x:v>0</x:v>
      </x:c>
    </x:row>
    <x:row r="7">
      <x:c r="A7" t="inlineStr">
        <x:is>
          <x:t xml:space="preserve">[A]</x:t>
        </x:is>
      </x:c>
      <x:c r="B7" t="inlineStr">
        <x:is>
          <x:t xml:space="preserve">Abductive</x:t>
        </x:is>
      </x:c>
      <x:c r="C7" t="n">
        <x:f>COUNTIF('02_Claim_Ledger'!$G$5:$G$365,"*"&amp;$A7&amp;"*")</x:f>
        <x:v>0</x:v>
      </x:c>
    </x:row>
    <x:row r="8">
      <x:c r="A8" t="inlineStr">
        <x:is>
          <x:t xml:space="preserve">[H]</x:t>
        </x:is>
      </x:c>
      <x:c r="B8" t="inlineStr">
        <x:is>
          <x:t xml:space="preserve">Historical</x:t>
        </x:is>
      </x:c>
      <x:c r="C8" t="n">
        <x:f>COUNTIF('02_Claim_Ledger'!$G$5:$G$365,"*"&amp;$A8&amp;"*")</x:f>
        <x:v>0</x:v>
      </x:c>
    </x:row>
    <x:row r="9">
      <x:c r="A9" t="inlineStr">
        <x:is>
          <x:t xml:space="preserve">[I]</x:t>
        </x:is>
      </x:c>
      <x:c r="B9" t="inlineStr">
        <x:is>
          <x:t xml:space="preserve">Interpretive</x:t>
        </x:is>
      </x:c>
      <x:c r="C9" t="n">
        <x:f>COUNTIF('02_Claim_Ledger'!$G$5:$G$365,"*"&amp;$A9&amp;"*")</x:f>
        <x:v>0</x:v>
      </x:c>
    </x:row>
    <x:row r="10">
      <x:c r="A10" t="inlineStr">
        <x:is>
          <x:t xml:space="preserve">[T]</x:t>
        </x:is>
      </x:c>
      <x:c r="B10" t="inlineStr">
        <x:is>
          <x:t xml:space="preserve">Tradition-specific</x:t>
        </x:is>
      </x:c>
      <x:c r="C10" t="n">
        <x:f>COUNTIF('02_Claim_Ledger'!$G$5:$G$365,"*"&amp;$A10&amp;"*")</x:f>
        <x:v>0</x:v>
      </x:c>
    </x:row>
    <x:row r="11">
      <x:c r="A11" t="inlineStr">
        <x:is>
          <x:t xml:space="preserve">[C]</x:t>
        </x:is>
      </x:c>
      <x:c r="B11" t="inlineStr">
        <x:is>
          <x:t xml:space="preserve">Contested</x:t>
        </x:is>
      </x:c>
      <x:c r="C11" t="n">
        <x:f>COUNTIF('02_Claim_Ledger'!$G$5:$G$365,"*"&amp;$A11&amp;"*")</x:f>
        <x:v>0</x:v>
      </x:c>
    </x:row>
    <x:row r="12">
      <x:c r="A12" t="inlineStr">
        <x:is>
          <x:t xml:space="preserve">[F]</x:t>
        </x:is>
      </x:c>
      <x:c r="B12" t="inlineStr">
        <x:is>
          <x:t xml:space="preserve">Formally verified</x:t>
        </x:is>
      </x:c>
      <x:c r="C12" t="n">
        <x:f>COUNTIF('02_Claim_Ledger'!$G$5:$G$365,"*"&amp;$A12&amp;"*")</x:f>
        <x:v>0</x:v>
      </x:c>
    </x:row>
    <x:row r="13">
      <x:c r="A13" t="inlineStr">
        <x:is>
          <x:t xml:space="preserve">[E]</x:t>
        </x:is>
      </x:c>
      <x:c r="B13" t="inlineStr">
        <x:is>
          <x:t xml:space="preserve">Evidence pending</x:t>
        </x:is>
      </x:c>
      <x:c r="C13" t="n">
        <x:f>COUNTIF('02_Claim_Ledger'!$G$5:$G$365,"*"&amp;$A13&amp;"*")</x:f>
        <x:v>0</x:v>
      </x:c>
    </x:row>
  </x:sheetData>
  <x:pageMargins left="0.7" right="0.7" top="0.75" bottom="0.75" header="0.3" footer="0.3"/>
</x:worksheet>
</file>

<file path=xl/worksheets/sheet10.xml><?xml version="1.0" encoding="utf-8"?>
<x:worksheet xmlns:x="http://schemas.openxmlformats.org/spreadsheetml/2006/main">
  <x:sheetPr>
    <x:tabColor rgb="FFA9D08E"/>
  </x:sheetPr>
  <x:sheetFormatPr baseColWidth="8" defaultRowHeight="14.399999618530273"/>
  <x:cols>
    <x:col min="1" max="1" width="16.33203125" customWidth="1"/>
    <x:col min="2" max="2" width="20.33203125" customWidth="1"/>
    <x:col min="3" max="3" width="63" customWidth="1"/>
    <x:col min="4" max="4" width="24.109375" customWidth="1"/>
    <x:col min="5" max="5" width="63" customWidth="1"/>
    <x:col min="6" max="6" width="24.109375" customWidth="1"/>
    <x:col min="7" max="7" width="55.5546875" customWidth="1"/>
    <x:col min="8" max="8" width="27.77734375" customWidth="1"/>
  </x:cols>
  <x:sheetData>
    <x:row r="1" ht="18" customHeight="1">
      <x:c r="A1" s="8" t="inlineStr">
        <x:is>
          <x:t xml:space="preserve">DEPENDENCY GRAPH — SUPPORT CHAINS</x:t>
        </x:is>
      </x:c>
    </x:row>
    <x:row r="2">
      <x:c r="A2" s="14" t="inlineStr">
        <x:is>
          <x:t xml:space="preserve">One row per edge. Every major conclusion must have a visible chain down to its premises. Statements auto-populate from the Claim Ledger once IDs are entered.</x:t>
        </x:is>
      </x:c>
    </x:row>
    <x:row r="4">
      <x:c r="A4" s="9" t="inlineStr">
        <x:is>
          <x:t xml:space="preserve">Edge ID</x:t>
        </x:is>
      </x:c>
      <x:c r="B4" s="9" t="inlineStr">
        <x:is>
          <x:t xml:space="preserve">Child Claim ID</x:t>
        </x:is>
      </x:c>
      <x:c r="C4" s="9" t="inlineStr">
        <x:is>
          <x:t xml:space="preserve">Child Statement</x:t>
        </x:is>
      </x:c>
      <x:c r="D4" s="9" t="inlineStr">
        <x:is>
          <x:t xml:space="preserve">Depends On (Parent ID)</x:t>
        </x:is>
      </x:c>
      <x:c r="E4" s="9" t="inlineStr">
        <x:is>
          <x:t xml:space="preserve">Parent Statement</x:t>
        </x:is>
      </x:c>
      <x:c r="F4" s="9" t="inlineStr">
        <x:is>
          <x:t xml:space="preserve">Relation</x:t>
        </x:is>
      </x:c>
      <x:c r="G4" s="9" t="inlineStr">
        <x:is>
          <x:t xml:space="preserve">Legacy ID (source doc)</x:t>
        </x:is>
      </x:c>
      <x:c r="H4" s="9" t="inlineStr">
        <x:is>
          <x:t xml:space="preserve">Notes</x:t>
        </x:is>
      </x:c>
    </x:row>
    <x:row r="5">
      <x:c r="A5" s="12" t="inlineStr">
        <x:is>
          <x:t xml:space="preserve">EDG-0010</x:t>
        </x:is>
      </x:c>
      <x:c r="B5" s="12" t="n"/>
      <x:c r="C5" s="12" t="str">
        <x:f>IFERROR(IF($B5="","",_xlfn.XLOOKUP($B5,'02_Claim_Ledger'!$A$5:$A$365,'02_Claim_Ledger'!$E$5:$E$365)),"ID not in ledger")</x:f>
      </x:c>
      <x:c r="D5" s="12" t="n"/>
      <x:c r="E5" s="12" t="str">
        <x:f>IFERROR(IF($D5="","",_xlfn.XLOOKUP($D5,'02_Claim_Ledger'!$A$5:$A$365,'02_Claim_Ledger'!$E$5:$E$365)),"ID not in ledger")</x:f>
      </x:c>
      <x:c r="F5" s="12" t="inlineStr">
        <x:is>
          <x:t xml:space="preserve">Necessary premise</x:t>
        </x:is>
      </x:c>
      <x:c r="G5" s="12" t="inlineStr">
        <x:is>
          <x:t xml:space="preserve">C-RES-240 ← C-GOD-010: God exists</x:t>
        </x:is>
      </x:c>
      <x:c r="H5" s="12" t="n"/>
    </x:row>
    <x:row r="6">
      <x:c r="A6" s="12" t="inlineStr">
        <x:is>
          <x:t xml:space="preserve">EDG-0020</x:t>
        </x:is>
      </x:c>
      <x:c r="B6" s="12" t="n"/>
      <x:c r="C6" s="12" t="str">
        <x:f>IFERROR(IF($B6="","",_xlfn.XLOOKUP($B6,'02_Claim_Ledger'!$A$5:$A$365,'02_Claim_Ledger'!$E$5:$E$365)),"ID not in ledger")</x:f>
      </x:c>
      <x:c r="D6" s="12" t="n"/>
      <x:c r="E6" s="12" t="str">
        <x:f>IFERROR(IF($D6="","",_xlfn.XLOOKUP($D6,'02_Claim_Ledger'!$A$5:$A$365,'02_Claim_Ledger'!$E$5:$E$365)),"ID not in ledger")</x:f>
      </x:c>
      <x:c r="F6" s="12" t="inlineStr">
        <x:is>
          <x:t xml:space="preserve">Necessary premise</x:t>
        </x:is>
      </x:c>
      <x:c r="G6" s="12" t="inlineStr">
        <x:is>
          <x:t xml:space="preserve">C-RES-240 ← C-MIR-030: Divine action in history is possible</x:t>
        </x:is>
      </x:c>
      <x:c r="H6" s="12" t="n"/>
    </x:row>
    <x:row r="7">
      <x:c r="A7" s="12" t="inlineStr">
        <x:is>
          <x:t xml:space="preserve">EDG-0030</x:t>
        </x:is>
      </x:c>
      <x:c r="B7" s="12" t="n"/>
      <x:c r="C7" s="12" t="str">
        <x:f>IFERROR(IF($B7="","",_xlfn.XLOOKUP($B7,'02_Claim_Ledger'!$A$5:$A$365,'02_Claim_Ledger'!$E$5:$E$365)),"ID not in ledger")</x:f>
      </x:c>
      <x:c r="D7" s="12" t="n"/>
      <x:c r="E7" s="12" t="str">
        <x:f>IFERROR(IF($D7="","",_xlfn.XLOOKUP($D7,'02_Claim_Ledger'!$A$5:$A$365,'02_Claim_Ledger'!$E$5:$E$365)),"ID not in ledger")</x:f>
      </x:c>
      <x:c r="F7" s="12" t="inlineStr">
        <x:is>
          <x:t xml:space="preserve">Evidential support</x:t>
        </x:is>
      </x:c>
      <x:c r="G7" s="12" t="inlineStr">
        <x:is>
          <x:t xml:space="preserve">C-RES-240 ← C-HJ-410: Jesus died by crucifixion</x:t>
        </x:is>
      </x:c>
      <x:c r="H7" s="12" t="n"/>
    </x:row>
    <x:row r="8">
      <x:c r="A8" s="12" t="inlineStr">
        <x:is>
          <x:t xml:space="preserve">EDG-0040</x:t>
        </x:is>
      </x:c>
      <x:c r="B8" s="12" t="n"/>
      <x:c r="C8" s="12" t="str">
        <x:f>IFERROR(IF($B8="","",_xlfn.XLOOKUP($B8,'02_Claim_Ledger'!$A$5:$A$365,'02_Claim_Ledger'!$E$5:$E$365)),"ID not in ledger")</x:f>
      </x:c>
      <x:c r="D8" s="12" t="n"/>
      <x:c r="E8" s="12" t="str">
        <x:f>IFERROR(IF($D8="","",_xlfn.XLOOKUP($D8,'02_Claim_Ledger'!$A$5:$A$365,'02_Claim_Ledger'!$E$5:$E$365)),"ID not in ledger")</x:f>
      </x:c>
      <x:c r="F8" s="12" t="inlineStr">
        <x:is>
          <x:t xml:space="preserve">Evidential support</x:t>
        </x:is>
      </x:c>
      <x:c r="G8" s="12" t="inlineStr">
        <x:is>
          <x:t xml:space="preserve">C-RES-240 ← C-RES-110: Disciples reported appearances</x:t>
        </x:is>
      </x:c>
      <x:c r="H8" s="12" t="n"/>
    </x:row>
    <x:row r="9">
      <x:c r="A9" s="12" t="inlineStr">
        <x:is>
          <x:t xml:space="preserve">EDG-0050</x:t>
        </x:is>
      </x:c>
      <x:c r="B9" s="12" t="n"/>
      <x:c r="C9" s="12" t="str">
        <x:f>IFERROR(IF($B9="","",_xlfn.XLOOKUP($B9,'02_Claim_Ledger'!$A$5:$A$365,'02_Claim_Ledger'!$E$5:$E$365)),"ID not in ledger")</x:f>
      </x:c>
      <x:c r="D9" s="12" t="n"/>
      <x:c r="E9" s="12" t="str">
        <x:f>IFERROR(IF($D9="","",_xlfn.XLOOKUP($D9,'02_Claim_Ledger'!$A$5:$A$365,'02_Claim_Ledger'!$E$5:$E$365)),"ID not in ledger")</x:f>
      </x:c>
      <x:c r="F9" s="12" t="inlineStr">
        <x:is>
          <x:t xml:space="preserve">Evidential support</x:t>
        </x:is>
      </x:c>
      <x:c r="G9" s="12" t="inlineStr">
        <x:is>
          <x:t xml:space="preserve">C-RES-240 ← C-RES-150: Earliest resurrection belief is early</x:t>
        </x:is>
      </x:c>
      <x:c r="H9" s="12" t="n"/>
    </x:row>
    <x:row r="10">
      <x:c r="A10" s="12" t="inlineStr">
        <x:is>
          <x:t xml:space="preserve">EDG-0060</x:t>
        </x:is>
      </x:c>
      <x:c r="B10" s="12" t="n"/>
      <x:c r="C10" s="12" t="str">
        <x:f>IFERROR(IF($B10="","",_xlfn.XLOOKUP($B10,'02_Claim_Ledger'!$A$5:$A$365,'02_Claim_Ledger'!$E$5:$E$365)),"ID not in ledger")</x:f>
      </x:c>
      <x:c r="D10" s="12" t="n"/>
      <x:c r="E10" s="12" t="str">
        <x:f>IFERROR(IF($D10="","",_xlfn.XLOOKUP($D10,'02_Claim_Ledger'!$A$5:$A$365,'02_Claim_Ledger'!$E$5:$E$365)),"ID not in ledger")</x:f>
      </x:c>
      <x:c r="F10" s="12" t="inlineStr">
        <x:is>
          <x:t xml:space="preserve">Comparative support</x:t>
        </x:is>
      </x:c>
      <x:c r="G10" s="12" t="inlineStr">
        <x:is>
          <x:t xml:space="preserve">C-RES-240 ← C-RES-190: Rival explanations comparatively weaker</x:t>
        </x:is>
      </x:c>
      <x:c r="H10" s="12" t="n"/>
    </x:row>
    <x:row r="11">
      <x:c r="A11" s="12" t="inlineStr">
        <x:is>
          <x:t xml:space="preserve">EDG-0070</x:t>
        </x:is>
      </x:c>
      <x:c r="B11" s="12" t="n"/>
      <x:c r="C11" s="12" t="str">
        <x:f>IFERROR(IF($B11="","",_xlfn.XLOOKUP($B11,'02_Claim_Ledger'!$A$5:$A$365,'02_Claim_Ledger'!$E$5:$E$365)),"ID not in ledger")</x:f>
      </x:c>
      <x:c r="D11" s="12" t="n"/>
      <x:c r="E11" s="12" t="str">
        <x:f>IFERROR(IF($D11="","",_xlfn.XLOOKUP($D11,'02_Claim_Ledger'!$A$5:$A$365,'02_Claim_Ledger'!$E$5:$E$365)),"ID not in ledger")</x:f>
      </x:c>
      <x:c r="F11" s="12" t="inlineStr">
        <x:is>
          <x:t xml:space="preserve">Necessary premise</x:t>
        </x:is>
      </x:c>
      <x:c r="G11" s="12" t="inlineStr">
        <x:is>
          <x:t xml:space="preserve">C-CHR-500 ← C-RES-240</x:t>
        </x:is>
      </x:c>
      <x:c r="H11" s="12" t="n"/>
    </x:row>
    <x:row r="12">
      <x:c r="A12" s="12" t="inlineStr">
        <x:is>
          <x:t xml:space="preserve">EDG-0080</x:t>
        </x:is>
      </x:c>
      <x:c r="B12" s="12" t="n"/>
      <x:c r="C12" s="12" t="str">
        <x:f>IFERROR(IF($B12="","",_xlfn.XLOOKUP($B12,'02_Claim_Ledger'!$A$5:$A$365,'02_Claim_Ledger'!$E$5:$E$365)),"ID not in ledger")</x:f>
      </x:c>
      <x:c r="D12" s="12" t="n"/>
      <x:c r="E12" s="12" t="str">
        <x:f>IFERROR(IF($D12="","",_xlfn.XLOOKUP($D12,'02_Claim_Ledger'!$A$5:$A$365,'02_Claim_Ledger'!$E$5:$E$365)),"ID not in ledger")</x:f>
      </x:c>
      <x:c r="F12" s="12" t="inlineStr">
        <x:is>
          <x:t xml:space="preserve">Necessary premise</x:t>
        </x:is>
      </x:c>
      <x:c r="G12" s="12" t="inlineStr">
        <x:is>
          <x:t xml:space="preserve">C-CHR-500 ← C-HJ-300: Jesus made relevant religious claims</x:t>
        </x:is>
      </x:c>
      <x:c r="H12" s="12" t="n"/>
    </x:row>
  </x:sheetData>
  <x:dataValidations count="1">
    <x:dataValidation type="list" allowBlank="1" showDropDown="0" showInputMessage="1" showErrorMessage="1" sqref="F5:F200">
      <x:formula1>"Necessary premise,Sufficient premise,Evidential support,Comparative support,Defeater blocked,Presupposes"</x:formula1>
    </x:dataValidation>
  </x:dataValidations>
  <x:pageMargins left="0.7" right="0.7" top="0.75" bottom="0.75" header="0.3" footer="0.3"/>
</x:worksheet>
</file>

<file path=xl/worksheets/sheet11.xml><?xml version="1.0" encoding="utf-8"?>
<x:worksheet xmlns:x="http://schemas.openxmlformats.org/spreadsheetml/2006/main">
  <x:sheetPr>
    <x:tabColor rgb="FFA9D08E"/>
  </x:sheetPr>
  <x:sheetFormatPr baseColWidth="8" defaultRowHeight="14.399999618530273"/>
  <x:cols>
    <x:col min="1" max="1" width="13" customWidth="1"/>
    <x:col min="2" max="2" width="31.44140625" customWidth="1"/>
    <x:col min="3" max="3" width="79.6640625" customWidth="1"/>
    <x:col min="4" max="4" width="51.88671875" customWidth="1"/>
    <x:col min="5" max="5" width="40.77734375" customWidth="1"/>
  </x:cols>
  <x:sheetData>
    <x:row r="1" ht="18" customHeight="1">
      <x:c r="A1" s="8" t="inlineStr">
        <x:is>
          <x:t xml:space="preserve">LEAN 4 FORMALIZATION LAYERS</x:t>
        </x:is>
      </x:c>
    </x:row>
    <x:row r="2">
      <x:c r="A2" s="14" t="inlineStr">
        <x:is>
          <x:t xml:space="preserve">Four layers, from the source doc. Layer 1 axioms are placeholders — a mature version must define contingency, dependence, explanation, grounding, and regress, then prove the result from explicit principles.</x:t>
        </x:is>
      </x:c>
    </x:row>
    <x:row r="4">
      <x:c r="A4" s="5" t="inlineStr">
        <x:is>
          <x:t xml:space="preserve">Layer</x:t>
        </x:is>
      </x:c>
      <x:c r="B4" s="5" t="inlineStr">
        <x:is>
          <x:t xml:space="preserve">Purpose</x:t>
        </x:is>
      </x:c>
      <x:c r="C4" s="5" t="inlineStr">
        <x:is>
          <x:t xml:space="preserve">Lean 4 sketch</x:t>
        </x:is>
      </x:c>
      <x:c r="D4" s="5" t="inlineStr">
        <x:is>
          <x:t xml:space="preserve">Honest limit</x:t>
        </x:is>
      </x:c>
      <x:c r="E4" s="5" t="inlineStr">
        <x:is>
          <x:t xml:space="preserve">Ledger link</x:t>
        </x:is>
      </x:c>
    </x:row>
    <x:row r="5" ht="150" customHeight="1">
      <x:c r="A5" s="13" t="inlineStr">
        <x:is>
          <x:t xml:space="preserve">Layer 1</x:t>
        </x:is>
      </x:c>
      <x:c r="B5" s="12" t="inlineStr">
        <x:is>
          <x:t xml:space="preserve">Pure logical forms</x:t>
        </x:is>
      </x:c>
      <x:c r="C5" s="15" t="inlineStr">
        <x:is>
          <x:t xml:space="preserve">structure CosmologicalPremises where
  contingentRealityExists : Prop
  contingentRequiresExplanation : Prop
  noCircularUltimateExplanation : Prop
axiom explanation_argument
    (P : CosmologicalPremises)
    (h₁ : P.contingentRealityExists)
    (h₂ : P.contingentRequiresExplanation)
    (h₃ : P.noCircularUltimateExplanation) :
    ∃ x, IsNonContingent x</x:t>
        </x:is>
      </x:c>
      <x:c r="D5" s="12" t="inlineStr">
        <x:is>
          <x:t xml:space="preserve">The axiom as written hides the argument rather than proving it. Replace with definitions + derivation.</x:t>
        </x:is>
      </x:c>
      <x:c r="E5" s="12" t="inlineStr">
        <x:is>
          <x:t xml:space="preserve">Strength 1–2 claims (LOG, MET, COS)</x:t>
        </x:is>
      </x:c>
    </x:row>
    <x:row r="6" ht="150" customHeight="1">
      <x:c r="A6" s="13" t="inlineStr">
        <x:is>
          <x:t xml:space="preserve">Layer 2</x:t>
        </x:is>
      </x:c>
      <x:c r="B6" s="12" t="inlineStr">
        <x:is>
          <x:t xml:space="preserve">Argument schemas</x:t>
        </x:is>
      </x:c>
      <x:c r="C6" s="15" t="inlineStr">
        <x:is>
          <x:t xml:space="preserve">structure AbductiveHypothesis where
  name : String
  predicts : Evidence → ℝ
  prior : ℝ
def posteriorWeight
    (h : AbductiveHypothesis)
    (e : Evidence) : ℝ :=
  h.prior * h.predicts e</x:t>
        </x:is>
      </x:c>
      <x:c r="D6" s="12" t="inlineStr">
        <x:is>
          <x:t xml:space="preserve">Lean verifies the calculation obeys the stated model. It cannot tell you whether the priors are objectively correct.</x:t>
        </x:is>
      </x:c>
      <x:c r="E6" s="12" t="inlineStr">
        <x:is>
          <x:t xml:space="preserve">Strength 3–4 claims (FTN, EXP, CMP)</x:t>
        </x:is>
      </x:c>
    </x:row>
    <x:row r="7" ht="150" customHeight="1">
      <x:c r="A7" s="13" t="inlineStr">
        <x:is>
          <x:t xml:space="preserve">Layer 3</x:t>
        </x:is>
      </x:c>
      <x:c r="B7" s="12" t="inlineStr">
        <x:is>
          <x:t xml:space="preserve">Historical evidence records</x:t>
        </x:is>
      </x:c>
      <x:c r="C7" s="15" t="inlineStr">
        <x:is>
          <x:t xml:space="preserve">structure HistoricalClaim where
  proposition : Prop
  sourceCount : Nat
  earlyAttestation : Bool
  independenceScore : Float
  hostileAttestation : Bool
  explanatoryAlternatives : List String</x:t>
        </x:is>
      </x:c>
      <x:c r="D7" s="12" t="inlineStr">
        <x:is>
          <x:t xml:space="preserve">Records evidence rather than converting history into certainty.</x:t>
        </x:is>
      </x:c>
      <x:c r="E7" s="12" t="inlineStr">
        <x:is>
          <x:t xml:space="preserve">Strength 5–6 claims (HIS, HJE, RES, NTX, OTX)</x:t>
        </x:is>
      </x:c>
    </x:row>
    <x:row r="8" ht="150" customHeight="1">
      <x:c r="A8" s="13" t="inlineStr">
        <x:is>
          <x:t xml:space="preserve">Layer 4</x:t>
        </x:is>
      </x:c>
      <x:c r="B8" s="12" t="inlineStr">
        <x:is>
          <x:t xml:space="preserve">Dependency graph</x:t>
        </x:is>
      </x:c>
      <x:c r="C8" s="15" t="inlineStr">
        <x:is>
          <x:t xml:space="preserve">C-RES-240: God raised Jesus
depends on:
  C-GOD-010: God exists
  C-MIR-030: Divine action in history is possible
  C-HJ-410: Jesus died by crucifixion
  C-RES-110: Disciples reported appearances
  C-RES-150: Earliest resurrection belief is early
  C-RES-190: Rival explanations comparatively weaker</x:t>
        </x:is>
      </x:c>
      <x:c r="D8" s="12" t="inlineStr">
        <x:is>
          <x:t xml:space="preserve">Only as strong as its weakest declared premise — which is the point: the chain is visible.</x:t>
        </x:is>
      </x:c>
      <x:c r="E8" s="12" t="inlineStr">
        <x:is>
          <x:t xml:space="preserve">07_Dependency_Graph</x:t>
        </x:is>
      </x:c>
    </x:row>
  </x:sheetData>
  <x:pageMargins left="0.7" right="0.7" top="0.75" bottom="0.75" header="0.3" footer="0.3"/>
</x:worksheet>
</file>

<file path=xl/worksheets/sheet12.xml><?xml version="1.0" encoding="utf-8"?>
<x:worksheet xmlns:x="http://schemas.openxmlformats.org/spreadsheetml/2006/main">
  <x:sheetPr>
    <x:tabColor rgb="FFA9D08E"/>
  </x:sheetPr>
  <x:sheetFormatPr baseColWidth="8" defaultRowHeight="14.399999618530273"/>
  <x:cols>
    <x:col min="1" max="1" width="6.33203125" customWidth="1"/>
    <x:col min="2" max="2" width="35.21875" customWidth="1"/>
    <x:col min="3" max="3" width="74.109375" customWidth="1"/>
    <x:col min="4" max="4" width="53.6640625" customWidth="1"/>
    <x:col min="5" max="5" width="17.77734375" customWidth="1"/>
    <x:col min="6" max="6" width="55.5546875" customWidth="1"/>
  </x:cols>
  <x:sheetData>
    <x:row r="1" ht="18" customHeight="1">
      <x:c r="A1" s="8" t="inlineStr">
        <x:is>
          <x:t xml:space="preserve">THE STANDARD FOR "WINNING"</x:t>
        </x:is>
      </x:c>
    </x:row>
    <x:row r="2">
      <x:c r="A2" s="14" t="inlineStr">
        <x:is>
          <x:t xml:space="preserve">A million weak claims would be worse than ten thousand carefully structured ones. This tab is the scorecard — not claim count.</x:t>
        </x:is>
      </x:c>
    </x:row>
    <x:row r="4">
      <x:c r="A4" s="9" t="inlineStr">
        <x:is>
          <x:t xml:space="preserve">#</x:t>
        </x:is>
      </x:c>
      <x:c r="B4" s="9" t="inlineStr">
        <x:is>
          <x:t xml:space="preserve">Criterion</x:t>
        </x:is>
      </x:c>
      <x:c r="C4" s="9" t="inlineStr">
        <x:is>
          <x:t xml:space="preserve">Definition</x:t>
        </x:is>
      </x:c>
      <x:c r="D4" s="9" t="inlineStr">
        <x:is>
          <x:t xml:space="preserve">Where it lives in this workbook</x:t>
        </x:is>
      </x:c>
      <x:c r="E4" s="9" t="inlineStr">
        <x:is>
          <x:t xml:space="preserve">Status</x:t>
        </x:is>
      </x:c>
      <x:c r="F4" s="9" t="inlineStr">
        <x:is>
          <x:t xml:space="preserve">Evidence / Gap</x:t>
        </x:is>
      </x:c>
    </x:row>
    <x:row r="5">
      <x:c r="A5" s="12" t="n">
        <x:v>1</x:v>
      </x:c>
      <x:c r="B5" s="13" t="inlineStr">
        <x:is>
          <x:t xml:space="preserve">Breadth</x:t>
        </x:is>
      </x:c>
      <x:c r="C5" s="12" t="inlineStr">
        <x:is>
          <x:t xml:space="preserve">Nearly every recognized argument and objection is represented.</x:t>
        </x:is>
      </x:c>
      <x:c r="D5" s="12" t="inlineStr">
        <x:is>
          <x:t xml:space="preserve">02_Claim_Ledger + 03_Objection_Ledger + 10_Module_Backlog</x:t>
        </x:is>
      </x:c>
      <x:c r="E5" s="12" t="inlineStr">
        <x:is>
          <x:t xml:space="preserve">Partial</x:t>
        </x:is>
      </x:c>
      <x:c r="F5" s="12" t="inlineStr">
        <x:is>
          <x:t xml:space="preserve">26 domains mapped; 108 backlog topics not yet atomized</x:t>
        </x:is>
      </x:c>
    </x:row>
    <x:row r="6">
      <x:c r="A6" s="12" t="n">
        <x:v>2</x:v>
      </x:c>
      <x:c r="B6" s="13" t="inlineStr">
        <x:is>
          <x:t xml:space="preserve">Granularity</x:t>
        </x:is>
      </x:c>
      <x:c r="C6" s="12" t="inlineStr">
        <x:is>
          <x:t xml:space="preserve">Claims are split into the smallest useful propositions.</x:t>
        </x:is>
      </x:c>
      <x:c r="D6" s="12" t="inlineStr">
        <x:is>
          <x:t xml:space="preserve">02_Claim_Ledger</x:t>
        </x:is>
      </x:c>
      <x:c r="E6" s="12" t="inlineStr">
        <x:is>
          <x:t xml:space="preserve">Partial</x:t>
        </x:is>
      </x:c>
      <x:c r="F6" s="12" t="inlineStr">
        <x:is>
          <x:t xml:space="preserve">Many ledger rows are still summary-level</x:t>
        </x:is>
      </x:c>
    </x:row>
    <x:row r="7">
      <x:c r="A7" s="12" t="n">
        <x:v>3</x:v>
      </x:c>
      <x:c r="B7" s="13" t="inlineStr">
        <x:is>
          <x:t xml:space="preserve">Traceability</x:t>
        </x:is>
      </x:c>
      <x:c r="C7" s="12" t="inlineStr">
        <x:is>
          <x:t xml:space="preserve">Every conclusion has visible dependencies.</x:t>
        </x:is>
      </x:c>
      <x:c r="D7" s="12" t="inlineStr">
        <x:is>
          <x:t xml:space="preserve">07_Dependency_Graph</x:t>
        </x:is>
      </x:c>
      <x:c r="E7" s="12" t="inlineStr">
        <x:is>
          <x:t xml:space="preserve">Scaffolded</x:t>
        </x:is>
      </x:c>
      <x:c r="F7" s="12" t="inlineStr">
        <x:is>
          <x:t xml:space="preserve">8 seed edges only</x:t>
        </x:is>
      </x:c>
    </x:row>
    <x:row r="8">
      <x:c r="A8" s="12" t="n">
        <x:v>4</x:v>
      </x:c>
      <x:c r="B8" s="13" t="inlineStr">
        <x:is>
          <x:t xml:space="preserve">Formal validity</x:t>
        </x:is>
      </x:c>
      <x:c r="C8" s="12" t="inlineStr">
        <x:is>
          <x:t xml:space="preserve">Deductive steps are machine-checked.</x:t>
        </x:is>
      </x:c>
      <x:c r="D8" s="12" t="inlineStr">
        <x:is>
          <x:t xml:space="preserve">08_Lean_Layers + Lean Status column</x:t>
        </x:is>
      </x:c>
      <x:c r="E8" s="12" t="inlineStr">
        <x:is>
          <x:t xml:space="preserve">Not started</x:t>
        </x:is>
      </x:c>
      <x:c r="F8" s="12" t="inlineStr">
        <x:is>
          <x:t xml:space="preserve">No claim yet Proved in Lean 4</x:t>
        </x:is>
      </x:c>
    </x:row>
    <x:row r="9">
      <x:c r="A9" s="12" t="n">
        <x:v>5</x:v>
      </x:c>
      <x:c r="B9" s="13" t="inlineStr">
        <x:is>
          <x:t xml:space="preserve">Evidential honesty</x:t>
        </x:is>
      </x:c>
      <x:c r="C9" s="12" t="inlineStr">
        <x:is>
          <x:t xml:space="preserve">Empirical premises are not relabelled as theorems.</x:t>
        </x:is>
      </x:c>
      <x:c r="D9" s="12" t="inlineStr">
        <x:is>
          <x:t xml:space="preserve">05_Claim_Strength + Strength column</x:t>
        </x:is>
      </x:c>
      <x:c r="E9" s="12" t="inlineStr">
        <x:is>
          <x:t xml:space="preserve">Scaffolded</x:t>
        </x:is>
      </x:c>
      <x:c r="F9" s="12" t="inlineStr">
        <x:is>
          <x:t xml:space="preserve">Strength unclassified on all rows</x:t>
        </x:is>
      </x:c>
    </x:row>
    <x:row r="10">
      <x:c r="A10" s="12" t="n">
        <x:v>6</x:v>
      </x:c>
      <x:c r="B10" s="13" t="inlineStr">
        <x:is>
          <x:t xml:space="preserve">Steel-manning</x:t>
        </x:is>
      </x:c>
      <x:c r="C10" s="12" t="inlineStr">
        <x:is>
          <x:t xml:space="preserve">Opponents' best cases are included.</x:t>
        </x:is>
      </x:c>
      <x:c r="D10" s="12" t="inlineStr">
        <x:is>
          <x:t xml:space="preserve">03_Objection_Ledger (Strongest Formulation)</x:t>
        </x:is>
      </x:c>
      <x:c r="E10" s="12" t="inlineStr">
        <x:is>
          <x:t xml:space="preserve">Scaffolded</x:t>
        </x:is>
      </x:c>
      <x:c r="F10" s="12" t="inlineStr">
        <x:is>
          <x:t xml:space="preserve">50 objections listed, 0 steelmanned</x:t>
        </x:is>
      </x:c>
    </x:row>
    <x:row r="11">
      <x:c r="A11" s="12" t="n">
        <x:v>7</x:v>
      </x:c>
      <x:c r="B11" s="13" t="inlineStr">
        <x:is>
          <x:t xml:space="preserve">Tradition mapping</x:t>
        </x:is>
      </x:c>
      <x:c r="C11" s="12" t="inlineStr">
        <x:is>
          <x:t xml:space="preserve">Catholic, Orthodox, Protestant and other positions are distinguished.</x:t>
        </x:is>
      </x:c>
      <x:c r="D11" s="12" t="inlineStr">
        <x:is>
          <x:t xml:space="preserve">Tradition Status column</x:t>
        </x:is>
      </x:c>
      <x:c r="E11" s="12" t="inlineStr">
        <x:is>
          <x:t xml:space="preserve">Scaffolded</x:t>
        </x:is>
      </x:c>
      <x:c r="F11" s="12" t="inlineStr">
        <x:is>
          <x:t xml:space="preserve">Dropdown live, unpopulated</x:t>
        </x:is>
      </x:c>
    </x:row>
    <x:row r="12">
      <x:c r="A12" s="12" t="n">
        <x:v>8</x:v>
      </x:c>
      <x:c r="B12" s="13" t="inlineStr">
        <x:is>
          <x:t xml:space="preserve">Version control</x:t>
        </x:is>
      </x:c>
      <x:c r="C12" s="12" t="inlineStr">
        <x:is>
          <x:t xml:space="preserve">Every revision and defeated argument is retained.</x:t>
        </x:is>
      </x:c>
      <x:c r="D12" s="12" t="inlineStr">
        <x:is>
          <x:t xml:space="preserve">Not yet built</x:t>
        </x:is>
      </x:c>
      <x:c r="E12" s="12" t="inlineStr">
        <x:is>
          <x:t xml:space="preserve">Not started</x:t>
        </x:is>
      </x:c>
      <x:c r="F12" s="12" t="inlineStr">
        <x:is>
          <x:t xml:space="preserve">Needs a revision log tab or git-backed export</x:t>
        </x:is>
      </x:c>
    </x:row>
    <x:row r="13">
      <x:c r="A13" s="12" t="n">
        <x:v>9</x:v>
      </x:c>
      <x:c r="B13" s="13" t="inlineStr">
        <x:is>
          <x:t xml:space="preserve">Confidence calibration</x:t>
        </x:is>
      </x:c>
      <x:c r="C13" s="12" t="inlineStr">
        <x:is>
          <x:t xml:space="preserve">Certainty is not fabricated.</x:t>
        </x:is>
      </x:c>
      <x:c r="D13" s="12" t="inlineStr">
        <x:is>
          <x:t xml:space="preserve">Confidence column</x:t>
        </x:is>
      </x:c>
      <x:c r="E13" s="12" t="inlineStr">
        <x:is>
          <x:t xml:space="preserve">Scaffolded</x:t>
        </x:is>
      </x:c>
      <x:c r="F13" s="12" t="inlineStr">
        <x:is>
          <x:t xml:space="preserve">Dropdown live, unpopulated</x:t>
        </x:is>
      </x:c>
    </x:row>
    <x:row r="14">
      <x:c r="A14" s="12" t="n">
        <x:v>10</x:v>
      </x:c>
      <x:c r="B14" s="13" t="inlineStr">
        <x:is>
          <x:t xml:space="preserve">Interoperability</x:t>
        </x:is>
      </x:c>
      <x:c r="C14" s="12" t="inlineStr">
        <x:is>
          <x:t xml:space="preserve">Claims can be exported to prose, debates, books, databases, and Lean files.</x:t>
        </x:is>
      </x:c>
      <x:c r="D14" s="12" t="inlineStr">
        <x:is>
          <x:t xml:space="preserve">Flat table structure of 02 / 03</x:t>
        </x:is>
      </x:c>
      <x:c r="E14" s="12" t="inlineStr">
        <x:is>
          <x:t xml:space="preserve">Partial</x:t>
        </x:is>
      </x:c>
      <x:c r="F14" s="12" t="inlineStr">
        <x:is>
          <x:t xml:space="preserve">Table format is export-ready; no Lean export yet</x:t>
        </x:is>
      </x:c>
    </x:row>
    <x:row r="15">
      <x:c r="A15" s="12" t="n">
        <x:v>11</x:v>
      </x:c>
      <x:c r="B15" s="13" t="inlineStr">
        <x:is>
          <x:t xml:space="preserve">Negative results</x:t>
        </x:is>
      </x:c>
      <x:c r="C15" s="12" t="inlineStr">
        <x:is>
          <x:t xml:space="preserve">Failed proofs and inconsistent premise sets are recorded.</x:t>
        </x:is>
      </x:c>
      <x:c r="D15" s="12" t="inlineStr">
        <x:is>
          <x:t xml:space="preserve">Lean Status: Proof failed / Countermodel found</x:t>
        </x:is>
      </x:c>
      <x:c r="E15" s="12" t="inlineStr">
        <x:is>
          <x:t xml:space="preserve">Scaffolded</x:t>
        </x:is>
      </x:c>
      <x:c r="F15" s="12" t="inlineStr">
        <x:is>
          <x:t xml:space="preserve">Values exist in dropdown, none used</x:t>
        </x:is>
      </x:c>
    </x:row>
    <x:row r="16">
      <x:c r="A16" s="12" t="n">
        <x:v>12</x:v>
      </x:c>
      <x:c r="B16" s="13" t="inlineStr">
        <x:is>
          <x:t xml:space="preserve">Countermodel search</x:t>
        </x:is>
      </x:c>
      <x:c r="C16" s="12" t="inlineStr">
        <x:is>
          <x:t xml:space="preserve">Where a conclusion does not follow, the system shows why.</x:t>
        </x:is>
      </x:c>
      <x:c r="D16" s="12" t="inlineStr">
        <x:is>
          <x:t xml:space="preserve">Not yet built</x:t>
        </x:is>
      </x:c>
      <x:c r="E16" s="12" t="inlineStr">
        <x:is>
          <x:t xml:space="preserve">Not started</x:t>
        </x:is>
      </x:c>
      <x:c r="F16" s="12" t="inlineStr">
        <x:is>
          <x:t xml:space="preserve">Requires Lean countermodel workflow</x:t>
        </x:is>
      </x:c>
    </x:row>
    <x:row r="17">
      <x:c r="A17" s="12" t="n">
        <x:v>13</x:v>
      </x:c>
      <x:c r="B17" s="13" t="inlineStr">
        <x:is>
          <x:t xml:space="preserve">Minimal-premise extraction</x:t>
        </x:is>
      </x:c>
      <x:c r="C17" s="12" t="inlineStr">
        <x:is>
          <x:t xml:space="preserve">Determine the weakest premise set sufficient for each conclusion.</x:t>
        </x:is>
      </x:c>
      <x:c r="D17" s="12" t="inlineStr">
        <x:is>
          <x:t xml:space="preserve">Premises column</x:t>
        </x:is>
      </x:c>
      <x:c r="E17" s="12" t="inlineStr">
        <x:is>
          <x:t xml:space="preserve">Not started</x:t>
        </x:is>
      </x:c>
      <x:c r="F17" s="12" t="inlineStr">
        <x:is>
          <x:t xml:space="preserve">No premises entered</x:t>
        </x:is>
      </x:c>
    </x:row>
    <x:row r="18">
      <x:c r="A18" s="12" t="n">
        <x:v>14</x:v>
      </x:c>
      <x:c r="B18" s="13" t="inlineStr">
        <x:is>
          <x:t xml:space="preserve">Contradiction detection</x:t>
        </x:is>
      </x:c>
      <x:c r="C18" s="12" t="inlineStr">
        <x:is>
          <x:t xml:space="preserve">Identify where two apologetic claims cannot both be maintained.</x:t>
        </x:is>
      </x:c>
      <x:c r="D18" s="12" t="inlineStr">
        <x:is>
          <x:t xml:space="preserve">Not yet built</x:t>
        </x:is>
      </x:c>
      <x:c r="E18" s="12" t="inlineStr">
        <x:is>
          <x:t xml:space="preserve">Not started</x:t>
        </x:is>
      </x:c>
      <x:c r="F18" s="12" t="inlineStr">
        <x:is>
          <x:t xml:space="preserve">Needs a conflict-pairs tab</x:t>
        </x:is>
      </x:c>
    </x:row>
    <x:row r="19">
      <x:c r="A19" s="12" t="n">
        <x:v>15</x:v>
      </x:c>
      <x:c r="B19" s="13" t="inlineStr">
        <x:is>
          <x:t xml:space="preserve">Argument comparison</x:t>
        </x:is>
      </x:c>
      <x:c r="C19" s="12" t="inlineStr">
        <x:is>
          <x:t xml:space="preserve">Rank arguments by validity, premise defensibility, scope, and dialectical usefulness.</x:t>
        </x:is>
      </x:c>
      <x:c r="D19" s="12" t="inlineStr">
        <x:is>
          <x:t xml:space="preserve">Not yet built</x:t>
        </x:is>
      </x:c>
      <x:c r="E19" s="12" t="inlineStr">
        <x:is>
          <x:t xml:space="preserve">Not started</x:t>
        </x:is>
      </x:c>
      <x:c r="F19" s="12" t="inlineStr">
        <x:is>
          <x:t xml:space="preserve">Needs a scoring tab drawing on Strength + Confidence</x:t>
        </x:is>
      </x:c>
    </x:row>
  </x:sheetData>
  <x:conditionalFormatting sqref="E5:E19">
    <x:cfRule type="containsText" dxfId="0" priority="1" operator="containsText" text="Not started">
      <x:formula>NOT(ISERROR(SEARCH("Not started",E5)))</x:formula>
    </x:cfRule>
  </x:conditionalFormatting>
  <x:dataValidations count="1">
    <x:dataValidation type="list" allowBlank="1" showDropDown="0" showInputMessage="1" showErrorMessage="1" sqref="E5:E19">
      <x:formula1>"Not started,Scaffolded,Partial,Met"</x:formula1>
    </x:dataValidation>
  </x:dataValidations>
  <x:pageMargins left="0.7" right="0.7" top="0.75" bottom="0.75" header="0.3" footer="0.3"/>
</x:worksheet>
</file>

<file path=xl/worksheets/sheet13.xml><?xml version="1.0" encoding="utf-8"?>
<x:worksheet xmlns:x="http://schemas.openxmlformats.org/spreadsheetml/2006/main">
  <x:sheetPr>
    <x:tabColor rgb="FFA9D08E"/>
  </x:sheetPr>
  <x:sheetFormatPr baseColWidth="8" defaultRowHeight="14.399999618530273"/>
  <x:cols>
    <x:col min="1" max="1" width="16.6640625" customWidth="1"/>
    <x:col min="2" max="2" width="7" customWidth="1"/>
    <x:col min="3" max="3" width="11.109375" customWidth="1"/>
    <x:col min="4" max="4" width="37" customWidth="1"/>
    <x:col min="5" max="5" width="70.33203125" customWidth="1"/>
    <x:col min="6" max="6" width="17.77734375" customWidth="1"/>
    <x:col min="7" max="7" width="27.77734375" customWidth="1"/>
    <x:col min="8" max="8" width="10.33203125" customWidth="1"/>
  </x:cols>
  <x:sheetData>
    <x:row r="1" ht="18" customHeight="1">
      <x:c r="A1" s="8" t="inlineStr">
        <x:is>
          <x:t xml:space="preserve">MODULE BACKLOG — TOPICS AWAITING ATOMIC CLAIMS</x:t>
        </x:is>
      </x:c>
    </x:row>
    <x:row r="2">
      <x:c r="A2" s="14" t="inlineStr">
        <x:is>
          <x:t xml:space="preserve">These are the sub-families the source doc names but does not yet break into propositions. Each one should expand into multiple rows in the Claim Ledger.</x:t>
        </x:is>
      </x:c>
    </x:row>
    <x:row r="4">
      <x:c r="A4" s="9" t="inlineStr">
        <x:is>
          <x:t xml:space="preserve">Backlog ID</x:t>
        </x:is>
      </x:c>
      <x:c r="B4" s="9" t="inlineStr">
        <x:is>
          <x:t xml:space="preserve">Sec</x:t>
        </x:is>
      </x:c>
      <x:c r="C4" s="9" t="inlineStr">
        <x:is>
          <x:t xml:space="preserve">Domain</x:t>
        </x:is>
      </x:c>
      <x:c r="D4" s="9" t="inlineStr">
        <x:is>
          <x:t xml:space="preserve">Domain Title</x:t>
        </x:is>
      </x:c>
      <x:c r="E4" s="9" t="inlineStr">
        <x:is>
          <x:t xml:space="preserve">Topic / Module</x:t>
        </x:is>
      </x:c>
      <x:c r="F4" s="9" t="inlineStr">
        <x:is>
          <x:t xml:space="preserve">Status</x:t>
        </x:is>
      </x:c>
      <x:c r="G4" s="9" t="inlineStr">
        <x:is>
          <x:t xml:space="preserve">Claim IDs Produced</x:t>
        </x:is>
      </x:c>
      <x:c r="H4" s="9" t="inlineStr">
        <x:is>
          <x:t xml:space="preserve">Src Row</x:t>
        </x:is>
      </x:c>
    </x:row>
    <x:row r="5">
      <x:c r="A5" s="12" t="inlineStr">
        <x:is>
          <x:t xml:space="preserve">BKL-0010</x:t>
        </x:is>
      </x:c>
      <x:c r="B5" s="12" t="inlineStr">
        <x:is>
          <x:t xml:space="preserve">I</x:t>
        </x:is>
      </x:c>
      <x:c r="C5" s="12" t="inlineStr">
        <x:is>
          <x:t xml:space="preserve">LOG</x:t>
        </x:is>
      </x:c>
      <x:c r="D5" s="12" t="inlineStr">
        <x:is>
          <x:t xml:space="preserve">Logic, reason, and worldview foundations</x:t>
        </x:is>
      </x:c>
      <x:c r="E5" s="12" t="inlineStr">
        <x:is>
          <x:t xml:space="preserve">Truth exists</x:t>
        </x:is>
      </x:c>
      <x:c r="F5" s="12" t="inlineStr">
        <x:is>
          <x:t xml:space="preserve">Not started</x:t>
        </x:is>
      </x:c>
      <x:c r="G5" s="12" t="n"/>
      <x:c r="H5" s="12" t="n">
        <x:v>50</x:v>
      </x:c>
    </x:row>
    <x:row r="6">
      <x:c r="A6" s="12" t="inlineStr">
        <x:is>
          <x:t xml:space="preserve">BKL-0020</x:t>
        </x:is>
      </x:c>
      <x:c r="B6" s="12" t="inlineStr">
        <x:is>
          <x:t xml:space="preserve">I</x:t>
        </x:is>
      </x:c>
      <x:c r="C6" s="12" t="inlineStr">
        <x:is>
          <x:t xml:space="preserve">LOG</x:t>
        </x:is>
      </x:c>
      <x:c r="D6" s="12" t="inlineStr">
        <x:is>
          <x:t xml:space="preserve">Logic, reason, and worldview foundations</x:t>
        </x:is>
      </x:c>
      <x:c r="E6" s="12" t="inlineStr">
        <x:is>
          <x:t xml:space="preserve">Testimony can provide knowledge</x:t>
        </x:is>
      </x:c>
      <x:c r="F6" s="12" t="inlineStr">
        <x:is>
          <x:t xml:space="preserve">Not started</x:t>
        </x:is>
      </x:c>
      <x:c r="G6" s="12" t="n"/>
      <x:c r="H6" s="12" t="n">
        <x:v>61</x:v>
      </x:c>
    </x:row>
    <x:row r="7">
      <x:c r="A7" s="12" t="inlineStr">
        <x:is>
          <x:t xml:space="preserve">BKL-0030</x:t>
        </x:is>
      </x:c>
      <x:c r="B7" s="12" t="inlineStr">
        <x:is>
          <x:t xml:space="preserve">II</x:t>
        </x:is>
      </x:c>
      <x:c r="C7" s="12" t="inlineStr">
        <x:is>
          <x:t xml:space="preserve">MET</x:t>
        </x:is>
      </x:c>
      <x:c r="D7" s="12" t="inlineStr">
        <x:is>
          <x:t xml:space="preserve">Metaphysics of existence</x:t>
        </x:is>
      </x:c>
      <x:c r="E7" s="12" t="inlineStr">
        <x:is>
          <x:t xml:space="preserve">Something exists</x:t>
        </x:is>
      </x:c>
      <x:c r="F7" s="12" t="inlineStr">
        <x:is>
          <x:t xml:space="preserve">Not started</x:t>
        </x:is>
      </x:c>
      <x:c r="G7" s="12" t="n"/>
      <x:c r="H7" s="12" t="n">
        <x:v>78</x:v>
      </x:c>
    </x:row>
    <x:row r="8">
      <x:c r="A8" s="12" t="inlineStr">
        <x:is>
          <x:t xml:space="preserve">BKL-0040</x:t>
        </x:is>
      </x:c>
      <x:c r="B8" s="12" t="inlineStr">
        <x:is>
          <x:t xml:space="preserve">II</x:t>
        </x:is>
      </x:c>
      <x:c r="C8" s="12" t="inlineStr">
        <x:is>
          <x:t xml:space="preserve">MET</x:t>
        </x:is>
      </x:c>
      <x:c r="D8" s="12" t="inlineStr">
        <x:is>
          <x:t xml:space="preserve">Metaphysics of existence</x:t>
        </x:is>
      </x:c>
      <x:c r="E8" s="12" t="inlineStr">
        <x:is>
          <x:t xml:space="preserve">Nothing cannot produce something</x:t>
        </x:is>
      </x:c>
      <x:c r="F8" s="12" t="inlineStr">
        <x:is>
          <x:t xml:space="preserve">Not started</x:t>
        </x:is>
      </x:c>
      <x:c r="G8" s="12" t="n"/>
      <x:c r="H8" s="12" t="n">
        <x:v>79</x:v>
      </x:c>
    </x:row>
    <x:row r="9">
      <x:c r="A9" s="12" t="inlineStr">
        <x:is>
          <x:t xml:space="preserve">BKL-0050</x:t>
        </x:is>
      </x:c>
      <x:c r="B9" s="12" t="inlineStr">
        <x:is>
          <x:t xml:space="preserve">II</x:t>
        </x:is>
      </x:c>
      <x:c r="C9" s="12" t="inlineStr">
        <x:is>
          <x:t xml:space="preserve">MET</x:t>
        </x:is>
      </x:c>
      <x:c r="D9" s="12" t="inlineStr">
        <x:is>
          <x:t xml:space="preserve">Metaphysics of existence</x:t>
        </x:is>
      </x:c>
      <x:c r="E9" s="12" t="inlineStr">
        <x:is>
          <x:t xml:space="preserve">Kalam cosmological arguments</x:t>
        </x:is>
      </x:c>
      <x:c r="F9" s="12" t="inlineStr">
        <x:is>
          <x:t xml:space="preserve">Not started</x:t>
        </x:is>
      </x:c>
      <x:c r="G9" s="12" t="n"/>
      <x:c r="H9" s="12" t="n">
        <x:v>97</x:v>
      </x:c>
    </x:row>
    <x:row r="10">
      <x:c r="A10" s="12" t="inlineStr">
        <x:is>
          <x:t xml:space="preserve">BKL-0060</x:t>
        </x:is>
      </x:c>
      <x:c r="B10" s="12" t="inlineStr">
        <x:is>
          <x:t xml:space="preserve">II</x:t>
        </x:is>
      </x:c>
      <x:c r="C10" s="12" t="inlineStr">
        <x:is>
          <x:t xml:space="preserve">MET</x:t>
        </x:is>
      </x:c>
      <x:c r="D10" s="12" t="inlineStr">
        <x:is>
          <x:t xml:space="preserve">Metaphysics of existence</x:t>
        </x:is>
      </x:c>
      <x:c r="E10" s="12" t="inlineStr">
        <x:is>
          <x:t xml:space="preserve">Leibnizian contingency arguments</x:t>
        </x:is>
      </x:c>
      <x:c r="F10" s="12" t="inlineStr">
        <x:is>
          <x:t xml:space="preserve">Not started</x:t>
        </x:is>
      </x:c>
      <x:c r="G10" s="12" t="n"/>
      <x:c r="H10" s="12" t="n">
        <x:v>98</x:v>
      </x:c>
    </x:row>
    <x:row r="11">
      <x:c r="A11" s="12" t="inlineStr">
        <x:is>
          <x:t xml:space="preserve">BKL-0070</x:t>
        </x:is>
      </x:c>
      <x:c r="B11" s="12" t="inlineStr">
        <x:is>
          <x:t xml:space="preserve">II</x:t>
        </x:is>
      </x:c>
      <x:c r="C11" s="12" t="inlineStr">
        <x:is>
          <x:t xml:space="preserve">MET</x:t>
        </x:is>
      </x:c>
      <x:c r="D11" s="12" t="inlineStr">
        <x:is>
          <x:t xml:space="preserve">Metaphysics of existence</x:t>
        </x:is>
      </x:c>
      <x:c r="E11" s="12" t="inlineStr">
        <x:is>
          <x:t xml:space="preserve">Thomistic act–potency arguments</x:t>
        </x:is>
      </x:c>
      <x:c r="F11" s="12" t="inlineStr">
        <x:is>
          <x:t xml:space="preserve">Not started</x:t>
        </x:is>
      </x:c>
      <x:c r="G11" s="12" t="n"/>
      <x:c r="H11" s="12" t="n">
        <x:v>99</x:v>
      </x:c>
    </x:row>
    <x:row r="12">
      <x:c r="A12" s="12" t="inlineStr">
        <x:is>
          <x:t xml:space="preserve">BKL-0080</x:t>
        </x:is>
      </x:c>
      <x:c r="B12" s="12" t="inlineStr">
        <x:is>
          <x:t xml:space="preserve">II</x:t>
        </x:is>
      </x:c>
      <x:c r="C12" s="12" t="inlineStr">
        <x:is>
          <x:t xml:space="preserve">MET</x:t>
        </x:is>
      </x:c>
      <x:c r="D12" s="12" t="inlineStr">
        <x:is>
          <x:t xml:space="preserve">Metaphysics of existence</x:t>
        </x:is>
      </x:c>
      <x:c r="E12" s="12" t="inlineStr">
        <x:is>
          <x:t xml:space="preserve">Arguments from composition</x:t>
        </x:is>
      </x:c>
      <x:c r="F12" s="12" t="inlineStr">
        <x:is>
          <x:t xml:space="preserve">Not started</x:t>
        </x:is>
      </x:c>
      <x:c r="G12" s="12" t="n"/>
      <x:c r="H12" s="12" t="n">
        <x:v>100</x:v>
      </x:c>
    </x:row>
    <x:row r="13">
      <x:c r="A13" s="12" t="inlineStr">
        <x:is>
          <x:t xml:space="preserve">BKL-0090</x:t>
        </x:is>
      </x:c>
      <x:c r="B13" s="12" t="inlineStr">
        <x:is>
          <x:t xml:space="preserve">II</x:t>
        </x:is>
      </x:c>
      <x:c r="C13" s="12" t="inlineStr">
        <x:is>
          <x:t xml:space="preserve">MET</x:t>
        </x:is>
      </x:c>
      <x:c r="D13" s="12" t="inlineStr">
        <x:is>
          <x:t xml:space="preserve">Metaphysics of existence</x:t>
        </x:is>
      </x:c>
      <x:c r="E13" s="12" t="inlineStr">
        <x:is>
          <x:t xml:space="preserve">Arguments from sustaining causation</x:t>
        </x:is>
      </x:c>
      <x:c r="F13" s="12" t="inlineStr">
        <x:is>
          <x:t xml:space="preserve">Not started</x:t>
        </x:is>
      </x:c>
      <x:c r="G13" s="12" t="n"/>
      <x:c r="H13" s="12" t="n">
        <x:v>101</x:v>
      </x:c>
    </x:row>
    <x:row r="14">
      <x:c r="A14" s="12" t="inlineStr">
        <x:is>
          <x:t xml:space="preserve">BKL-0100</x:t>
        </x:is>
      </x:c>
      <x:c r="B14" s="12" t="inlineStr">
        <x:is>
          <x:t xml:space="preserve">II</x:t>
        </x:is>
      </x:c>
      <x:c r="C14" s="12" t="inlineStr">
        <x:is>
          <x:t xml:space="preserve">MET</x:t>
        </x:is>
      </x:c>
      <x:c r="D14" s="12" t="inlineStr">
        <x:is>
          <x:t xml:space="preserve">Metaphysics of existence</x:t>
        </x:is>
      </x:c>
      <x:c r="E14" s="12" t="inlineStr">
        <x:is>
          <x:t xml:space="preserve">Arguments from sufficient reason</x:t>
        </x:is>
      </x:c>
      <x:c r="F14" s="12" t="inlineStr">
        <x:is>
          <x:t xml:space="preserve">Not started</x:t>
        </x:is>
      </x:c>
      <x:c r="G14" s="12" t="n"/>
      <x:c r="H14" s="12" t="n">
        <x:v>102</x:v>
      </x:c>
    </x:row>
    <x:row r="15">
      <x:c r="A15" s="12" t="inlineStr">
        <x:is>
          <x:t xml:space="preserve">BKL-0110</x:t>
        </x:is>
      </x:c>
      <x:c r="B15" s="12" t="inlineStr">
        <x:is>
          <x:t xml:space="preserve">V</x:t>
        </x:is>
      </x:c>
      <x:c r="C15" s="12" t="inlineStr">
        <x:is>
          <x:t xml:space="preserve">BIO</x:t>
        </x:is>
      </x:c>
      <x:c r="D15" s="12" t="inlineStr">
        <x:is>
          <x:t xml:space="preserve">Life, biological information, and teleology</x:t>
        </x:is>
      </x:c>
      <x:c r="E15" s="12" t="inlineStr">
        <x:is>
          <x:t xml:space="preserve">Origin-of-life claims</x:t>
        </x:is>
      </x:c>
      <x:c r="F15" s="12" t="inlineStr">
        <x:is>
          <x:t xml:space="preserve">Not started</x:t>
        </x:is>
      </x:c>
      <x:c r="G15" s="12" t="n"/>
      <x:c r="H15" s="12" t="n">
        <x:v>153</x:v>
      </x:c>
    </x:row>
    <x:row r="16">
      <x:c r="A16" s="12" t="inlineStr">
        <x:is>
          <x:t xml:space="preserve">BKL-0120</x:t>
        </x:is>
      </x:c>
      <x:c r="B16" s="12" t="inlineStr">
        <x:is>
          <x:t xml:space="preserve">V</x:t>
        </x:is>
      </x:c>
      <x:c r="C16" s="12" t="inlineStr">
        <x:is>
          <x:t xml:space="preserve">BIO</x:t>
        </x:is>
      </x:c>
      <x:c r="D16" s="12" t="inlineStr">
        <x:is>
          <x:t xml:space="preserve">Life, biological information, and teleology</x:t>
        </x:is>
      </x:c>
      <x:c r="E16" s="12" t="inlineStr">
        <x:is>
          <x:t xml:space="preserve">Evolutionary claims</x:t>
        </x:is>
      </x:c>
      <x:c r="F16" s="12" t="inlineStr">
        <x:is>
          <x:t xml:space="preserve">Not started</x:t>
        </x:is>
      </x:c>
      <x:c r="G16" s="12" t="n"/>
      <x:c r="H16" s="12" t="n">
        <x:v>154</x:v>
      </x:c>
    </x:row>
    <x:row r="17">
      <x:c r="A17" s="12" t="inlineStr">
        <x:is>
          <x:t xml:space="preserve">BKL-0130</x:t>
        </x:is>
      </x:c>
      <x:c r="B17" s="12" t="inlineStr">
        <x:is>
          <x:t xml:space="preserve">V</x:t>
        </x:is>
      </x:c>
      <x:c r="C17" s="12" t="inlineStr">
        <x:is>
          <x:t xml:space="preserve">BIO</x:t>
        </x:is>
      </x:c>
      <x:c r="D17" s="12" t="inlineStr">
        <x:is>
          <x:t xml:space="preserve">Life, biological information, and teleology</x:t>
        </x:is>
      </x:c>
      <x:c r="E17" s="12" t="inlineStr">
        <x:is>
          <x:t xml:space="preserve">Information-theoretic claims</x:t>
        </x:is>
      </x:c>
      <x:c r="F17" s="12" t="inlineStr">
        <x:is>
          <x:t xml:space="preserve">Not started</x:t>
        </x:is>
      </x:c>
      <x:c r="G17" s="12" t="n"/>
      <x:c r="H17" s="12" t="n">
        <x:v>155</x:v>
      </x:c>
    </x:row>
    <x:row r="18">
      <x:c r="A18" s="12" t="inlineStr">
        <x:is>
          <x:t xml:space="preserve">BKL-0140</x:t>
        </x:is>
      </x:c>
      <x:c r="B18" s="12" t="inlineStr">
        <x:is>
          <x:t xml:space="preserve">V</x:t>
        </x:is>
      </x:c>
      <x:c r="C18" s="12" t="inlineStr">
        <x:is>
          <x:t xml:space="preserve">BIO</x:t>
        </x:is>
      </x:c>
      <x:c r="D18" s="12" t="inlineStr">
        <x:is>
          <x:t xml:space="preserve">Life, biological information, and teleology</x:t>
        </x:is>
      </x:c>
      <x:c r="E18" s="12" t="inlineStr">
        <x:is>
          <x:t xml:space="preserve">Teleology claims</x:t>
        </x:is>
      </x:c>
      <x:c r="F18" s="12" t="inlineStr">
        <x:is>
          <x:t xml:space="preserve">Not started</x:t>
        </x:is>
      </x:c>
      <x:c r="G18" s="12" t="n"/>
      <x:c r="H18" s="12" t="n">
        <x:v>156</x:v>
      </x:c>
    </x:row>
    <x:row r="19">
      <x:c r="A19" s="12" t="inlineStr">
        <x:is>
          <x:t xml:space="preserve">BKL-0150</x:t>
        </x:is>
      </x:c>
      <x:c r="B19" s="12" t="inlineStr">
        <x:is>
          <x:t xml:space="preserve">V</x:t>
        </x:is>
      </x:c>
      <x:c r="C19" s="12" t="inlineStr">
        <x:is>
          <x:t xml:space="preserve">BIO</x:t>
        </x:is>
      </x:c>
      <x:c r="D19" s="12" t="inlineStr">
        <x:is>
          <x:t xml:space="preserve">Life, biological information, and teleology</x:t>
        </x:is>
      </x:c>
      <x:c r="E19" s="12" t="inlineStr">
        <x:is>
          <x:t xml:space="preserve">Philosophy-of-biology claims</x:t>
        </x:is>
      </x:c>
      <x:c r="F19" s="12" t="inlineStr">
        <x:is>
          <x:t xml:space="preserve">Not started</x:t>
        </x:is>
      </x:c>
      <x:c r="G19" s="12" t="n"/>
      <x:c r="H19" s="12" t="n">
        <x:v>157</x:v>
      </x:c>
    </x:row>
    <x:row r="20">
      <x:c r="A20" s="12" t="inlineStr">
        <x:is>
          <x:t xml:space="preserve">BKL-0160</x:t>
        </x:is>
      </x:c>
      <x:c r="B20" s="12" t="inlineStr">
        <x:is>
          <x:t xml:space="preserve">VI</x:t>
        </x:is>
      </x:c>
      <x:c r="C20" s="12" t="inlineStr">
        <x:is>
          <x:t xml:space="preserve">MND</x:t>
        </x:is>
      </x:c>
      <x:c r="D20" s="12" t="inlineStr">
        <x:is>
          <x:t xml:space="preserve">Consciousness, mind, and rationality</x:t>
        </x:is>
      </x:c>
      <x:c r="E20" s="12" t="inlineStr">
        <x:is>
          <x:t xml:space="preserve">First-person conscious experience exists</x:t>
        </x:is>
      </x:c>
      <x:c r="F20" s="12" t="inlineStr">
        <x:is>
          <x:t xml:space="preserve">Not started</x:t>
        </x:is>
      </x:c>
      <x:c r="G20" s="12" t="n"/>
      <x:c r="H20" s="12" t="n">
        <x:v>179</x:v>
      </x:c>
    </x:row>
    <x:row r="21">
      <x:c r="A21" s="12" t="inlineStr">
        <x:is>
          <x:t xml:space="preserve">BKL-0170</x:t>
        </x:is>
      </x:c>
      <x:c r="B21" s="12" t="inlineStr">
        <x:is>
          <x:t xml:space="preserve">XI</x:t>
        </x:is>
      </x:c>
      <x:c r="C21" s="12" t="inlineStr">
        <x:is>
          <x:t xml:space="preserve">HJE</x:t>
        </x:is>
      </x:c>
      <x:c r="D21" s="12" t="inlineStr">
        <x:is>
          <x:t xml:space="preserve">The historical Jesus</x:t>
        </x:is>
      </x:c>
      <x:c r="E21" s="12" t="inlineStr">
        <x:is>
          <x:t xml:space="preserve">Jesus’ existence</x:t>
        </x:is>
      </x:c>
      <x:c r="F21" s="12" t="inlineStr">
        <x:is>
          <x:t xml:space="preserve">Not started</x:t>
        </x:is>
      </x:c>
      <x:c r="G21" s="12" t="n"/>
      <x:c r="H21" s="12" t="n">
        <x:v>286</x:v>
      </x:c>
    </x:row>
    <x:row r="22">
      <x:c r="A22" s="12" t="inlineStr">
        <x:is>
          <x:t xml:space="preserve">BKL-0180</x:t>
        </x:is>
      </x:c>
      <x:c r="B22" s="12" t="inlineStr">
        <x:is>
          <x:t xml:space="preserve">XI</x:t>
        </x:is>
      </x:c>
      <x:c r="C22" s="12" t="inlineStr">
        <x:is>
          <x:t xml:space="preserve">HJE</x:t>
        </x:is>
      </x:c>
      <x:c r="D22" s="12" t="inlineStr">
        <x:is>
          <x:t xml:space="preserve">The historical Jesus</x:t>
        </x:is>
      </x:c>
      <x:c r="E22" s="12" t="inlineStr">
        <x:is>
          <x:t xml:space="preserve">Chronology</x:t>
        </x:is>
      </x:c>
      <x:c r="F22" s="12" t="inlineStr">
        <x:is>
          <x:t xml:space="preserve">Not started</x:t>
        </x:is>
      </x:c>
      <x:c r="G22" s="12" t="n"/>
      <x:c r="H22" s="12" t="n">
        <x:v>287</x:v>
      </x:c>
    </x:row>
    <x:row r="23">
      <x:c r="A23" s="12" t="inlineStr">
        <x:is>
          <x:t xml:space="preserve">BKL-0190</x:t>
        </x:is>
      </x:c>
      <x:c r="B23" s="12" t="inlineStr">
        <x:is>
          <x:t xml:space="preserve">XI</x:t>
        </x:is>
      </x:c>
      <x:c r="C23" s="12" t="inlineStr">
        <x:is>
          <x:t xml:space="preserve">HJE</x:t>
        </x:is>
      </x:c>
      <x:c r="D23" s="12" t="inlineStr">
        <x:is>
          <x:t xml:space="preserve">The historical Jesus</x:t>
        </x:is>
      </x:c>
      <x:c r="E23" s="12" t="inlineStr">
        <x:is>
          <x:t xml:space="preserve">Geographic setting</x:t>
        </x:is>
      </x:c>
      <x:c r="F23" s="12" t="inlineStr">
        <x:is>
          <x:t xml:space="preserve">Not started</x:t>
        </x:is>
      </x:c>
      <x:c r="G23" s="12" t="n"/>
      <x:c r="H23" s="12" t="n">
        <x:v>288</x:v>
      </x:c>
    </x:row>
    <x:row r="24">
      <x:c r="A24" s="12" t="inlineStr">
        <x:is>
          <x:t xml:space="preserve">BKL-0200</x:t>
        </x:is>
      </x:c>
      <x:c r="B24" s="12" t="inlineStr">
        <x:is>
          <x:t xml:space="preserve">XI</x:t>
        </x:is>
      </x:c>
      <x:c r="C24" s="12" t="inlineStr">
        <x:is>
          <x:t xml:space="preserve">HJE</x:t>
        </x:is>
      </x:c>
      <x:c r="D24" s="12" t="inlineStr">
        <x:is>
          <x:t xml:space="preserve">The historical Jesus</x:t>
        </x:is>
      </x:c>
      <x:c r="E24" s="12" t="inlineStr">
        <x:is>
          <x:t xml:space="preserve">Jewish context</x:t>
        </x:is>
      </x:c>
      <x:c r="F24" s="12" t="inlineStr">
        <x:is>
          <x:t xml:space="preserve">Not started</x:t>
        </x:is>
      </x:c>
      <x:c r="G24" s="12" t="n"/>
      <x:c r="H24" s="12" t="n">
        <x:v>289</x:v>
      </x:c>
    </x:row>
    <x:row r="25">
      <x:c r="A25" s="12" t="inlineStr">
        <x:is>
          <x:t xml:space="preserve">BKL-0210</x:t>
        </x:is>
      </x:c>
      <x:c r="B25" s="12" t="inlineStr">
        <x:is>
          <x:t xml:space="preserve">XI</x:t>
        </x:is>
      </x:c>
      <x:c r="C25" s="12" t="inlineStr">
        <x:is>
          <x:t xml:space="preserve">HJE</x:t>
        </x:is>
      </x:c>
      <x:c r="D25" s="12" t="inlineStr">
        <x:is>
          <x:t xml:space="preserve">The historical Jesus</x:t>
        </x:is>
      </x:c>
      <x:c r="E25" s="12" t="inlineStr">
        <x:is>
          <x:t xml:space="preserve">Baptism by John</x:t>
        </x:is>
      </x:c>
      <x:c r="F25" s="12" t="inlineStr">
        <x:is>
          <x:t xml:space="preserve">Not started</x:t>
        </x:is>
      </x:c>
      <x:c r="G25" s="12" t="n"/>
      <x:c r="H25" s="12" t="n">
        <x:v>290</x:v>
      </x:c>
    </x:row>
    <x:row r="26">
      <x:c r="A26" s="12" t="inlineStr">
        <x:is>
          <x:t xml:space="preserve">BKL-0220</x:t>
        </x:is>
      </x:c>
      <x:c r="B26" s="12" t="inlineStr">
        <x:is>
          <x:t xml:space="preserve">XI</x:t>
        </x:is>
      </x:c>
      <x:c r="C26" s="12" t="inlineStr">
        <x:is>
          <x:t xml:space="preserve">HJE</x:t>
        </x:is>
      </x:c>
      <x:c r="D26" s="12" t="inlineStr">
        <x:is>
          <x:t xml:space="preserve">The historical Jesus</x:t>
        </x:is>
      </x:c>
      <x:c r="E26" s="12" t="inlineStr">
        <x:is>
          <x:t xml:space="preserve">Public ministry</x:t>
        </x:is>
      </x:c>
      <x:c r="F26" s="12" t="inlineStr">
        <x:is>
          <x:t xml:space="preserve">Not started</x:t>
        </x:is>
      </x:c>
      <x:c r="G26" s="12" t="n"/>
      <x:c r="H26" s="12" t="n">
        <x:v>291</x:v>
      </x:c>
    </x:row>
    <x:row r="27">
      <x:c r="A27" s="12" t="inlineStr">
        <x:is>
          <x:t xml:space="preserve">BKL-0230</x:t>
        </x:is>
      </x:c>
      <x:c r="B27" s="12" t="inlineStr">
        <x:is>
          <x:t xml:space="preserve">XI</x:t>
        </x:is>
      </x:c>
      <x:c r="C27" s="12" t="inlineStr">
        <x:is>
          <x:t xml:space="preserve">HJE</x:t>
        </x:is>
      </x:c>
      <x:c r="D27" s="12" t="inlineStr">
        <x:is>
          <x:t xml:space="preserve">The historical Jesus</x:t>
        </x:is>
      </x:c>
      <x:c r="E27" s="12" t="inlineStr">
        <x:is>
          <x:t xml:space="preserve">Use of parables</x:t>
        </x:is>
      </x:c>
      <x:c r="F27" s="12" t="inlineStr">
        <x:is>
          <x:t xml:space="preserve">Not started</x:t>
        </x:is>
      </x:c>
      <x:c r="G27" s="12" t="n"/>
      <x:c r="H27" s="12" t="n">
        <x:v>293</x:v>
      </x:c>
    </x:row>
    <x:row r="28">
      <x:c r="A28" s="12" t="inlineStr">
        <x:is>
          <x:t xml:space="preserve">BKL-0240</x:t>
        </x:is>
      </x:c>
      <x:c r="B28" s="12" t="inlineStr">
        <x:is>
          <x:t xml:space="preserve">XI</x:t>
        </x:is>
      </x:c>
      <x:c r="C28" s="12" t="inlineStr">
        <x:is>
          <x:t xml:space="preserve">HJE</x:t>
        </x:is>
      </x:c>
      <x:c r="D28" s="12" t="inlineStr">
        <x:is>
          <x:t xml:space="preserve">The historical Jesus</x:t>
        </x:is>
      </x:c>
      <x:c r="E28" s="12" t="inlineStr">
        <x:is>
          <x:t xml:space="preserve">Selection of disciples</x:t>
        </x:is>
      </x:c>
      <x:c r="F28" s="12" t="inlineStr">
        <x:is>
          <x:t xml:space="preserve">Not started</x:t>
        </x:is>
      </x:c>
      <x:c r="G28" s="12" t="n"/>
      <x:c r="H28" s="12" t="n">
        <x:v>295</x:v>
      </x:c>
    </x:row>
    <x:row r="29">
      <x:c r="A29" s="12" t="inlineStr">
        <x:is>
          <x:t xml:space="preserve">BKL-0250</x:t>
        </x:is>
      </x:c>
      <x:c r="B29" s="12" t="inlineStr">
        <x:is>
          <x:t xml:space="preserve">XI</x:t>
        </x:is>
      </x:c>
      <x:c r="C29" s="12" t="inlineStr">
        <x:is>
          <x:t xml:space="preserve">HJE</x:t>
        </x:is>
      </x:c>
      <x:c r="D29" s="12" t="inlineStr">
        <x:is>
          <x:t xml:space="preserve">The historical Jesus</x:t>
        </x:is>
      </x:c>
      <x:c r="E29" s="12" t="inlineStr">
        <x:is>
          <x:t xml:space="preserve">Symbolic actions</x:t>
        </x:is>
      </x:c>
      <x:c r="F29" s="12" t="inlineStr">
        <x:is>
          <x:t xml:space="preserve">Not started</x:t>
        </x:is>
      </x:c>
      <x:c r="G29" s="12" t="n"/>
      <x:c r="H29" s="12" t="n">
        <x:v>296</x:v>
      </x:c>
    </x:row>
    <x:row r="30">
      <x:c r="A30" s="12" t="inlineStr">
        <x:is>
          <x:t xml:space="preserve">BKL-0260</x:t>
        </x:is>
      </x:c>
      <x:c r="B30" s="12" t="inlineStr">
        <x:is>
          <x:t xml:space="preserve">XI</x:t>
        </x:is>
      </x:c>
      <x:c r="C30" s="12" t="inlineStr">
        <x:is>
          <x:t xml:space="preserve">HJE</x:t>
        </x:is>
      </x:c>
      <x:c r="D30" s="12" t="inlineStr">
        <x:is>
          <x:t xml:space="preserve">The historical Jesus</x:t>
        </x:is>
      </x:c>
      <x:c r="E30" s="12" t="inlineStr">
        <x:is>
          <x:t xml:space="preserve">Conflict with authorities</x:t>
        </x:is>
      </x:c>
      <x:c r="F30" s="12" t="inlineStr">
        <x:is>
          <x:t xml:space="preserve">Not started</x:t>
        </x:is>
      </x:c>
      <x:c r="G30" s="12" t="n"/>
      <x:c r="H30" s="12" t="n">
        <x:v>297</x:v>
      </x:c>
    </x:row>
    <x:row r="31">
      <x:c r="A31" s="12" t="inlineStr">
        <x:is>
          <x:t xml:space="preserve">BKL-0270</x:t>
        </x:is>
      </x:c>
      <x:c r="B31" s="12" t="inlineStr">
        <x:is>
          <x:t xml:space="preserve">XI</x:t>
        </x:is>
      </x:c>
      <x:c r="C31" s="12" t="inlineStr">
        <x:is>
          <x:t xml:space="preserve">HJE</x:t>
        </x:is>
      </x:c>
      <x:c r="D31" s="12" t="inlineStr">
        <x:is>
          <x:t xml:space="preserve">The historical Jesus</x:t>
        </x:is>
      </x:c>
      <x:c r="E31" s="12" t="inlineStr">
        <x:is>
          <x:t xml:space="preserve">Final entry into Jerusalem</x:t>
        </x:is>
      </x:c>
      <x:c r="F31" s="12" t="inlineStr">
        <x:is>
          <x:t xml:space="preserve">Not started</x:t>
        </x:is>
      </x:c>
      <x:c r="G31" s="12" t="n"/>
      <x:c r="H31" s="12" t="n">
        <x:v>298</x:v>
      </x:c>
    </x:row>
    <x:row r="32">
      <x:c r="A32" s="12" t="inlineStr">
        <x:is>
          <x:t xml:space="preserve">BKL-0280</x:t>
        </x:is>
      </x:c>
      <x:c r="B32" s="12" t="inlineStr">
        <x:is>
          <x:t xml:space="preserve">XI</x:t>
        </x:is>
      </x:c>
      <x:c r="C32" s="12" t="inlineStr">
        <x:is>
          <x:t xml:space="preserve">HJE</x:t>
        </x:is>
      </x:c>
      <x:c r="D32" s="12" t="inlineStr">
        <x:is>
          <x:t xml:space="preserve">The historical Jesus</x:t>
        </x:is>
      </x:c>
      <x:c r="E32" s="12" t="inlineStr">
        <x:is>
          <x:t xml:space="preserve">Temple action</x:t>
        </x:is>
      </x:c>
      <x:c r="F32" s="12" t="inlineStr">
        <x:is>
          <x:t xml:space="preserve">Not started</x:t>
        </x:is>
      </x:c>
      <x:c r="G32" s="12" t="n"/>
      <x:c r="H32" s="12" t="n">
        <x:v>299</x:v>
      </x:c>
    </x:row>
    <x:row r="33">
      <x:c r="A33" s="12" t="inlineStr">
        <x:is>
          <x:t xml:space="preserve">BKL-0290</x:t>
        </x:is>
      </x:c>
      <x:c r="B33" s="12" t="inlineStr">
        <x:is>
          <x:t xml:space="preserve">XI</x:t>
        </x:is>
      </x:c>
      <x:c r="C33" s="12" t="inlineStr">
        <x:is>
          <x:t xml:space="preserve">HJE</x:t>
        </x:is>
      </x:c>
      <x:c r="D33" s="12" t="inlineStr">
        <x:is>
          <x:t xml:space="preserve">The historical Jesus</x:t>
        </x:is>
      </x:c>
      <x:c r="E33" s="12" t="inlineStr">
        <x:is>
          <x:t xml:space="preserve">Last meal</x:t>
        </x:is>
      </x:c>
      <x:c r="F33" s="12" t="inlineStr">
        <x:is>
          <x:t xml:space="preserve">Not started</x:t>
        </x:is>
      </x:c>
      <x:c r="G33" s="12" t="n"/>
      <x:c r="H33" s="12" t="n">
        <x:v>300</x:v>
      </x:c>
    </x:row>
    <x:row r="34">
      <x:c r="A34" s="12" t="inlineStr">
        <x:is>
          <x:t xml:space="preserve">BKL-0300</x:t>
        </x:is>
      </x:c>
      <x:c r="B34" s="12" t="inlineStr">
        <x:is>
          <x:t xml:space="preserve">XI</x:t>
        </x:is>
      </x:c>
      <x:c r="C34" s="12" t="inlineStr">
        <x:is>
          <x:t xml:space="preserve">HJE</x:t>
        </x:is>
      </x:c>
      <x:c r="D34" s="12" t="inlineStr">
        <x:is>
          <x:t xml:space="preserve">The historical Jesus</x:t>
        </x:is>
      </x:c>
      <x:c r="E34" s="12" t="inlineStr">
        <x:is>
          <x:t xml:space="preserve">Arrest</x:t>
        </x:is>
      </x:c>
      <x:c r="F34" s="12" t="inlineStr">
        <x:is>
          <x:t xml:space="preserve">Not started</x:t>
        </x:is>
      </x:c>
      <x:c r="G34" s="12" t="n"/>
      <x:c r="H34" s="12" t="n">
        <x:v>301</x:v>
      </x:c>
    </x:row>
    <x:row r="35">
      <x:c r="A35" s="12" t="inlineStr">
        <x:is>
          <x:t xml:space="preserve">BKL-0310</x:t>
        </x:is>
      </x:c>
      <x:c r="B35" s="12" t="inlineStr">
        <x:is>
          <x:t xml:space="preserve">XI</x:t>
        </x:is>
      </x:c>
      <x:c r="C35" s="12" t="inlineStr">
        <x:is>
          <x:t xml:space="preserve">HJE</x:t>
        </x:is>
      </x:c>
      <x:c r="D35" s="12" t="inlineStr">
        <x:is>
          <x:t xml:space="preserve">The historical Jesus</x:t>
        </x:is>
      </x:c>
      <x:c r="E35" s="12" t="inlineStr">
        <x:is>
          <x:t xml:space="preserve">Trial traditions</x:t>
        </x:is>
      </x:c>
      <x:c r="F35" s="12" t="inlineStr">
        <x:is>
          <x:t xml:space="preserve">Not started</x:t>
        </x:is>
      </x:c>
      <x:c r="G35" s="12" t="n"/>
      <x:c r="H35" s="12" t="n">
        <x:v>302</x:v>
      </x:c>
    </x:row>
    <x:row r="36">
      <x:c r="A36" s="12" t="inlineStr">
        <x:is>
          <x:t xml:space="preserve">BKL-0320</x:t>
        </x:is>
      </x:c>
      <x:c r="B36" s="12" t="inlineStr">
        <x:is>
          <x:t xml:space="preserve">XI</x:t>
        </x:is>
      </x:c>
      <x:c r="C36" s="12" t="inlineStr">
        <x:is>
          <x:t xml:space="preserve">HJE</x:t>
        </x:is>
      </x:c>
      <x:c r="D36" s="12" t="inlineStr">
        <x:is>
          <x:t xml:space="preserve">The historical Jesus</x:t>
        </x:is>
      </x:c>
      <x:c r="E36" s="12" t="inlineStr">
        <x:is>
          <x:t xml:space="preserve">Crucifixion under Pontius Pilate</x:t>
        </x:is>
      </x:c>
      <x:c r="F36" s="12" t="inlineStr">
        <x:is>
          <x:t xml:space="preserve">Not started</x:t>
        </x:is>
      </x:c>
      <x:c r="G36" s="12" t="n"/>
      <x:c r="H36" s="12" t="n">
        <x:v>303</x:v>
      </x:c>
    </x:row>
    <x:row r="37">
      <x:c r="A37" s="12" t="inlineStr">
        <x:is>
          <x:t xml:space="preserve">BKL-0330</x:t>
        </x:is>
      </x:c>
      <x:c r="B37" s="12" t="inlineStr">
        <x:is>
          <x:t xml:space="preserve">XI</x:t>
        </x:is>
      </x:c>
      <x:c r="C37" s="12" t="inlineStr">
        <x:is>
          <x:t xml:space="preserve">HJE</x:t>
        </x:is>
      </x:c>
      <x:c r="D37" s="12" t="inlineStr">
        <x:is>
          <x:t xml:space="preserve">The historical Jesus</x:t>
        </x:is>
      </x:c>
      <x:c r="E37" s="12" t="inlineStr">
        <x:is>
          <x:t xml:space="preserve">Death by crucifixion</x:t>
        </x:is>
      </x:c>
      <x:c r="F37" s="12" t="inlineStr">
        <x:is>
          <x:t xml:space="preserve">Not started</x:t>
        </x:is>
      </x:c>
      <x:c r="G37" s="12" t="n"/>
      <x:c r="H37" s="12" t="n">
        <x:v>304</x:v>
      </x:c>
    </x:row>
    <x:row r="38">
      <x:c r="A38" s="12" t="inlineStr">
        <x:is>
          <x:t xml:space="preserve">BKL-0340</x:t>
        </x:is>
      </x:c>
      <x:c r="B38" s="12" t="inlineStr">
        <x:is>
          <x:t xml:space="preserve">XI</x:t>
        </x:is>
      </x:c>
      <x:c r="C38" s="12" t="inlineStr">
        <x:is>
          <x:t xml:space="preserve">HJE</x:t>
        </x:is>
      </x:c>
      <x:c r="D38" s="12" t="inlineStr">
        <x:is>
          <x:t xml:space="preserve">The historical Jesus</x:t>
        </x:is>
      </x:c>
      <x:c r="E38" s="12" t="inlineStr">
        <x:is>
          <x:t xml:space="preserve">Burial traditions</x:t>
        </x:is>
      </x:c>
      <x:c r="F38" s="12" t="inlineStr">
        <x:is>
          <x:t xml:space="preserve">Not started</x:t>
        </x:is>
      </x:c>
      <x:c r="G38" s="12" t="n"/>
      <x:c r="H38" s="12" t="n">
        <x:v>305</x:v>
      </x:c>
    </x:row>
    <x:row r="39">
      <x:c r="A39" s="12" t="inlineStr">
        <x:is>
          <x:t xml:space="preserve">BKL-0350</x:t>
        </x:is>
      </x:c>
      <x:c r="B39" s="12" t="inlineStr">
        <x:is>
          <x:t xml:space="preserve">XI</x:t>
        </x:is>
      </x:c>
      <x:c r="C39" s="12" t="inlineStr">
        <x:is>
          <x:t xml:space="preserve">HJE</x:t>
        </x:is>
      </x:c>
      <x:c r="D39" s="12" t="inlineStr">
        <x:is>
          <x:t xml:space="preserve">The historical Jesus</x:t>
        </x:is>
      </x:c>
      <x:c r="E39" s="12" t="inlineStr">
        <x:is>
          <x:t xml:space="preserve">Empty-tomb traditions</x:t>
        </x:is>
      </x:c>
      <x:c r="F39" s="12" t="inlineStr">
        <x:is>
          <x:t xml:space="preserve">Not started</x:t>
        </x:is>
      </x:c>
      <x:c r="G39" s="12" t="n"/>
      <x:c r="H39" s="12" t="n">
        <x:v>306</x:v>
      </x:c>
    </x:row>
    <x:row r="40">
      <x:c r="A40" s="12" t="inlineStr">
        <x:is>
          <x:t xml:space="preserve">BKL-0360</x:t>
        </x:is>
      </x:c>
      <x:c r="B40" s="12" t="inlineStr">
        <x:is>
          <x:t xml:space="preserve">XI</x:t>
        </x:is>
      </x:c>
      <x:c r="C40" s="12" t="inlineStr">
        <x:is>
          <x:t xml:space="preserve">HJE</x:t>
        </x:is>
      </x:c>
      <x:c r="D40" s="12" t="inlineStr">
        <x:is>
          <x:t xml:space="preserve">The historical Jesus</x:t>
        </x:is>
      </x:c>
      <x:c r="E40" s="12" t="inlineStr">
        <x:is>
          <x:t xml:space="preserve">Postmortem appearance claims</x:t>
        </x:is>
      </x:c>
      <x:c r="F40" s="12" t="inlineStr">
        <x:is>
          <x:t xml:space="preserve">Not started</x:t>
        </x:is>
      </x:c>
      <x:c r="G40" s="12" t="n"/>
      <x:c r="H40" s="12" t="n">
        <x:v>307</x:v>
      </x:c>
    </x:row>
    <x:row r="41">
      <x:c r="A41" s="12" t="inlineStr">
        <x:is>
          <x:t xml:space="preserve">BKL-0370</x:t>
        </x:is>
      </x:c>
      <x:c r="B41" s="12" t="inlineStr">
        <x:is>
          <x:t xml:space="preserve">XI</x:t>
        </x:is>
      </x:c>
      <x:c r="C41" s="12" t="inlineStr">
        <x:is>
          <x:t xml:space="preserve">HJE</x:t>
        </x:is>
      </x:c>
      <x:c r="D41" s="12" t="inlineStr">
        <x:is>
          <x:t xml:space="preserve">The historical Jesus</x:t>
        </x:is>
      </x:c>
      <x:c r="E41" s="12" t="inlineStr">
        <x:is>
          <x:t xml:space="preserve">Development of Christology</x:t>
        </x:is>
      </x:c>
      <x:c r="F41" s="12" t="inlineStr">
        <x:is>
          <x:t xml:space="preserve">Not started</x:t>
        </x:is>
      </x:c>
      <x:c r="G41" s="12" t="n"/>
      <x:c r="H41" s="12" t="n">
        <x:v>309</x:v>
      </x:c>
    </x:row>
    <x:row r="42">
      <x:c r="A42" s="12" t="inlineStr">
        <x:is>
          <x:t xml:space="preserve">BKL-0380</x:t>
        </x:is>
      </x:c>
      <x:c r="B42" s="12" t="inlineStr">
        <x:is>
          <x:t xml:space="preserve">XI</x:t>
        </x:is>
      </x:c>
      <x:c r="C42" s="12" t="inlineStr">
        <x:is>
          <x:t xml:space="preserve">HJE</x:t>
        </x:is>
      </x:c>
      <x:c r="D42" s="12" t="inlineStr">
        <x:is>
          <x:t xml:space="preserve">The historical Jesus</x:t>
        </x:is>
      </x:c>
      <x:c r="E42" s="12" t="inlineStr">
        <x:is>
          <x:t xml:space="preserve">Jesus’ self-understanding</x:t>
        </x:is>
      </x:c>
      <x:c r="F42" s="12" t="inlineStr">
        <x:is>
          <x:t xml:space="preserve">Not started</x:t>
        </x:is>
      </x:c>
      <x:c r="G42" s="12" t="n"/>
      <x:c r="H42" s="12" t="n">
        <x:v>310</x:v>
      </x:c>
    </x:row>
    <x:row r="43">
      <x:c r="A43" s="12" t="inlineStr">
        <x:is>
          <x:t xml:space="preserve">BKL-0390</x:t>
        </x:is>
      </x:c>
      <x:c r="B43" s="12" t="inlineStr">
        <x:is>
          <x:t xml:space="preserve">XI</x:t>
        </x:is>
      </x:c>
      <x:c r="C43" s="12" t="inlineStr">
        <x:is>
          <x:t xml:space="preserve">HJE</x:t>
        </x:is>
      </x:c>
      <x:c r="D43" s="12" t="inlineStr">
        <x:is>
          <x:t xml:space="preserve">The historical Jesus</x:t>
        </x:is>
      </x:c>
      <x:c r="E43" s="12" t="inlineStr">
        <x:is>
          <x:t xml:space="preserve">Messianic claims</x:t>
        </x:is>
      </x:c>
      <x:c r="F43" s="12" t="inlineStr">
        <x:is>
          <x:t xml:space="preserve">Not started</x:t>
        </x:is>
      </x:c>
      <x:c r="G43" s="12" t="n"/>
      <x:c r="H43" s="12" t="n">
        <x:v>312</x:v>
      </x:c>
    </x:row>
    <x:row r="44">
      <x:c r="A44" s="12" t="inlineStr">
        <x:is>
          <x:t xml:space="preserve">BKL-0400</x:t>
        </x:is>
      </x:c>
      <x:c r="B44" s="12" t="inlineStr">
        <x:is>
          <x:t xml:space="preserve">XI</x:t>
        </x:is>
      </x:c>
      <x:c r="C44" s="12" t="inlineStr">
        <x:is>
          <x:t xml:space="preserve">HJE</x:t>
        </x:is>
      </x:c>
      <x:c r="D44" s="12" t="inlineStr">
        <x:is>
          <x:t xml:space="preserve">The historical Jesus</x:t>
        </x:is>
      </x:c>
      <x:c r="E44" s="12" t="inlineStr">
        <x:is>
          <x:t xml:space="preserve">Divine-identity claims</x:t>
        </x:is>
      </x:c>
      <x:c r="F44" s="12" t="inlineStr">
        <x:is>
          <x:t xml:space="preserve">Not started</x:t>
        </x:is>
      </x:c>
      <x:c r="G44" s="12" t="n"/>
      <x:c r="H44" s="12" t="n">
        <x:v>313</x:v>
      </x:c>
    </x:row>
    <x:row r="45">
      <x:c r="A45" s="12" t="inlineStr">
        <x:is>
          <x:t xml:space="preserve">BKL-0410</x:t>
        </x:is>
      </x:c>
      <x:c r="B45" s="12" t="inlineStr">
        <x:is>
          <x:t xml:space="preserve">XI</x:t>
        </x:is>
      </x:c>
      <x:c r="C45" s="12" t="inlineStr">
        <x:is>
          <x:t xml:space="preserve">HJE</x:t>
        </x:is>
      </x:c>
      <x:c r="D45" s="12" t="inlineStr">
        <x:is>
          <x:t xml:space="preserve">The historical Jesus</x:t>
        </x:is>
      </x:c>
      <x:c r="E45" s="12" t="inlineStr">
        <x:is>
          <x:t xml:space="preserve">Minimal claim</x:t>
        </x:is>
      </x:c>
      <x:c r="F45" s="12" t="inlineStr">
        <x:is>
          <x:t xml:space="preserve">Not started</x:t>
        </x:is>
      </x:c>
      <x:c r="G45" s="12" t="n"/>
      <x:c r="H45" s="12" t="n">
        <x:v>318</x:v>
      </x:c>
    </x:row>
    <x:row r="46">
      <x:c r="A46" s="12" t="inlineStr">
        <x:is>
          <x:t xml:space="preserve">BKL-0420</x:t>
        </x:is>
      </x:c>
      <x:c r="B46" s="12" t="inlineStr">
        <x:is>
          <x:t xml:space="preserve">XI</x:t>
        </x:is>
      </x:c>
      <x:c r="C46" s="12" t="inlineStr">
        <x:is>
          <x:t xml:space="preserve">HJE</x:t>
        </x:is>
      </x:c>
      <x:c r="D46" s="12" t="inlineStr">
        <x:is>
          <x:t xml:space="preserve">The historical Jesus</x:t>
        </x:is>
      </x:c>
      <x:c r="E46" s="12" t="inlineStr">
        <x:is>
          <x:t xml:space="preserve">Moderate claim</x:t>
        </x:is>
      </x:c>
      <x:c r="F46" s="12" t="inlineStr">
        <x:is>
          <x:t xml:space="preserve">Not started</x:t>
        </x:is>
      </x:c>
      <x:c r="G46" s="12" t="n"/>
      <x:c r="H46" s="12" t="n">
        <x:v>319</x:v>
      </x:c>
    </x:row>
    <x:row r="47">
      <x:c r="A47" s="12" t="inlineStr">
        <x:is>
          <x:t xml:space="preserve">BKL-0430</x:t>
        </x:is>
      </x:c>
      <x:c r="B47" s="12" t="inlineStr">
        <x:is>
          <x:t xml:space="preserve">XI</x:t>
        </x:is>
      </x:c>
      <x:c r="C47" s="12" t="inlineStr">
        <x:is>
          <x:t xml:space="preserve">HJE</x:t>
        </x:is>
      </x:c>
      <x:c r="D47" s="12" t="inlineStr">
        <x:is>
          <x:t xml:space="preserve">The historical Jesus</x:t>
        </x:is>
      </x:c>
      <x:c r="E47" s="12" t="inlineStr">
        <x:is>
          <x:t xml:space="preserve">Strong claim</x:t>
        </x:is>
      </x:c>
      <x:c r="F47" s="12" t="inlineStr">
        <x:is>
          <x:t xml:space="preserve">Not started</x:t>
        </x:is>
      </x:c>
      <x:c r="G47" s="12" t="n"/>
      <x:c r="H47" s="12" t="n">
        <x:v>320</x:v>
      </x:c>
    </x:row>
    <x:row r="48">
      <x:c r="A48" s="12" t="inlineStr">
        <x:is>
          <x:t xml:space="preserve">BKL-0440</x:t>
        </x:is>
      </x:c>
      <x:c r="B48" s="12" t="inlineStr">
        <x:is>
          <x:t xml:space="preserve">XI</x:t>
        </x:is>
      </x:c>
      <x:c r="C48" s="12" t="inlineStr">
        <x:is>
          <x:t xml:space="preserve">HJE</x:t>
        </x:is>
      </x:c>
      <x:c r="D48" s="12" t="inlineStr">
        <x:is>
          <x:t xml:space="preserve">The historical Jesus</x:t>
        </x:is>
      </x:c>
      <x:c r="E48" s="12" t="inlineStr">
        <x:is>
          <x:t xml:space="preserve">Confessional claim</x:t>
        </x:is>
      </x:c>
      <x:c r="F48" s="12" t="inlineStr">
        <x:is>
          <x:t xml:space="preserve">Not started</x:t>
        </x:is>
      </x:c>
      <x:c r="G48" s="12" t="n"/>
      <x:c r="H48" s="12" t="n">
        <x:v>321</x:v>
      </x:c>
    </x:row>
    <x:row r="49">
      <x:c r="A49" s="12" t="inlineStr">
        <x:is>
          <x:t xml:space="preserve">BKL-0450</x:t>
        </x:is>
      </x:c>
      <x:c r="B49" s="12" t="inlineStr">
        <x:is>
          <x:t xml:space="preserve">XII</x:t>
        </x:is>
      </x:c>
      <x:c r="C49" s="12" t="inlineStr">
        <x:is>
          <x:t xml:space="preserve">RES</x:t>
        </x:is>
      </x:c>
      <x:c r="D49" s="12" t="inlineStr">
        <x:is>
          <x:t xml:space="preserve">Resurrection case</x:t>
        </x:is>
      </x:c>
      <x:c r="E49" s="12" t="inlineStr">
        <x:is>
          <x:t xml:space="preserve">Jesus died by crucifixion</x:t>
        </x:is>
      </x:c>
      <x:c r="F49" s="12" t="inlineStr">
        <x:is>
          <x:t xml:space="preserve">Not started</x:t>
        </x:is>
      </x:c>
      <x:c r="G49" s="12" t="n"/>
      <x:c r="H49" s="12" t="n">
        <x:v>338</x:v>
      </x:c>
    </x:row>
    <x:row r="50" ht="28.799999237060547" customHeight="1">
      <x:c r="A50" s="12" t="inlineStr">
        <x:is>
          <x:t xml:space="preserve">BKL-0460</x:t>
        </x:is>
      </x:c>
      <x:c r="B50" s="12" t="inlineStr">
        <x:is>
          <x:t xml:space="preserve">XIV</x:t>
        </x:is>
      </x:c>
      <x:c r="C50" s="12" t="inlineStr">
        <x:is>
          <x:t xml:space="preserve">OTX</x:t>
        </x:is>
      </x:c>
      <x:c r="D50" s="12" t="inlineStr">
        <x:is>
          <x:t xml:space="preserve">Old Testament, Hebrew Bible, and messianic interpretation</x:t>
        </x:is>
      </x:c>
      <x:c r="E50" s="12" t="inlineStr">
        <x:is>
          <x:t xml:space="preserve">Canon differences</x:t>
        </x:is>
      </x:c>
      <x:c r="F50" s="12" t="inlineStr">
        <x:is>
          <x:t xml:space="preserve">Not started</x:t>
        </x:is>
      </x:c>
      <x:c r="G50" s="12" t="n"/>
      <x:c r="H50" s="12" t="n">
        <x:v>394</x:v>
      </x:c>
    </x:row>
    <x:row r="51" ht="28.799999237060547" customHeight="1">
      <x:c r="A51" s="12" t="inlineStr">
        <x:is>
          <x:t xml:space="preserve">BKL-0470</x:t>
        </x:is>
      </x:c>
      <x:c r="B51" s="12" t="inlineStr">
        <x:is>
          <x:t xml:space="preserve">XIV</x:t>
        </x:is>
      </x:c>
      <x:c r="C51" s="12" t="inlineStr">
        <x:is>
          <x:t xml:space="preserve">OTX</x:t>
        </x:is>
      </x:c>
      <x:c r="D51" s="12" t="inlineStr">
        <x:is>
          <x:t xml:space="preserve">Old Testament, Hebrew Bible, and messianic interpretation</x:t>
        </x:is>
      </x:c>
      <x:c r="E51" s="12" t="inlineStr">
        <x:is>
          <x:t xml:space="preserve">Ancient Near Eastern context</x:t>
        </x:is>
      </x:c>
      <x:c r="F51" s="12" t="inlineStr">
        <x:is>
          <x:t xml:space="preserve">Not started</x:t>
        </x:is>
      </x:c>
      <x:c r="G51" s="12" t="n"/>
      <x:c r="H51" s="12" t="n">
        <x:v>395</x:v>
      </x:c>
    </x:row>
    <x:row r="52" ht="28.799999237060547" customHeight="1">
      <x:c r="A52" s="12" t="inlineStr">
        <x:is>
          <x:t xml:space="preserve">BKL-0480</x:t>
        </x:is>
      </x:c>
      <x:c r="B52" s="12" t="inlineStr">
        <x:is>
          <x:t xml:space="preserve">XIV</x:t>
        </x:is>
      </x:c>
      <x:c r="C52" s="12" t="inlineStr">
        <x:is>
          <x:t xml:space="preserve">OTX</x:t>
        </x:is>
      </x:c>
      <x:c r="D52" s="12" t="inlineStr">
        <x:is>
          <x:t xml:space="preserve">Old Testament, Hebrew Bible, and messianic interpretation</x:t>
        </x:is>
      </x:c>
      <x:c r="E52" s="12" t="inlineStr">
        <x:is>
          <x:t xml:space="preserve">Torah formation</x:t>
        </x:is>
      </x:c>
      <x:c r="F52" s="12" t="inlineStr">
        <x:is>
          <x:t xml:space="preserve">Not started</x:t>
        </x:is>
      </x:c>
      <x:c r="G52" s="12" t="n"/>
      <x:c r="H52" s="12" t="n">
        <x:v>396</x:v>
      </x:c>
    </x:row>
    <x:row r="53" ht="28.799999237060547" customHeight="1">
      <x:c r="A53" s="12" t="inlineStr">
        <x:is>
          <x:t xml:space="preserve">BKL-0490</x:t>
        </x:is>
      </x:c>
      <x:c r="B53" s="12" t="inlineStr">
        <x:is>
          <x:t xml:space="preserve">XIV</x:t>
        </x:is>
      </x:c>
      <x:c r="C53" s="12" t="inlineStr">
        <x:is>
          <x:t xml:space="preserve">OTX</x:t>
        </x:is>
      </x:c>
      <x:c r="D53" s="12" t="inlineStr">
        <x:is>
          <x:t xml:space="preserve">Old Testament, Hebrew Bible, and messianic interpretation</x:t>
        </x:is>
      </x:c>
      <x:c r="E53" s="12" t="inlineStr">
        <x:is>
          <x:t xml:space="preserve">Prophetic literature</x:t>
        </x:is>
      </x:c>
      <x:c r="F53" s="12" t="inlineStr">
        <x:is>
          <x:t xml:space="preserve">Not started</x:t>
        </x:is>
      </x:c>
      <x:c r="G53" s="12" t="n"/>
      <x:c r="H53" s="12" t="n">
        <x:v>397</x:v>
      </x:c>
    </x:row>
    <x:row r="54" ht="28.799999237060547" customHeight="1">
      <x:c r="A54" s="12" t="inlineStr">
        <x:is>
          <x:t xml:space="preserve">BKL-0500</x:t>
        </x:is>
      </x:c>
      <x:c r="B54" s="12" t="inlineStr">
        <x:is>
          <x:t xml:space="preserve">XIV</x:t>
        </x:is>
      </x:c>
      <x:c r="C54" s="12" t="inlineStr">
        <x:is>
          <x:t xml:space="preserve">OTX</x:t>
        </x:is>
      </x:c>
      <x:c r="D54" s="12" t="inlineStr">
        <x:is>
          <x:t xml:space="preserve">Old Testament, Hebrew Bible, and messianic interpretation</x:t>
        </x:is>
      </x:c>
      <x:c r="E54" s="12" t="inlineStr">
        <x:is>
          <x:t xml:space="preserve">Wisdom literature</x:t>
        </x:is>
      </x:c>
      <x:c r="F54" s="12" t="inlineStr">
        <x:is>
          <x:t xml:space="preserve">Not started</x:t>
        </x:is>
      </x:c>
      <x:c r="G54" s="12" t="n"/>
      <x:c r="H54" s="12" t="n">
        <x:v>398</x:v>
      </x:c>
    </x:row>
    <x:row r="55" ht="28.799999237060547" customHeight="1">
      <x:c r="A55" s="12" t="inlineStr">
        <x:is>
          <x:t xml:space="preserve">BKL-0510</x:t>
        </x:is>
      </x:c>
      <x:c r="B55" s="12" t="inlineStr">
        <x:is>
          <x:t xml:space="preserve">XIV</x:t>
        </x:is>
      </x:c>
      <x:c r="C55" s="12" t="inlineStr">
        <x:is>
          <x:t xml:space="preserve">OTX</x:t>
        </x:is>
      </x:c>
      <x:c r="D55" s="12" t="inlineStr">
        <x:is>
          <x:t xml:space="preserve">Old Testament, Hebrew Bible, and messianic interpretation</x:t>
        </x:is>
      </x:c>
      <x:c r="E55" s="12" t="inlineStr">
        <x:is>
          <x:t xml:space="preserve">Psalms</x:t>
        </x:is>
      </x:c>
      <x:c r="F55" s="12" t="inlineStr">
        <x:is>
          <x:t xml:space="preserve">Not started</x:t>
        </x:is>
      </x:c>
      <x:c r="G55" s="12" t="n"/>
      <x:c r="H55" s="12" t="n">
        <x:v>399</x:v>
      </x:c>
    </x:row>
    <x:row r="56" ht="28.799999237060547" customHeight="1">
      <x:c r="A56" s="12" t="inlineStr">
        <x:is>
          <x:t xml:space="preserve">BKL-0520</x:t>
        </x:is>
      </x:c>
      <x:c r="B56" s="12" t="inlineStr">
        <x:is>
          <x:t xml:space="preserve">XIV</x:t>
        </x:is>
      </x:c>
      <x:c r="C56" s="12" t="inlineStr">
        <x:is>
          <x:t xml:space="preserve">OTX</x:t>
        </x:is>
      </x:c>
      <x:c r="D56" s="12" t="inlineStr">
        <x:is>
          <x:t xml:space="preserve">Old Testament, Hebrew Bible, and messianic interpretation</x:t>
        </x:is>
      </x:c>
      <x:c r="E56" s="12" t="inlineStr">
        <x:is>
          <x:t xml:space="preserve">Apocalyptic literature</x:t>
        </x:is>
      </x:c>
      <x:c r="F56" s="12" t="inlineStr">
        <x:is>
          <x:t xml:space="preserve">Not started</x:t>
        </x:is>
      </x:c>
      <x:c r="G56" s="12" t="n"/>
      <x:c r="H56" s="12" t="n">
        <x:v>400</x:v>
      </x:c>
    </x:row>
    <x:row r="57" ht="28.799999237060547" customHeight="1">
      <x:c r="A57" s="12" t="inlineStr">
        <x:is>
          <x:t xml:space="preserve">BKL-0530</x:t>
        </x:is>
      </x:c>
      <x:c r="B57" s="12" t="inlineStr">
        <x:is>
          <x:t xml:space="preserve">XIV</x:t>
        </x:is>
      </x:c>
      <x:c r="C57" s="12" t="inlineStr">
        <x:is>
          <x:t xml:space="preserve">OTX</x:t>
        </x:is>
      </x:c>
      <x:c r="D57" s="12" t="inlineStr">
        <x:is>
          <x:t xml:space="preserve">Old Testament, Hebrew Bible, and messianic interpretation</x:t>
        </x:is>
      </x:c>
      <x:c r="E57" s="12" t="inlineStr">
        <x:is>
          <x:t xml:space="preserve">Messianic expectation</x:t>
        </x:is>
      </x:c>
      <x:c r="F57" s="12" t="inlineStr">
        <x:is>
          <x:t xml:space="preserve">Not started</x:t>
        </x:is>
      </x:c>
      <x:c r="G57" s="12" t="n"/>
      <x:c r="H57" s="12" t="n">
        <x:v>401</x:v>
      </x:c>
    </x:row>
    <x:row r="58" ht="28.799999237060547" customHeight="1">
      <x:c r="A58" s="12" t="inlineStr">
        <x:is>
          <x:t xml:space="preserve">BKL-0540</x:t>
        </x:is>
      </x:c>
      <x:c r="B58" s="12" t="inlineStr">
        <x:is>
          <x:t xml:space="preserve">XIV</x:t>
        </x:is>
      </x:c>
      <x:c r="C58" s="12" t="inlineStr">
        <x:is>
          <x:t xml:space="preserve">OTX</x:t>
        </x:is>
      </x:c>
      <x:c r="D58" s="12" t="inlineStr">
        <x:is>
          <x:t xml:space="preserve">Old Testament, Hebrew Bible, and messianic interpretation</x:t>
        </x:is>
      </x:c>
      <x:c r="E58" s="12" t="inlineStr">
        <x:is>
          <x:t xml:space="preserve">Typology</x:t>
        </x:is>
      </x:c>
      <x:c r="F58" s="12" t="inlineStr">
        <x:is>
          <x:t xml:space="preserve">Not started</x:t>
        </x:is>
      </x:c>
      <x:c r="G58" s="12" t="n"/>
      <x:c r="H58" s="12" t="n">
        <x:v>402</x:v>
      </x:c>
    </x:row>
    <x:row r="59" ht="28.799999237060547" customHeight="1">
      <x:c r="A59" s="12" t="inlineStr">
        <x:is>
          <x:t xml:space="preserve">BKL-0550</x:t>
        </x:is>
      </x:c>
      <x:c r="B59" s="12" t="inlineStr">
        <x:is>
          <x:t xml:space="preserve">XIV</x:t>
        </x:is>
      </x:c>
      <x:c r="C59" s="12" t="inlineStr">
        <x:is>
          <x:t xml:space="preserve">OTX</x:t>
        </x:is>
      </x:c>
      <x:c r="D59" s="12" t="inlineStr">
        <x:is>
          <x:t xml:space="preserve">Old Testament, Hebrew Bible, and messianic interpretation</x:t>
        </x:is>
      </x:c>
      <x:c r="E59" s="12" t="inlineStr">
        <x:is>
          <x:t xml:space="preserve">Direct prediction</x:t>
        </x:is>
      </x:c>
      <x:c r="F59" s="12" t="inlineStr">
        <x:is>
          <x:t xml:space="preserve">Not started</x:t>
        </x:is>
      </x:c>
      <x:c r="G59" s="12" t="n"/>
      <x:c r="H59" s="12" t="n">
        <x:v>403</x:v>
      </x:c>
    </x:row>
    <x:row r="60" ht="28.799999237060547" customHeight="1">
      <x:c r="A60" s="12" t="inlineStr">
        <x:is>
          <x:t xml:space="preserve">BKL-0560</x:t>
        </x:is>
      </x:c>
      <x:c r="B60" s="12" t="inlineStr">
        <x:is>
          <x:t xml:space="preserve">XIV</x:t>
        </x:is>
      </x:c>
      <x:c r="C60" s="12" t="inlineStr">
        <x:is>
          <x:t xml:space="preserve">OTX</x:t>
        </x:is>
      </x:c>
      <x:c r="D60" s="12" t="inlineStr">
        <x:is>
          <x:t xml:space="preserve">Old Testament, Hebrew Bible, and messianic interpretation</x:t>
        </x:is>
      </x:c>
      <x:c r="E60" s="12" t="inlineStr">
        <x:is>
          <x:t xml:space="preserve">Corporate and individual readings</x:t>
        </x:is>
      </x:c>
      <x:c r="F60" s="12" t="inlineStr">
        <x:is>
          <x:t xml:space="preserve">Not started</x:t>
        </x:is>
      </x:c>
      <x:c r="G60" s="12" t="n"/>
      <x:c r="H60" s="12" t="n">
        <x:v>404</x:v>
      </x:c>
    </x:row>
    <x:row r="61" ht="28.799999237060547" customHeight="1">
      <x:c r="A61" s="12" t="inlineStr">
        <x:is>
          <x:t xml:space="preserve">BKL-0570</x:t>
        </x:is>
      </x:c>
      <x:c r="B61" s="12" t="inlineStr">
        <x:is>
          <x:t xml:space="preserve">XIV</x:t>
        </x:is>
      </x:c>
      <x:c r="C61" s="12" t="inlineStr">
        <x:is>
          <x:t xml:space="preserve">OTX</x:t>
        </x:is>
      </x:c>
      <x:c r="D61" s="12" t="inlineStr">
        <x:is>
          <x:t xml:space="preserve">Old Testament, Hebrew Bible, and messianic interpretation</x:t>
        </x:is>
      </x:c>
      <x:c r="E61" s="12" t="inlineStr">
        <x:is>
          <x:t xml:space="preserve">Second Temple Jewish interpretation</x:t>
        </x:is>
      </x:c>
      <x:c r="F61" s="12" t="inlineStr">
        <x:is>
          <x:t xml:space="preserve">Not started</x:t>
        </x:is>
      </x:c>
      <x:c r="G61" s="12" t="n"/>
      <x:c r="H61" s="12" t="n">
        <x:v>405</x:v>
      </x:c>
    </x:row>
    <x:row r="62">
      <x:c r="A62" s="12" t="inlineStr">
        <x:is>
          <x:t xml:space="preserve">BKL-0580</x:t>
        </x:is>
      </x:c>
      <x:c r="B62" s="12" t="inlineStr">
        <x:is>
          <x:t xml:space="preserve">XV</x:t>
        </x:is>
      </x:c>
      <x:c r="C62" s="12" t="inlineStr">
        <x:is>
          <x:t xml:space="preserve">TRI</x:t>
        </x:is>
      </x:c>
      <x:c r="D62" s="12" t="inlineStr">
        <x:is>
          <x:t xml:space="preserve">Doctrine of God and Trinity</x:t>
        </x:is>
      </x:c>
      <x:c r="E62" s="12" t="inlineStr">
        <x:is>
          <x:t xml:space="preserve">Christianity teaches one God</x:t>
        </x:is>
      </x:c>
      <x:c r="F62" s="12" t="inlineStr">
        <x:is>
          <x:t xml:space="preserve">Not started</x:t>
        </x:is>
      </x:c>
      <x:c r="G62" s="12" t="n"/>
      <x:c r="H62" s="12" t="n">
        <x:v>425</x:v>
      </x:c>
    </x:row>
    <x:row r="63">
      <x:c r="A63" s="12" t="inlineStr">
        <x:is>
          <x:t xml:space="preserve">BKL-0590</x:t>
        </x:is>
      </x:c>
      <x:c r="B63" s="12" t="inlineStr">
        <x:is>
          <x:t xml:space="preserve">XVI</x:t>
        </x:is>
      </x:c>
      <x:c r="C63" s="12" t="inlineStr">
        <x:is>
          <x:t xml:space="preserve">INC</x:t>
        </x:is>
      </x:c>
      <x:c r="D63" s="12" t="inlineStr">
        <x:is>
          <x:t xml:space="preserve">Incarnation and Christology</x:t>
        </x:is>
      </x:c>
      <x:c r="E63" s="12" t="inlineStr">
        <x:is>
          <x:t xml:space="preserve">Kenosis has multiple interpretations</x:t>
        </x:is>
      </x:c>
      <x:c r="F63" s="12" t="inlineStr">
        <x:is>
          <x:t xml:space="preserve">Not started</x:t>
        </x:is>
      </x:c>
      <x:c r="G63" s="12" t="n"/>
      <x:c r="H63" s="12" t="n">
        <x:v>451</x:v>
      </x:c>
    </x:row>
    <x:row r="64" ht="28.799999237060547" customHeight="1">
      <x:c r="A64" s="12" t="inlineStr">
        <x:is>
          <x:t xml:space="preserve">BKL-0600</x:t>
        </x:is>
      </x:c>
      <x:c r="B64" s="12" t="inlineStr">
        <x:is>
          <x:t xml:space="preserve">XXIII</x:t>
        </x:is>
      </x:c>
      <x:c r="C64" s="12" t="inlineStr">
        <x:is>
          <x:t xml:space="preserve">SCR</x:t>
        </x:is>
      </x:c>
      <x:c r="D64" s="12" t="inlineStr">
        <x:is>
          <x:t xml:space="preserve">Scripture, inspiration, inerrancy, and interpretation</x:t>
        </x:is>
      </x:c>
      <x:c r="E64" s="12" t="inlineStr">
        <x:is>
          <x:t xml:space="preserve">Metaphor can communicate truth</x:t>
        </x:is>
      </x:c>
      <x:c r="F64" s="12" t="inlineStr">
        <x:is>
          <x:t xml:space="preserve">Not started</x:t>
        </x:is>
      </x:c>
      <x:c r="G64" s="12" t="n"/>
      <x:c r="H64" s="12" t="n">
        <x:v>586</x:v>
      </x:c>
    </x:row>
    <x:row r="65">
      <x:c r="A65" s="12" t="inlineStr">
        <x:is>
          <x:t xml:space="preserve">BKL-0610</x:t>
        </x:is>
      </x:c>
      <x:c r="B65" s="12" t="inlineStr">
        <x:is>
          <x:t xml:space="preserve">XXIV</x:t>
        </x:is>
      </x:c>
      <x:c r="C65" s="12" t="inlineStr">
        <x:is>
          <x:t xml:space="preserve">ETH</x:t>
        </x:is>
      </x:c>
      <x:c r="D65" s="12" t="inlineStr">
        <x:is>
          <x:t xml:space="preserve">Christian ethics and difficult texts</x:t>
        </x:is>
      </x:c>
      <x:c r="E65" s="12" t="inlineStr">
        <x:is>
          <x:t xml:space="preserve">Conquest narratives</x:t>
        </x:is>
      </x:c>
      <x:c r="F65" s="12" t="inlineStr">
        <x:is>
          <x:t xml:space="preserve">Not started</x:t>
        </x:is>
      </x:c>
      <x:c r="G65" s="12" t="n"/>
      <x:c r="H65" s="12" t="n">
        <x:v>603</x:v>
      </x:c>
    </x:row>
    <x:row r="66">
      <x:c r="A66" s="12" t="inlineStr">
        <x:is>
          <x:t xml:space="preserve">BKL-0620</x:t>
        </x:is>
      </x:c>
      <x:c r="B66" s="12" t="inlineStr">
        <x:is>
          <x:t xml:space="preserve">XXIV</x:t>
        </x:is>
      </x:c>
      <x:c r="C66" s="12" t="inlineStr">
        <x:is>
          <x:t xml:space="preserve">ETH</x:t>
        </x:is>
      </x:c>
      <x:c r="D66" s="12" t="inlineStr">
        <x:is>
          <x:t xml:space="preserve">Christian ethics and difficult texts</x:t>
        </x:is>
      </x:c>
      <x:c r="E66" s="12" t="inlineStr">
        <x:is>
          <x:t xml:space="preserve">Slavery</x:t>
        </x:is>
      </x:c>
      <x:c r="F66" s="12" t="inlineStr">
        <x:is>
          <x:t xml:space="preserve">Not started</x:t>
        </x:is>
      </x:c>
      <x:c r="G66" s="12" t="n"/>
      <x:c r="H66" s="12" t="n">
        <x:v>604</x:v>
      </x:c>
    </x:row>
    <x:row r="67">
      <x:c r="A67" s="12" t="inlineStr">
        <x:is>
          <x:t xml:space="preserve">BKL-0630</x:t>
        </x:is>
      </x:c>
      <x:c r="B67" s="12" t="inlineStr">
        <x:is>
          <x:t xml:space="preserve">XXIV</x:t>
        </x:is>
      </x:c>
      <x:c r="C67" s="12" t="inlineStr">
        <x:is>
          <x:t xml:space="preserve">ETH</x:t>
        </x:is>
      </x:c>
      <x:c r="D67" s="12" t="inlineStr">
        <x:is>
          <x:t xml:space="preserve">Christian ethics and difficult texts</x:t>
        </x:is>
      </x:c>
      <x:c r="E67" s="12" t="inlineStr">
        <x:is>
          <x:t xml:space="preserve">Women</x:t>
        </x:is>
      </x:c>
      <x:c r="F67" s="12" t="inlineStr">
        <x:is>
          <x:t xml:space="preserve">Not started</x:t>
        </x:is>
      </x:c>
      <x:c r="G67" s="12" t="n"/>
      <x:c r="H67" s="12" t="n">
        <x:v>605</x:v>
      </x:c>
    </x:row>
    <x:row r="68">
      <x:c r="A68" s="12" t="inlineStr">
        <x:is>
          <x:t xml:space="preserve">BKL-0640</x:t>
        </x:is>
      </x:c>
      <x:c r="B68" s="12" t="inlineStr">
        <x:is>
          <x:t xml:space="preserve">XXIV</x:t>
        </x:is>
      </x:c>
      <x:c r="C68" s="12" t="inlineStr">
        <x:is>
          <x:t xml:space="preserve">ETH</x:t>
        </x:is>
      </x:c>
      <x:c r="D68" s="12" t="inlineStr">
        <x:is>
          <x:t xml:space="preserve">Christian ethics and difficult texts</x:t>
        </x:is>
      </x:c>
      <x:c r="E68" s="12" t="inlineStr">
        <x:is>
          <x:t xml:space="preserve">Sexual ethics</x:t>
        </x:is>
      </x:c>
      <x:c r="F68" s="12" t="inlineStr">
        <x:is>
          <x:t xml:space="preserve">Not started</x:t>
        </x:is>
      </x:c>
      <x:c r="G68" s="12" t="n"/>
      <x:c r="H68" s="12" t="n">
        <x:v>606</x:v>
      </x:c>
    </x:row>
    <x:row r="69">
      <x:c r="A69" s="12" t="inlineStr">
        <x:is>
          <x:t xml:space="preserve">BKL-0650</x:t>
        </x:is>
      </x:c>
      <x:c r="B69" s="12" t="inlineStr">
        <x:is>
          <x:t xml:space="preserve">XXIV</x:t>
        </x:is>
      </x:c>
      <x:c r="C69" s="12" t="inlineStr">
        <x:is>
          <x:t xml:space="preserve">ETH</x:t>
        </x:is>
      </x:c>
      <x:c r="D69" s="12" t="inlineStr">
        <x:is>
          <x:t xml:space="preserve">Christian ethics and difficult texts</x:t>
        </x:is>
      </x:c>
      <x:c r="E69" s="12" t="inlineStr">
        <x:is>
          <x:t xml:space="preserve">Warfare</x:t>
        </x:is>
      </x:c>
      <x:c r="F69" s="12" t="inlineStr">
        <x:is>
          <x:t xml:space="preserve">Not started</x:t>
        </x:is>
      </x:c>
      <x:c r="G69" s="12" t="n"/>
      <x:c r="H69" s="12" t="n">
        <x:v>607</x:v>
      </x:c>
    </x:row>
    <x:row r="70">
      <x:c r="A70" s="12" t="inlineStr">
        <x:is>
          <x:t xml:space="preserve">BKL-0660</x:t>
        </x:is>
      </x:c>
      <x:c r="B70" s="12" t="inlineStr">
        <x:is>
          <x:t xml:space="preserve">XXIV</x:t>
        </x:is>
      </x:c>
      <x:c r="C70" s="12" t="inlineStr">
        <x:is>
          <x:t xml:space="preserve">ETH</x:t>
        </x:is>
      </x:c>
      <x:c r="D70" s="12" t="inlineStr">
        <x:is>
          <x:t xml:space="preserve">Christian ethics and difficult texts</x:t>
        </x:is>
      </x:c>
      <x:c r="E70" s="12" t="inlineStr">
        <x:is>
          <x:t xml:space="preserve">Capital punishment</x:t>
        </x:is>
      </x:c>
      <x:c r="F70" s="12" t="inlineStr">
        <x:is>
          <x:t xml:space="preserve">Not started</x:t>
        </x:is>
      </x:c>
      <x:c r="G70" s="12" t="n"/>
      <x:c r="H70" s="12" t="n">
        <x:v>608</x:v>
      </x:c>
    </x:row>
    <x:row r="71">
      <x:c r="A71" s="12" t="inlineStr">
        <x:is>
          <x:t xml:space="preserve">BKL-0670</x:t>
        </x:is>
      </x:c>
      <x:c r="B71" s="12" t="inlineStr">
        <x:is>
          <x:t xml:space="preserve">XXIV</x:t>
        </x:is>
      </x:c>
      <x:c r="C71" s="12" t="inlineStr">
        <x:is>
          <x:t xml:space="preserve">ETH</x:t>
        </x:is>
      </x:c>
      <x:c r="D71" s="12" t="inlineStr">
        <x:is>
          <x:t xml:space="preserve">Christian ethics and difficult texts</x:t>
        </x:is>
      </x:c>
      <x:c r="E71" s="12" t="inlineStr">
        <x:is>
          <x:t xml:space="preserve">Religious liberty</x:t>
        </x:is>
      </x:c>
      <x:c r="F71" s="12" t="inlineStr">
        <x:is>
          <x:t xml:space="preserve">Not started</x:t>
        </x:is>
      </x:c>
      <x:c r="G71" s="12" t="n"/>
      <x:c r="H71" s="12" t="n">
        <x:v>609</x:v>
      </x:c>
    </x:row>
    <x:row r="72">
      <x:c r="A72" s="12" t="inlineStr">
        <x:is>
          <x:t xml:space="preserve">BKL-0680</x:t>
        </x:is>
      </x:c>
      <x:c r="B72" s="12" t="inlineStr">
        <x:is>
          <x:t xml:space="preserve">XXIV</x:t>
        </x:is>
      </x:c>
      <x:c r="C72" s="12" t="inlineStr">
        <x:is>
          <x:t xml:space="preserve">ETH</x:t>
        </x:is>
      </x:c>
      <x:c r="D72" s="12" t="inlineStr">
        <x:is>
          <x:t xml:space="preserve">Christian ethics and difficult texts</x:t>
        </x:is>
      </x:c>
      <x:c r="E72" s="12" t="inlineStr">
        <x:is>
          <x:t xml:space="preserve">Wealth and poverty</x:t>
        </x:is>
      </x:c>
      <x:c r="F72" s="12" t="inlineStr">
        <x:is>
          <x:t xml:space="preserve">Not started</x:t>
        </x:is>
      </x:c>
      <x:c r="G72" s="12" t="n"/>
      <x:c r="H72" s="12" t="n">
        <x:v>610</x:v>
      </x:c>
    </x:row>
    <x:row r="73">
      <x:c r="A73" s="12" t="inlineStr">
        <x:is>
          <x:t xml:space="preserve">BKL-0690</x:t>
        </x:is>
      </x:c>
      <x:c r="B73" s="12" t="inlineStr">
        <x:is>
          <x:t xml:space="preserve">XXIV</x:t>
        </x:is>
      </x:c>
      <x:c r="C73" s="12" t="inlineStr">
        <x:is>
          <x:t xml:space="preserve">ETH</x:t>
        </x:is>
      </x:c>
      <x:c r="D73" s="12" t="inlineStr">
        <x:is>
          <x:t xml:space="preserve">Christian ethics and difficult texts</x:t>
        </x:is>
      </x:c>
      <x:c r="E73" s="12" t="inlineStr">
        <x:is>
          <x:t xml:space="preserve">Race and ethnicity</x:t>
        </x:is>
      </x:c>
      <x:c r="F73" s="12" t="inlineStr">
        <x:is>
          <x:t xml:space="preserve">Not started</x:t>
        </x:is>
      </x:c>
      <x:c r="G73" s="12" t="n"/>
      <x:c r="H73" s="12" t="n">
        <x:v>611</x:v>
      </x:c>
    </x:row>
    <x:row r="74">
      <x:c r="A74" s="12" t="inlineStr">
        <x:is>
          <x:t xml:space="preserve">BKL-0700</x:t>
        </x:is>
      </x:c>
      <x:c r="B74" s="12" t="inlineStr">
        <x:is>
          <x:t xml:space="preserve">XXIV</x:t>
        </x:is>
      </x:c>
      <x:c r="C74" s="12" t="inlineStr">
        <x:is>
          <x:t xml:space="preserve">ETH</x:t>
        </x:is>
      </x:c>
      <x:c r="D74" s="12" t="inlineStr">
        <x:is>
          <x:t xml:space="preserve">Christian ethics and difficult texts</x:t>
        </x:is>
      </x:c>
      <x:c r="E74" s="12" t="inlineStr">
        <x:is>
          <x:t xml:space="preserve">Disability</x:t>
        </x:is>
      </x:c>
      <x:c r="F74" s="12" t="inlineStr">
        <x:is>
          <x:t xml:space="preserve">Not started</x:t>
        </x:is>
      </x:c>
      <x:c r="G74" s="12" t="n"/>
      <x:c r="H74" s="12" t="n">
        <x:v>612</x:v>
      </x:c>
    </x:row>
    <x:row r="75">
      <x:c r="A75" s="12" t="inlineStr">
        <x:is>
          <x:t xml:space="preserve">BKL-0710</x:t>
        </x:is>
      </x:c>
      <x:c r="B75" s="12" t="inlineStr">
        <x:is>
          <x:t xml:space="preserve">XXIV</x:t>
        </x:is>
      </x:c>
      <x:c r="C75" s="12" t="inlineStr">
        <x:is>
          <x:t xml:space="preserve">ETH</x:t>
        </x:is>
      </x:c>
      <x:c r="D75" s="12" t="inlineStr">
        <x:is>
          <x:t xml:space="preserve">Christian ethics and difficult texts</x:t>
        </x:is>
      </x:c>
      <x:c r="E75" s="12" t="inlineStr">
        <x:is>
          <x:t xml:space="preserve">Ecology</x:t>
        </x:is>
      </x:c>
      <x:c r="F75" s="12" t="inlineStr">
        <x:is>
          <x:t xml:space="preserve">Not started</x:t>
        </x:is>
      </x:c>
      <x:c r="G75" s="12" t="n"/>
      <x:c r="H75" s="12" t="n">
        <x:v>613</x:v>
      </x:c>
    </x:row>
    <x:row r="76">
      <x:c r="A76" s="12" t="inlineStr">
        <x:is>
          <x:t xml:space="preserve">BKL-0720</x:t>
        </x:is>
      </x:c>
      <x:c r="B76" s="12" t="inlineStr">
        <x:is>
          <x:t xml:space="preserve">XXIV</x:t>
        </x:is>
      </x:c>
      <x:c r="C76" s="12" t="inlineStr">
        <x:is>
          <x:t xml:space="preserve">ETH</x:t>
        </x:is>
      </x:c>
      <x:c r="D76" s="12" t="inlineStr">
        <x:is>
          <x:t xml:space="preserve">Christian ethics and difficult texts</x:t>
        </x:is>
      </x:c>
      <x:c r="E76" s="12" t="inlineStr">
        <x:is>
          <x:t xml:space="preserve">Bioethics</x:t>
        </x:is>
      </x:c>
      <x:c r="F76" s="12" t="inlineStr">
        <x:is>
          <x:t xml:space="preserve">Not started</x:t>
        </x:is>
      </x:c>
      <x:c r="G76" s="12" t="n"/>
      <x:c r="H76" s="12" t="n">
        <x:v>614</x:v>
      </x:c>
    </x:row>
    <x:row r="77">
      <x:c r="A77" s="12" t="inlineStr">
        <x:is>
          <x:t xml:space="preserve">BKL-0730</x:t>
        </x:is>
      </x:c>
      <x:c r="B77" s="12" t="inlineStr">
        <x:is>
          <x:t xml:space="preserve">XXIV</x:t>
        </x:is>
      </x:c>
      <x:c r="C77" s="12" t="inlineStr">
        <x:is>
          <x:t xml:space="preserve">ETH</x:t>
        </x:is>
      </x:c>
      <x:c r="D77" s="12" t="inlineStr">
        <x:is>
          <x:t xml:space="preserve">Christian ethics and difficult texts</x:t>
        </x:is>
      </x:c>
      <x:c r="E77" s="12" t="inlineStr">
        <x:is>
          <x:t xml:space="preserve">Political authority</x:t>
        </x:is>
      </x:c>
      <x:c r="F77" s="12" t="inlineStr">
        <x:is>
          <x:t xml:space="preserve">Not started</x:t>
        </x:is>
      </x:c>
      <x:c r="G77" s="12" t="n"/>
      <x:c r="H77" s="12" t="n">
        <x:v>615</x:v>
      </x:c>
    </x:row>
    <x:row r="78">
      <x:c r="A78" s="12" t="inlineStr">
        <x:is>
          <x:t xml:space="preserve">BKL-0740</x:t>
        </x:is>
      </x:c>
      <x:c r="B78" s="12" t="inlineStr">
        <x:is>
          <x:t xml:space="preserve">XXV</x:t>
        </x:is>
      </x:c>
      <x:c r="C78" s="12" t="inlineStr">
        <x:is>
          <x:t xml:space="preserve">CMP</x:t>
        </x:is>
      </x:c>
      <x:c r="D78" s="12" t="inlineStr">
        <x:is>
          <x:t xml:space="preserve">Comparative worldview analysis</x:t>
        </x:is>
      </x:c>
      <x:c r="E78" s="12" t="inlineStr">
        <x:is>
          <x:t xml:space="preserve">Naturalism</x:t>
        </x:is>
      </x:c>
      <x:c r="F78" s="12" t="inlineStr">
        <x:is>
          <x:t xml:space="preserve">Not started</x:t>
        </x:is>
      </x:c>
      <x:c r="G78" s="12" t="n"/>
      <x:c r="H78" s="12" t="n">
        <x:v>636</x:v>
      </x:c>
    </x:row>
    <x:row r="79">
      <x:c r="A79" s="12" t="inlineStr">
        <x:is>
          <x:t xml:space="preserve">BKL-0750</x:t>
        </x:is>
      </x:c>
      <x:c r="B79" s="12" t="inlineStr">
        <x:is>
          <x:t xml:space="preserve">XXV</x:t>
        </x:is>
      </x:c>
      <x:c r="C79" s="12" t="inlineStr">
        <x:is>
          <x:t xml:space="preserve">CMP</x:t>
        </x:is>
      </x:c>
      <x:c r="D79" s="12" t="inlineStr">
        <x:is>
          <x:t xml:space="preserve">Comparative worldview analysis</x:t>
        </x:is>
      </x:c>
      <x:c r="E79" s="12" t="inlineStr">
        <x:is>
          <x:t xml:space="preserve">Physicalism</x:t>
        </x:is>
      </x:c>
      <x:c r="F79" s="12" t="inlineStr">
        <x:is>
          <x:t xml:space="preserve">Not started</x:t>
        </x:is>
      </x:c>
      <x:c r="G79" s="12" t="n"/>
      <x:c r="H79" s="12" t="n">
        <x:v>637</x:v>
      </x:c>
    </x:row>
    <x:row r="80">
      <x:c r="A80" s="12" t="inlineStr">
        <x:is>
          <x:t xml:space="preserve">BKL-0760</x:t>
        </x:is>
      </x:c>
      <x:c r="B80" s="12" t="inlineStr">
        <x:is>
          <x:t xml:space="preserve">XXV</x:t>
        </x:is>
      </x:c>
      <x:c r="C80" s="12" t="inlineStr">
        <x:is>
          <x:t xml:space="preserve">CMP</x:t>
        </x:is>
      </x:c>
      <x:c r="D80" s="12" t="inlineStr">
        <x:is>
          <x:t xml:space="preserve">Comparative worldview analysis</x:t>
        </x:is>
      </x:c>
      <x:c r="E80" s="12" t="inlineStr">
        <x:is>
          <x:t xml:space="preserve">Humanism</x:t>
        </x:is>
      </x:c>
      <x:c r="F80" s="12" t="inlineStr">
        <x:is>
          <x:t xml:space="preserve">Not started</x:t>
        </x:is>
      </x:c>
      <x:c r="G80" s="12" t="n"/>
      <x:c r="H80" s="12" t="n">
        <x:v>638</x:v>
      </x:c>
    </x:row>
    <x:row r="81">
      <x:c r="A81" s="12" t="inlineStr">
        <x:is>
          <x:t xml:space="preserve">BKL-0770</x:t>
        </x:is>
      </x:c>
      <x:c r="B81" s="12" t="inlineStr">
        <x:is>
          <x:t xml:space="preserve">XXV</x:t>
        </x:is>
      </x:c>
      <x:c r="C81" s="12" t="inlineStr">
        <x:is>
          <x:t xml:space="preserve">CMP</x:t>
        </x:is>
      </x:c>
      <x:c r="D81" s="12" t="inlineStr">
        <x:is>
          <x:t xml:space="preserve">Comparative worldview analysis</x:t>
        </x:is>
      </x:c>
      <x:c r="E81" s="12" t="inlineStr">
        <x:is>
          <x:t xml:space="preserve">Platonism</x:t>
        </x:is>
      </x:c>
      <x:c r="F81" s="12" t="inlineStr">
        <x:is>
          <x:t xml:space="preserve">Not started</x:t>
        </x:is>
      </x:c>
      <x:c r="G81" s="12" t="n"/>
      <x:c r="H81" s="12" t="n">
        <x:v>639</x:v>
      </x:c>
    </x:row>
    <x:row r="82">
      <x:c r="A82" s="12" t="inlineStr">
        <x:is>
          <x:t xml:space="preserve">BKL-0780</x:t>
        </x:is>
      </x:c>
      <x:c r="B82" s="12" t="inlineStr">
        <x:is>
          <x:t xml:space="preserve">XXV</x:t>
        </x:is>
      </x:c>
      <x:c r="C82" s="12" t="inlineStr">
        <x:is>
          <x:t xml:space="preserve">CMP</x:t>
        </x:is>
      </x:c>
      <x:c r="D82" s="12" t="inlineStr">
        <x:is>
          <x:t xml:space="preserve">Comparative worldview analysis</x:t>
        </x:is>
      </x:c>
      <x:c r="E82" s="12" t="inlineStr">
        <x:is>
          <x:t xml:space="preserve">Deism</x:t>
        </x:is>
      </x:c>
      <x:c r="F82" s="12" t="inlineStr">
        <x:is>
          <x:t xml:space="preserve">Not started</x:t>
        </x:is>
      </x:c>
      <x:c r="G82" s="12" t="n"/>
      <x:c r="H82" s="12" t="n">
        <x:v>640</x:v>
      </x:c>
    </x:row>
    <x:row r="83">
      <x:c r="A83" s="12" t="inlineStr">
        <x:is>
          <x:t xml:space="preserve">BKL-0790</x:t>
        </x:is>
      </x:c>
      <x:c r="B83" s="12" t="inlineStr">
        <x:is>
          <x:t xml:space="preserve">XXV</x:t>
        </x:is>
      </x:c>
      <x:c r="C83" s="12" t="inlineStr">
        <x:is>
          <x:t xml:space="preserve">CMP</x:t>
        </x:is>
      </x:c>
      <x:c r="D83" s="12" t="inlineStr">
        <x:is>
          <x:t xml:space="preserve">Comparative worldview analysis</x:t>
        </x:is>
      </x:c>
      <x:c r="E83" s="12" t="inlineStr">
        <x:is>
          <x:t xml:space="preserve">Pantheism</x:t>
        </x:is>
      </x:c>
      <x:c r="F83" s="12" t="inlineStr">
        <x:is>
          <x:t xml:space="preserve">Not started</x:t>
        </x:is>
      </x:c>
      <x:c r="G83" s="12" t="n"/>
      <x:c r="H83" s="12" t="n">
        <x:v>641</x:v>
      </x:c>
    </x:row>
    <x:row r="84">
      <x:c r="A84" s="12" t="inlineStr">
        <x:is>
          <x:t xml:space="preserve">BKL-0800</x:t>
        </x:is>
      </x:c>
      <x:c r="B84" s="12" t="inlineStr">
        <x:is>
          <x:t xml:space="preserve">XXV</x:t>
        </x:is>
      </x:c>
      <x:c r="C84" s="12" t="inlineStr">
        <x:is>
          <x:t xml:space="preserve">CMP</x:t>
        </x:is>
      </x:c>
      <x:c r="D84" s="12" t="inlineStr">
        <x:is>
          <x:t xml:space="preserve">Comparative worldview analysis</x:t>
        </x:is>
      </x:c>
      <x:c r="E84" s="12" t="inlineStr">
        <x:is>
          <x:t xml:space="preserve">Panentheism</x:t>
        </x:is>
      </x:c>
      <x:c r="F84" s="12" t="inlineStr">
        <x:is>
          <x:t xml:space="preserve">Not started</x:t>
        </x:is>
      </x:c>
      <x:c r="G84" s="12" t="n"/>
      <x:c r="H84" s="12" t="n">
        <x:v>642</x:v>
      </x:c>
    </x:row>
    <x:row r="85">
      <x:c r="A85" s="12" t="inlineStr">
        <x:is>
          <x:t xml:space="preserve">BKL-0810</x:t>
        </x:is>
      </x:c>
      <x:c r="B85" s="12" t="inlineStr">
        <x:is>
          <x:t xml:space="preserve">XXV</x:t>
        </x:is>
      </x:c>
      <x:c r="C85" s="12" t="inlineStr">
        <x:is>
          <x:t xml:space="preserve">CMP</x:t>
        </x:is>
      </x:c>
      <x:c r="D85" s="12" t="inlineStr">
        <x:is>
          <x:t xml:space="preserve">Comparative worldview analysis</x:t>
        </x:is>
      </x:c>
      <x:c r="E85" s="12" t="inlineStr">
        <x:is>
          <x:t xml:space="preserve">Judaism</x:t>
        </x:is>
      </x:c>
      <x:c r="F85" s="12" t="inlineStr">
        <x:is>
          <x:t xml:space="preserve">Not started</x:t>
        </x:is>
      </x:c>
      <x:c r="G85" s="12" t="n"/>
      <x:c r="H85" s="12" t="n">
        <x:v>643</x:v>
      </x:c>
    </x:row>
    <x:row r="86">
      <x:c r="A86" s="12" t="inlineStr">
        <x:is>
          <x:t xml:space="preserve">BKL-0820</x:t>
        </x:is>
      </x:c>
      <x:c r="B86" s="12" t="inlineStr">
        <x:is>
          <x:t xml:space="preserve">XXV</x:t>
        </x:is>
      </x:c>
      <x:c r="C86" s="12" t="inlineStr">
        <x:is>
          <x:t xml:space="preserve">CMP</x:t>
        </x:is>
      </x:c>
      <x:c r="D86" s="12" t="inlineStr">
        <x:is>
          <x:t xml:space="preserve">Comparative worldview analysis</x:t>
        </x:is>
      </x:c>
      <x:c r="E86" s="12" t="inlineStr">
        <x:is>
          <x:t xml:space="preserve">Islam</x:t>
        </x:is>
      </x:c>
      <x:c r="F86" s="12" t="inlineStr">
        <x:is>
          <x:t xml:space="preserve">Not started</x:t>
        </x:is>
      </x:c>
      <x:c r="G86" s="12" t="n"/>
      <x:c r="H86" s="12" t="n">
        <x:v>644</x:v>
      </x:c>
    </x:row>
    <x:row r="87">
      <x:c r="A87" s="12" t="inlineStr">
        <x:is>
          <x:t xml:space="preserve">BKL-0830</x:t>
        </x:is>
      </x:c>
      <x:c r="B87" s="12" t="inlineStr">
        <x:is>
          <x:t xml:space="preserve">XXV</x:t>
        </x:is>
      </x:c>
      <x:c r="C87" s="12" t="inlineStr">
        <x:is>
          <x:t xml:space="preserve">CMP</x:t>
        </x:is>
      </x:c>
      <x:c r="D87" s="12" t="inlineStr">
        <x:is>
          <x:t xml:space="preserve">Comparative worldview analysis</x:t>
        </x:is>
      </x:c>
      <x:c r="E87" s="12" t="inlineStr">
        <x:is>
          <x:t xml:space="preserve">Hindu traditions</x:t>
        </x:is>
      </x:c>
      <x:c r="F87" s="12" t="inlineStr">
        <x:is>
          <x:t xml:space="preserve">Not started</x:t>
        </x:is>
      </x:c>
      <x:c r="G87" s="12" t="n"/>
      <x:c r="H87" s="12" t="n">
        <x:v>645</x:v>
      </x:c>
    </x:row>
    <x:row r="88">
      <x:c r="A88" s="12" t="inlineStr">
        <x:is>
          <x:t xml:space="preserve">BKL-0840</x:t>
        </x:is>
      </x:c>
      <x:c r="B88" s="12" t="inlineStr">
        <x:is>
          <x:t xml:space="preserve">XXV</x:t>
        </x:is>
      </x:c>
      <x:c r="C88" s="12" t="inlineStr">
        <x:is>
          <x:t xml:space="preserve">CMP</x:t>
        </x:is>
      </x:c>
      <x:c r="D88" s="12" t="inlineStr">
        <x:is>
          <x:t xml:space="preserve">Comparative worldview analysis</x:t>
        </x:is>
      </x:c>
      <x:c r="E88" s="12" t="inlineStr">
        <x:is>
          <x:t xml:space="preserve">Buddhist traditions</x:t>
        </x:is>
      </x:c>
      <x:c r="F88" s="12" t="inlineStr">
        <x:is>
          <x:t xml:space="preserve">Not started</x:t>
        </x:is>
      </x:c>
      <x:c r="G88" s="12" t="n"/>
      <x:c r="H88" s="12" t="n">
        <x:v>646</x:v>
      </x:c>
    </x:row>
    <x:row r="89">
      <x:c r="A89" s="12" t="inlineStr">
        <x:is>
          <x:t xml:space="preserve">BKL-0850</x:t>
        </x:is>
      </x:c>
      <x:c r="B89" s="12" t="inlineStr">
        <x:is>
          <x:t xml:space="preserve">XXV</x:t>
        </x:is>
      </x:c>
      <x:c r="C89" s="12" t="inlineStr">
        <x:is>
          <x:t xml:space="preserve">CMP</x:t>
        </x:is>
      </x:c>
      <x:c r="D89" s="12" t="inlineStr">
        <x:is>
          <x:t xml:space="preserve">Comparative worldview analysis</x:t>
        </x:is>
      </x:c>
      <x:c r="E89" s="12" t="inlineStr">
        <x:is>
          <x:t xml:space="preserve">Sikhism</x:t>
        </x:is>
      </x:c>
      <x:c r="F89" s="12" t="inlineStr">
        <x:is>
          <x:t xml:space="preserve">Not started</x:t>
        </x:is>
      </x:c>
      <x:c r="G89" s="12" t="n"/>
      <x:c r="H89" s="12" t="n">
        <x:v>647</x:v>
      </x:c>
    </x:row>
    <x:row r="90">
      <x:c r="A90" s="12" t="inlineStr">
        <x:is>
          <x:t xml:space="preserve">BKL-0860</x:t>
        </x:is>
      </x:c>
      <x:c r="B90" s="12" t="inlineStr">
        <x:is>
          <x:t xml:space="preserve">XXV</x:t>
        </x:is>
      </x:c>
      <x:c r="C90" s="12" t="inlineStr">
        <x:is>
          <x:t xml:space="preserve">CMP</x:t>
        </x:is>
      </x:c>
      <x:c r="D90" s="12" t="inlineStr">
        <x:is>
          <x:t xml:space="preserve">Comparative worldview analysis</x:t>
        </x:is>
      </x:c>
      <x:c r="E90" s="12" t="inlineStr">
        <x:is>
          <x:t xml:space="preserve">Bahá’í</x:t>
        </x:is>
      </x:c>
      <x:c r="F90" s="12" t="inlineStr">
        <x:is>
          <x:t xml:space="preserve">Not started</x:t>
        </x:is>
      </x:c>
      <x:c r="G90" s="12" t="n"/>
      <x:c r="H90" s="12" t="n">
        <x:v>648</x:v>
      </x:c>
    </x:row>
    <x:row r="91">
      <x:c r="A91" s="12" t="inlineStr">
        <x:is>
          <x:t xml:space="preserve">BKL-0870</x:t>
        </x:is>
      </x:c>
      <x:c r="B91" s="12" t="inlineStr">
        <x:is>
          <x:t xml:space="preserve">XXV</x:t>
        </x:is>
      </x:c>
      <x:c r="C91" s="12" t="inlineStr">
        <x:is>
          <x:t xml:space="preserve">CMP</x:t>
        </x:is>
      </x:c>
      <x:c r="D91" s="12" t="inlineStr">
        <x:is>
          <x:t xml:space="preserve">Comparative worldview analysis</x:t>
        </x:is>
      </x:c>
      <x:c r="E91" s="12" t="inlineStr">
        <x:is>
          <x:t xml:space="preserve">New religious movements</x:t>
        </x:is>
      </x:c>
      <x:c r="F91" s="12" t="inlineStr">
        <x:is>
          <x:t xml:space="preserve">Not started</x:t>
        </x:is>
      </x:c>
      <x:c r="G91" s="12" t="n"/>
      <x:c r="H91" s="12" t="n">
        <x:v>649</x:v>
      </x:c>
    </x:row>
    <x:row r="92">
      <x:c r="A92" s="12" t="inlineStr">
        <x:is>
          <x:t xml:space="preserve">BKL-0880</x:t>
        </x:is>
      </x:c>
      <x:c r="B92" s="12" t="inlineStr">
        <x:is>
          <x:t xml:space="preserve">XXV</x:t>
        </x:is>
      </x:c>
      <x:c r="C92" s="12" t="inlineStr">
        <x:is>
          <x:t xml:space="preserve">CMP</x:t>
        </x:is>
      </x:c>
      <x:c r="D92" s="12" t="inlineStr">
        <x:is>
          <x:t xml:space="preserve">Comparative worldview analysis</x:t>
        </x:is>
      </x:c>
      <x:c r="E92" s="12" t="inlineStr">
        <x:is>
          <x:t xml:space="preserve">Religious pluralism</x:t>
        </x:is>
      </x:c>
      <x:c r="F92" s="12" t="inlineStr">
        <x:is>
          <x:t xml:space="preserve">Not started</x:t>
        </x:is>
      </x:c>
      <x:c r="G92" s="12" t="n"/>
      <x:c r="H92" s="12" t="n">
        <x:v>650</x:v>
      </x:c>
    </x:row>
    <x:row r="93">
      <x:c r="A93" s="12" t="inlineStr">
        <x:is>
          <x:t xml:space="preserve">BKL-0890</x:t>
        </x:is>
      </x:c>
      <x:c r="B93" s="12" t="inlineStr">
        <x:is>
          <x:t xml:space="preserve">XXV</x:t>
        </x:is>
      </x:c>
      <x:c r="C93" s="12" t="inlineStr">
        <x:is>
          <x:t xml:space="preserve">CMP</x:t>
        </x:is>
      </x:c>
      <x:c r="D93" s="12" t="inlineStr">
        <x:is>
          <x:t xml:space="preserve">Comparative worldview analysis</x:t>
        </x:is>
      </x:c>
      <x:c r="E93" s="12" t="inlineStr">
        <x:is>
          <x:t xml:space="preserve">Agnosticism</x:t>
        </x:is>
      </x:c>
      <x:c r="F93" s="12" t="inlineStr">
        <x:is>
          <x:t xml:space="preserve">Not started</x:t>
        </x:is>
      </x:c>
      <x:c r="G93" s="12" t="n"/>
      <x:c r="H93" s="12" t="n">
        <x:v>651</x:v>
      </x:c>
    </x:row>
    <x:row r="94">
      <x:c r="A94" s="12" t="inlineStr">
        <x:is>
          <x:t xml:space="preserve">BKL-0900</x:t>
        </x:is>
      </x:c>
      <x:c r="B94" s="12" t="inlineStr">
        <x:is>
          <x:t xml:space="preserve">XXV</x:t>
        </x:is>
      </x:c>
      <x:c r="C94" s="12" t="inlineStr">
        <x:is>
          <x:t xml:space="preserve">CMP</x:t>
        </x:is>
      </x:c>
      <x:c r="D94" s="12" t="inlineStr">
        <x:is>
          <x:t xml:space="preserve">Comparative worldview analysis</x:t>
        </x:is>
      </x:c>
      <x:c r="E94" s="12" t="inlineStr">
        <x:is>
          <x:t xml:space="preserve">Skepticism</x:t>
        </x:is>
      </x:c>
      <x:c r="F94" s="12" t="inlineStr">
        <x:is>
          <x:t xml:space="preserve">Not started</x:t>
        </x:is>
      </x:c>
      <x:c r="G94" s="12" t="n"/>
      <x:c r="H94" s="12" t="n">
        <x:v>652</x:v>
      </x:c>
    </x:row>
    <x:row r="95">
      <x:c r="A95" s="12" t="inlineStr">
        <x:is>
          <x:t xml:space="preserve">BKL-0910</x:t>
        </x:is>
      </x:c>
      <x:c r="B95" s="12" t="inlineStr">
        <x:is>
          <x:t xml:space="preserve">XXV</x:t>
        </x:is>
      </x:c>
      <x:c r="C95" s="12" t="inlineStr">
        <x:is>
          <x:t xml:space="preserve">CMP</x:t>
        </x:is>
      </x:c>
      <x:c r="D95" s="12" t="inlineStr">
        <x:is>
          <x:t xml:space="preserve">Comparative worldview analysis</x:t>
        </x:is>
      </x:c>
      <x:c r="E95" s="12" t="inlineStr">
        <x:is>
          <x:t xml:space="preserve">Ultimate reality</x:t>
        </x:is>
      </x:c>
      <x:c r="F95" s="12" t="inlineStr">
        <x:is>
          <x:t xml:space="preserve">Not started</x:t>
        </x:is>
      </x:c>
      <x:c r="G95" s="12" t="n"/>
      <x:c r="H95" s="12" t="n">
        <x:v>656</x:v>
      </x:c>
    </x:row>
    <x:row r="96">
      <x:c r="A96" s="12" t="inlineStr">
        <x:is>
          <x:t xml:space="preserve">BKL-0920</x:t>
        </x:is>
      </x:c>
      <x:c r="B96" s="12" t="inlineStr">
        <x:is>
          <x:t xml:space="preserve">XXV</x:t>
        </x:is>
      </x:c>
      <x:c r="C96" s="12" t="inlineStr">
        <x:is>
          <x:t xml:space="preserve">CMP</x:t>
        </x:is>
      </x:c>
      <x:c r="D96" s="12" t="inlineStr">
        <x:is>
          <x:t xml:space="preserve">Comparative worldview analysis</x:t>
        </x:is>
      </x:c>
      <x:c r="E96" s="12" t="inlineStr">
        <x:is>
          <x:t xml:space="preserve">Why anything exists</x:t>
        </x:is>
      </x:c>
      <x:c r="F96" s="12" t="inlineStr">
        <x:is>
          <x:t xml:space="preserve">Not started</x:t>
        </x:is>
      </x:c>
      <x:c r="G96" s="12" t="n"/>
      <x:c r="H96" s="12" t="n">
        <x:v>657</x:v>
      </x:c>
    </x:row>
    <x:row r="97">
      <x:c r="A97" s="12" t="inlineStr">
        <x:is>
          <x:t xml:space="preserve">BKL-0930</x:t>
        </x:is>
      </x:c>
      <x:c r="B97" s="12" t="inlineStr">
        <x:is>
          <x:t xml:space="preserve">XXV</x:t>
        </x:is>
      </x:c>
      <x:c r="C97" s="12" t="inlineStr">
        <x:is>
          <x:t xml:space="preserve">CMP</x:t>
        </x:is>
      </x:c>
      <x:c r="D97" s="12" t="inlineStr">
        <x:is>
          <x:t xml:space="preserve">Comparative worldview analysis</x:t>
        </x:is>
      </x:c>
      <x:c r="E97" s="12" t="inlineStr">
        <x:is>
          <x:t xml:space="preserve">Order and laws</x:t>
        </x:is>
      </x:c>
      <x:c r="F97" s="12" t="inlineStr">
        <x:is>
          <x:t xml:space="preserve">Not started</x:t>
        </x:is>
      </x:c>
      <x:c r="G97" s="12" t="n"/>
      <x:c r="H97" s="12" t="n">
        <x:v>658</x:v>
      </x:c>
    </x:row>
    <x:row r="98">
      <x:c r="A98" s="12" t="inlineStr">
        <x:is>
          <x:t xml:space="preserve">BKL-0940</x:t>
        </x:is>
      </x:c>
      <x:c r="B98" s="12" t="inlineStr">
        <x:is>
          <x:t xml:space="preserve">XXV</x:t>
        </x:is>
      </x:c>
      <x:c r="C98" s="12" t="inlineStr">
        <x:is>
          <x:t xml:space="preserve">CMP</x:t>
        </x:is>
      </x:c>
      <x:c r="D98" s="12" t="inlineStr">
        <x:is>
          <x:t xml:space="preserve">Comparative worldview analysis</x:t>
        </x:is>
      </x:c>
      <x:c r="E98" s="12" t="inlineStr">
        <x:is>
          <x:t xml:space="preserve">Consciousness</x:t>
        </x:is>
      </x:c>
      <x:c r="F98" s="12" t="inlineStr">
        <x:is>
          <x:t xml:space="preserve">Not started</x:t>
        </x:is>
      </x:c>
      <x:c r="G98" s="12" t="n"/>
      <x:c r="H98" s="12" t="n">
        <x:v>659</x:v>
      </x:c>
    </x:row>
    <x:row r="99">
      <x:c r="A99" s="12" t="inlineStr">
        <x:is>
          <x:t xml:space="preserve">BKL-0950</x:t>
        </x:is>
      </x:c>
      <x:c r="B99" s="12" t="inlineStr">
        <x:is>
          <x:t xml:space="preserve">XXV</x:t>
        </x:is>
      </x:c>
      <x:c r="C99" s="12" t="inlineStr">
        <x:is>
          <x:t xml:space="preserve">CMP</x:t>
        </x:is>
      </x:c>
      <x:c r="D99" s="12" t="inlineStr">
        <x:is>
          <x:t xml:space="preserve">Comparative worldview analysis</x:t>
        </x:is>
      </x:c>
      <x:c r="E99" s="12" t="inlineStr">
        <x:is>
          <x:t xml:space="preserve">Reason</x:t>
        </x:is>
      </x:c>
      <x:c r="F99" s="12" t="inlineStr">
        <x:is>
          <x:t xml:space="preserve">Not started</x:t>
        </x:is>
      </x:c>
      <x:c r="G99" s="12" t="n"/>
      <x:c r="H99" s="12" t="n">
        <x:v>660</x:v>
      </x:c>
    </x:row>
    <x:row r="100">
      <x:c r="A100" s="12" t="inlineStr">
        <x:is>
          <x:t xml:space="preserve">BKL-0960</x:t>
        </x:is>
      </x:c>
      <x:c r="B100" s="12" t="inlineStr">
        <x:is>
          <x:t xml:space="preserve">XXV</x:t>
        </x:is>
      </x:c>
      <x:c r="C100" s="12" t="inlineStr">
        <x:is>
          <x:t xml:space="preserve">CMP</x:t>
        </x:is>
      </x:c>
      <x:c r="D100" s="12" t="inlineStr">
        <x:is>
          <x:t xml:space="preserve">Comparative worldview analysis</x:t>
        </x:is>
      </x:c>
      <x:c r="E100" s="12" t="inlineStr">
        <x:is>
          <x:t xml:space="preserve">morality</x:t>
        </x:is>
      </x:c>
      <x:c r="F100" s="12" t="inlineStr">
        <x:is>
          <x:t xml:space="preserve">Not started</x:t>
        </x:is>
      </x:c>
      <x:c r="G100" s="12" t="n"/>
      <x:c r="H100" s="12" t="n">
        <x:v>661</x:v>
      </x:c>
    </x:row>
    <x:row r="101">
      <x:c r="A101" s="12" t="inlineStr">
        <x:is>
          <x:t xml:space="preserve">BKL-0970</x:t>
        </x:is>
      </x:c>
      <x:c r="B101" s="12" t="inlineStr">
        <x:is>
          <x:t xml:space="preserve">XXV</x:t>
        </x:is>
      </x:c>
      <x:c r="C101" s="12" t="inlineStr">
        <x:is>
          <x:t xml:space="preserve">CMP</x:t>
        </x:is>
      </x:c>
      <x:c r="D101" s="12" t="inlineStr">
        <x:is>
          <x:t xml:space="preserve">Comparative worldview analysis</x:t>
        </x:is>
      </x:c>
      <x:c r="E101" s="12" t="inlineStr">
        <x:is>
          <x:t xml:space="preserve">Human dignity</x:t>
        </x:is>
      </x:c>
      <x:c r="F101" s="12" t="inlineStr">
        <x:is>
          <x:t xml:space="preserve">Not started</x:t>
        </x:is>
      </x:c>
      <x:c r="G101" s="12" t="n"/>
      <x:c r="H101" s="12" t="n">
        <x:v>662</x:v>
      </x:c>
    </x:row>
    <x:row r="102">
      <x:c r="A102" s="12" t="inlineStr">
        <x:is>
          <x:t xml:space="preserve">BKL-0980</x:t>
        </x:is>
      </x:c>
      <x:c r="B102" s="12" t="inlineStr">
        <x:is>
          <x:t xml:space="preserve">XXV</x:t>
        </x:is>
      </x:c>
      <x:c r="C102" s="12" t="inlineStr">
        <x:is>
          <x:t xml:space="preserve">CMP</x:t>
        </x:is>
      </x:c>
      <x:c r="D102" s="12" t="inlineStr">
        <x:is>
          <x:t xml:space="preserve">Comparative worldview analysis</x:t>
        </x:is>
      </x:c>
      <x:c r="E102" s="12" t="inlineStr">
        <x:is>
          <x:t xml:space="preserve">Evil</x:t>
        </x:is>
      </x:c>
      <x:c r="F102" s="12" t="inlineStr">
        <x:is>
          <x:t xml:space="preserve">Not started</x:t>
        </x:is>
      </x:c>
      <x:c r="G102" s="12" t="n"/>
      <x:c r="H102" s="12" t="n">
        <x:v>663</x:v>
      </x:c>
    </x:row>
    <x:row r="103">
      <x:c r="A103" s="12" t="inlineStr">
        <x:is>
          <x:t xml:space="preserve">BKL-0990</x:t>
        </x:is>
      </x:c>
      <x:c r="B103" s="12" t="inlineStr">
        <x:is>
          <x:t xml:space="preserve">XXV</x:t>
        </x:is>
      </x:c>
      <x:c r="C103" s="12" t="inlineStr">
        <x:is>
          <x:t xml:space="preserve">CMP</x:t>
        </x:is>
      </x:c>
      <x:c r="D103" s="12" t="inlineStr">
        <x:is>
          <x:t xml:space="preserve">Comparative worldview analysis</x:t>
        </x:is>
      </x:c>
      <x:c r="E103" s="12" t="inlineStr">
        <x:is>
          <x:t xml:space="preserve">Religious diversity</x:t>
        </x:is>
      </x:c>
      <x:c r="F103" s="12" t="inlineStr">
        <x:is>
          <x:t xml:space="preserve">Not started</x:t>
        </x:is>
      </x:c>
      <x:c r="G103" s="12" t="n"/>
      <x:c r="H103" s="12" t="n">
        <x:v>664</x:v>
      </x:c>
    </x:row>
    <x:row r="104">
      <x:c r="A104" s="12" t="inlineStr">
        <x:is>
          <x:t xml:space="preserve">BKL-1000</x:t>
        </x:is>
      </x:c>
      <x:c r="B104" s="12" t="inlineStr">
        <x:is>
          <x:t xml:space="preserve">XXV</x:t>
        </x:is>
      </x:c>
      <x:c r="C104" s="12" t="inlineStr">
        <x:is>
          <x:t xml:space="preserve">CMP</x:t>
        </x:is>
      </x:c>
      <x:c r="D104" s="12" t="inlineStr">
        <x:is>
          <x:t xml:space="preserve">Comparative worldview analysis</x:t>
        </x:is>
      </x:c>
      <x:c r="E104" s="12" t="inlineStr">
        <x:is>
          <x:t xml:space="preserve">Salvation or liberation</x:t>
        </x:is>
      </x:c>
      <x:c r="F104" s="12" t="inlineStr">
        <x:is>
          <x:t xml:space="preserve">Not started</x:t>
        </x:is>
      </x:c>
      <x:c r="G104" s="12" t="n"/>
      <x:c r="H104" s="12" t="n">
        <x:v>665</x:v>
      </x:c>
    </x:row>
    <x:row r="105">
      <x:c r="A105" s="12" t="inlineStr">
        <x:is>
          <x:t xml:space="preserve">BKL-1010</x:t>
        </x:is>
      </x:c>
      <x:c r="B105" s="12" t="inlineStr">
        <x:is>
          <x:t xml:space="preserve">XXV</x:t>
        </x:is>
      </x:c>
      <x:c r="C105" s="12" t="inlineStr">
        <x:is>
          <x:t xml:space="preserve">CMP</x:t>
        </x:is>
      </x:c>
      <x:c r="D105" s="12" t="inlineStr">
        <x:is>
          <x:t xml:space="preserve">Comparative worldview analysis</x:t>
        </x:is>
      </x:c>
      <x:c r="E105" s="12" t="inlineStr">
        <x:is>
          <x:t xml:space="preserve">History</x:t>
        </x:is>
      </x:c>
      <x:c r="F105" s="12" t="inlineStr">
        <x:is>
          <x:t xml:space="preserve">Not started</x:t>
        </x:is>
      </x:c>
      <x:c r="G105" s="12" t="n"/>
      <x:c r="H105" s="12" t="n">
        <x:v>666</x:v>
      </x:c>
    </x:row>
    <x:row r="106">
      <x:c r="A106" s="12" t="inlineStr">
        <x:is>
          <x:t xml:space="preserve">BKL-1020</x:t>
        </x:is>
      </x:c>
      <x:c r="B106" s="12" t="inlineStr">
        <x:is>
          <x:t xml:space="preserve">XXV</x:t>
        </x:is>
      </x:c>
      <x:c r="C106" s="12" t="inlineStr">
        <x:is>
          <x:t xml:space="preserve">CMP</x:t>
        </x:is>
      </x:c>
      <x:c r="D106" s="12" t="inlineStr">
        <x:is>
          <x:t xml:space="preserve">Comparative worldview analysis</x:t>
        </x:is>
      </x:c>
      <x:c r="E106" s="12" t="inlineStr">
        <x:is>
          <x:t xml:space="preserve">Death</x:t>
        </x:is>
      </x:c>
      <x:c r="F106" s="12" t="inlineStr">
        <x:is>
          <x:t xml:space="preserve">Not started</x:t>
        </x:is>
      </x:c>
      <x:c r="G106" s="12" t="n"/>
      <x:c r="H106" s="12" t="n">
        <x:v>667</x:v>
      </x:c>
    </x:row>
    <x:row r="107">
      <x:c r="A107" s="12" t="inlineStr">
        <x:is>
          <x:t xml:space="preserve">BKL-1030</x:t>
        </x:is>
      </x:c>
      <x:c r="B107" s="12" t="inlineStr">
        <x:is>
          <x:t xml:space="preserve">XXV</x:t>
        </x:is>
      </x:c>
      <x:c r="C107" s="12" t="inlineStr">
        <x:is>
          <x:t xml:space="preserve">CMP</x:t>
        </x:is>
      </x:c>
      <x:c r="D107" s="12" t="inlineStr">
        <x:is>
          <x:t xml:space="preserve">Comparative worldview analysis</x:t>
        </x:is>
      </x:c>
      <x:c r="E107" s="12" t="inlineStr">
        <x:is>
          <x:t xml:space="preserve">Meaning</x:t>
        </x:is>
      </x:c>
      <x:c r="F107" s="12" t="inlineStr">
        <x:is>
          <x:t xml:space="preserve">Not started</x:t>
        </x:is>
      </x:c>
      <x:c r="G107" s="12" t="n"/>
      <x:c r="H107" s="12" t="n">
        <x:v>668</x:v>
      </x:c>
    </x:row>
    <x:row r="108">
      <x:c r="A108" s="12" t="inlineStr">
        <x:is>
          <x:t xml:space="preserve">BKL-1040</x:t>
        </x:is>
      </x:c>
      <x:c r="B108" s="12" t="inlineStr">
        <x:is>
          <x:t xml:space="preserve">XXV</x:t>
        </x:is>
      </x:c>
      <x:c r="C108" s="12" t="inlineStr">
        <x:is>
          <x:t xml:space="preserve">CMP</x:t>
        </x:is>
      </x:c>
      <x:c r="D108" s="12" t="inlineStr">
        <x:is>
          <x:t xml:space="preserve">Comparative worldview analysis</x:t>
        </x:is>
      </x:c>
      <x:c r="E108" s="12" t="inlineStr">
        <x:is>
          <x:t xml:space="preserve">Spiritual experience</x:t>
        </x:is>
      </x:c>
      <x:c r="F108" s="12" t="inlineStr">
        <x:is>
          <x:t xml:space="preserve">Not started</x:t>
        </x:is>
      </x:c>
      <x:c r="G108" s="12" t="n"/>
      <x:c r="H108" s="12" t="n">
        <x:v>669</x:v>
      </x:c>
    </x:row>
    <x:row r="109">
      <x:c r="A109" s="12" t="inlineStr">
        <x:is>
          <x:t xml:space="preserve">BKL-1050</x:t>
        </x:is>
      </x:c>
      <x:c r="B109" s="12" t="inlineStr">
        <x:is>
          <x:t xml:space="preserve">XXV</x:t>
        </x:is>
      </x:c>
      <x:c r="C109" s="12" t="inlineStr">
        <x:is>
          <x:t xml:space="preserve">CMP</x:t>
        </x:is>
      </x:c>
      <x:c r="D109" s="12" t="inlineStr">
        <x:is>
          <x:t xml:space="preserve">Comparative worldview analysis</x:t>
        </x:is>
      </x:c>
      <x:c r="E109" s="12" t="inlineStr">
        <x:is>
          <x:t xml:space="preserve">Internal coherence</x:t>
        </x:is>
      </x:c>
      <x:c r="F109" s="12" t="inlineStr">
        <x:is>
          <x:t xml:space="preserve">Not started</x:t>
        </x:is>
      </x:c>
      <x:c r="G109" s="12" t="n"/>
      <x:c r="H109" s="12" t="n">
        <x:v>670</x:v>
      </x:c>
    </x:row>
    <x:row r="110">
      <x:c r="A110" s="12" t="inlineStr">
        <x:is>
          <x:t xml:space="preserve">BKL-1060</x:t>
        </x:is>
      </x:c>
      <x:c r="B110" s="12" t="inlineStr">
        <x:is>
          <x:t xml:space="preserve">XXV</x:t>
        </x:is>
      </x:c>
      <x:c r="C110" s="12" t="inlineStr">
        <x:is>
          <x:t xml:space="preserve">CMP</x:t>
        </x:is>
      </x:c>
      <x:c r="D110" s="12" t="inlineStr">
        <x:is>
          <x:t xml:space="preserve">Comparative worldview analysis</x:t>
        </x:is>
      </x:c>
      <x:c r="E110" s="12" t="inlineStr">
        <x:is>
          <x:t xml:space="preserve">Evidential fit</x:t>
        </x:is>
      </x:c>
      <x:c r="F110" s="12" t="inlineStr">
        <x:is>
          <x:t xml:space="preserve">Not started</x:t>
        </x:is>
      </x:c>
      <x:c r="G110" s="12" t="n"/>
      <x:c r="H110" s="12" t="n">
        <x:v>671</x:v>
      </x:c>
    </x:row>
    <x:row r="111">
      <x:c r="A111" s="12" t="inlineStr">
        <x:is>
          <x:t xml:space="preserve">BKL-1070</x:t>
        </x:is>
      </x:c>
      <x:c r="B111" s="12" t="inlineStr">
        <x:is>
          <x:t xml:space="preserve">XXV</x:t>
        </x:is>
      </x:c>
      <x:c r="C111" s="12" t="inlineStr">
        <x:is>
          <x:t xml:space="preserve">CMP</x:t>
        </x:is>
      </x:c>
      <x:c r="D111" s="12" t="inlineStr">
        <x:is>
          <x:t xml:space="preserve">Comparative worldview analysis</x:t>
        </x:is>
      </x:c>
      <x:c r="E111" s="12" t="inlineStr">
        <x:is>
          <x:t xml:space="preserve">What does it explain?</x:t>
        </x:is>
      </x:c>
      <x:c r="F111" s="12" t="inlineStr">
        <x:is>
          <x:t xml:space="preserve">Not started</x:t>
        </x:is>
      </x:c>
      <x:c r="G111" s="12" t="n"/>
      <x:c r="H111" s="12" t="n">
        <x:v>676</x:v>
      </x:c>
    </x:row>
    <x:row r="112">
      <x:c r="A112" s="12" t="inlineStr">
        <x:is>
          <x:t xml:space="preserve">BKL-1080</x:t>
        </x:is>
      </x:c>
      <x:c r="B112" s="12" t="inlineStr">
        <x:is>
          <x:t xml:space="preserve">XXV</x:t>
        </x:is>
      </x:c>
      <x:c r="C112" s="12" t="inlineStr">
        <x:is>
          <x:t xml:space="preserve">CMP</x:t>
        </x:is>
      </x:c>
      <x:c r="D112" s="12" t="inlineStr">
        <x:is>
          <x:t xml:space="preserve">Comparative worldview analysis</x:t>
        </x:is>
      </x:c>
      <x:c r="E112" s="12" t="inlineStr">
        <x:is>
          <x:t xml:space="preserve">What tensions arise internally?</x:t>
        </x:is>
      </x:c>
      <x:c r="F112" s="12" t="inlineStr">
        <x:is>
          <x:t xml:space="preserve">Not started</x:t>
        </x:is>
      </x:c>
      <x:c r="G112" s="12" t="n"/>
      <x:c r="H112" s="12" t="n">
        <x:v>678</x:v>
      </x:c>
    </x:row>
  </x:sheetData>
  <x:dataValidations count="1">
    <x:dataValidation type="list" allowBlank="1" showDropDown="0" showInputMessage="1" showErrorMessage="1" sqref="F5:F112">
      <x:formula1>"Not started,In progress,Claims written,Complete,Out of scope"</x:formula1>
    </x:dataValidation>
  </x:dataValidations>
  <x:pageMargins left="0.7" right="0.7" top="0.75" bottom="0.75" header="0.3" footer="0.3"/>
  <x:tableParts count="1">
    <x:tablePart xmlns:r="http://schemas.openxmlformats.org/officeDocument/2006/relationships" r:id="R023a01fb0cf6428c"/>
  </x:tableParts>
</x:worksheet>
</file>

<file path=xl/worksheets/sheet14.xml><?xml version="1.0" encoding="utf-8"?>
<x:worksheet xmlns:x="http://schemas.openxmlformats.org/spreadsheetml/2006/main">
  <x:sheetPr>
    <x:tabColor rgb="FF2E75B6"/>
  </x:sheetPr>
  <x:sheetViews>
    <x:sheetView showGridLines="0" workbookViewId="0"/>
  </x:sheetViews>
  <x:sheetFormatPr baseColWidth="8" defaultRowHeight="13.800000190734863"/>
  <x:cols>
    <x:col min="1" max="1" width="37.77734375" style="49" customWidth="1"/>
    <x:col min="2" max="2" width="111.109375" style="49" customWidth="1"/>
    <x:col min="3" max="16384" width="8.88671875" style="49" customWidth="1"/>
  </x:cols>
  <x:sheetData>
    <x:row r="1" ht="15.600000381469727" customHeight="1">
      <x:c r="A1" s="28" t="inlineStr">
        <x:is>
          <x:t xml:space="preserve">Lean Workbook Alignment Package</x:t>
        </x:is>
      </x:c>
      <x:c r="B1" s="92" t="n"/>
    </x:row>
    <x:row r="2">
      <x:c r="A2" s="30" t="inlineStr">
        <x:is>
          <x:t xml:space="preserve">Purpose</x:t>
        </x:is>
      </x:c>
      <x:c r="B2" s="31" t="inlineStr">
        <x:is>
          <x:t xml:space="preserve">Stage the Lean workbook against the central hub before editing the live workbook.</x:t>
        </x:is>
      </x:c>
    </x:row>
    <x:row r="3">
      <x:c r="A3" s="30" t="inlineStr">
        <x:is>
          <x:t xml:space="preserve">Central hub</x:t>
        </x:is>
      </x:c>
      <x:c r="B3" s="31" t="inlineStr">
        <x:is>
          <x:t xml:space="preserve">H:\Desktop 2\LEAN 4\Google CoLab Python</x:t>
        </x:is>
      </x:c>
    </x:row>
    <x:row r="4">
      <x:c r="A4" s="30" t="inlineStr">
        <x:is>
          <x:t xml:space="preserve">Base workbook</x:t>
        </x:is>
      </x:c>
      <x:c r="B4" s="31" t="inlineStr">
        <x:is>
          <x:t xml:space="preserve">\\192.168.2.50\h_hp\Desktop\Master EXCEL\Lean 4.xlsx</x:t>
        </x:is>
      </x:c>
    </x:row>
    <x:row r="5">
      <x:c r="A5" s="30" t="inlineStr">
        <x:is>
          <x:t xml:space="preserve">Lean declarations scanned</x:t>
        </x:is>
      </x:c>
      <x:c r="B5" s="31" t="n">
        <x:v>1567</x:v>
      </x:c>
    </x:row>
    <x:row r="6">
      <x:c r="A6" s="30" t="inlineStr">
        <x:is>
          <x:t xml:space="preserve">Workbook rows audited</x:t>
        </x:is>
      </x:c>
      <x:c r="B6" s="31" t="n">
        <x:v>270</x:v>
      </x:c>
    </x:row>
    <x:row r="7">
      <x:c r="A7" s="30" t="inlineStr">
        <x:is>
          <x:t xml:space="preserve">Missing exact theorem names</x:t>
        </x:is>
      </x:c>
      <x:c r="B7" s="31" t="n">
        <x:v>756</x:v>
      </x:c>
    </x:row>
    <x:row r="8" ht="27.600000381469727" customHeight="1">
      <x:c r="A8" s="30" t="inlineStr">
        <x:is>
          <x:t xml:space="preserve">Workbook rows with high proof/claim risk</x:t>
        </x:is>
      </x:c>
      <x:c r="B8" s="31" t="n">
        <x:v>129</x:v>
      </x:c>
    </x:row>
    <x:row r="9">
      <x:c r="A9" s="30" t="inlineStr">
        <x:is>
          <x:t xml:space="preserve">Embedded EXCEL_ADD_LIST rows</x:t>
        </x:is>
      </x:c>
      <x:c r="B9" s="31" t="n">
        <x:v>42</x:v>
      </x:c>
    </x:row>
    <x:row r="10">
      <x:c r="A10" s="30" t="inlineStr">
        <x:is>
          <x:t xml:space="preserve">Immediate rule</x:t>
        </x:is>
      </x:c>
      <x:c r="B10" s="31" t="inlineStr">
        <x:is>
          <x:t xml:space="preserve">Do not cite a theorem as public evidence until its exact Lean statement, proof strength, and claim class are checked.</x:t>
        </x:is>
      </x:c>
    </x:row>
    <x:row r="11">
      <x:c r="A11" s="32" t="inlineStr">
        <x:is>
          <x:t xml:space="preserve">Safe formal wording</x:t>
        </x:is>
      </x:c>
      <x:c r="B11" s="33" t="inlineStr">
        <x:is>
          <x:t xml:space="preserve">Within the declared formal system, the conclusion follows from the listed definitions and assumptions.</x:t>
        </x:is>
      </x:c>
    </x:row>
  </x:sheetData>
  <x:mergeCells>
    <x:mergeCell ref="A1:B1"/>
  </x:mergeCells>
  <x:pageMargins left="0.7" right="0.7" top="0.75" bottom="0.75" header="0.3" footer="0.3"/>
</x:worksheet>
</file>

<file path=xl/worksheets/sheet15.xml><?xml version="1.0" encoding="utf-8"?>
<x:worksheet xmlns:x="http://schemas.openxmlformats.org/spreadsheetml/2006/main">
  <x:sheetPr>
    <x:tabColor rgb="FF2E75B6"/>
  </x:sheetPr>
  <x:sheetViews>
    <x:sheetView showGridLines="0" workbookViewId="0"/>
  </x:sheetViews>
  <x:sheetFormatPr baseColWidth="8" defaultRowHeight="13.800000190734863"/>
  <x:cols>
    <x:col min="1" max="4" width="31.109375" style="49" customWidth="1"/>
    <x:col min="5" max="8" width="26.6640625" style="49" customWidth="1"/>
    <x:col min="9" max="9" width="11.77734375" style="49" customWidth="1"/>
    <x:col min="10" max="10" width="26.109375" style="49" customWidth="1"/>
    <x:col min="11" max="12" width="50" style="49" customWidth="1"/>
    <x:col min="13" max="16384" width="8.88671875" style="49" customWidth="1"/>
  </x:cols>
  <x:sheetData>
    <x:row r="1" ht="17.399999618530273" customHeight="1">
      <x:c r="A1" s="50" t="inlineStr">
        <x:is>
          <x:t xml:space="preserve">LEAN_CANONICAL_LEDGER</x:t>
        </x:is>
      </x:c>
    </x:row>
    <x:row r="2" ht="14.399999618530273" customHeight="1">
      <x:c r="A2" s="51" t="inlineStr">
        <x:is>
          <x:t xml:space="preserve">One canonical owner per declaration name; compile status remains pending until Lean is run.</x:t>
        </x:is>
      </x:c>
    </x:row>
    <x:row r="4" ht="15" customHeight="1">
      <x:c r="A4" s="52" t="inlineStr">
        <x:is>
          <x:t xml:space="preserve">theorem_name</x:t>
        </x:is>
      </x:c>
      <x:c r="B4" s="53" t="inlineStr">
        <x:is>
          <x:t xml:space="preserve">kind</x:t>
        </x:is>
      </x:c>
      <x:c r="C4" s="53" t="inlineStr">
        <x:is>
          <x:t xml:space="preserve">canonical_file</x:t>
        </x:is>
      </x:c>
      <x:c r="D4" s="53" t="inlineStr">
        <x:is>
          <x:t xml:space="preserve">canonical_line</x:t>
        </x:is>
      </x:c>
      <x:c r="E4" s="53" t="inlineStr">
        <x:is>
          <x:t xml:space="preserve">proof_strength</x:t>
        </x:is>
      </x:c>
      <x:c r="F4" s="53" t="inlineStr">
        <x:is>
          <x:t xml:space="preserve">compile_status</x:t>
        </x:is>
      </x:c>
      <x:c r="G4" s="53" t="inlineStr">
        <x:is>
          <x:t xml:space="preserve">sorry_status</x:t>
        </x:is>
      </x:c>
      <x:c r="H4" s="53" t="inlineStr">
        <x:is>
          <x:t xml:space="preserve">public_count_bucket</x:t>
        </x:is>
      </x:c>
      <x:c r="I4" s="53" t="inlineStr">
        <x:is>
          <x:t xml:space="preserve">mirror_count</x:t>
        </x:is>
      </x:c>
      <x:c r="J4" s="53" t="inlineStr">
        <x:is>
          <x:t xml:space="preserve">workbook_rows</x:t>
        </x:is>
      </x:c>
      <x:c r="K4" s="53" t="inlineStr">
        <x:is>
          <x:t xml:space="preserve">public_claim_supported</x:t>
        </x:is>
      </x:c>
      <x:c r="L4" s="54" t="inlineStr">
        <x:is>
          <x:t xml:space="preserve">closure_objection_links</x:t>
        </x:is>
      </x:c>
    </x:row>
    <x:row r="5" ht="15" customHeight="1">
      <x:c r="A5" s="55" t="inlineStr">
        <x:is>
          <x:t xml:space="preserve">ActualizationRole</x:t>
        </x:is>
      </x:c>
      <x:c r="B5" s="49" t="inlineStr">
        <x:is>
          <x:t xml:space="preserve">inductive</x:t>
        </x:is>
      </x:c>
      <x:c r="C5" s="49" t="inlineStr">
        <x:is>
          <x:t xml:space="preserve">theophysics-lean-main\theophysics-lean-main\Theophysics_DelayedChoice.lean</x:t>
        </x:is>
      </x:c>
      <x:c r="D5" s="49" t="inlineStr">
        <x:is>
          <x:t xml:space="preserve">116</x:t>
        </x:is>
      </x:c>
      <x:c r="E5" s="49" t="inlineStr">
        <x:is>
          <x:t xml:space="preserve">DECLARATION_OR_UNKNOWN</x:t>
        </x:is>
      </x:c>
      <x:c r="F5" s="49" t="inlineStr">
        <x:is>
          <x:t xml:space="preserve">PENDING_NOT_RUN</x:t>
        </x:is>
      </x:c>
      <x:c r="G5" s="49" t="inlineStr">
        <x:is>
          <x:t xml:space="preserve">NO_SORRY_OR_ADMIT_STATIC_SCAN</x:t>
        </x:is>
      </x:c>
      <x:c r="H5" s="49" t="inlineStr">
        <x:is>
          <x:t xml:space="preserve">SCAFFOLDING_NOT_PUBLIC_COUNT</x:t>
        </x:is>
      </x:c>
      <x:c r="I5" s="49" t="inlineStr">
        <x:is>
          <x:t xml:space="preserve">0</x:t>
        </x:is>
      </x:c>
      <x:c r="L5" s="56" t="n"/>
    </x:row>
    <x:row r="6" ht="15" customHeight="1">
      <x:c r="A6" s="55" t="inlineStr">
        <x:is>
          <x:t xml:space="preserve">ActualizationSystem</x:t>
        </x:is>
      </x:c>
      <x:c r="B6" s="49" t="inlineStr">
        <x:is>
          <x:t xml:space="preserve">inductive</x:t>
        </x:is>
      </x:c>
      <x:c r="C6" s="49" t="inlineStr">
        <x:is>
          <x:t xml:space="preserve">theophysics-lean-main\theophysics-lean-main\Theophysics_DelayedChoice.lean</x:t>
        </x:is>
      </x:c>
      <x:c r="D6" s="49" t="inlineStr">
        <x:is>
          <x:t xml:space="preserve">122</x:t>
        </x:is>
      </x:c>
      <x:c r="E6" s="49" t="inlineStr">
        <x:is>
          <x:t xml:space="preserve">DECLARATION_OR_UNKNOWN</x:t>
        </x:is>
      </x:c>
      <x:c r="F6" s="49" t="inlineStr">
        <x:is>
          <x:t xml:space="preserve">PENDING_NOT_RUN</x:t>
        </x:is>
      </x:c>
      <x:c r="G6" s="49" t="inlineStr">
        <x:is>
          <x:t xml:space="preserve">NO_SORRY_OR_ADMIT_STATIC_SCAN</x:t>
        </x:is>
      </x:c>
      <x:c r="H6" s="49" t="inlineStr">
        <x:is>
          <x:t xml:space="preserve">SCAFFOLDING_NOT_PUBLIC_COUNT</x:t>
        </x:is>
      </x:c>
      <x:c r="I6" s="49" t="inlineStr">
        <x:is>
          <x:t xml:space="preserve">0</x:t>
        </x:is>
      </x:c>
      <x:c r="L6" s="56" t="n"/>
    </x:row>
    <x:row r="7" ht="15" customHeight="1">
      <x:c r="A7" s="55" t="inlineStr">
        <x:is>
          <x:t xml:space="preserve">AntiFruit</x:t>
        </x:is>
      </x:c>
      <x:c r="B7" s="49" t="inlineStr">
        <x:is>
          <x:t xml:space="preserve">inductive</x:t>
        </x:is>
      </x:c>
      <x:c r="C7" s="49" t="inlineStr">
        <x:is>
          <x:t xml:space="preserve">theophysics-lean-main\theophysics-lean-main\Theophysics_Canonization.lean</x:t>
        </x:is>
      </x:c>
      <x:c r="D7" s="49" t="inlineStr">
        <x:is>
          <x:t xml:space="preserve">242</x:t>
        </x:is>
      </x:c>
      <x:c r="E7" s="49" t="inlineStr">
        <x:is>
          <x:t xml:space="preserve">DECLARATION_OR_UNKNOWN</x:t>
        </x:is>
      </x:c>
      <x:c r="F7" s="49" t="inlineStr">
        <x:is>
          <x:t xml:space="preserve">PENDING_NOT_RUN</x:t>
        </x:is>
      </x:c>
      <x:c r="G7" s="49" t="inlineStr">
        <x:is>
          <x:t xml:space="preserve">NO_SORRY_OR_ADMIT_STATIC_SCAN</x:t>
        </x:is>
      </x:c>
      <x:c r="H7" s="49" t="inlineStr">
        <x:is>
          <x:t xml:space="preserve">SCAFFOLDING_NOT_PUBLIC_COUNT</x:t>
        </x:is>
      </x:c>
      <x:c r="I7" s="49" t="inlineStr">
        <x:is>
          <x:t xml:space="preserve">0</x:t>
        </x:is>
      </x:c>
      <x:c r="L7" s="56" t="n"/>
    </x:row>
    <x:row r="8" ht="15" customHeight="1">
      <x:c r="A8" s="55" t="inlineStr">
        <x:is>
          <x:t xml:space="preserve">AntiLagrangian</x:t>
        </x:is>
      </x:c>
      <x:c r="B8" s="49" t="inlineStr">
        <x:is>
          <x:t xml:space="preserve">def</x:t>
        </x:is>
      </x:c>
      <x:c r="C8" s="49" t="inlineStr">
        <x:is>
          <x:t xml:space="preserve">theophysics-lean-main\theophysics-lean-main\Theophysics_Canonization.lean</x:t>
        </x:is>
      </x:c>
      <x:c r="D8" s="49" t="inlineStr">
        <x:is>
          <x:t xml:space="preserve">108</x:t>
        </x:is>
      </x:c>
      <x:c r="E8" s="49" t="inlineStr">
        <x:is>
          <x:t xml:space="preserve">DECLARATION_OR_UNKNOWN</x:t>
        </x:is>
      </x:c>
      <x:c r="F8" s="49" t="inlineStr">
        <x:is>
          <x:t xml:space="preserve">PENDING_NOT_RUN</x:t>
        </x:is>
      </x:c>
      <x:c r="G8" s="49" t="inlineStr">
        <x:is>
          <x:t xml:space="preserve">NO_SORRY_OR_ADMIT_STATIC_SCAN</x:t>
        </x:is>
      </x:c>
      <x:c r="H8" s="49" t="inlineStr">
        <x:is>
          <x:t xml:space="preserve">SCAFFOLDING_NOT_PUBLIC_COUNT</x:t>
        </x:is>
      </x:c>
      <x:c r="I8" s="49" t="inlineStr">
        <x:is>
          <x:t xml:space="preserve">0</x:t>
        </x:is>
      </x:c>
      <x:c r="L8" s="56" t="n"/>
    </x:row>
    <x:row r="9" ht="15" customHeight="1">
      <x:c r="A9" s="55" t="inlineStr">
        <x:is>
          <x:t xml:space="preserve">ArmorPiece</x:t>
        </x:is>
      </x:c>
      <x:c r="B9" s="49" t="inlineStr">
        <x:is>
          <x:t xml:space="preserve">inductive</x:t>
        </x:is>
      </x:c>
      <x:c r="C9" s="49" t="inlineStr">
        <x:is>
          <x:t xml:space="preserve">theophysics-lean-main\theophysics-lean-main\Theophysics_Canonization.lean</x:t>
        </x:is>
      </x:c>
      <x:c r="D9" s="49" t="inlineStr">
        <x:is>
          <x:t xml:space="preserve">295</x:t>
        </x:is>
      </x:c>
      <x:c r="E9" s="49" t="inlineStr">
        <x:is>
          <x:t xml:space="preserve">DECLARATION_OR_UNKNOWN</x:t>
        </x:is>
      </x:c>
      <x:c r="F9" s="49" t="inlineStr">
        <x:is>
          <x:t xml:space="preserve">PENDING_NOT_RUN</x:t>
        </x:is>
      </x:c>
      <x:c r="G9" s="49" t="inlineStr">
        <x:is>
          <x:t xml:space="preserve">NO_SORRY_OR_ADMIT_STATIC_SCAN</x:t>
        </x:is>
      </x:c>
      <x:c r="H9" s="49" t="inlineStr">
        <x:is>
          <x:t xml:space="preserve">SCAFFOLDING_NOT_PUBLIC_COUNT</x:t>
        </x:is>
      </x:c>
      <x:c r="I9" s="49" t="inlineStr">
        <x:is>
          <x:t xml:space="preserve">0</x:t>
        </x:is>
      </x:c>
      <x:c r="L9" s="56" t="n"/>
    </x:row>
    <x:row r="10" ht="15" customHeight="1">
      <x:c r="A10" s="55" t="inlineStr">
        <x:is>
          <x:t xml:space="preserve">Beatitude</x:t>
        </x:is>
      </x:c>
      <x:c r="B10" s="49" t="inlineStr">
        <x:is>
          <x:t xml:space="preserve">inductive</x:t>
        </x:is>
      </x:c>
      <x:c r="C10" s="49" t="inlineStr">
        <x:is>
          <x:t xml:space="preserve">theophysics-lean-main\theophysics-lean-main\Theophysics_Canonization.lean</x:t>
        </x:is>
      </x:c>
      <x:c r="D10" s="49" t="inlineStr">
        <x:is>
          <x:t xml:space="preserve">288</x:t>
        </x:is>
      </x:c>
      <x:c r="E10" s="49" t="inlineStr">
        <x:is>
          <x:t xml:space="preserve">DECLARATION_OR_UNKNOWN</x:t>
        </x:is>
      </x:c>
      <x:c r="F10" s="49" t="inlineStr">
        <x:is>
          <x:t xml:space="preserve">PENDING_NOT_RUN</x:t>
        </x:is>
      </x:c>
      <x:c r="G10" s="49" t="inlineStr">
        <x:is>
          <x:t xml:space="preserve">NO_SORRY_OR_ADMIT_STATIC_SCAN</x:t>
        </x:is>
      </x:c>
      <x:c r="H10" s="49" t="inlineStr">
        <x:is>
          <x:t xml:space="preserve">SCAFFOLDING_NOT_PUBLIC_COUNT</x:t>
        </x:is>
      </x:c>
      <x:c r="I10" s="49" t="inlineStr">
        <x:is>
          <x:t xml:space="preserve">0</x:t>
        </x:is>
      </x:c>
      <x:c r="L10" s="56" t="n"/>
    </x:row>
    <x:row r="11" ht="15" customHeight="1">
      <x:c r="A11" s="55" t="inlineStr">
        <x:is>
          <x:t xml:space="preserve">BridgeFailure</x:t>
        </x:is>
      </x:c>
      <x:c r="B11" s="49" t="inlineStr">
        <x:is>
          <x:t xml:space="preserve">inductive</x:t>
        </x:is>
      </x:c>
      <x:c r="C11" s="49" t="inlineStr">
        <x:is>
          <x:t xml:space="preserve">theophysics-lean-main\theophysics-lean-main\Theophysics_Adversarial.lean</x:t>
        </x:is>
      </x:c>
      <x:c r="D11" s="49" t="inlineStr">
        <x:is>
          <x:t xml:space="preserve">183</x:t>
        </x:is>
      </x:c>
      <x:c r="E11" s="49" t="inlineStr">
        <x:is>
          <x:t xml:space="preserve">DECLARATION_OR_UNKNOWN</x:t>
        </x:is>
      </x:c>
      <x:c r="F11" s="49" t="inlineStr">
        <x:is>
          <x:t xml:space="preserve">PENDING_NOT_RUN</x:t>
        </x:is>
      </x:c>
      <x:c r="G11" s="49" t="inlineStr">
        <x:is>
          <x:t xml:space="preserve">NO_SORRY_OR_ADMIT_STATIC_SCAN</x:t>
        </x:is>
      </x:c>
      <x:c r="H11" s="49" t="inlineStr">
        <x:is>
          <x:t xml:space="preserve">SCAFFOLDING_NOT_PUBLIC_COUNT</x:t>
        </x:is>
      </x:c>
      <x:c r="I11" s="49" t="inlineStr">
        <x:is>
          <x:t xml:space="preserve">3</x:t>
        </x:is>
      </x:c>
      <x:c r="L11" s="56" t="n"/>
    </x:row>
    <x:row r="12" ht="15" customHeight="1">
      <x:c r="A12" s="55" t="inlineStr">
        <x:is>
          <x:t xml:space="preserve">BridgeMechanism</x:t>
        </x:is>
      </x:c>
      <x:c r="B12" s="49" t="inlineStr">
        <x:is>
          <x:t xml:space="preserve">inductive</x:t>
        </x:is>
      </x:c>
      <x:c r="C12" s="49" t="inlineStr">
        <x:is>
          <x:t xml:space="preserve">theophysics-lean-main\theophysics-lean-main\Final_Lean4_From_Excel.lean</x:t>
        </x:is>
      </x:c>
      <x:c r="D12" s="49" t="inlineStr">
        <x:is>
          <x:t xml:space="preserve">138</x:t>
        </x:is>
      </x:c>
      <x:c r="E12" s="49" t="inlineStr">
        <x:is>
          <x:t xml:space="preserve">DECLARATION_OR_UNKNOWN</x:t>
        </x:is>
      </x:c>
      <x:c r="F12" s="49" t="inlineStr">
        <x:is>
          <x:t xml:space="preserve">PENDING_NOT_RUN</x:t>
        </x:is>
      </x:c>
      <x:c r="G12" s="49" t="inlineStr">
        <x:is>
          <x:t xml:space="preserve">NO_SORRY_OR_ADMIT_STATIC_SCAN</x:t>
        </x:is>
      </x:c>
      <x:c r="H12" s="49" t="inlineStr">
        <x:is>
          <x:t xml:space="preserve">SCAFFOLDING_NOT_PUBLIC_COUNT</x:t>
        </x:is>
      </x:c>
      <x:c r="I12" s="49" t="inlineStr">
        <x:is>
          <x:t xml:space="preserve">3</x:t>
        </x:is>
      </x:c>
      <x:c r="L12" s="56" t="n"/>
    </x:row>
    <x:row r="13" ht="15" customHeight="1">
      <x:c r="A13" s="55" t="inlineStr">
        <x:is>
          <x:t xml:space="preserve">BridgeTendency</x:t>
        </x:is>
      </x:c>
      <x:c r="B13" s="49" t="inlineStr">
        <x:is>
          <x:t xml:space="preserve">inductive</x:t>
        </x:is>
      </x:c>
      <x:c r="C13" s="49" t="inlineStr">
        <x:is>
          <x:t xml:space="preserve">theophysics-lean-main\theophysics-lean-main\Final_Lean4_From_Excel.lean</x:t>
        </x:is>
      </x:c>
      <x:c r="D13" s="49" t="inlineStr">
        <x:is>
          <x:t xml:space="preserve">144</x:t>
        </x:is>
      </x:c>
      <x:c r="E13" s="49" t="inlineStr">
        <x:is>
          <x:t xml:space="preserve">DECLARATION_OR_UNKNOWN</x:t>
        </x:is>
      </x:c>
      <x:c r="F13" s="49" t="inlineStr">
        <x:is>
          <x:t xml:space="preserve">PENDING_NOT_RUN</x:t>
        </x:is>
      </x:c>
      <x:c r="G13" s="49" t="inlineStr">
        <x:is>
          <x:t xml:space="preserve">NO_SORRY_OR_ADMIT_STATIC_SCAN</x:t>
        </x:is>
      </x:c>
      <x:c r="H13" s="49" t="inlineStr">
        <x:is>
          <x:t xml:space="preserve">SCAFFOLDING_NOT_PUBLIC_COUNT</x:t>
        </x:is>
      </x:c>
      <x:c r="I13" s="49" t="inlineStr">
        <x:is>
          <x:t xml:space="preserve">3</x:t>
        </x:is>
      </x:c>
      <x:c r="L13" s="56" t="n"/>
    </x:row>
    <x:row r="14" ht="15" customHeight="1">
      <x:c r="A14" s="55" t="inlineStr">
        <x:is>
          <x:t xml:space="preserve">Brokenness</x:t>
        </x:is>
      </x:c>
      <x:c r="B14" s="49" t="inlineStr">
        <x:is>
          <x:t xml:space="preserve">structure</x:t>
        </x:is>
      </x:c>
      <x:c r="C14" s="49" t="inlineStr">
        <x:is>
          <x:t xml:space="preserve">theophysics-lean-main\theophysics-lean-main\Theophysics_Canonization.lean</x:t>
        </x:is>
      </x:c>
      <x:c r="D14" s="49" t="inlineStr">
        <x:is>
          <x:t xml:space="preserve">379</x:t>
        </x:is>
      </x:c>
      <x:c r="E14" s="49" t="inlineStr">
        <x:is>
          <x:t xml:space="preserve">DECLARATION_OR_UNKNOWN</x:t>
        </x:is>
      </x:c>
      <x:c r="F14" s="49" t="inlineStr">
        <x:is>
          <x:t xml:space="preserve">PENDING_NOT_RUN</x:t>
        </x:is>
      </x:c>
      <x:c r="G14" s="49" t="inlineStr">
        <x:is>
          <x:t xml:space="preserve">NO_SORRY_OR_ADMIT_STATIC_SCAN</x:t>
        </x:is>
      </x:c>
      <x:c r="H14" s="49" t="inlineStr">
        <x:is>
          <x:t xml:space="preserve">SCAFFOLDING_NOT_PUBLIC_COUNT</x:t>
        </x:is>
      </x:c>
      <x:c r="I14" s="49" t="inlineStr">
        <x:is>
          <x:t xml:space="preserve">0</x:t>
        </x:is>
      </x:c>
      <x:c r="L14" s="56" t="n"/>
    </x:row>
    <x:row r="15" ht="15" customHeight="1">
      <x:c r="A15" s="55" t="inlineStr">
        <x:is>
          <x:t xml:space="preserve">C0_ne_C1</x:t>
        </x:is>
      </x:c>
      <x:c r="B15" s="49" t="inlineStr">
        <x:is>
          <x:t xml:space="preserve">theorem</x:t>
        </x:is>
      </x:c>
      <x:c r="C15" s="49" t="inlineStr">
        <x:is>
          <x:t xml:space="preserve">theophysics-lean-main\theophysics-lean-main\Theophysics_Core.lean</x:t>
        </x:is>
      </x:c>
      <x:c r="D15" s="49" t="inlineStr">
        <x:is>
          <x:t xml:space="preserve">29</x:t>
        </x:is>
      </x:c>
      <x:c r="E15" s="49" t="inlineStr">
        <x:is>
          <x:t xml:space="preserve">DECLARATION_OR_UNKNOWN</x:t>
        </x:is>
      </x:c>
      <x:c r="F15" s="49" t="inlineStr">
        <x:is>
          <x:t xml:space="preserve">PENDING_NOT_RUN</x:t>
        </x:is>
      </x:c>
      <x:c r="G15" s="49" t="inlineStr">
        <x:is>
          <x:t xml:space="preserve">NO_SORRY_OR_ADMIT_STATIC_SCAN</x:t>
        </x:is>
      </x:c>
      <x:c r="H15" s="49" t="inlineStr">
        <x:is>
          <x:t xml:space="preserve">CANONICAL_THEOREM_DEDUPED_PENDING_COMPILE</x:t>
        </x:is>
      </x:c>
      <x:c r="I15" s="49" t="inlineStr">
        <x:is>
          <x:t xml:space="preserve">7</x:t>
        </x:is>
      </x:c>
      <x:c r="J15" s="49" t="inlineStr">
        <x:is>
          <x:t xml:space="preserve">LEAN_DERIVATION_CHAIN:3</x:t>
        </x:is>
      </x:c>
      <x:c r="K15" s="49" t="inlineStr">
        <x:is>
          <x:t xml:space="preserve">C0 ≠ C1 — the two coupling states are structurally distinct</x:t>
        </x:is>
      </x:c>
      <x:c r="L15" s="56" t="inlineStr">
        <x:is>
          <x:t xml:space="preserve">heaviside_content_loss | load_bearing_controls | variable_coupling</x:t>
        </x:is>
      </x:c>
    </x:row>
    <x:row r="16" ht="15" customHeight="1">
      <x:c r="A16" s="55" t="inlineStr">
        <x:is>
          <x:t xml:space="preserve">C1_ne_C0</x:t>
        </x:is>
      </x:c>
      <x:c r="B16" s="49" t="inlineStr">
        <x:is>
          <x:t xml:space="preserve">theorem</x:t>
        </x:is>
      </x:c>
      <x:c r="C16" s="49" t="inlineStr">
        <x:is>
          <x:t xml:space="preserve">theophysics-lean-main\theophysics-lean-main\Theophysics_Core.lean</x:t>
        </x:is>
      </x:c>
      <x:c r="D16" s="49" t="inlineStr">
        <x:is>
          <x:t xml:space="preserve">30</x:t>
        </x:is>
      </x:c>
      <x:c r="E16" s="49" t="inlineStr">
        <x:is>
          <x:t xml:space="preserve">DECLARATION_OR_UNKNOWN</x:t>
        </x:is>
      </x:c>
      <x:c r="F16" s="49" t="inlineStr">
        <x:is>
          <x:t xml:space="preserve">PENDING_NOT_RUN</x:t>
        </x:is>
      </x:c>
      <x:c r="G16" s="49" t="inlineStr">
        <x:is>
          <x:t xml:space="preserve">NO_SORRY_OR_ADMIT_STATIC_SCAN</x:t>
        </x:is>
      </x:c>
      <x:c r="H16" s="49" t="inlineStr">
        <x:is>
          <x:t xml:space="preserve">CANONICAL_THEOREM_DEDUPED_PENDING_COMPILE</x:t>
        </x:is>
      </x:c>
      <x:c r="I16" s="49" t="inlineStr">
        <x:is>
          <x:t xml:space="preserve">7</x:t>
        </x:is>
      </x:c>
      <x:c r="J16" s="49" t="inlineStr">
        <x:is>
          <x:t xml:space="preserve">LEAN_DERIVATION_CHAIN:4</x:t>
        </x:is>
      </x:c>
      <x:c r="K16" s="49" t="inlineStr">
        <x:is>
          <x:t xml:space="preserve">C1 ≠ C0 (symmetric direction)</x:t>
        </x:is>
      </x:c>
      <x:c r="L16" s="56" t="inlineStr">
        <x:is>
          <x:t xml:space="preserve">heaviside_content_loss | load_bearing_controls | variable_coupling</x:t>
        </x:is>
      </x:c>
    </x:row>
    <x:row r="17" ht="15" customHeight="1">
      <x:c r="A17" s="55" t="inlineStr">
        <x:is>
          <x:t xml:space="preserve">CDSignature</x:t>
        </x:is>
      </x:c>
      <x:c r="B17" s="49" t="inlineStr">
        <x:is>
          <x:t xml:space="preserve">structure</x:t>
        </x:is>
      </x:c>
      <x:c r="C17" s="49" t="inlineStr">
        <x:is>
          <x:t xml:space="preserve">theophysics-lean-main\theophysics-lean-main\Theophysics_Universality.lean</x:t>
        </x:is>
      </x:c>
      <x:c r="D17" s="49" t="inlineStr">
        <x:is>
          <x:t xml:space="preserve">28</x:t>
        </x:is>
      </x:c>
      <x:c r="E17" s="49" t="inlineStr">
        <x:is>
          <x:t xml:space="preserve">DECLARATION_OR_UNKNOWN</x:t>
        </x:is>
      </x:c>
      <x:c r="F17" s="49" t="inlineStr">
        <x:is>
          <x:t xml:space="preserve">PENDING_NOT_RUN</x:t>
        </x:is>
      </x:c>
      <x:c r="G17" s="49" t="inlineStr">
        <x:is>
          <x:t xml:space="preserve">NO_SORRY_OR_ADMIT_STATIC_SCAN</x:t>
        </x:is>
      </x:c>
      <x:c r="H17" s="49" t="inlineStr">
        <x:is>
          <x:t xml:space="preserve">SCAFFOLDING_NOT_PUBLIC_COUNT</x:t>
        </x:is>
      </x:c>
      <x:c r="I17" s="49" t="inlineStr">
        <x:is>
          <x:t xml:space="preserve">0</x:t>
        </x:is>
      </x:c>
      <x:c r="L17" s="56" t="n"/>
    </x:row>
    <x:row r="18" ht="15" customHeight="1">
      <x:c r="A18" s="55" t="inlineStr">
        <x:is>
          <x:t xml:space="preserve">CGate</x:t>
        </x:is>
      </x:c>
      <x:c r="B18" s="49" t="inlineStr">
        <x:is>
          <x:t xml:space="preserve">def</x:t>
        </x:is>
      </x:c>
      <x:c r="C18" s="49" t="inlineStr">
        <x:is>
          <x:t xml:space="preserve">theophysics-lean-main\theophysics-lean-main\Theophysics_LawMechanisms.lean</x:t>
        </x:is>
      </x:c>
      <x:c r="D18" s="49" t="inlineStr">
        <x:is>
          <x:t xml:space="preserve">317</x:t>
        </x:is>
      </x:c>
      <x:c r="E18" s="49" t="inlineStr">
        <x:is>
          <x:t xml:space="preserve">DECLARATION_OR_UNKNOWN</x:t>
        </x:is>
      </x:c>
      <x:c r="F18" s="49" t="inlineStr">
        <x:is>
          <x:t xml:space="preserve">PENDING_NOT_RUN</x:t>
        </x:is>
      </x:c>
      <x:c r="G18" s="49" t="inlineStr">
        <x:is>
          <x:t xml:space="preserve">NO_SORRY_OR_ADMIT_STATIC_SCAN</x:t>
        </x:is>
      </x:c>
      <x:c r="H18" s="49" t="inlineStr">
        <x:is>
          <x:t xml:space="preserve">SCAFFOLDING_NOT_PUBLIC_COUNT</x:t>
        </x:is>
      </x:c>
      <x:c r="I18" s="49" t="inlineStr">
        <x:is>
          <x:t xml:space="preserve">0</x:t>
        </x:is>
      </x:c>
      <x:c r="L18" s="56" t="n"/>
    </x:row>
    <x:row r="19" ht="15" customHeight="1">
      <x:c r="A19" s="55" t="inlineStr">
        <x:is>
          <x:t xml:space="preserve">C_op_converts_negative_to_positive</x:t>
        </x:is>
      </x:c>
      <x:c r="B19" s="49" t="inlineStr">
        <x:is>
          <x:t xml:space="preserve">theorem</x:t>
        </x:is>
      </x:c>
      <x:c r="C19" s="49" t="inlineStr">
        <x:is>
          <x:t xml:space="preserve">theophysics-lean-main\theophysics-lean-main\Theophysics_Core.lean</x:t>
        </x:is>
      </x:c>
      <x:c r="D19" s="49" t="inlineStr">
        <x:is>
          <x:t xml:space="preserve">51</x:t>
        </x:is>
      </x:c>
      <x:c r="E19" s="49" t="inlineStr">
        <x:is>
          <x:t xml:space="preserve">TRIVIAL_TRUE</x:t>
        </x:is>
      </x:c>
      <x:c r="F19" s="49" t="inlineStr">
        <x:is>
          <x:t xml:space="preserve">PENDING_NOT_RUN</x:t>
        </x:is>
      </x:c>
      <x:c r="G19" s="49" t="inlineStr">
        <x:is>
          <x:t xml:space="preserve">NO_SORRY_OR_ADMIT_STATIC_SCAN</x:t>
        </x:is>
      </x:c>
      <x:c r="H19" s="49" t="inlineStr">
        <x:is>
          <x:t xml:space="preserve">LOW_CONTENT_TRUE_NOT_PUBLIC_COUNT</x:t>
        </x:is>
      </x:c>
      <x:c r="I19" s="49" t="inlineStr">
        <x:is>
          <x:t xml:space="preserve">3</x:t>
        </x:is>
      </x:c>
      <x:c r="J19" s="49" t="inlineStr">
        <x:is>
          <x:t xml:space="preserve">LEAN_DERIVATION_CHAIN:141</x:t>
        </x:is>
      </x:c>
      <x:c r="K19" s="49" t="inlineStr">
        <x:is>
          <x:t xml:space="preserve">C_op takes negative → positive (visible sign)</x:t>
        </x:is>
      </x:c>
      <x:c r="L19" s="56" t="n"/>
    </x:row>
    <x:row r="20" ht="15" customHeight="1">
      <x:c r="A20" s="55" t="inlineStr">
        <x:is>
          <x:t xml:space="preserve">C_op_converts_neutral_to_positive</x:t>
        </x:is>
      </x:c>
      <x:c r="B20" s="49" t="inlineStr">
        <x:is>
          <x:t xml:space="preserve">theorem</x:t>
        </x:is>
      </x:c>
      <x:c r="C20" s="49" t="inlineStr">
        <x:is>
          <x:t xml:space="preserve">theophysics-lean-main\theophysics-lean-main\Theophysics_Core.lean</x:t>
        </x:is>
      </x:c>
      <x:c r="D20" s="49" t="inlineStr">
        <x:is>
          <x:t xml:space="preserve">52</x:t>
        </x:is>
      </x:c>
      <x:c r="E20" s="49" t="inlineStr">
        <x:is>
          <x:t xml:space="preserve">TRIVIAL_TRUE</x:t>
        </x:is>
      </x:c>
      <x:c r="F20" s="49" t="inlineStr">
        <x:is>
          <x:t xml:space="preserve">PENDING_NOT_RUN</x:t>
        </x:is>
      </x:c>
      <x:c r="G20" s="49" t="inlineStr">
        <x:is>
          <x:t xml:space="preserve">NO_SORRY_OR_ADMIT_STATIC_SCAN</x:t>
        </x:is>
      </x:c>
      <x:c r="H20" s="49" t="inlineStr">
        <x:is>
          <x:t xml:space="preserve">LOW_CONTENT_TRUE_NOT_PUBLIC_COUNT</x:t>
        </x:is>
      </x:c>
      <x:c r="I20" s="49" t="inlineStr">
        <x:is>
          <x:t xml:space="preserve">3</x:t>
        </x:is>
      </x:c>
      <x:c r="J20" s="49" t="inlineStr">
        <x:is>
          <x:t xml:space="preserve">LEAN_DERIVATION_CHAIN:142</x:t>
        </x:is>
      </x:c>
      <x:c r="K20" s="49" t="inlineStr">
        <x:is>
          <x:t xml:space="preserve">C_op takes neutral → positive</x:t>
        </x:is>
      </x:c>
      <x:c r="L20" s="56" t="n"/>
    </x:row>
    <x:row r="21" ht="15" customHeight="1">
      <x:c r="A21" s="55" t="inlineStr">
        <x:is>
          <x:t xml:space="preserve">C_op_keeps_positive_positive</x:t>
        </x:is>
      </x:c>
      <x:c r="B21" s="49" t="inlineStr">
        <x:is>
          <x:t xml:space="preserve">theorem</x:t>
        </x:is>
      </x:c>
      <x:c r="C21" s="49" t="inlineStr">
        <x:is>
          <x:t xml:space="preserve">theophysics-lean-main\theophysics-lean-main\Theophysics_Core.lean</x:t>
        </x:is>
      </x:c>
      <x:c r="D21" s="49" t="inlineStr">
        <x:is>
          <x:t xml:space="preserve">53</x:t>
        </x:is>
      </x:c>
      <x:c r="E21" s="49" t="inlineStr">
        <x:is>
          <x:t xml:space="preserve">TRIVIAL_TRUE</x:t>
        </x:is>
      </x:c>
      <x:c r="F21" s="49" t="inlineStr">
        <x:is>
          <x:t xml:space="preserve">PENDING_NOT_RUN</x:t>
        </x:is>
      </x:c>
      <x:c r="G21" s="49" t="inlineStr">
        <x:is>
          <x:t xml:space="preserve">NO_SORRY_OR_ADMIT_STATIC_SCAN</x:t>
        </x:is>
      </x:c>
      <x:c r="H21" s="49" t="inlineStr">
        <x:is>
          <x:t xml:space="preserve">LOW_CONTENT_TRUE_NOT_PUBLIC_COUNT</x:t>
        </x:is>
      </x:c>
      <x:c r="I21" s="49" t="inlineStr">
        <x:is>
          <x:t xml:space="preserve">3</x:t>
        </x:is>
      </x:c>
      <x:c r="J21" s="49" t="inlineStr">
        <x:is>
          <x:t xml:space="preserve">LEAN_DERIVATION_CHAIN:143</x:t>
        </x:is>
      </x:c>
      <x:c r="K21" s="49" t="inlineStr">
        <x:is>
          <x:t xml:space="preserve">Already positive stays positive</x:t>
        </x:is>
      </x:c>
      <x:c r="L21" s="56" t="n"/>
    </x:row>
    <x:row r="22" ht="15" customHeight="1">
      <x:c r="A22" s="55" t="inlineStr">
        <x:is>
          <x:t xml:space="preserve">C_op_preserves_negative_history_even_after_positive_output</x:t>
        </x:is>
      </x:c>
      <x:c r="B22" s="49" t="inlineStr">
        <x:is>
          <x:t xml:space="preserve">theorem</x:t>
        </x:is>
      </x:c>
      <x:c r="C22" s="49" t="inlineStr">
        <x:is>
          <x:t xml:space="preserve">theophysics-lean-main\theophysics-lean-main\Theophysics_Core.lean</x:t>
        </x:is>
      </x:c>
      <x:c r="D22" s="49" t="inlineStr">
        <x:is>
          <x:t xml:space="preserve">54</x:t>
        </x:is>
      </x:c>
      <x:c r="E22" s="49" t="inlineStr">
        <x:is>
          <x:t xml:space="preserve">TRIVIAL_TRUE</x:t>
        </x:is>
      </x:c>
      <x:c r="F22" s="49" t="inlineStr">
        <x:is>
          <x:t xml:space="preserve">PENDING_NOT_RUN</x:t>
        </x:is>
      </x:c>
      <x:c r="G22" s="49" t="inlineStr">
        <x:is>
          <x:t xml:space="preserve">NO_SORRY_OR_ADMIT_STATIC_SCAN</x:t>
        </x:is>
      </x:c>
      <x:c r="H22" s="49" t="inlineStr">
        <x:is>
          <x:t xml:space="preserve">LOW_CONTENT_TRUE_NOT_PUBLIC_COUNT</x:t>
        </x:is>
      </x:c>
      <x:c r="I22" s="49" t="inlineStr">
        <x:is>
          <x:t xml:space="preserve">3</x:t>
        </x:is>
      </x:c>
      <x:c r="J22" s="49" t="inlineStr">
        <x:is>
          <x:t xml:space="preserve">LEAN_DERIVATION_CHAIN:146</x:t>
        </x:is>
      </x:c>
      <x:c r="K22" s="49" t="inlineStr">
        <x:is>
          <x:t xml:space="preserve">Source = negative, output = positive — simultaneously. Grace does not pretend the past didn't happen.</x:t>
        </x:is>
      </x:c>
      <x:c r="L22" s="56" t="n"/>
    </x:row>
    <x:row r="23" ht="15" customHeight="1">
      <x:c r="A23" s="55" t="inlineStr">
        <x:is>
          <x:t xml:space="preserve">C_op_preserves_record_mark</x:t>
        </x:is>
      </x:c>
      <x:c r="B23" s="49" t="inlineStr">
        <x:is>
          <x:t xml:space="preserve">theorem</x:t>
        </x:is>
      </x:c>
      <x:c r="C23" s="49" t="inlineStr">
        <x:is>
          <x:t xml:space="preserve">theophysics-lean-main\theophysics-lean-main\Theophysics_Core.lean</x:t>
        </x:is>
      </x:c>
      <x:c r="D23" s="49" t="inlineStr">
        <x:is>
          <x:t xml:space="preserve">55</x:t>
        </x:is>
      </x:c>
      <x:c r="E23" s="49" t="inlineStr">
        <x:is>
          <x:t xml:space="preserve">TRIVIAL_TRUE</x:t>
        </x:is>
      </x:c>
      <x:c r="F23" s="49" t="inlineStr">
        <x:is>
          <x:t xml:space="preserve">PENDING_NOT_RUN</x:t>
        </x:is>
      </x:c>
      <x:c r="G23" s="49" t="inlineStr">
        <x:is>
          <x:t xml:space="preserve">NO_SORRY_OR_ADMIT_STATIC_SCAN</x:t>
        </x:is>
      </x:c>
      <x:c r="H23" s="49" t="inlineStr">
        <x:is>
          <x:t xml:space="preserve">LOW_CONTENT_TRUE_NOT_PUBLIC_COUNT</x:t>
        </x:is>
      </x:c>
      <x:c r="I23" s="49" t="inlineStr">
        <x:is>
          <x:t xml:space="preserve">3</x:t>
        </x:is>
      </x:c>
      <x:c r="J23" s="49" t="inlineStr">
        <x:is>
          <x:t xml:space="preserve">LEAN_DERIVATION_CHAIN:144</x:t>
        </x:is>
      </x:c>
      <x:c r="K23" s="49" t="inlineStr">
        <x:is>
          <x:t xml:space="preserve">The record of what happened is NOT erased. History survives grace.</x:t>
        </x:is>
      </x:c>
      <x:c r="L23" s="56" t="n"/>
    </x:row>
    <x:row r="24" ht="15" customHeight="1">
      <x:c r="A24" s="55" t="inlineStr">
        <x:is>
          <x:t xml:space="preserve">C_op_preserves_source_state</x:t>
        </x:is>
      </x:c>
      <x:c r="B24" s="49" t="inlineStr">
        <x:is>
          <x:t xml:space="preserve">theorem</x:t>
        </x:is>
      </x:c>
      <x:c r="C24" s="49" t="inlineStr">
        <x:is>
          <x:t xml:space="preserve">theophysics-lean-main\theophysics-lean-main\Theophysics_Core.lean</x:t>
        </x:is>
      </x:c>
      <x:c r="D24" s="49" t="inlineStr">
        <x:is>
          <x:t xml:space="preserve">56</x:t>
        </x:is>
      </x:c>
      <x:c r="E24" s="49" t="inlineStr">
        <x:is>
          <x:t xml:space="preserve">TRIVIAL_TRUE</x:t>
        </x:is>
      </x:c>
      <x:c r="F24" s="49" t="inlineStr">
        <x:is>
          <x:t xml:space="preserve">PENDING_NOT_RUN</x:t>
        </x:is>
      </x:c>
      <x:c r="G24" s="49" t="inlineStr">
        <x:is>
          <x:t xml:space="preserve">NO_SORRY_OR_ADMIT_STATIC_SCAN</x:t>
        </x:is>
      </x:c>
      <x:c r="H24" s="49" t="inlineStr">
        <x:is>
          <x:t xml:space="preserve">LOW_CONTENT_TRUE_NOT_PUBLIC_COUNT</x:t>
        </x:is>
      </x:c>
      <x:c r="I24" s="49" t="inlineStr">
        <x:is>
          <x:t xml:space="preserve">3</x:t>
        </x:is>
      </x:c>
      <x:c r="J24" s="49" t="inlineStr">
        <x:is>
          <x:t xml:space="preserve">LEAN_DERIVATION_CHAIN:145</x:t>
        </x:is>
      </x:c>
      <x:c r="K24" s="49" t="inlineStr">
        <x:is>
          <x:t xml:space="preserve">Entire source state carried forward. Nothing lost.</x:t>
        </x:is>
      </x:c>
      <x:c r="L24" s="56" t="n"/>
    </x:row>
    <x:row r="25" ht="15" customHeight="1">
      <x:c r="A25" s="55" t="inlineStr">
        <x:is>
          <x:t xml:space="preserve">C_zero_collapses_chi</x:t>
        </x:is>
      </x:c>
      <x:c r="B25" s="49" t="inlineStr">
        <x:is>
          <x:t xml:space="preserve">theorem</x:t>
        </x:is>
      </x:c>
      <x:c r="C25" s="49" t="inlineStr">
        <x:is>
          <x:t xml:space="preserve">theophysics-lean-main\theophysics-lean-main\Final_Lean4_From_Excel.lean</x:t>
        </x:is>
      </x:c>
      <x:c r="D25" s="49" t="inlineStr">
        <x:is>
          <x:t xml:space="preserve">115</x:t>
        </x:is>
      </x:c>
      <x:c r="E25" s="49" t="inlineStr">
        <x:is>
          <x:t xml:space="preserve">SIMPLIFICATION</x:t>
        </x:is>
      </x:c>
      <x:c r="F25" s="49" t="inlineStr">
        <x:is>
          <x:t xml:space="preserve">PENDING_NOT_RUN</x:t>
        </x:is>
      </x:c>
      <x:c r="G25" s="49" t="inlineStr">
        <x:is>
          <x:t xml:space="preserve">NO_SORRY_OR_ADMIT_STATIC_SCAN</x:t>
        </x:is>
      </x:c>
      <x:c r="H25" s="49" t="inlineStr">
        <x:is>
          <x:t xml:space="preserve">CANONICAL_THEOREM_DEDUPED_PENDING_COMPILE</x:t>
        </x:is>
      </x:c>
      <x:c r="I25" s="49" t="inlineStr">
        <x:is>
          <x:t xml:space="preserve">3</x:t>
        </x:is>
      </x:c>
      <x:c r="L25" s="56" t="n"/>
    </x:row>
    <x:row r="26" ht="15" customHeight="1">
      <x:c r="A26" s="55" t="inlineStr">
        <x:is>
          <x:t xml:space="preserve">Candidate</x:t>
        </x:is>
      </x:c>
      <x:c r="B26" s="49" t="inlineStr">
        <x:is>
          <x:t xml:space="preserve">inductive</x:t>
        </x:is>
      </x:c>
      <x:c r="C26" s="49" t="inlineStr">
        <x:is>
          <x:t xml:space="preserve">theophysics-lean-main\theophysics-lean-main\Theophysics_GodTest.lean</x:t>
        </x:is>
      </x:c>
      <x:c r="D26" s="49" t="inlineStr">
        <x:is>
          <x:t xml:space="preserve">31</x:t>
        </x:is>
      </x:c>
      <x:c r="E26" s="49" t="inlineStr">
        <x:is>
          <x:t xml:space="preserve">DECLARATION_OR_UNKNOWN</x:t>
        </x:is>
      </x:c>
      <x:c r="F26" s="49" t="inlineStr">
        <x:is>
          <x:t xml:space="preserve">PENDING_NOT_RUN</x:t>
        </x:is>
      </x:c>
      <x:c r="G26" s="49" t="inlineStr">
        <x:is>
          <x:t xml:space="preserve">NO_SORRY_OR_ADMIT_STATIC_SCAN</x:t>
        </x:is>
      </x:c>
      <x:c r="H26" s="49" t="inlineStr">
        <x:is>
          <x:t xml:space="preserve">SCAFFOLDING_NOT_PUBLIC_COUNT</x:t>
        </x:is>
      </x:c>
      <x:c r="I26" s="49" t="inlineStr">
        <x:is>
          <x:t xml:space="preserve">0</x:t>
        </x:is>
      </x:c>
      <x:c r="L26" s="56" t="n"/>
    </x:row>
    <x:row r="27" ht="15" customHeight="1">
      <x:c r="A27" s="55" t="inlineStr">
        <x:is>
          <x:t xml:space="preserve">Channel</x:t>
        </x:is>
      </x:c>
      <x:c r="B27" s="49" t="inlineStr">
        <x:is>
          <x:t xml:space="preserve">inductive</x:t>
        </x:is>
      </x:c>
      <x:c r="C27" s="49" t="inlineStr">
        <x:is>
          <x:t xml:space="preserve">theophysics-lean-main\theophysics-lean-main\Theophysics_ChiEvaluator.lean</x:t>
        </x:is>
      </x:c>
      <x:c r="D27" s="49" t="inlineStr">
        <x:is>
          <x:t xml:space="preserve">25</x:t>
        </x:is>
      </x:c>
      <x:c r="E27" s="49" t="inlineStr">
        <x:is>
          <x:t xml:space="preserve">DECLARATION_OR_UNKNOWN</x:t>
        </x:is>
      </x:c>
      <x:c r="F27" s="49" t="inlineStr">
        <x:is>
          <x:t xml:space="preserve">PENDING_NOT_RUN</x:t>
        </x:is>
      </x:c>
      <x:c r="G27" s="49" t="inlineStr">
        <x:is>
          <x:t xml:space="preserve">NO_SORRY_OR_ADMIT_STATIC_SCAN</x:t>
        </x:is>
      </x:c>
      <x:c r="H27" s="49" t="inlineStr">
        <x:is>
          <x:t xml:space="preserve">SCAFFOLDING_NOT_PUBLIC_COUNT</x:t>
        </x:is>
      </x:c>
      <x:c r="I27" s="49" t="inlineStr">
        <x:is>
          <x:t xml:space="preserve">3</x:t>
        </x:is>
      </x:c>
      <x:c r="L27" s="56" t="n"/>
    </x:row>
    <x:row r="28" ht="15" customHeight="1">
      <x:c r="A28" s="55" t="inlineStr">
        <x:is>
          <x:t xml:space="preserve">ChannelScore</x:t>
        </x:is>
      </x:c>
      <x:c r="B28" s="49" t="inlineStr">
        <x:is>
          <x:t xml:space="preserve">structure</x:t>
        </x:is>
      </x:c>
      <x:c r="C28" s="49" t="inlineStr">
        <x:is>
          <x:t xml:space="preserve">theophysics-lean-main\theophysics-lean-main\Theophysics_ChiEvaluator.lean</x:t>
        </x:is>
      </x:c>
      <x:c r="D28" s="49" t="inlineStr">
        <x:is>
          <x:t xml:space="preserve">78</x:t>
        </x:is>
      </x:c>
      <x:c r="E28" s="49" t="inlineStr">
        <x:is>
          <x:t xml:space="preserve">DECLARATION_OR_UNKNOWN</x:t>
        </x:is>
      </x:c>
      <x:c r="F28" s="49" t="inlineStr">
        <x:is>
          <x:t xml:space="preserve">PENDING_NOT_RUN</x:t>
        </x:is>
      </x:c>
      <x:c r="G28" s="49" t="inlineStr">
        <x:is>
          <x:t xml:space="preserve">NO_SORRY_OR_ADMIT_STATIC_SCAN</x:t>
        </x:is>
      </x:c>
      <x:c r="H28" s="49" t="inlineStr">
        <x:is>
          <x:t xml:space="preserve">SCAFFOLDING_NOT_PUBLIC_COUNT</x:t>
        </x:is>
      </x:c>
      <x:c r="I28" s="49" t="inlineStr">
        <x:is>
          <x:t xml:space="preserve">3</x:t>
        </x:is>
      </x:c>
      <x:c r="L28" s="56" t="n"/>
    </x:row>
    <x:row r="29" ht="15" customHeight="1">
      <x:c r="A29" s="55" t="inlineStr">
        <x:is>
          <x:t xml:space="preserve">ClaimLayer</x:t>
        </x:is>
      </x:c>
      <x:c r="B29" s="49" t="inlineStr">
        <x:is>
          <x:t xml:space="preserve">inductive</x:t>
        </x:is>
      </x:c>
      <x:c r="C29" s="49" t="inlineStr">
        <x:is>
          <x:t xml:space="preserve">Faith-Thru-Physics-Lean-4--main\Faith-Thru-Physics-Lean-4--main\Theophysics_NegativeInventory.lean</x:t>
        </x:is>
      </x:c>
      <x:c r="D29" s="49" t="inlineStr">
        <x:is>
          <x:t xml:space="preserve">68</x:t>
        </x:is>
      </x:c>
      <x:c r="E29" s="49" t="inlineStr">
        <x:is>
          <x:t xml:space="preserve">DECLARATION_OR_UNKNOWN</x:t>
        </x:is>
      </x:c>
      <x:c r="F29" s="49" t="inlineStr">
        <x:is>
          <x:t xml:space="preserve">PENDING_NOT_RUN</x:t>
        </x:is>
      </x:c>
      <x:c r="G29" s="49" t="inlineStr">
        <x:is>
          <x:t xml:space="preserve">NO_SORRY_OR_ADMIT_STATIC_SCAN</x:t>
        </x:is>
      </x:c>
      <x:c r="H29" s="49" t="inlineStr">
        <x:is>
          <x:t xml:space="preserve">SCAFFOLDING_NOT_PUBLIC_COUNT</x:t>
        </x:is>
      </x:c>
      <x:c r="I29" s="49" t="inlineStr">
        <x:is>
          <x:t xml:space="preserve">0</x:t>
        </x:is>
      </x:c>
      <x:c r="L29" s="56" t="n"/>
    </x:row>
    <x:row r="30" ht="15" customHeight="1">
      <x:c r="A30" s="55" t="inlineStr">
        <x:is>
          <x:t xml:space="preserve">ClaimState</x:t>
        </x:is>
      </x:c>
      <x:c r="B30" s="49" t="inlineStr">
        <x:is>
          <x:t xml:space="preserve">structure</x:t>
        </x:is>
      </x:c>
      <x:c r="C30" s="49" t="inlineStr">
        <x:is>
          <x:t xml:space="preserve">Faith-Thru-Physics-Lean-4--main\Faith-Thru-Physics-Lean-4--main\Theophysics_NegativeInventory.lean</x:t>
        </x:is>
      </x:c>
      <x:c r="D30" s="49" t="inlineStr">
        <x:is>
          <x:t xml:space="preserve">84</x:t>
        </x:is>
      </x:c>
      <x:c r="E30" s="49" t="inlineStr">
        <x:is>
          <x:t xml:space="preserve">DECLARATION_OR_UNKNOWN</x:t>
        </x:is>
      </x:c>
      <x:c r="F30" s="49" t="inlineStr">
        <x:is>
          <x:t xml:space="preserve">PENDING_NOT_RUN</x:t>
        </x:is>
      </x:c>
      <x:c r="G30" s="49" t="inlineStr">
        <x:is>
          <x:t xml:space="preserve">NO_SORRY_OR_ADMIT_STATIC_SCAN</x:t>
        </x:is>
      </x:c>
      <x:c r="H30" s="49" t="inlineStr">
        <x:is>
          <x:t xml:space="preserve">SCAFFOLDING_NOT_PUBLIC_COUNT</x:t>
        </x:is>
      </x:c>
      <x:c r="I30" s="49" t="inlineStr">
        <x:is>
          <x:t xml:space="preserve">0</x:t>
        </x:is>
      </x:c>
      <x:c r="L30" s="56" t="n"/>
    </x:row>
    <x:row r="31" ht="15" customHeight="1">
      <x:c r="A31" s="55" t="inlineStr">
        <x:is>
          <x:t xml:space="preserve">ClaimType</x:t>
        </x:is>
      </x:c>
      <x:c r="B31" s="49" t="inlineStr">
        <x:is>
          <x:t xml:space="preserve">inductive</x:t>
        </x:is>
      </x:c>
      <x:c r="C31" s="49" t="inlineStr">
        <x:is>
          <x:t xml:space="preserve">theophysics-lean-main\theophysics-lean-main\Theophysics_ChiEvaluator.lean</x:t>
        </x:is>
      </x:c>
      <x:c r="D31" s="49" t="inlineStr">
        <x:is>
          <x:t xml:space="preserve">38</x:t>
        </x:is>
      </x:c>
      <x:c r="E31" s="49" t="inlineStr">
        <x:is>
          <x:t xml:space="preserve">DECLARATION_OR_UNKNOWN</x:t>
        </x:is>
      </x:c>
      <x:c r="F31" s="49" t="inlineStr">
        <x:is>
          <x:t xml:space="preserve">PENDING_NOT_RUN</x:t>
        </x:is>
      </x:c>
      <x:c r="G31" s="49" t="inlineStr">
        <x:is>
          <x:t xml:space="preserve">NO_SORRY_OR_ADMIT_STATIC_SCAN</x:t>
        </x:is>
      </x:c>
      <x:c r="H31" s="49" t="inlineStr">
        <x:is>
          <x:t xml:space="preserve">SCAFFOLDING_NOT_PUBLIC_COUNT</x:t>
        </x:is>
      </x:c>
      <x:c r="I31" s="49" t="inlineStr">
        <x:is>
          <x:t xml:space="preserve">3</x:t>
        </x:is>
      </x:c>
      <x:c r="L31" s="56" t="n"/>
    </x:row>
    <x:row r="32" ht="15" customHeight="1">
      <x:c r="A32" s="55" t="inlineStr">
        <x:is>
          <x:t xml:space="preserve">CoherenceOperator</x:t>
        </x:is>
      </x:c>
      <x:c r="B32" s="49" t="inlineStr">
        <x:is>
          <x:t xml:space="preserve">structure</x:t>
        </x:is>
      </x:c>
      <x:c r="C32" s="49" t="inlineStr">
        <x:is>
          <x:t xml:space="preserve">Lean-4-Proofs-main\Lean-4-Proofs-main\theophysics-lean-verification-package\TheophysicsProductionKernel.lean</x:t>
        </x:is>
      </x:c>
      <x:c r="D32" s="49" t="inlineStr">
        <x:is>
          <x:t xml:space="preserve">144</x:t>
        </x:is>
      </x:c>
      <x:c r="E32" s="49" t="inlineStr">
        <x:is>
          <x:t xml:space="preserve">DECLARATION_OR_UNKNOWN</x:t>
        </x:is>
      </x:c>
      <x:c r="F32" s="49" t="inlineStr">
        <x:is>
          <x:t xml:space="preserve">PENDING_NOT_RUN</x:t>
        </x:is>
      </x:c>
      <x:c r="G32" s="49" t="inlineStr">
        <x:is>
          <x:t xml:space="preserve">NO_SORRY_OR_ADMIT_STATIC_SCAN</x:t>
        </x:is>
      </x:c>
      <x:c r="H32" s="49" t="inlineStr">
        <x:is>
          <x:t xml:space="preserve">SCAFFOLDING_NOT_PUBLIC_COUNT</x:t>
        </x:is>
      </x:c>
      <x:c r="I32" s="49" t="inlineStr">
        <x:is>
          <x:t xml:space="preserve">0</x:t>
        </x:is>
      </x:c>
      <x:c r="L32" s="56" t="n"/>
    </x:row>
    <x:row r="33" ht="15" customHeight="1">
      <x:c r="A33" s="55" t="inlineStr">
        <x:is>
          <x:t xml:space="preserve">CoherenceProfile</x:t>
        </x:is>
      </x:c>
      <x:c r="B33" s="49" t="inlineStr">
        <x:is>
          <x:t xml:space="preserve">structure</x:t>
        </x:is>
      </x:c>
      <x:c r="C33" s="49" t="inlineStr">
        <x:is>
          <x:t xml:space="preserve">theophysics-lean-main\theophysics-lean-main\Theophysics_Coherence.lean</x:t>
        </x:is>
      </x:c>
      <x:c r="D33" s="49" t="inlineStr">
        <x:is>
          <x:t xml:space="preserve">28</x:t>
        </x:is>
      </x:c>
      <x:c r="E33" s="49" t="inlineStr">
        <x:is>
          <x:t xml:space="preserve">DECLARATION_OR_UNKNOWN</x:t>
        </x:is>
      </x:c>
      <x:c r="F33" s="49" t="inlineStr">
        <x:is>
          <x:t xml:space="preserve">PENDING_NOT_RUN</x:t>
        </x:is>
      </x:c>
      <x:c r="G33" s="49" t="inlineStr">
        <x:is>
          <x:t xml:space="preserve">NO_SORRY_OR_ADMIT_STATIC_SCAN</x:t>
        </x:is>
      </x:c>
      <x:c r="H33" s="49" t="inlineStr">
        <x:is>
          <x:t xml:space="preserve">SCAFFOLDING_NOT_PUBLIC_COUNT</x:t>
        </x:is>
      </x:c>
      <x:c r="I33" s="49" t="inlineStr">
        <x:is>
          <x:t xml:space="preserve">3</x:t>
        </x:is>
      </x:c>
      <x:c r="L33" s="56" t="n"/>
    </x:row>
    <x:row r="34" ht="15" customHeight="1">
      <x:c r="A34" s="55" t="inlineStr">
        <x:is>
          <x:t xml:space="preserve">ConditionalPattern</x:t>
        </x:is>
      </x:c>
      <x:c r="B34" s="49" t="inlineStr">
        <x:is>
          <x:t xml:space="preserve">inductive</x:t>
        </x:is>
      </x:c>
      <x:c r="C34" s="49" t="inlineStr">
        <x:is>
          <x:t xml:space="preserve">theophysics-lean-main\theophysics-lean-main\Theophysics_DelayedChoice.lean</x:t>
        </x:is>
      </x:c>
      <x:c r="D34" s="49" t="inlineStr">
        <x:is>
          <x:t xml:space="preserve">33</x:t>
        </x:is>
      </x:c>
      <x:c r="E34" s="49" t="inlineStr">
        <x:is>
          <x:t xml:space="preserve">DECLARATION_OR_UNKNOWN</x:t>
        </x:is>
      </x:c>
      <x:c r="F34" s="49" t="inlineStr">
        <x:is>
          <x:t xml:space="preserve">PENDING_NOT_RUN</x:t>
        </x:is>
      </x:c>
      <x:c r="G34" s="49" t="inlineStr">
        <x:is>
          <x:t xml:space="preserve">NO_SORRY_OR_ADMIT_STATIC_SCAN</x:t>
        </x:is>
      </x:c>
      <x:c r="H34" s="49" t="inlineStr">
        <x:is>
          <x:t xml:space="preserve">SCAFFOLDING_NOT_PUBLIC_COUNT</x:t>
        </x:is>
      </x:c>
      <x:c r="I34" s="49" t="inlineStr">
        <x:is>
          <x:t xml:space="preserve">0</x:t>
        </x:is>
      </x:c>
      <x:c r="L34" s="56" t="n"/>
    </x:row>
    <x:row r="35" ht="15" customHeight="1">
      <x:c r="A35" s="55" t="inlineStr">
        <x:is>
          <x:t xml:space="preserve">ConsentedTransform</x:t>
        </x:is>
      </x:c>
      <x:c r="B35" s="49" t="inlineStr">
        <x:is>
          <x:t xml:space="preserve">structure</x:t>
        </x:is>
      </x:c>
      <x:c r="C35" s="49" t="inlineStr">
        <x:is>
          <x:t xml:space="preserve">theophysics-lean-main\theophysics-lean-main\Theophysics_Canonization.lean</x:t>
        </x:is>
      </x:c>
      <x:c r="D35" s="49" t="inlineStr">
        <x:is>
          <x:t xml:space="preserve">346</x:t>
        </x:is>
      </x:c>
      <x:c r="E35" s="49" t="inlineStr">
        <x:is>
          <x:t xml:space="preserve">DECLARATION_OR_UNKNOWN</x:t>
        </x:is>
      </x:c>
      <x:c r="F35" s="49" t="inlineStr">
        <x:is>
          <x:t xml:space="preserve">PENDING_NOT_RUN</x:t>
        </x:is>
      </x:c>
      <x:c r="G35" s="49" t="inlineStr">
        <x:is>
          <x:t xml:space="preserve">NO_SORRY_OR_ADMIT_STATIC_SCAN</x:t>
        </x:is>
      </x:c>
      <x:c r="H35" s="49" t="inlineStr">
        <x:is>
          <x:t xml:space="preserve">SCAFFOLDING_NOT_PUBLIC_COUNT</x:t>
        </x:is>
      </x:c>
      <x:c r="I35" s="49" t="inlineStr">
        <x:is>
          <x:t xml:space="preserve">0</x:t>
        </x:is>
      </x:c>
      <x:c r="L35" s="56" t="n"/>
    </x:row>
    <x:row r="36" ht="15" customHeight="1">
      <x:c r="A36" s="55" t="inlineStr">
        <x:is>
          <x:t xml:space="preserve">Controls</x:t>
        </x:is>
      </x:c>
      <x:c r="B36" s="49" t="inlineStr">
        <x:is>
          <x:t xml:space="preserve">structure</x:t>
        </x:is>
      </x:c>
      <x:c r="C36" s="49" t="inlineStr">
        <x:is>
          <x:t xml:space="preserve">theophysics-lean-main\theophysics-lean-main\Final_Lean4_From_Excel.lean</x:t>
        </x:is>
      </x:c>
      <x:c r="D36" s="49" t="inlineStr">
        <x:is>
          <x:t xml:space="preserve">239</x:t>
        </x:is>
      </x:c>
      <x:c r="E36" s="49" t="inlineStr">
        <x:is>
          <x:t xml:space="preserve">DECLARATION_OR_UNKNOWN</x:t>
        </x:is>
      </x:c>
      <x:c r="F36" s="49" t="inlineStr">
        <x:is>
          <x:t xml:space="preserve">PENDING_NOT_RUN</x:t>
        </x:is>
      </x:c>
      <x:c r="G36" s="49" t="inlineStr">
        <x:is>
          <x:t xml:space="preserve">NO_SORRY_OR_ADMIT_STATIC_SCAN</x:t>
        </x:is>
      </x:c>
      <x:c r="H36" s="49" t="inlineStr">
        <x:is>
          <x:t xml:space="preserve">SCAFFOLDING_NOT_PUBLIC_COUNT</x:t>
        </x:is>
      </x:c>
      <x:c r="I36" s="49" t="inlineStr">
        <x:is>
          <x:t xml:space="preserve">3</x:t>
        </x:is>
      </x:c>
      <x:c r="L36" s="56" t="n"/>
    </x:row>
    <x:row r="37" ht="15" customHeight="1">
      <x:c r="A37" s="55" t="inlineStr">
        <x:is>
          <x:t xml:space="preserve">ConversionOp</x:t>
        </x:is>
      </x:c>
      <x:c r="B37" s="49" t="inlineStr">
        <x:is>
          <x:t xml:space="preserve">structure</x:t>
        </x:is>
      </x:c>
      <x:c r="C37" s="49" t="inlineStr">
        <x:is>
          <x:t xml:space="preserve">Faith-Thru-Physics-Lean-4--main\Faith-Thru-Physics-Lean-4--main\Theophysics_NegativeInventory.lean</x:t>
        </x:is>
      </x:c>
      <x:c r="D37" s="49" t="inlineStr">
        <x:is>
          <x:t xml:space="preserve">164</x:t>
        </x:is>
      </x:c>
      <x:c r="E37" s="49" t="inlineStr">
        <x:is>
          <x:t xml:space="preserve">DECLARATION_OR_UNKNOWN</x:t>
        </x:is>
      </x:c>
      <x:c r="F37" s="49" t="inlineStr">
        <x:is>
          <x:t xml:space="preserve">PENDING_NOT_RUN</x:t>
        </x:is>
      </x:c>
      <x:c r="G37" s="49" t="inlineStr">
        <x:is>
          <x:t xml:space="preserve">NO_SORRY_OR_ADMIT_STATIC_SCAN</x:t>
        </x:is>
      </x:c>
      <x:c r="H37" s="49" t="inlineStr">
        <x:is>
          <x:t xml:space="preserve">SCAFFOLDING_NOT_PUBLIC_COUNT</x:t>
        </x:is>
      </x:c>
      <x:c r="I37" s="49" t="inlineStr">
        <x:is>
          <x:t xml:space="preserve">0</x:t>
        </x:is>
      </x:c>
      <x:c r="L37" s="56" t="n"/>
    </x:row>
    <x:row r="38" ht="15" customHeight="1">
      <x:c r="A38" s="55" t="inlineStr">
        <x:is>
          <x:t xml:space="preserve">Coupling</x:t>
        </x:is>
      </x:c>
      <x:c r="B38" s="49" t="inlineStr">
        <x:is>
          <x:t xml:space="preserve">inductive</x:t>
        </x:is>
      </x:c>
      <x:c r="C38" s="49" t="inlineStr">
        <x:is>
          <x:t xml:space="preserve">theophysics-lean-main\theophysics-lean-main\Theophysics_Canonization.lean</x:t>
        </x:is>
      </x:c>
      <x:c r="D38" s="49" t="inlineStr">
        <x:is>
          <x:t xml:space="preserve">586</x:t>
        </x:is>
      </x:c>
      <x:c r="E38" s="49" t="inlineStr">
        <x:is>
          <x:t xml:space="preserve">DECLARATION_OR_UNKNOWN</x:t>
        </x:is>
      </x:c>
      <x:c r="F38" s="49" t="inlineStr">
        <x:is>
          <x:t xml:space="preserve">PENDING_NOT_RUN</x:t>
        </x:is>
      </x:c>
      <x:c r="G38" s="49" t="inlineStr">
        <x:is>
          <x:t xml:space="preserve">NO_SORRY_OR_ADMIT_STATIC_SCAN</x:t>
        </x:is>
      </x:c>
      <x:c r="H38" s="49" t="inlineStr">
        <x:is>
          <x:t xml:space="preserve">SCAFFOLDING_NOT_PUBLIC_COUNT</x:t>
        </x:is>
      </x:c>
      <x:c r="I38" s="49" t="inlineStr">
        <x:is>
          <x:t xml:space="preserve">0</x:t>
        </x:is>
      </x:c>
      <x:c r="L38" s="56" t="inlineStr">
        <x:is>
          <x:t xml:space="preserve">heaviside_content_loss | variable_coupling</x:t>
        </x:is>
      </x:c>
    </x:row>
    <x:row r="39" ht="15" customHeight="1">
      <x:c r="A39" s="55" t="inlineStr">
        <x:is>
          <x:t xml:space="preserve">CouplingState</x:t>
        </x:is>
      </x:c>
      <x:c r="B39" s="49" t="inlineStr">
        <x:is>
          <x:t xml:space="preserve">inductive</x:t>
        </x:is>
      </x:c>
      <x:c r="C39" s="49" t="inlineStr">
        <x:is>
          <x:t xml:space="preserve">theophysics-lean-main\theophysics-lean-main\Final_Lean4_From_Excel.lean</x:t>
        </x:is>
      </x:c>
      <x:c r="D39" s="49" t="inlineStr">
        <x:is>
          <x:t xml:space="preserve">17</x:t>
        </x:is>
      </x:c>
      <x:c r="E39" s="49" t="inlineStr">
        <x:is>
          <x:t xml:space="preserve">DECLARATION_OR_UNKNOWN</x:t>
        </x:is>
      </x:c>
      <x:c r="F39" s="49" t="inlineStr">
        <x:is>
          <x:t xml:space="preserve">PENDING_NOT_RUN</x:t>
        </x:is>
      </x:c>
      <x:c r="G39" s="49" t="inlineStr">
        <x:is>
          <x:t xml:space="preserve">NO_SORRY_OR_ADMIT_STATIC_SCAN</x:t>
        </x:is>
      </x:c>
      <x:c r="H39" s="49" t="inlineStr">
        <x:is>
          <x:t xml:space="preserve">SCAFFOLDING_NOT_PUBLIC_COUNT</x:t>
        </x:is>
      </x:c>
      <x:c r="I39" s="49" t="inlineStr">
        <x:is>
          <x:t xml:space="preserve">3</x:t>
        </x:is>
      </x:c>
      <x:c r="L39" s="56" t="inlineStr">
        <x:is>
          <x:t xml:space="preserve">dynamics_not_just_symbols | heaviside_content_loss | variable_coupling</x:t>
        </x:is>
      </x:c>
    </x:row>
    <x:row r="40" ht="15" customHeight="1">
      <x:c r="A40" s="55" t="inlineStr">
        <x:is>
          <x:t xml:space="preserve">CovenantTerm</x:t>
        </x:is>
      </x:c>
      <x:c r="B40" s="49" t="inlineStr">
        <x:is>
          <x:t xml:space="preserve">inductive</x:t>
        </x:is>
      </x:c>
      <x:c r="C40" s="49" t="inlineStr">
        <x:is>
          <x:t xml:space="preserve">theophysics-lean-main\theophysics-lean-main\Theophysics_Canonization.lean</x:t>
        </x:is>
      </x:c>
      <x:c r="D40" s="49" t="inlineStr">
        <x:is>
          <x:t xml:space="preserve">330</x:t>
        </x:is>
      </x:c>
      <x:c r="E40" s="49" t="inlineStr">
        <x:is>
          <x:t xml:space="preserve">DECLARATION_OR_UNKNOWN</x:t>
        </x:is>
      </x:c>
      <x:c r="F40" s="49" t="inlineStr">
        <x:is>
          <x:t xml:space="preserve">PENDING_NOT_RUN</x:t>
        </x:is>
      </x:c>
      <x:c r="G40" s="49" t="inlineStr">
        <x:is>
          <x:t xml:space="preserve">NO_SORRY_OR_ADMIT_STATIC_SCAN</x:t>
        </x:is>
      </x:c>
      <x:c r="H40" s="49" t="inlineStr">
        <x:is>
          <x:t xml:space="preserve">SCAFFOLDING_NOT_PUBLIC_COUNT</x:t>
        </x:is>
      </x:c>
      <x:c r="I40" s="49" t="inlineStr">
        <x:is>
          <x:t xml:space="preserve">0</x:t>
        </x:is>
      </x:c>
      <x:c r="L40" s="56" t="n"/>
    </x:row>
    <x:row r="41" ht="15" customHeight="1">
      <x:c r="A41" s="55" t="inlineStr">
        <x:is>
          <x:t xml:space="preserve">D1_erases_which_path</x:t>
        </x:is>
      </x:c>
      <x:c r="B41" s="49" t="inlineStr">
        <x:is>
          <x:t xml:space="preserve">theorem</x:t>
        </x:is>
      </x:c>
      <x:c r="C41" s="49" t="inlineStr">
        <x:is>
          <x:t xml:space="preserve">theophysics-lean-main\theophysics-lean-main\Theophysics_DelayedChoice.lean</x:t>
        </x:is>
      </x:c>
      <x:c r="D41" s="49" t="inlineStr">
        <x:is>
          <x:t xml:space="preserve">73</x:t>
        </x:is>
      </x:c>
      <x:c r="E41" s="49" t="inlineStr">
        <x:is>
          <x:t xml:space="preserve">DEFINITIONAL_RFL</x:t>
        </x:is>
      </x:c>
      <x:c r="F41" s="49" t="inlineStr">
        <x:is>
          <x:t xml:space="preserve">PENDING_NOT_RUN</x:t>
        </x:is>
      </x:c>
      <x:c r="G41" s="49" t="inlineStr">
        <x:is>
          <x:t xml:space="preserve">NO_SORRY_OR_ADMIT_STATIC_SCAN</x:t>
        </x:is>
      </x:c>
      <x:c r="H41" s="49" t="inlineStr">
        <x:is>
          <x:t xml:space="preserve">UNIQUE_THEOREM_PENDING_COMPILE</x:t>
        </x:is>
      </x:c>
      <x:c r="I41" s="49" t="inlineStr">
        <x:is>
          <x:t xml:space="preserve">0</x:t>
        </x:is>
      </x:c>
      <x:c r="L41" s="56" t="n"/>
    </x:row>
    <x:row r="42" ht="15" customHeight="1">
      <x:c r="A42" s="55" t="inlineStr">
        <x:is>
          <x:t xml:space="preserve">D2_erases_which_path</x:t>
        </x:is>
      </x:c>
      <x:c r="B42" s="49" t="inlineStr">
        <x:is>
          <x:t xml:space="preserve">theorem</x:t>
        </x:is>
      </x:c>
      <x:c r="C42" s="49" t="inlineStr">
        <x:is>
          <x:t xml:space="preserve">theophysics-lean-main\theophysics-lean-main\Theophysics_DelayedChoice.lean</x:t>
        </x:is>
      </x:c>
      <x:c r="D42" s="49" t="inlineStr">
        <x:is>
          <x:t xml:space="preserve">77</x:t>
        </x:is>
      </x:c>
      <x:c r="E42" s="49" t="inlineStr">
        <x:is>
          <x:t xml:space="preserve">DEFINITIONAL_RFL</x:t>
        </x:is>
      </x:c>
      <x:c r="F42" s="49" t="inlineStr">
        <x:is>
          <x:t xml:space="preserve">PENDING_NOT_RUN</x:t>
        </x:is>
      </x:c>
      <x:c r="G42" s="49" t="inlineStr">
        <x:is>
          <x:t xml:space="preserve">NO_SORRY_OR_ADMIT_STATIC_SCAN</x:t>
        </x:is>
      </x:c>
      <x:c r="H42" s="49" t="inlineStr">
        <x:is>
          <x:t xml:space="preserve">UNIQUE_THEOREM_PENDING_COMPILE</x:t>
        </x:is>
      </x:c>
      <x:c r="I42" s="49" t="inlineStr">
        <x:is>
          <x:t xml:space="preserve">0</x:t>
        </x:is>
      </x:c>
      <x:c r="L42" s="56" t="n"/>
    </x:row>
    <x:row r="43" ht="15" customHeight="1">
      <x:c r="A43" s="55" t="inlineStr">
        <x:is>
          <x:t xml:space="preserve">D3_preserves_which_path</x:t>
        </x:is>
      </x:c>
      <x:c r="B43" s="49" t="inlineStr">
        <x:is>
          <x:t xml:space="preserve">theorem</x:t>
        </x:is>
      </x:c>
      <x:c r="C43" s="49" t="inlineStr">
        <x:is>
          <x:t xml:space="preserve">theophysics-lean-main\theophysics-lean-main\Theophysics_DelayedChoice.lean</x:t>
        </x:is>
      </x:c>
      <x:c r="D43" s="49" t="inlineStr">
        <x:is>
          <x:t xml:space="preserve">81</x:t>
        </x:is>
      </x:c>
      <x:c r="E43" s="49" t="inlineStr">
        <x:is>
          <x:t xml:space="preserve">DEFINITIONAL_RFL</x:t>
        </x:is>
      </x:c>
      <x:c r="F43" s="49" t="inlineStr">
        <x:is>
          <x:t xml:space="preserve">PENDING_NOT_RUN</x:t>
        </x:is>
      </x:c>
      <x:c r="G43" s="49" t="inlineStr">
        <x:is>
          <x:t xml:space="preserve">NO_SORRY_OR_ADMIT_STATIC_SCAN</x:t>
        </x:is>
      </x:c>
      <x:c r="H43" s="49" t="inlineStr">
        <x:is>
          <x:t xml:space="preserve">UNIQUE_THEOREM_PENDING_COMPILE</x:t>
        </x:is>
      </x:c>
      <x:c r="I43" s="49" t="inlineStr">
        <x:is>
          <x:t xml:space="preserve">0</x:t>
        </x:is>
      </x:c>
      <x:c r="L43" s="56" t="n"/>
    </x:row>
    <x:row r="44" ht="15" customHeight="1">
      <x:c r="A44" s="55" t="inlineStr">
        <x:is>
          <x:t xml:space="preserve">D4_preserves_which_path</x:t>
        </x:is>
      </x:c>
      <x:c r="B44" s="49" t="inlineStr">
        <x:is>
          <x:t xml:space="preserve">theorem</x:t>
        </x:is>
      </x:c>
      <x:c r="C44" s="49" t="inlineStr">
        <x:is>
          <x:t xml:space="preserve">theophysics-lean-main\theophysics-lean-main\Theophysics_DelayedChoice.lean</x:t>
        </x:is>
      </x:c>
      <x:c r="D44" s="49" t="inlineStr">
        <x:is>
          <x:t xml:space="preserve">85</x:t>
        </x:is>
      </x:c>
      <x:c r="E44" s="49" t="inlineStr">
        <x:is>
          <x:t xml:space="preserve">DEFINITIONAL_RFL</x:t>
        </x:is>
      </x:c>
      <x:c r="F44" s="49" t="inlineStr">
        <x:is>
          <x:t xml:space="preserve">PENDING_NOT_RUN</x:t>
        </x:is>
      </x:c>
      <x:c r="G44" s="49" t="inlineStr">
        <x:is>
          <x:t xml:space="preserve">NO_SORRY_OR_ADMIT_STATIC_SCAN</x:t>
        </x:is>
      </x:c>
      <x:c r="H44" s="49" t="inlineStr">
        <x:is>
          <x:t xml:space="preserve">UNIQUE_THEOREM_PENDING_COMPILE</x:t>
        </x:is>
      </x:c>
      <x:c r="I44" s="49" t="inlineStr">
        <x:is>
          <x:t xml:space="preserve">0</x:t>
        </x:is>
      </x:c>
      <x:c r="L44" s="56" t="n"/>
    </x:row>
    <x:row r="45" ht="15" customHeight="1">
      <x:c r="A45" s="55" t="inlineStr">
        <x:is>
          <x:t xml:space="preserve">DecayKind</x:t>
        </x:is>
      </x:c>
      <x:c r="B45" s="49" t="inlineStr">
        <x:is>
          <x:t xml:space="preserve">inductive</x:t>
        </x:is>
      </x:c>
      <x:c r="C45" s="49" t="inlineStr">
        <x:is>
          <x:t xml:space="preserve">theophysics-lean-main\theophysics-lean-main\Theophysics_Coherence.lean</x:t>
        </x:is>
      </x:c>
      <x:c r="D45" s="49" t="inlineStr">
        <x:is>
          <x:t xml:space="preserve">23</x:t>
        </x:is>
      </x:c>
      <x:c r="E45" s="49" t="inlineStr">
        <x:is>
          <x:t xml:space="preserve">DECLARATION_OR_UNKNOWN</x:t>
        </x:is>
      </x:c>
      <x:c r="F45" s="49" t="inlineStr">
        <x:is>
          <x:t xml:space="preserve">PENDING_NOT_RUN</x:t>
        </x:is>
      </x:c>
      <x:c r="G45" s="49" t="inlineStr">
        <x:is>
          <x:t xml:space="preserve">NO_SORRY_OR_ADMIT_STATIC_SCAN</x:t>
        </x:is>
      </x:c>
      <x:c r="H45" s="49" t="inlineStr">
        <x:is>
          <x:t xml:space="preserve">SCAFFOLDING_NOT_PUBLIC_COUNT</x:t>
        </x:is>
      </x:c>
      <x:c r="I45" s="49" t="inlineStr">
        <x:is>
          <x:t xml:space="preserve">3</x:t>
        </x:is>
      </x:c>
      <x:c r="L45" s="56" t="n"/>
    </x:row>
    <x:row r="46" ht="15" customHeight="1">
      <x:c r="A46" s="55" t="inlineStr">
        <x:is>
          <x:t xml:space="preserve">DecayProfile</x:t>
        </x:is>
      </x:c>
      <x:c r="B46" s="49" t="inlineStr">
        <x:is>
          <x:t xml:space="preserve">structure</x:t>
        </x:is>
      </x:c>
      <x:c r="C46" s="49" t="inlineStr">
        <x:is>
          <x:t xml:space="preserve">theophysics-lean-main\theophysics-lean-main\Theophysics_Coherence.lean</x:t>
        </x:is>
      </x:c>
      <x:c r="D46" s="49" t="inlineStr">
        <x:is>
          <x:t xml:space="preserve">91</x:t>
        </x:is>
      </x:c>
      <x:c r="E46" s="49" t="inlineStr">
        <x:is>
          <x:t xml:space="preserve">DECLARATION_OR_UNKNOWN</x:t>
        </x:is>
      </x:c>
      <x:c r="F46" s="49" t="inlineStr">
        <x:is>
          <x:t xml:space="preserve">PENDING_NOT_RUN</x:t>
        </x:is>
      </x:c>
      <x:c r="G46" s="49" t="inlineStr">
        <x:is>
          <x:t xml:space="preserve">NO_SORRY_OR_ADMIT_STATIC_SCAN</x:t>
        </x:is>
      </x:c>
      <x:c r="H46" s="49" t="inlineStr">
        <x:is>
          <x:t xml:space="preserve">SCAFFOLDING_NOT_PUBLIC_COUNT</x:t>
        </x:is>
      </x:c>
      <x:c r="I46" s="49" t="inlineStr">
        <x:is>
          <x:t xml:space="preserve">3</x:t>
        </x:is>
      </x:c>
      <x:c r="L46" s="56" t="n"/>
    </x:row>
    <x:row r="47" ht="15" customHeight="1">
      <x:c r="A47" s="55" t="inlineStr">
        <x:is>
          <x:t xml:space="preserve">DomainKind</x:t>
        </x:is>
      </x:c>
      <x:c r="B47" s="49" t="inlineStr">
        <x:is>
          <x:t xml:space="preserve">inductive</x:t>
        </x:is>
      </x:c>
      <x:c r="C47" s="49" t="inlineStr">
        <x:is>
          <x:t xml:space="preserve">theophysics-lean-main\theophysics-lean-main\Final_Lean4_From_Excel.lean</x:t>
        </x:is>
      </x:c>
      <x:c r="D47" s="49" t="inlineStr">
        <x:is>
          <x:t xml:space="preserve">134</x:t>
        </x:is>
      </x:c>
      <x:c r="E47" s="49" t="inlineStr">
        <x:is>
          <x:t xml:space="preserve">DECLARATION_OR_UNKNOWN</x:t>
        </x:is>
      </x:c>
      <x:c r="F47" s="49" t="inlineStr">
        <x:is>
          <x:t xml:space="preserve">PENDING_NOT_RUN</x:t>
        </x:is>
      </x:c>
      <x:c r="G47" s="49" t="inlineStr">
        <x:is>
          <x:t xml:space="preserve">NO_SORRY_OR_ADMIT_STATIC_SCAN</x:t>
        </x:is>
      </x:c>
      <x:c r="H47" s="49" t="inlineStr">
        <x:is>
          <x:t xml:space="preserve">SCAFFOLDING_NOT_PUBLIC_COUNT</x:t>
        </x:is>
      </x:c>
      <x:c r="I47" s="49" t="inlineStr">
        <x:is>
          <x:t xml:space="preserve">3</x:t>
        </x:is>
      </x:c>
      <x:c r="L47" s="56" t="n"/>
    </x:row>
    <x:row r="48" ht="15" customHeight="1">
      <x:c r="A48" s="55" t="inlineStr">
        <x:is>
          <x:t xml:space="preserve">EMSystem</x:t>
        </x:is>
      </x:c>
      <x:c r="B48" s="49" t="inlineStr">
        <x:is>
          <x:t xml:space="preserve">inductive</x:t>
        </x:is>
      </x:c>
      <x:c r="C48" s="49" t="inlineStr">
        <x:is>
          <x:t xml:space="preserve">theophysics-lean-main\theophysics-lean-main\Theophysics_MaxwellTrinity.lean</x:t>
        </x:is>
      </x:c>
      <x:c r="D48" s="49" t="inlineStr">
        <x:is>
          <x:t xml:space="preserve">15</x:t>
        </x:is>
      </x:c>
      <x:c r="E48" s="49" t="inlineStr">
        <x:is>
          <x:t xml:space="preserve">DECLARATION_OR_UNKNOWN</x:t>
        </x:is>
      </x:c>
      <x:c r="F48" s="49" t="inlineStr">
        <x:is>
          <x:t xml:space="preserve">PENDING_NOT_RUN</x:t>
        </x:is>
      </x:c>
      <x:c r="G48" s="49" t="inlineStr">
        <x:is>
          <x:t xml:space="preserve">NO_SORRY_OR_ADMIT_STATIC_SCAN</x:t>
        </x:is>
      </x:c>
      <x:c r="H48" s="49" t="inlineStr">
        <x:is>
          <x:t xml:space="preserve">SCAFFOLDING_NOT_PUBLIC_COUNT</x:t>
        </x:is>
      </x:c>
      <x:c r="I48" s="49" t="inlineStr">
        <x:is>
          <x:t xml:space="preserve">3</x:t>
        </x:is>
      </x:c>
      <x:c r="L48" s="56" t="n"/>
    </x:row>
    <x:row r="49" ht="15" customHeight="1">
      <x:c r="A49" s="55" t="inlineStr">
        <x:is>
          <x:t xml:space="preserve">E_zero_collapses_chi</x:t>
        </x:is>
      </x:c>
      <x:c r="B49" s="49" t="inlineStr">
        <x:is>
          <x:t xml:space="preserve">theorem</x:t>
        </x:is>
      </x:c>
      <x:c r="C49" s="49" t="inlineStr">
        <x:is>
          <x:t xml:space="preserve">theophysics-lean-main\theophysics-lean-main\Final_Lean4_From_Excel.lean</x:t>
        </x:is>
      </x:c>
      <x:c r="D49" s="49" t="inlineStr">
        <x:is>
          <x:t xml:space="preserve">97</x:t>
        </x:is>
      </x:c>
      <x:c r="E49" s="49" t="inlineStr">
        <x:is>
          <x:t xml:space="preserve">SIMPLIFICATION</x:t>
        </x:is>
      </x:c>
      <x:c r="F49" s="49" t="inlineStr">
        <x:is>
          <x:t xml:space="preserve">PENDING_NOT_RUN</x:t>
        </x:is>
      </x:c>
      <x:c r="G49" s="49" t="inlineStr">
        <x:is>
          <x:t xml:space="preserve">NO_SORRY_OR_ADMIT_STATIC_SCAN</x:t>
        </x:is>
      </x:c>
      <x:c r="H49" s="49" t="inlineStr">
        <x:is>
          <x:t xml:space="preserve">CANONICAL_THEOREM_DEDUPED_PENDING_COMPILE</x:t>
        </x:is>
      </x:c>
      <x:c r="I49" s="49" t="inlineStr">
        <x:is>
          <x:t xml:space="preserve">3</x:t>
        </x:is>
      </x:c>
      <x:c r="L49" s="56" t="n"/>
    </x:row>
    <x:row r="50" ht="15" customHeight="1">
      <x:c r="A50" s="55" t="inlineStr">
        <x:is>
          <x:t xml:space="preserve">EntropyAttenuation</x:t>
        </x:is>
      </x:c>
      <x:c r="B50" s="49" t="inlineStr">
        <x:is>
          <x:t xml:space="preserve">structure</x:t>
        </x:is>
      </x:c>
      <x:c r="C50" s="49" t="inlineStr">
        <x:is>
          <x:t xml:space="preserve">Lean-4-Proofs-main\Lean-4-Proofs-main\theophysics-lean-verification-package\CorrectedEntropyKernel.lean</x:t>
        </x:is>
      </x:c>
      <x:c r="D50" s="49" t="inlineStr">
        <x:is>
          <x:t xml:space="preserve">99</x:t>
        </x:is>
      </x:c>
      <x:c r="E50" s="49" t="inlineStr">
        <x:is>
          <x:t xml:space="preserve">DECLARATION_OR_UNKNOWN</x:t>
        </x:is>
      </x:c>
      <x:c r="F50" s="49" t="inlineStr">
        <x:is>
          <x:t xml:space="preserve">PENDING_NOT_RUN</x:t>
        </x:is>
      </x:c>
      <x:c r="G50" s="49" t="inlineStr">
        <x:is>
          <x:t xml:space="preserve">NO_SORRY_OR_ADMIT_STATIC_SCAN</x:t>
        </x:is>
      </x:c>
      <x:c r="H50" s="49" t="inlineStr">
        <x:is>
          <x:t xml:space="preserve">SCAFFOLDING_NOT_PUBLIC_COUNT</x:t>
        </x:is>
      </x:c>
      <x:c r="I50" s="49" t="inlineStr">
        <x:is>
          <x:t xml:space="preserve">0</x:t>
        </x:is>
      </x:c>
      <x:c r="L50" s="56" t="n"/>
    </x:row>
    <x:row r="51" ht="15" customHeight="1">
      <x:c r="A51" s="55" t="inlineStr">
        <x:is>
          <x:t xml:space="preserve">EntropyAttenuation.nonneg</x:t>
        </x:is>
      </x:c>
      <x:c r="B51" s="49" t="inlineStr">
        <x:is>
          <x:t xml:space="preserve">theorem</x:t>
        </x:is>
      </x:c>
      <x:c r="C51" s="49" t="inlineStr">
        <x:is>
          <x:t xml:space="preserve">Lean-4-Proofs-main\Lean-4-Proofs-main\theophysics-lean-verification-package\CorrectedEntropyKernel.lean</x:t>
        </x:is>
      </x:c>
      <x:c r="D51" s="49" t="inlineStr">
        <x:is>
          <x:t xml:space="preserve">108</x:t>
        </x:is>
      </x:c>
      <x:c r="E51" s="49" t="inlineStr">
        <x:is>
          <x:t xml:space="preserve">WRAPPER_OR_IMPORTED</x:t>
        </x:is>
      </x:c>
      <x:c r="F51" s="49" t="inlineStr">
        <x:is>
          <x:t xml:space="preserve">PENDING_NOT_RUN</x:t>
        </x:is>
      </x:c>
      <x:c r="G51" s="49" t="inlineStr">
        <x:is>
          <x:t xml:space="preserve">NO_SORRY_OR_ADMIT_STATIC_SCAN</x:t>
        </x:is>
      </x:c>
      <x:c r="H51" s="49" t="inlineStr">
        <x:is>
          <x:t xml:space="preserve">UNIQUE_THEOREM_PENDING_COMPILE</x:t>
        </x:is>
      </x:c>
      <x:c r="I51" s="49" t="inlineStr">
        <x:is>
          <x:t xml:space="preserve">0</x:t>
        </x:is>
      </x:c>
      <x:c r="L51" s="56" t="n"/>
    </x:row>
    <x:row r="52" ht="15" customHeight="1">
      <x:c r="A52" s="55" t="inlineStr">
        <x:is>
          <x:t xml:space="preserve">Evaluation</x:t>
        </x:is>
      </x:c>
      <x:c r="B52" s="49" t="inlineStr">
        <x:is>
          <x:t xml:space="preserve">structure</x:t>
        </x:is>
      </x:c>
      <x:c r="C52" s="49" t="inlineStr">
        <x:is>
          <x:t xml:space="preserve">theophysics-lean-main\theophysics-lean-main\Theophysics_ChiEvaluator.lean</x:t>
        </x:is>
      </x:c>
      <x:c r="D52" s="49" t="inlineStr">
        <x:is>
          <x:t xml:space="preserve">122</x:t>
        </x:is>
      </x:c>
      <x:c r="E52" s="49" t="inlineStr">
        <x:is>
          <x:t xml:space="preserve">DECLARATION_OR_UNKNOWN</x:t>
        </x:is>
      </x:c>
      <x:c r="F52" s="49" t="inlineStr">
        <x:is>
          <x:t xml:space="preserve">PENDING_NOT_RUN</x:t>
        </x:is>
      </x:c>
      <x:c r="G52" s="49" t="inlineStr">
        <x:is>
          <x:t xml:space="preserve">NO_SORRY_OR_ADMIT_STATIC_SCAN</x:t>
        </x:is>
      </x:c>
      <x:c r="H52" s="49" t="inlineStr">
        <x:is>
          <x:t xml:space="preserve">SCAFFOLDING_NOT_PUBLIC_COUNT</x:t>
        </x:is>
      </x:c>
      <x:c r="I52" s="49" t="inlineStr">
        <x:is>
          <x:t xml:space="preserve">3</x:t>
        </x:is>
      </x:c>
      <x:c r="L52" s="56" t="n"/>
    </x:row>
    <x:row r="53" ht="15" customHeight="1">
      <x:c r="A53" s="55" t="inlineStr">
        <x:is>
          <x:t xml:space="preserve">EvolutionMode</x:t>
        </x:is>
      </x:c>
      <x:c r="B53" s="49" t="inlineStr">
        <x:is>
          <x:t xml:space="preserve">inductive</x:t>
        </x:is>
      </x:c>
      <x:c r="C53" s="49" t="inlineStr">
        <x:is>
          <x:t xml:space="preserve">theophysics-lean-main\theophysics-lean-main\Theophysics_Fracture.lean</x:t>
        </x:is>
      </x:c>
      <x:c r="D53" s="49" t="inlineStr">
        <x:is>
          <x:t xml:space="preserve">23</x:t>
        </x:is>
      </x:c>
      <x:c r="E53" s="49" t="inlineStr">
        <x:is>
          <x:t xml:space="preserve">DECLARATION_OR_UNKNOWN</x:t>
        </x:is>
      </x:c>
      <x:c r="F53" s="49" t="inlineStr">
        <x:is>
          <x:t xml:space="preserve">PENDING_NOT_RUN</x:t>
        </x:is>
      </x:c>
      <x:c r="G53" s="49" t="inlineStr">
        <x:is>
          <x:t xml:space="preserve">NO_SORRY_OR_ADMIT_STATIC_SCAN</x:t>
        </x:is>
      </x:c>
      <x:c r="H53" s="49" t="inlineStr">
        <x:is>
          <x:t xml:space="preserve">SCAFFOLDING_NOT_PUBLIC_COUNT</x:t>
        </x:is>
      </x:c>
      <x:c r="I53" s="49" t="inlineStr">
        <x:is>
          <x:t xml:space="preserve">3</x:t>
        </x:is>
      </x:c>
      <x:c r="L53" s="56" t="n"/>
    </x:row>
    <x:row r="54" ht="15" customHeight="1">
      <x:c r="A54" s="55" t="inlineStr">
        <x:is>
          <x:t xml:space="preserve">FGate</x:t>
        </x:is>
      </x:c>
      <x:c r="B54" s="49" t="inlineStr">
        <x:is>
          <x:t xml:space="preserve">def</x:t>
        </x:is>
      </x:c>
      <x:c r="C54" s="49" t="inlineStr">
        <x:is>
          <x:t xml:space="preserve">theophysics-lean-main\theophysics-lean-main\Theophysics_LawMechanisms.lean</x:t>
        </x:is>
      </x:c>
      <x:c r="D54" s="49" t="inlineStr">
        <x:is>
          <x:t xml:space="preserve">223</x:t>
        </x:is>
      </x:c>
      <x:c r="E54" s="49" t="inlineStr">
        <x:is>
          <x:t xml:space="preserve">DECLARATION_OR_UNKNOWN</x:t>
        </x:is>
      </x:c>
      <x:c r="F54" s="49" t="inlineStr">
        <x:is>
          <x:t xml:space="preserve">PENDING_NOT_RUN</x:t>
        </x:is>
      </x:c>
      <x:c r="G54" s="49" t="inlineStr">
        <x:is>
          <x:t xml:space="preserve">NO_SORRY_OR_ADMIT_STATIC_SCAN</x:t>
        </x:is>
      </x:c>
      <x:c r="H54" s="49" t="inlineStr">
        <x:is>
          <x:t xml:space="preserve">SCAFFOLDING_NOT_PUBLIC_COUNT</x:t>
        </x:is>
      </x:c>
      <x:c r="I54" s="49" t="inlineStr">
        <x:is>
          <x:t xml:space="preserve">0</x:t>
        </x:is>
      </x:c>
      <x:c r="L54" s="56" t="n"/>
    </x:row>
    <x:row r="55" ht="15" customHeight="1">
      <x:c r="A55" s="55" t="inlineStr">
        <x:is>
          <x:t xml:space="preserve">F_zero_collapses_chi</x:t>
        </x:is>
      </x:c>
      <x:c r="B55" s="49" t="inlineStr">
        <x:is>
          <x:t xml:space="preserve">theorem</x:t>
        </x:is>
      </x:c>
      <x:c r="C55" s="49" t="inlineStr">
        <x:is>
          <x:t xml:space="preserve">theophysics-lean-main\theophysics-lean-main\Final_Lean4_From_Excel.lean</x:t>
        </x:is>
      </x:c>
      <x:c r="D55" s="49" t="inlineStr">
        <x:is>
          <x:t xml:space="preserve">112</x:t>
        </x:is>
      </x:c>
      <x:c r="E55" s="49" t="inlineStr">
        <x:is>
          <x:t xml:space="preserve">SIMPLIFICATION</x:t>
        </x:is>
      </x:c>
      <x:c r="F55" s="49" t="inlineStr">
        <x:is>
          <x:t xml:space="preserve">PENDING_NOT_RUN</x:t>
        </x:is>
      </x:c>
      <x:c r="G55" s="49" t="inlineStr">
        <x:is>
          <x:t xml:space="preserve">NO_SORRY_OR_ADMIT_STATIC_SCAN</x:t>
        </x:is>
      </x:c>
      <x:c r="H55" s="49" t="inlineStr">
        <x:is>
          <x:t xml:space="preserve">CANONICAL_THEOREM_DEDUPED_PENDING_COMPILE</x:t>
        </x:is>
      </x:c>
      <x:c r="I55" s="49" t="inlineStr">
        <x:is>
          <x:t xml:space="preserve">3</x:t>
        </x:is>
      </x:c>
      <x:c r="L55" s="56" t="n"/>
    </x:row>
    <x:row r="56" ht="15" customHeight="1">
      <x:c r="A56" s="55" t="inlineStr">
        <x:is>
          <x:t xml:space="preserve">Factor</x:t>
        </x:is>
      </x:c>
      <x:c r="B56" s="49" t="inlineStr">
        <x:is>
          <x:t xml:space="preserve">inductive</x:t>
        </x:is>
      </x:c>
      <x:c r="C56" s="49" t="inlineStr">
        <x:is>
          <x:t xml:space="preserve">theophysics-lean-main\theophysics-lean-main\Final_Lean4_From_Excel.lean</x:t>
        </x:is>
      </x:c>
      <x:c r="D56" s="49" t="inlineStr">
        <x:is>
          <x:t xml:space="preserve">41</x:t>
        </x:is>
      </x:c>
      <x:c r="E56" s="49" t="inlineStr">
        <x:is>
          <x:t xml:space="preserve">DECLARATION_OR_UNKNOWN</x:t>
        </x:is>
      </x:c>
      <x:c r="F56" s="49" t="inlineStr">
        <x:is>
          <x:t xml:space="preserve">PENDING_NOT_RUN</x:t>
        </x:is>
      </x:c>
      <x:c r="G56" s="49" t="inlineStr">
        <x:is>
          <x:t xml:space="preserve">NO_SORRY_OR_ADMIT_STATIC_SCAN</x:t>
        </x:is>
      </x:c>
      <x:c r="H56" s="49" t="inlineStr">
        <x:is>
          <x:t xml:space="preserve">SCAFFOLDING_NOT_PUBLIC_COUNT</x:t>
        </x:is>
      </x:c>
      <x:c r="I56" s="49" t="inlineStr">
        <x:is>
          <x:t xml:space="preserve">3</x:t>
        </x:is>
      </x:c>
      <x:c r="L56" s="56" t="n"/>
    </x:row>
    <x:row r="57" ht="15" customHeight="1">
      <x:c r="A57" s="55" t="inlineStr">
        <x:is>
          <x:t xml:space="preserve">FactorFunctions</x:t>
        </x:is>
      </x:c>
      <x:c r="B57" s="49" t="inlineStr">
        <x:is>
          <x:t xml:space="preserve">structure</x:t>
        </x:is>
      </x:c>
      <x:c r="C57" s="49" t="inlineStr">
        <x:is>
          <x:t xml:space="preserve">Lean-4-Proofs-main\Lean-4-Proofs-main\theophysics-lean-verification-package\CorrectedEntropyKernel.lean</x:t>
        </x:is>
      </x:c>
      <x:c r="D57" s="49" t="inlineStr">
        <x:is>
          <x:t xml:space="preserve">73</x:t>
        </x:is>
      </x:c>
      <x:c r="E57" s="49" t="inlineStr">
        <x:is>
          <x:t xml:space="preserve">DECLARATION_OR_UNKNOWN</x:t>
        </x:is>
      </x:c>
      <x:c r="F57" s="49" t="inlineStr">
        <x:is>
          <x:t xml:space="preserve">PENDING_NOT_RUN</x:t>
        </x:is>
      </x:c>
      <x:c r="G57" s="49" t="inlineStr">
        <x:is>
          <x:t xml:space="preserve">NO_SORRY_OR_ADMIT_STATIC_SCAN</x:t>
        </x:is>
      </x:c>
      <x:c r="H57" s="49" t="inlineStr">
        <x:is>
          <x:t xml:space="preserve">SCAFFOLDING_NOT_PUBLIC_COUNT</x:t>
        </x:is>
      </x:c>
      <x:c r="I57" s="49" t="inlineStr">
        <x:is>
          <x:t xml:space="preserve">0</x:t>
        </x:is>
      </x:c>
      <x:c r="L57" s="56" t="n"/>
    </x:row>
    <x:row r="58" ht="15" customHeight="1">
      <x:c r="A58" s="55" t="inlineStr">
        <x:is>
          <x:t xml:space="preserve">FactorFunctions.at</x:t>
        </x:is>
      </x:c>
      <x:c r="B58" s="49" t="inlineStr">
        <x:is>
          <x:t xml:space="preserve">def</x:t>
        </x:is>
      </x:c>
      <x:c r="C58" s="49" t="inlineStr">
        <x:is>
          <x:t xml:space="preserve">Lean-4-Proofs-main\Lean-4-Proofs-main\theophysics-lean-verification-package\CorrectedEntropyKernel.lean</x:t>
        </x:is>
      </x:c>
      <x:c r="D58" s="49" t="inlineStr">
        <x:is>
          <x:t xml:space="preserve">85</x:t>
        </x:is>
      </x:c>
      <x:c r="E58" s="49" t="inlineStr">
        <x:is>
          <x:t xml:space="preserve">DECLARATION_OR_UNKNOWN</x:t>
        </x:is>
      </x:c>
      <x:c r="F58" s="49" t="inlineStr">
        <x:is>
          <x:t xml:space="preserve">PENDING_NOT_RUN</x:t>
        </x:is>
      </x:c>
      <x:c r="G58" s="49" t="inlineStr">
        <x:is>
          <x:t xml:space="preserve">NO_SORRY_OR_ADMIT_STATIC_SCAN</x:t>
        </x:is>
      </x:c>
      <x:c r="H58" s="49" t="inlineStr">
        <x:is>
          <x:t xml:space="preserve">SCAFFOLDING_NOT_PUBLIC_COUNT</x:t>
        </x:is>
      </x:c>
      <x:c r="I58" s="49" t="inlineStr">
        <x:is>
          <x:t xml:space="preserve">0</x:t>
        </x:is>
      </x:c>
      <x:c r="L58" s="56" t="n"/>
    </x:row>
    <x:row r="59" ht="15" customHeight="1">
      <x:c r="A59" s="55" t="inlineStr">
        <x:is>
          <x:t xml:space="preserve">FactorName</x:t>
        </x:is>
      </x:c>
      <x:c r="B59" s="49" t="inlineStr">
        <x:is>
          <x:t xml:space="preserve">inductive</x:t>
        </x:is>
      </x:c>
      <x:c r="C59" s="49" t="inlineStr">
        <x:is>
          <x:t xml:space="preserve">Lean-4-Proofs-main\Lean-4-Proofs-main\theophysics-lean-verification-package\CorrectedEntropyKernel.lean</x:t>
        </x:is>
      </x:c>
      <x:c r="D59" s="49" t="inlineStr">
        <x:is>
          <x:t xml:space="preserve">29</x:t>
        </x:is>
      </x:c>
      <x:c r="E59" s="49" t="inlineStr">
        <x:is>
          <x:t xml:space="preserve">DECLARATION_OR_UNKNOWN</x:t>
        </x:is>
      </x:c>
      <x:c r="F59" s="49" t="inlineStr">
        <x:is>
          <x:t xml:space="preserve">PENDING_NOT_RUN</x:t>
        </x:is>
      </x:c>
      <x:c r="G59" s="49" t="inlineStr">
        <x:is>
          <x:t xml:space="preserve">NO_SORRY_OR_ADMIT_STATIC_SCAN</x:t>
        </x:is>
      </x:c>
      <x:c r="H59" s="49" t="inlineStr">
        <x:is>
          <x:t xml:space="preserve">SCAFFOLDING_NOT_PUBLIC_COUNT</x:t>
        </x:is>
      </x:c>
      <x:c r="I59" s="49" t="inlineStr">
        <x:is>
          <x:t xml:space="preserve">0</x:t>
        </x:is>
      </x:c>
      <x:c r="L59" s="56" t="n"/>
    </x:row>
    <x:row r="60" ht="15" customHeight="1">
      <x:c r="A60" s="55" t="inlineStr">
        <x:is>
          <x:t xml:space="preserve">FactorName.all</x:t>
        </x:is>
      </x:c>
      <x:c r="B60" s="49" t="inlineStr">
        <x:is>
          <x:t xml:space="preserve">def</x:t>
        </x:is>
      </x:c>
      <x:c r="C60" s="49" t="inlineStr">
        <x:is>
          <x:t xml:space="preserve">Lean-4-Proofs-main\Lean-4-Proofs-main\theophysics-lean-verification-package\CorrectedEntropyKernel.lean</x:t>
        </x:is>
      </x:c>
      <x:c r="D60" s="49" t="inlineStr">
        <x:is>
          <x:t xml:space="preserve">33</x:t>
        </x:is>
      </x:c>
      <x:c r="E60" s="49" t="inlineStr">
        <x:is>
          <x:t xml:space="preserve">DECLARATION_OR_UNKNOWN</x:t>
        </x:is>
      </x:c>
      <x:c r="F60" s="49" t="inlineStr">
        <x:is>
          <x:t xml:space="preserve">PENDING_NOT_RUN</x:t>
        </x:is>
      </x:c>
      <x:c r="G60" s="49" t="inlineStr">
        <x:is>
          <x:t xml:space="preserve">NO_SORRY_OR_ADMIT_STATIC_SCAN</x:t>
        </x:is>
      </x:c>
      <x:c r="H60" s="49" t="inlineStr">
        <x:is>
          <x:t xml:space="preserve">SCAFFOLDING_NOT_PUBLIC_COUNT</x:t>
        </x:is>
      </x:c>
      <x:c r="I60" s="49" t="inlineStr">
        <x:is>
          <x:t xml:space="preserve">0</x:t>
        </x:is>
      </x:c>
      <x:c r="L60" s="56" t="n"/>
    </x:row>
    <x:row r="61" ht="15" customHeight="1">
      <x:c r="A61" s="55" t="inlineStr">
        <x:is>
          <x:t xml:space="preserve">FactorSignature</x:t>
        </x:is>
      </x:c>
      <x:c r="B61" s="49" t="inlineStr">
        <x:is>
          <x:t xml:space="preserve">structure</x:t>
        </x:is>
      </x:c>
      <x:c r="C61" s="49" t="inlineStr">
        <x:is>
          <x:t xml:space="preserve">theophysics-lean-main\theophysics-lean-main\Final_Lean4_From_Excel.lean</x:t>
        </x:is>
      </x:c>
      <x:c r="D61" s="49" t="inlineStr">
        <x:is>
          <x:t xml:space="preserve">148</x:t>
        </x:is>
      </x:c>
      <x:c r="E61" s="49" t="inlineStr">
        <x:is>
          <x:t xml:space="preserve">DECLARATION_OR_UNKNOWN</x:t>
        </x:is>
      </x:c>
      <x:c r="F61" s="49" t="inlineStr">
        <x:is>
          <x:t xml:space="preserve">PENDING_NOT_RUN</x:t>
        </x:is>
      </x:c>
      <x:c r="G61" s="49" t="inlineStr">
        <x:is>
          <x:t xml:space="preserve">NO_SORRY_OR_ADMIT_STATIC_SCAN</x:t>
        </x:is>
      </x:c>
      <x:c r="H61" s="49" t="inlineStr">
        <x:is>
          <x:t xml:space="preserve">SCAFFOLDING_NOT_PUBLIC_COUNT</x:t>
        </x:is>
      </x:c>
      <x:c r="I61" s="49" t="inlineStr">
        <x:is>
          <x:t xml:space="preserve">3</x:t>
        </x:is>
      </x:c>
      <x:c r="L61" s="56" t="n"/>
    </x:row>
    <x:row r="62" ht="15" customHeight="1">
      <x:c r="A62" s="55" t="inlineStr">
        <x:is>
          <x:t xml:space="preserve">FactorState</x:t>
        </x:is>
      </x:c>
      <x:c r="B62" s="49" t="inlineStr">
        <x:is>
          <x:t xml:space="preserve">structure</x:t>
        </x:is>
      </x:c>
      <x:c r="C62" s="49" t="inlineStr">
        <x:is>
          <x:t xml:space="preserve">theophysics-lean-main\theophysics-lean-main\Final_Lean4_From_Excel.lean</x:t>
        </x:is>
      </x:c>
      <x:c r="D62" s="49" t="inlineStr">
        <x:is>
          <x:t xml:space="preserve">57</x:t>
        </x:is>
      </x:c>
      <x:c r="E62" s="49" t="inlineStr">
        <x:is>
          <x:t xml:space="preserve">DECLARATION_OR_UNKNOWN</x:t>
        </x:is>
      </x:c>
      <x:c r="F62" s="49" t="inlineStr">
        <x:is>
          <x:t xml:space="preserve">PENDING_NOT_RUN</x:t>
        </x:is>
      </x:c>
      <x:c r="G62" s="49" t="inlineStr">
        <x:is>
          <x:t xml:space="preserve">NO_SORRY_OR_ADMIT_STATIC_SCAN</x:t>
        </x:is>
      </x:c>
      <x:c r="H62" s="49" t="inlineStr">
        <x:is>
          <x:t xml:space="preserve">SCAFFOLDING_NOT_PUBLIC_COUNT</x:t>
        </x:is>
      </x:c>
      <x:c r="I62" s="49" t="inlineStr">
        <x:is>
          <x:t xml:space="preserve">3</x:t>
        </x:is>
      </x:c>
      <x:c r="L62" s="56" t="n"/>
    </x:row>
    <x:row r="63" ht="15" customHeight="1">
      <x:c r="A63" s="55" t="inlineStr">
        <x:is>
          <x:t xml:space="preserve">FallModel</x:t>
        </x:is>
      </x:c>
      <x:c r="B63" s="49" t="inlineStr">
        <x:is>
          <x:t xml:space="preserve">structure</x:t>
        </x:is>
      </x:c>
      <x:c r="C63" s="49" t="inlineStr">
        <x:is>
          <x:t xml:space="preserve">theophysics-lean-main\theophysics-lean-main\Theophysics_Fall.lean</x:t>
        </x:is>
      </x:c>
      <x:c r="D63" s="49" t="inlineStr">
        <x:is>
          <x:t xml:space="preserve">36</x:t>
        </x:is>
      </x:c>
      <x:c r="E63" s="49" t="inlineStr">
        <x:is>
          <x:t xml:space="preserve">DECLARATION_OR_UNKNOWN</x:t>
        </x:is>
      </x:c>
      <x:c r="F63" s="49" t="inlineStr">
        <x:is>
          <x:t xml:space="preserve">PENDING_NOT_RUN</x:t>
        </x:is>
      </x:c>
      <x:c r="G63" s="49" t="inlineStr">
        <x:is>
          <x:t xml:space="preserve">NO_SORRY_OR_ADMIT_STATIC_SCAN</x:t>
        </x:is>
      </x:c>
      <x:c r="H63" s="49" t="inlineStr">
        <x:is>
          <x:t xml:space="preserve">SCAFFOLDING_NOT_PUBLIC_COUNT</x:t>
        </x:is>
      </x:c>
      <x:c r="I63" s="49" t="inlineStr">
        <x:is>
          <x:t xml:space="preserve">3</x:t>
        </x:is>
      </x:c>
      <x:c r="L63" s="56" t="n"/>
    </x:row>
    <x:row r="64" ht="15" customHeight="1">
      <x:c r="A64" s="55" t="inlineStr">
        <x:is>
          <x:t xml:space="preserve">FallStage</x:t>
        </x:is>
      </x:c>
      <x:c r="B64" s="49" t="inlineStr">
        <x:is>
          <x:t xml:space="preserve">inductive</x:t>
        </x:is>
      </x:c>
      <x:c r="C64" s="49" t="inlineStr">
        <x:is>
          <x:t xml:space="preserve">theophysics-lean-main\theophysics-lean-main\Theophysics_Fall.lean</x:t>
        </x:is>
      </x:c>
      <x:c r="D64" s="49" t="inlineStr">
        <x:is>
          <x:t xml:space="preserve">26</x:t>
        </x:is>
      </x:c>
      <x:c r="E64" s="49" t="inlineStr">
        <x:is>
          <x:t xml:space="preserve">DECLARATION_OR_UNKNOWN</x:t>
        </x:is>
      </x:c>
      <x:c r="F64" s="49" t="inlineStr">
        <x:is>
          <x:t xml:space="preserve">PENDING_NOT_RUN</x:t>
        </x:is>
      </x:c>
      <x:c r="G64" s="49" t="inlineStr">
        <x:is>
          <x:t xml:space="preserve">NO_SORRY_OR_ADMIT_STATIC_SCAN</x:t>
        </x:is>
      </x:c>
      <x:c r="H64" s="49" t="inlineStr">
        <x:is>
          <x:t xml:space="preserve">SCAFFOLDING_NOT_PUBLIC_COUNT</x:t>
        </x:is>
      </x:c>
      <x:c r="I64" s="49" t="inlineStr">
        <x:is>
          <x:t xml:space="preserve">3</x:t>
        </x:is>
      </x:c>
      <x:c r="L64" s="56" t="n"/>
    </x:row>
    <x:row r="65" ht="15" customHeight="1">
      <x:c r="A65" s="55" t="inlineStr">
        <x:is>
          <x:t xml:space="preserve">FieldControl</x:t>
        </x:is>
      </x:c>
      <x:c r="B65" s="49" t="inlineStr">
        <x:is>
          <x:t xml:space="preserve">structure</x:t>
        </x:is>
      </x:c>
      <x:c r="C65" s="49" t="inlineStr">
        <x:is>
          <x:t xml:space="preserve">theophysics-lean-main\theophysics-lean-main\Theophysics_Adversarial.lean</x:t>
        </x:is>
      </x:c>
      <x:c r="D65" s="49" t="inlineStr">
        <x:is>
          <x:t xml:space="preserve">205</x:t>
        </x:is>
      </x:c>
      <x:c r="E65" s="49" t="inlineStr">
        <x:is>
          <x:t xml:space="preserve">DECLARATION_OR_UNKNOWN</x:t>
        </x:is>
      </x:c>
      <x:c r="F65" s="49" t="inlineStr">
        <x:is>
          <x:t xml:space="preserve">PENDING_NOT_RUN</x:t>
        </x:is>
      </x:c>
      <x:c r="G65" s="49" t="inlineStr">
        <x:is>
          <x:t xml:space="preserve">NO_SORRY_OR_ADMIT_STATIC_SCAN</x:t>
        </x:is>
      </x:c>
      <x:c r="H65" s="49" t="inlineStr">
        <x:is>
          <x:t xml:space="preserve">SCAFFOLDING_NOT_PUBLIC_COUNT</x:t>
        </x:is>
      </x:c>
      <x:c r="I65" s="49" t="inlineStr">
        <x:is>
          <x:t xml:space="preserve">3</x:t>
        </x:is>
      </x:c>
      <x:c r="L65" s="56" t="n"/>
    </x:row>
    <x:row r="66" ht="15" customHeight="1">
      <x:c r="A66" s="55" t="inlineStr">
        <x:is>
          <x:t xml:space="preserve">FixedPointProfile</x:t>
        </x:is>
      </x:c>
      <x:c r="B66" s="49" t="inlineStr">
        <x:is>
          <x:t xml:space="preserve">structure</x:t>
        </x:is>
      </x:c>
      <x:c r="C66" s="49" t="inlineStr">
        <x:is>
          <x:t xml:space="preserve">theophysics-lean-main\theophysics-lean-main\Theophysics_Canonization.lean</x:t>
        </x:is>
      </x:c>
      <x:c r="D66" s="49" t="inlineStr">
        <x:is>
          <x:t xml:space="preserve">501</x:t>
        </x:is>
      </x:c>
      <x:c r="E66" s="49" t="inlineStr">
        <x:is>
          <x:t xml:space="preserve">DECLARATION_OR_UNKNOWN</x:t>
        </x:is>
      </x:c>
      <x:c r="F66" s="49" t="inlineStr">
        <x:is>
          <x:t xml:space="preserve">PENDING_NOT_RUN</x:t>
        </x:is>
      </x:c>
      <x:c r="G66" s="49" t="inlineStr">
        <x:is>
          <x:t xml:space="preserve">NO_SORRY_OR_ADMIT_STATIC_SCAN</x:t>
        </x:is>
      </x:c>
      <x:c r="H66" s="49" t="inlineStr">
        <x:is>
          <x:t xml:space="preserve">SCAFFOLDING_NOT_PUBLIC_COUNT</x:t>
        </x:is>
      </x:c>
      <x:c r="I66" s="49" t="inlineStr">
        <x:is>
          <x:t xml:space="preserve">0</x:t>
        </x:is>
      </x:c>
      <x:c r="L66" s="56" t="n"/>
    </x:row>
    <x:row r="67" ht="15" customHeight="1">
      <x:c r="A67" s="55" t="inlineStr">
        <x:is>
          <x:t xml:space="preserve">FractureModel</x:t>
        </x:is>
      </x:c>
      <x:c r="B67" s="49" t="inlineStr">
        <x:is>
          <x:t xml:space="preserve">structure</x:t>
        </x:is>
      </x:c>
      <x:c r="C67" s="49" t="inlineStr">
        <x:is>
          <x:t xml:space="preserve">theophysics-lean-main\theophysics-lean-main\Theophysics_Fracture.lean</x:t>
        </x:is>
      </x:c>
      <x:c r="D67" s="49" t="inlineStr">
        <x:is>
          <x:t xml:space="preserve">57</x:t>
        </x:is>
      </x:c>
      <x:c r="E67" s="49" t="inlineStr">
        <x:is>
          <x:t xml:space="preserve">DECLARATION_OR_UNKNOWN</x:t>
        </x:is>
      </x:c>
      <x:c r="F67" s="49" t="inlineStr">
        <x:is>
          <x:t xml:space="preserve">PENDING_NOT_RUN</x:t>
        </x:is>
      </x:c>
      <x:c r="G67" s="49" t="inlineStr">
        <x:is>
          <x:t xml:space="preserve">NO_SORRY_OR_ADMIT_STATIC_SCAN</x:t>
        </x:is>
      </x:c>
      <x:c r="H67" s="49" t="inlineStr">
        <x:is>
          <x:t xml:space="preserve">SCAFFOLDING_NOT_PUBLIC_COUNT</x:t>
        </x:is>
      </x:c>
      <x:c r="I67" s="49" t="inlineStr">
        <x:is>
          <x:t xml:space="preserve">3</x:t>
        </x:is>
      </x:c>
      <x:c r="L67" s="56" t="n"/>
    </x:row>
    <x:row r="68" ht="15" customHeight="1">
      <x:c r="A68" s="55" t="inlineStr">
        <x:is>
          <x:t xml:space="preserve">Fruit</x:t>
        </x:is>
      </x:c>
      <x:c r="B68" s="49" t="inlineStr">
        <x:is>
          <x:t xml:space="preserve">inductive</x:t>
        </x:is>
      </x:c>
      <x:c r="C68" s="49" t="inlineStr">
        <x:is>
          <x:t xml:space="preserve">theophysics-lean-main\theophysics-lean-main\Theophysics_Canonization.lean</x:t>
        </x:is>
      </x:c>
      <x:c r="D68" s="49" t="inlineStr">
        <x:is>
          <x:t xml:space="preserve">236</x:t>
        </x:is>
      </x:c>
      <x:c r="E68" s="49" t="inlineStr">
        <x:is>
          <x:t xml:space="preserve">DECLARATION_OR_UNKNOWN</x:t>
        </x:is>
      </x:c>
      <x:c r="F68" s="49" t="inlineStr">
        <x:is>
          <x:t xml:space="preserve">PENDING_NOT_RUN</x:t>
        </x:is>
      </x:c>
      <x:c r="G68" s="49" t="inlineStr">
        <x:is>
          <x:t xml:space="preserve">NO_SORRY_OR_ADMIT_STATIC_SCAN</x:t>
        </x:is>
      </x:c>
      <x:c r="H68" s="49" t="inlineStr">
        <x:is>
          <x:t xml:space="preserve">SCAFFOLDING_NOT_PUBLIC_COUNT</x:t>
        </x:is>
      </x:c>
      <x:c r="I68" s="49" t="inlineStr">
        <x:is>
          <x:t xml:space="preserve">4</x:t>
        </x:is>
      </x:c>
      <x:c r="L68" s="56" t="n"/>
    </x:row>
    <x:row r="69" ht="15" customHeight="1">
      <x:c r="A69" s="55" t="inlineStr">
        <x:is>
          <x:t xml:space="preserve">FruitOutput</x:t>
        </x:is>
      </x:c>
      <x:c r="B69" s="49" t="inlineStr">
        <x:is>
          <x:t xml:space="preserve">structure</x:t>
        </x:is>
      </x:c>
      <x:c r="C69" s="49" t="inlineStr">
        <x:is>
          <x:t xml:space="preserve">theophysics-lean-main\theophysics-lean-main\Theophysics_ChiEvaluator.lean</x:t>
        </x:is>
      </x:c>
      <x:c r="D69" s="49" t="inlineStr">
        <x:is>
          <x:t xml:space="preserve">329</x:t>
        </x:is>
      </x:c>
      <x:c r="E69" s="49" t="inlineStr">
        <x:is>
          <x:t xml:space="preserve">DECLARATION_OR_UNKNOWN</x:t>
        </x:is>
      </x:c>
      <x:c r="F69" s="49" t="inlineStr">
        <x:is>
          <x:t xml:space="preserve">PENDING_NOT_RUN</x:t>
        </x:is>
      </x:c>
      <x:c r="G69" s="49" t="inlineStr">
        <x:is>
          <x:t xml:space="preserve">NO_SORRY_OR_ADMIT_STATIC_SCAN</x:t>
        </x:is>
      </x:c>
      <x:c r="H69" s="49" t="inlineStr">
        <x:is>
          <x:t xml:space="preserve">SCAFFOLDING_NOT_PUBLIC_COUNT</x:t>
        </x:is>
      </x:c>
      <x:c r="I69" s="49" t="inlineStr">
        <x:is>
          <x:t xml:space="preserve">3</x:t>
        </x:is>
      </x:c>
      <x:c r="L69" s="56" t="n"/>
    </x:row>
    <x:row r="70" ht="15" customHeight="1">
      <x:c r="A70" s="55" t="inlineStr">
        <x:is>
          <x:t xml:space="preserve">FruitProfile</x:t>
        </x:is>
      </x:c>
      <x:c r="B70" s="49" t="inlineStr">
        <x:is>
          <x:t xml:space="preserve">structure</x:t>
        </x:is>
      </x:c>
      <x:c r="C70" s="49" t="inlineStr">
        <x:is>
          <x:t xml:space="preserve">Lean-4-Proofs-main\Lean-4-Proofs-main\theophysics-lean-verification-package\COPY_PASTE_LEAN4.lean</x:t>
        </x:is>
      </x:c>
      <x:c r="D70" s="49" t="inlineStr">
        <x:is>
          <x:t xml:space="preserve">113</x:t>
        </x:is>
      </x:c>
      <x:c r="E70" s="49" t="inlineStr">
        <x:is>
          <x:t xml:space="preserve">DECLARATION_OR_UNKNOWN</x:t>
        </x:is>
      </x:c>
      <x:c r="F70" s="49" t="inlineStr">
        <x:is>
          <x:t xml:space="preserve">PENDING_NOT_RUN</x:t>
        </x:is>
      </x:c>
      <x:c r="G70" s="49" t="inlineStr">
        <x:is>
          <x:t xml:space="preserve">NO_SORRY_OR_ADMIT_STATIC_SCAN</x:t>
        </x:is>
      </x:c>
      <x:c r="H70" s="49" t="inlineStr">
        <x:is>
          <x:t xml:space="preserve">SCAFFOLDING_NOT_PUBLIC_COUNT</x:t>
        </x:is>
      </x:c>
      <x:c r="I70" s="49" t="inlineStr">
        <x:is>
          <x:t xml:space="preserve">3</x:t>
        </x:is>
      </x:c>
      <x:c r="L70" s="56" t="n"/>
    </x:row>
    <x:row r="71" ht="15" customHeight="1">
      <x:c r="A71" s="55" t="inlineStr">
        <x:is>
          <x:t xml:space="preserve">GGate</x:t>
        </x:is>
      </x:c>
      <x:c r="B71" s="49" t="inlineStr">
        <x:is>
          <x:t xml:space="preserve">def</x:t>
        </x:is>
      </x:c>
      <x:c r="C71" s="49" t="inlineStr">
        <x:is>
          <x:t xml:space="preserve">theophysics-lean-main\theophysics-lean-main\Theophysics_LawMechanisms.lean</x:t>
        </x:is>
      </x:c>
      <x:c r="D71" s="49" t="inlineStr">
        <x:is>
          <x:t xml:space="preserve">41</x:t>
        </x:is>
      </x:c>
      <x:c r="E71" s="49" t="inlineStr">
        <x:is>
          <x:t xml:space="preserve">DECLARATION_OR_UNKNOWN</x:t>
        </x:is>
      </x:c>
      <x:c r="F71" s="49" t="inlineStr">
        <x:is>
          <x:t xml:space="preserve">PENDING_NOT_RUN</x:t>
        </x:is>
      </x:c>
      <x:c r="G71" s="49" t="inlineStr">
        <x:is>
          <x:t xml:space="preserve">NO_SORRY_OR_ADMIT_STATIC_SCAN</x:t>
        </x:is>
      </x:c>
      <x:c r="H71" s="49" t="inlineStr">
        <x:is>
          <x:t xml:space="preserve">SCAFFOLDING_NOT_PUBLIC_COUNT</x:t>
        </x:is>
      </x:c>
      <x:c r="I71" s="49" t="inlineStr">
        <x:is>
          <x:t xml:space="preserve">0</x:t>
        </x:is>
      </x:c>
      <x:c r="L71" s="56" t="n"/>
    </x:row>
    <x:row r="72" ht="15" customHeight="1">
      <x:c r="A72" s="55" t="inlineStr">
        <x:is>
          <x:t xml:space="preserve">G_zero_collapses_chi</x:t>
        </x:is>
      </x:c>
      <x:c r="B72" s="49" t="inlineStr">
        <x:is>
          <x:t xml:space="preserve">theorem</x:t>
        </x:is>
      </x:c>
      <x:c r="C72" s="49" t="inlineStr">
        <x:is>
          <x:t xml:space="preserve">theophysics-lean-main\theophysics-lean-main\Final_Lean4_From_Excel.lean</x:t>
        </x:is>
      </x:c>
      <x:c r="D72" s="49" t="inlineStr">
        <x:is>
          <x:t xml:space="preserve">91</x:t>
        </x:is>
      </x:c>
      <x:c r="E72" s="49" t="inlineStr">
        <x:is>
          <x:t xml:space="preserve">SIMPLIFICATION</x:t>
        </x:is>
      </x:c>
      <x:c r="F72" s="49" t="inlineStr">
        <x:is>
          <x:t xml:space="preserve">PENDING_NOT_RUN</x:t>
        </x:is>
      </x:c>
      <x:c r="G72" s="49" t="inlineStr">
        <x:is>
          <x:t xml:space="preserve">NO_SORRY_OR_ADMIT_STATIC_SCAN</x:t>
        </x:is>
      </x:c>
      <x:c r="H72" s="49" t="inlineStr">
        <x:is>
          <x:t xml:space="preserve">CANONICAL_THEOREM_DEDUPED_PENDING_COMPILE</x:t>
        </x:is>
      </x:c>
      <x:c r="I72" s="49" t="inlineStr">
        <x:is>
          <x:t xml:space="preserve">3</x:t>
        </x:is>
      </x:c>
      <x:c r="L72" s="56" t="n"/>
    </x:row>
    <x:row r="73" ht="15" customHeight="1">
      <x:c r="A73" s="55" t="inlineStr">
        <x:is>
          <x:t xml:space="preserve">G_zero_still_collapses_after_substitution</x:t>
        </x:is>
      </x:c>
      <x:c r="B73" s="49" t="inlineStr">
        <x:is>
          <x:t xml:space="preserve">theorem</x:t>
        </x:is>
      </x:c>
      <x:c r="C73" s="49" t="inlineStr">
        <x:is>
          <x:t xml:space="preserve">theophysics-lean-main\theophysics-lean-main\Theophysics_Core.lean</x:t>
        </x:is>
      </x:c>
      <x:c r="D73" s="49" t="inlineStr">
        <x:is>
          <x:t xml:space="preserve">188</x:t>
        </x:is>
      </x:c>
      <x:c r="E73" s="49" t="inlineStr">
        <x:is>
          <x:t xml:space="preserve">TRIVIAL_TRUE</x:t>
        </x:is>
      </x:c>
      <x:c r="F73" s="49" t="inlineStr">
        <x:is>
          <x:t xml:space="preserve">PENDING_NOT_RUN</x:t>
        </x:is>
      </x:c>
      <x:c r="G73" s="49" t="inlineStr">
        <x:is>
          <x:t xml:space="preserve">NO_SORRY_OR_ADMIT_STATIC_SCAN</x:t>
        </x:is>
      </x:c>
      <x:c r="H73" s="49" t="inlineStr">
        <x:is>
          <x:t xml:space="preserve">LOW_CONTENT_TRUE_NOT_PUBLIC_COUNT</x:t>
        </x:is>
      </x:c>
      <x:c r="I73" s="49" t="inlineStr">
        <x:is>
          <x:t xml:space="preserve">3</x:t>
        </x:is>
      </x:c>
      <x:c r="J73" s="49" t="inlineStr">
        <x:is>
          <x:t xml:space="preserve">LEAN_DERIVATION_CHAIN:44</x:t>
        </x:is>
      </x:c>
      <x:c r="K73" s="49" t="inlineStr">
        <x:is>
          <x:t xml:space="preserve">G=0 collapse survives substitution</x:t>
        </x:is>
      </x:c>
      <x:c r="L73" s="56" t="n"/>
    </x:row>
    <x:row r="74" ht="15" customHeight="1">
      <x:c r="A74" s="55" t="inlineStr">
        <x:is>
          <x:t xml:space="preserve">Gate</x:t>
        </x:is>
      </x:c>
      <x:c r="B74" s="49" t="inlineStr">
        <x:is>
          <x:t xml:space="preserve">inductive</x:t>
        </x:is>
      </x:c>
      <x:c r="C74" s="49" t="inlineStr">
        <x:is>
          <x:t xml:space="preserve">theophysics-lean-main\theophysics-lean-main\Theophysics_GodTest.lean</x:t>
        </x:is>
      </x:c>
      <x:c r="D74" s="49" t="inlineStr">
        <x:is>
          <x:t xml:space="preserve">18</x:t>
        </x:is>
      </x:c>
      <x:c r="E74" s="49" t="inlineStr">
        <x:is>
          <x:t xml:space="preserve">DECLARATION_OR_UNKNOWN</x:t>
        </x:is>
      </x:c>
      <x:c r="F74" s="49" t="inlineStr">
        <x:is>
          <x:t xml:space="preserve">PENDING_NOT_RUN</x:t>
        </x:is>
      </x:c>
      <x:c r="G74" s="49" t="inlineStr">
        <x:is>
          <x:t xml:space="preserve">NO_SORRY_OR_ADMIT_STATIC_SCAN</x:t>
        </x:is>
      </x:c>
      <x:c r="H74" s="49" t="inlineStr">
        <x:is>
          <x:t xml:space="preserve">SCAFFOLDING_NOT_PUBLIC_COUNT</x:t>
        </x:is>
      </x:c>
      <x:c r="I74" s="49" t="inlineStr">
        <x:is>
          <x:t xml:space="preserve">0</x:t>
        </x:is>
      </x:c>
      <x:c r="L74" s="56" t="n"/>
    </x:row>
    <x:row r="75" ht="15" customHeight="1">
      <x:c r="A75" s="55" t="inlineStr">
        <x:is>
          <x:t xml:space="preserve">GraceEvent</x:t>
        </x:is>
      </x:c>
      <x:c r="B75" s="49" t="inlineStr">
        <x:is>
          <x:t xml:space="preserve">structure</x:t>
        </x:is>
      </x:c>
      <x:c r="C75" s="49" t="inlineStr">
        <x:is>
          <x:t xml:space="preserve">Lean-4-Proofs-main\Lean-4-Proofs-main\theophysics-lean-verification-package\FruitsGraceKernel.lean</x:t>
        </x:is>
      </x:c>
      <x:c r="D75" s="49" t="inlineStr">
        <x:is>
          <x:t xml:space="preserve">165</x:t>
        </x:is>
      </x:c>
      <x:c r="E75" s="49" t="inlineStr">
        <x:is>
          <x:t xml:space="preserve">DECLARATION_OR_UNKNOWN</x:t>
        </x:is>
      </x:c>
      <x:c r="F75" s="49" t="inlineStr">
        <x:is>
          <x:t xml:space="preserve">PENDING_NOT_RUN</x:t>
        </x:is>
      </x:c>
      <x:c r="G75" s="49" t="inlineStr">
        <x:is>
          <x:t xml:space="preserve">NO_SORRY_OR_ADMIT_STATIC_SCAN</x:t>
        </x:is>
      </x:c>
      <x:c r="H75" s="49" t="inlineStr">
        <x:is>
          <x:t xml:space="preserve">SCAFFOLDING_NOT_PUBLIC_COUNT</x:t>
        </x:is>
      </x:c>
      <x:c r="I75" s="49" t="inlineStr">
        <x:is>
          <x:t xml:space="preserve">0</x:t>
        </x:is>
      </x:c>
      <x:c r="L75" s="56" t="n"/>
    </x:row>
    <x:row r="76" ht="15" customHeight="1">
      <x:c r="A76" s="55" t="inlineStr">
        <x:is>
          <x:t xml:space="preserve">GraceMode</x:t>
        </x:is>
      </x:c>
      <x:c r="B76" s="49" t="inlineStr">
        <x:is>
          <x:t xml:space="preserve">inductive</x:t>
        </x:is>
      </x:c>
      <x:c r="C76" s="49" t="inlineStr">
        <x:is>
          <x:t xml:space="preserve">theophysics-lean-main\theophysics-lean-main\Theophysics_Canonization.lean</x:t>
        </x:is>
      </x:c>
      <x:c r="D76" s="49" t="inlineStr">
        <x:is>
          <x:t xml:space="preserve">223</x:t>
        </x:is>
      </x:c>
      <x:c r="E76" s="49" t="inlineStr">
        <x:is>
          <x:t xml:space="preserve">DECLARATION_OR_UNKNOWN</x:t>
        </x:is>
      </x:c>
      <x:c r="F76" s="49" t="inlineStr">
        <x:is>
          <x:t xml:space="preserve">PENDING_NOT_RUN</x:t>
        </x:is>
      </x:c>
      <x:c r="G76" s="49" t="inlineStr">
        <x:is>
          <x:t xml:space="preserve">NO_SORRY_OR_ADMIT_STATIC_SCAN</x:t>
        </x:is>
      </x:c>
      <x:c r="H76" s="49" t="inlineStr">
        <x:is>
          <x:t xml:space="preserve">SCAFFOLDING_NOT_PUBLIC_COUNT</x:t>
        </x:is>
      </x:c>
      <x:c r="I76" s="49" t="inlineStr">
        <x:is>
          <x:t xml:space="preserve">0</x:t>
        </x:is>
      </x:c>
      <x:c r="L76" s="56" t="n"/>
    </x:row>
    <x:row r="77" ht="15" customHeight="1">
      <x:c r="A77" s="55" t="inlineStr">
        <x:is>
          <x:t xml:space="preserve">GraceProperty</x:t>
        </x:is>
      </x:c>
      <x:c r="B77" s="49" t="inlineStr">
        <x:is>
          <x:t xml:space="preserve">inductive</x:t>
        </x:is>
      </x:c>
      <x:c r="C77" s="49" t="inlineStr">
        <x:is>
          <x:t xml:space="preserve">theophysics-lean-main\theophysics-lean-main\Theophysics_Canonization.lean</x:t>
        </x:is>
      </x:c>
      <x:c r="D77" s="49" t="inlineStr">
        <x:is>
          <x:t xml:space="preserve">230</x:t>
        </x:is>
      </x:c>
      <x:c r="E77" s="49" t="inlineStr">
        <x:is>
          <x:t xml:space="preserve">DECLARATION_OR_UNKNOWN</x:t>
        </x:is>
      </x:c>
      <x:c r="F77" s="49" t="inlineStr">
        <x:is>
          <x:t xml:space="preserve">PENDING_NOT_RUN</x:t>
        </x:is>
      </x:c>
      <x:c r="G77" s="49" t="inlineStr">
        <x:is>
          <x:t xml:space="preserve">NO_SORRY_OR_ADMIT_STATIC_SCAN</x:t>
        </x:is>
      </x:c>
      <x:c r="H77" s="49" t="inlineStr">
        <x:is>
          <x:t xml:space="preserve">SCAFFOLDING_NOT_PUBLIC_COUNT</x:t>
        </x:is>
      </x:c>
      <x:c r="I77" s="49" t="inlineStr">
        <x:is>
          <x:t xml:space="preserve">0</x:t>
        </x:is>
      </x:c>
      <x:c r="L77" s="56" t="n"/>
    </x:row>
    <x:row r="78" ht="15" customHeight="1">
      <x:c r="A78" s="55" t="inlineStr">
        <x:is>
          <x:t xml:space="preserve">GradientLabel</x:t>
        </x:is>
      </x:c>
      <x:c r="B78" s="49" t="inlineStr">
        <x:is>
          <x:t xml:space="preserve">inductive</x:t>
        </x:is>
      </x:c>
      <x:c r="C78" s="49" t="inlineStr">
        <x:is>
          <x:t xml:space="preserve">theophysics-lean-main\theophysics-lean-main\Theophysics_ChiEvaluator.lean</x:t>
        </x:is>
      </x:c>
      <x:c r="D78" s="49" t="inlineStr">
        <x:is>
          <x:t xml:space="preserve">49</x:t>
        </x:is>
      </x:c>
      <x:c r="E78" s="49" t="inlineStr">
        <x:is>
          <x:t xml:space="preserve">DECLARATION_OR_UNKNOWN</x:t>
        </x:is>
      </x:c>
      <x:c r="F78" s="49" t="inlineStr">
        <x:is>
          <x:t xml:space="preserve">PENDING_NOT_RUN</x:t>
        </x:is>
      </x:c>
      <x:c r="G78" s="49" t="inlineStr">
        <x:is>
          <x:t xml:space="preserve">NO_SORRY_OR_ADMIT_STATIC_SCAN</x:t>
        </x:is>
      </x:c>
      <x:c r="H78" s="49" t="inlineStr">
        <x:is>
          <x:t xml:space="preserve">SCAFFOLDING_NOT_PUBLIC_COUNT</x:t>
        </x:is>
      </x:c>
      <x:c r="I78" s="49" t="inlineStr">
        <x:is>
          <x:t xml:space="preserve">3</x:t>
        </x:is>
      </x:c>
      <x:c r="L78" s="56" t="n"/>
    </x:row>
    <x:row r="79" ht="15" customHeight="1">
      <x:c r="A79" s="55" t="inlineStr">
        <x:is>
          <x:t xml:space="preserve">GrandLagrangian</x:t>
        </x:is>
      </x:c>
      <x:c r="B79" s="49" t="inlineStr">
        <x:is>
          <x:t xml:space="preserve">def</x:t>
        </x:is>
      </x:c>
      <x:c r="C79" s="49" t="inlineStr">
        <x:is>
          <x:t xml:space="preserve">theophysics-lean-main\theophysics-lean-main\Theophysics_Canonization.lean</x:t>
        </x:is>
      </x:c>
      <x:c r="D79" s="49" t="inlineStr">
        <x:is>
          <x:t xml:space="preserve">150</x:t>
        </x:is>
      </x:c>
      <x:c r="E79" s="49" t="inlineStr">
        <x:is>
          <x:t xml:space="preserve">DECLARATION_OR_UNKNOWN</x:t>
        </x:is>
      </x:c>
      <x:c r="F79" s="49" t="inlineStr">
        <x:is>
          <x:t xml:space="preserve">PENDING_NOT_RUN</x:t>
        </x:is>
      </x:c>
      <x:c r="G79" s="49" t="inlineStr">
        <x:is>
          <x:t xml:space="preserve">NO_SORRY_OR_ADMIT_STATIC_SCAN</x:t>
        </x:is>
      </x:c>
      <x:c r="H79" s="49" t="inlineStr">
        <x:is>
          <x:t xml:space="preserve">SCAFFOLDING_NOT_PUBLIC_COUNT</x:t>
        </x:is>
      </x:c>
      <x:c r="I79" s="49" t="inlineStr">
        <x:is>
          <x:t xml:space="preserve">0</x:t>
        </x:is>
      </x:c>
      <x:c r="L79" s="56" t="n"/>
    </x:row>
    <x:row r="80" ht="15" customHeight="1">
      <x:c r="A80" s="55" t="inlineStr">
        <x:is>
          <x:t xml:space="preserve">HitRateCase</x:t>
        </x:is>
      </x:c>
      <x:c r="B80" s="49" t="inlineStr">
        <x:is>
          <x:t xml:space="preserve">structure</x:t>
        </x:is>
      </x:c>
      <x:c r="C80" s="49" t="inlineStr">
        <x:is>
          <x:t xml:space="preserve">theophysics-lean-main\theophysics-lean-main\Theophysics_Adversarial.lean</x:t>
        </x:is>
      </x:c>
      <x:c r="D80" s="49" t="inlineStr">
        <x:is>
          <x:t xml:space="preserve">296</x:t>
        </x:is>
      </x:c>
      <x:c r="E80" s="49" t="inlineStr">
        <x:is>
          <x:t xml:space="preserve">DECLARATION_OR_UNKNOWN</x:t>
        </x:is>
      </x:c>
      <x:c r="F80" s="49" t="inlineStr">
        <x:is>
          <x:t xml:space="preserve">PENDING_NOT_RUN</x:t>
        </x:is>
      </x:c>
      <x:c r="G80" s="49" t="inlineStr">
        <x:is>
          <x:t xml:space="preserve">NO_SORRY_OR_ADMIT_STATIC_SCAN</x:t>
        </x:is>
      </x:c>
      <x:c r="H80" s="49" t="inlineStr">
        <x:is>
          <x:t xml:space="preserve">SCAFFOLDING_NOT_PUBLIC_COUNT</x:t>
        </x:is>
      </x:c>
      <x:c r="I80" s="49" t="inlineStr">
        <x:is>
          <x:t xml:space="preserve">3</x:t>
        </x:is>
      </x:c>
      <x:c r="L80" s="56" t="n"/>
    </x:row>
    <x:row r="81" ht="15" customHeight="1">
      <x:c r="A81" s="55" t="inlineStr">
        <x:is>
          <x:t xml:space="preserve">IAmMode</x:t>
        </x:is>
      </x:c>
      <x:c r="B81" s="49" t="inlineStr">
        <x:is>
          <x:t xml:space="preserve">inductive</x:t>
        </x:is>
      </x:c>
      <x:c r="C81" s="49" t="inlineStr">
        <x:is>
          <x:t xml:space="preserve">theophysics-lean-main\theophysics-lean-main\Theophysics_Canonization.lean</x:t>
        </x:is>
      </x:c>
      <x:c r="D81" s="49" t="inlineStr">
        <x:is>
          <x:t xml:space="preserve">314</x:t>
        </x:is>
      </x:c>
      <x:c r="E81" s="49" t="inlineStr">
        <x:is>
          <x:t xml:space="preserve">DECLARATION_OR_UNKNOWN</x:t>
        </x:is>
      </x:c>
      <x:c r="F81" s="49" t="inlineStr">
        <x:is>
          <x:t xml:space="preserve">PENDING_NOT_RUN</x:t>
        </x:is>
      </x:c>
      <x:c r="G81" s="49" t="inlineStr">
        <x:is>
          <x:t xml:space="preserve">NO_SORRY_OR_ADMIT_STATIC_SCAN</x:t>
        </x:is>
      </x:c>
      <x:c r="H81" s="49" t="inlineStr">
        <x:is>
          <x:t xml:space="preserve">SCAFFOLDING_NOT_PUBLIC_COUNT</x:t>
        </x:is>
      </x:c>
      <x:c r="I81" s="49" t="inlineStr">
        <x:is>
          <x:t xml:space="preserve">0</x:t>
        </x:is>
      </x:c>
      <x:c r="L81" s="56" t="n"/>
    </x:row>
    <x:row r="82" ht="15" customHeight="1">
      <x:c r="A82" s="55" t="inlineStr">
        <x:is>
          <x:t xml:space="preserve">IdlerDetector</x:t>
        </x:is>
      </x:c>
      <x:c r="B82" s="49" t="inlineStr">
        <x:is>
          <x:t xml:space="preserve">inductive</x:t>
        </x:is>
      </x:c>
      <x:c r="C82" s="49" t="inlineStr">
        <x:is>
          <x:t xml:space="preserve">theophysics-lean-main\theophysics-lean-main\Theophysics_DelayedChoice.lean</x:t>
        </x:is>
      </x:c>
      <x:c r="D82" s="49" t="inlineStr">
        <x:is>
          <x:t xml:space="preserve">21</x:t>
        </x:is>
      </x:c>
      <x:c r="E82" s="49" t="inlineStr">
        <x:is>
          <x:t xml:space="preserve">DECLARATION_OR_UNKNOWN</x:t>
        </x:is>
      </x:c>
      <x:c r="F82" s="49" t="inlineStr">
        <x:is>
          <x:t xml:space="preserve">PENDING_NOT_RUN</x:t>
        </x:is>
      </x:c>
      <x:c r="G82" s="49" t="inlineStr">
        <x:is>
          <x:t xml:space="preserve">NO_SORRY_OR_ADMIT_STATIC_SCAN</x:t>
        </x:is>
      </x:c>
      <x:c r="H82" s="49" t="inlineStr">
        <x:is>
          <x:t xml:space="preserve">SCAFFOLDING_NOT_PUBLIC_COUNT</x:t>
        </x:is>
      </x:c>
      <x:c r="I82" s="49" t="inlineStr">
        <x:is>
          <x:t xml:space="preserve">0</x:t>
        </x:is>
      </x:c>
      <x:c r="L82" s="56" t="n"/>
    </x:row>
    <x:row r="83" ht="15" customHeight="1">
      <x:c r="A83" s="55" t="inlineStr">
        <x:is>
          <x:t xml:space="preserve">InteractionLagrangian</x:t>
        </x:is>
      </x:c>
      <x:c r="B83" s="49" t="inlineStr">
        <x:is>
          <x:t xml:space="preserve">def</x:t>
        </x:is>
      </x:c>
      <x:c r="C83" s="49" t="inlineStr">
        <x:is>
          <x:t xml:space="preserve">theophysics-lean-main\theophysics-lean-main\Theophysics_Canonization.lean</x:t>
        </x:is>
      </x:c>
      <x:c r="D83" s="49" t="inlineStr">
        <x:is>
          <x:t xml:space="preserve">123</x:t>
        </x:is>
      </x:c>
      <x:c r="E83" s="49" t="inlineStr">
        <x:is>
          <x:t xml:space="preserve">DECLARATION_OR_UNKNOWN</x:t>
        </x:is>
      </x:c>
      <x:c r="F83" s="49" t="inlineStr">
        <x:is>
          <x:t xml:space="preserve">PENDING_NOT_RUN</x:t>
        </x:is>
      </x:c>
      <x:c r="G83" s="49" t="inlineStr">
        <x:is>
          <x:t xml:space="preserve">NO_SORRY_OR_ADMIT_STATIC_SCAN</x:t>
        </x:is>
      </x:c>
      <x:c r="H83" s="49" t="inlineStr">
        <x:is>
          <x:t xml:space="preserve">SCAFFOLDING_NOT_PUBLIC_COUNT</x:t>
        </x:is>
      </x:c>
      <x:c r="I83" s="49" t="inlineStr">
        <x:is>
          <x:t xml:space="preserve">0</x:t>
        </x:is>
      </x:c>
      <x:c r="L83" s="56" t="inlineStr">
        <x:is>
          <x:t xml:space="preserve">heaviside_content_loss | variable_coupling</x:t>
        </x:is>
      </x:c>
    </x:row>
    <x:row r="84" ht="15" customHeight="1">
      <x:c r="A84" s="55" t="inlineStr">
        <x:is>
          <x:t xml:space="preserve">JusticeAntiTerm</x:t>
        </x:is>
      </x:c>
      <x:c r="B84" s="49" t="inlineStr">
        <x:is>
          <x:t xml:space="preserve">inductive</x:t>
        </x:is>
      </x:c>
      <x:c r="C84" s="49" t="inlineStr">
        <x:is>
          <x:t xml:space="preserve">theophysics-lean-main\theophysics-lean-main\Theophysics_Canonization.lean</x:t>
        </x:is>
      </x:c>
      <x:c r="D84" s="49" t="inlineStr">
        <x:is>
          <x:t xml:space="preserve">282</x:t>
        </x:is>
      </x:c>
      <x:c r="E84" s="49" t="inlineStr">
        <x:is>
          <x:t xml:space="preserve">DECLARATION_OR_UNKNOWN</x:t>
        </x:is>
      </x:c>
      <x:c r="F84" s="49" t="inlineStr">
        <x:is>
          <x:t xml:space="preserve">PENDING_NOT_RUN</x:t>
        </x:is>
      </x:c>
      <x:c r="G84" s="49" t="inlineStr">
        <x:is>
          <x:t xml:space="preserve">NO_SORRY_OR_ADMIT_STATIC_SCAN</x:t>
        </x:is>
      </x:c>
      <x:c r="H84" s="49" t="inlineStr">
        <x:is>
          <x:t xml:space="preserve">SCAFFOLDING_NOT_PUBLIC_COUNT</x:t>
        </x:is>
      </x:c>
      <x:c r="I84" s="49" t="inlineStr">
        <x:is>
          <x:t xml:space="preserve">0</x:t>
        </x:is>
      </x:c>
      <x:c r="L84" s="56" t="inlineStr">
        <x:is>
          <x:t xml:space="preserve">justice_mercy_math</x:t>
        </x:is>
      </x:c>
    </x:row>
    <x:row r="85" ht="15" customHeight="1">
      <x:c r="A85" s="55" t="inlineStr">
        <x:is>
          <x:t xml:space="preserve">JusticeMercyCase</x:t>
        </x:is>
      </x:c>
      <x:c r="B85" s="49" t="inlineStr">
        <x:is>
          <x:t xml:space="preserve">structure</x:t>
        </x:is>
      </x:c>
      <x:c r="C85" s="49" t="inlineStr">
        <x:is>
          <x:t xml:space="preserve">theophysics-lean-main\theophysics-lean-main\Theophysics_Adversarial.lean</x:t>
        </x:is>
      </x:c>
      <x:c r="D85" s="49" t="inlineStr">
        <x:is>
          <x:t xml:space="preserve">239</x:t>
        </x:is>
      </x:c>
      <x:c r="E85" s="49" t="inlineStr">
        <x:is>
          <x:t xml:space="preserve">DECLARATION_OR_UNKNOWN</x:t>
        </x:is>
      </x:c>
      <x:c r="F85" s="49" t="inlineStr">
        <x:is>
          <x:t xml:space="preserve">PENDING_NOT_RUN</x:t>
        </x:is>
      </x:c>
      <x:c r="G85" s="49" t="inlineStr">
        <x:is>
          <x:t xml:space="preserve">NO_SORRY_OR_ADMIT_STATIC_SCAN</x:t>
        </x:is>
      </x:c>
      <x:c r="H85" s="49" t="inlineStr">
        <x:is>
          <x:t xml:space="preserve">SCAFFOLDING_NOT_PUBLIC_COUNT</x:t>
        </x:is>
      </x:c>
      <x:c r="I85" s="49" t="inlineStr">
        <x:is>
          <x:t xml:space="preserve">3</x:t>
        </x:is>
      </x:c>
      <x:c r="L85" s="56" t="inlineStr">
        <x:is>
          <x:t xml:space="preserve">justice_mercy_math</x:t>
        </x:is>
      </x:c>
    </x:row>
    <x:row r="86" ht="15" customHeight="1">
      <x:c r="A86" s="55" t="inlineStr">
        <x:is>
          <x:t xml:space="preserve">KGate</x:t>
        </x:is>
      </x:c>
      <x:c r="B86" s="49" t="inlineStr">
        <x:is>
          <x:t xml:space="preserve">def</x:t>
        </x:is>
      </x:c>
      <x:c r="C86" s="49" t="inlineStr">
        <x:is>
          <x:t xml:space="preserve">theophysics-lean-main\theophysics-lean-main\Theophysics_Adversarial.lean</x:t>
        </x:is>
      </x:c>
      <x:c r="D86" s="49" t="inlineStr">
        <x:is>
          <x:t xml:space="preserve">215</x:t>
        </x:is>
      </x:c>
      <x:c r="E86" s="49" t="inlineStr">
        <x:is>
          <x:t xml:space="preserve">DECLARATION_OR_UNKNOWN</x:t>
        </x:is>
      </x:c>
      <x:c r="F86" s="49" t="inlineStr">
        <x:is>
          <x:t xml:space="preserve">PENDING_NOT_RUN</x:t>
        </x:is>
      </x:c>
      <x:c r="G86" s="49" t="inlineStr">
        <x:is>
          <x:t xml:space="preserve">NO_SORRY_OR_ADMIT_STATIC_SCAN</x:t>
        </x:is>
      </x:c>
      <x:c r="H86" s="49" t="inlineStr">
        <x:is>
          <x:t xml:space="preserve">SCAFFOLDING_NOT_PUBLIC_COUNT</x:t>
        </x:is>
      </x:c>
      <x:c r="I86" s="49" t="inlineStr">
        <x:is>
          <x:t xml:space="preserve">3</x:t>
        </x:is>
      </x:c>
      <x:c r="L86" s="56" t="n"/>
    </x:row>
    <x:row r="87" ht="15" customHeight="1">
      <x:c r="A87" s="55" t="inlineStr">
        <x:is>
          <x:t xml:space="preserve">K_zero_collapses_chi</x:t>
        </x:is>
      </x:c>
      <x:c r="B87" s="49" t="inlineStr">
        <x:is>
          <x:t xml:space="preserve">theorem</x:t>
        </x:is>
      </x:c>
      <x:c r="C87" s="49" t="inlineStr">
        <x:is>
          <x:t xml:space="preserve">theophysics-lean-main\theophysics-lean-main\Final_Lean4_From_Excel.lean</x:t>
        </x:is>
      </x:c>
      <x:c r="D87" s="49" t="inlineStr">
        <x:is>
          <x:t xml:space="preserve">106</x:t>
        </x:is>
      </x:c>
      <x:c r="E87" s="49" t="inlineStr">
        <x:is>
          <x:t xml:space="preserve">SIMPLIFICATION</x:t>
        </x:is>
      </x:c>
      <x:c r="F87" s="49" t="inlineStr">
        <x:is>
          <x:t xml:space="preserve">PENDING_NOT_RUN</x:t>
        </x:is>
      </x:c>
      <x:c r="G87" s="49" t="inlineStr">
        <x:is>
          <x:t xml:space="preserve">NO_SORRY_OR_ADMIT_STATIC_SCAN</x:t>
        </x:is>
      </x:c>
      <x:c r="H87" s="49" t="inlineStr">
        <x:is>
          <x:t xml:space="preserve">CANONICAL_THEOREM_DEDUPED_PENDING_COMPILE</x:t>
        </x:is>
      </x:c>
      <x:c r="I87" s="49" t="inlineStr">
        <x:is>
          <x:t xml:space="preserve">3</x:t>
        </x:is>
      </x:c>
      <x:c r="L87" s="56" t="n"/>
    </x:row>
    <x:row r="88" ht="15" customHeight="1">
      <x:c r="A88" s="55" t="inlineStr">
        <x:is>
          <x:t xml:space="preserve">LLC</x:t>
        </x:is>
      </x:c>
      <x:c r="B88" s="49" t="inlineStr">
        <x:is>
          <x:t xml:space="preserve">def</x:t>
        </x:is>
      </x:c>
      <x:c r="C88" s="49" t="inlineStr">
        <x:is>
          <x:t xml:space="preserve">theophysics-lean-main\theophysics-lean-main\Theophysics_Canonization.lean</x:t>
        </x:is>
      </x:c>
      <x:c r="D88" s="49" t="inlineStr">
        <x:is>
          <x:t xml:space="preserve">68</x:t>
        </x:is>
      </x:c>
      <x:c r="E88" s="49" t="inlineStr">
        <x:is>
          <x:t xml:space="preserve">DECLARATION_OR_UNKNOWN</x:t>
        </x:is>
      </x:c>
      <x:c r="F88" s="49" t="inlineStr">
        <x:is>
          <x:t xml:space="preserve">PENDING_NOT_RUN</x:t>
        </x:is>
      </x:c>
      <x:c r="G88" s="49" t="inlineStr">
        <x:is>
          <x:t xml:space="preserve">NO_SORRY_OR_ADMIT_STATIC_SCAN</x:t>
        </x:is>
      </x:c>
      <x:c r="H88" s="49" t="inlineStr">
        <x:is>
          <x:t xml:space="preserve">SCAFFOLDING_NOT_PUBLIC_COUNT</x:t>
        </x:is>
      </x:c>
      <x:c r="I88" s="49" t="inlineStr">
        <x:is>
          <x:t xml:space="preserve">0</x:t>
        </x:is>
      </x:c>
      <x:c r="L88" s="56" t="n"/>
    </x:row>
    <x:row r="89" ht="15" customHeight="1">
      <x:c r="A89" s="55" t="inlineStr">
        <x:is>
          <x:t xml:space="preserve">Law</x:t>
        </x:is>
      </x:c>
      <x:c r="B89" s="49" t="inlineStr">
        <x:is>
          <x:t xml:space="preserve">inductive</x:t>
        </x:is>
      </x:c>
      <x:c r="C89" s="49" t="inlineStr">
        <x:is>
          <x:t xml:space="preserve">Lean-4-Proofs-main\Lean-4-Proofs-main\theophysics-lean-verification-package\TheophysicsProductionKernel.lean</x:t>
        </x:is>
      </x:c>
      <x:c r="D89" s="49" t="inlineStr">
        <x:is>
          <x:t xml:space="preserve">128</x:t>
        </x:is>
      </x:c>
      <x:c r="E89" s="49" t="inlineStr">
        <x:is>
          <x:t xml:space="preserve">DECLARATION_OR_UNKNOWN</x:t>
        </x:is>
      </x:c>
      <x:c r="F89" s="49" t="inlineStr">
        <x:is>
          <x:t xml:space="preserve">PENDING_NOT_RUN</x:t>
        </x:is>
      </x:c>
      <x:c r="G89" s="49" t="inlineStr">
        <x:is>
          <x:t xml:space="preserve">NO_SORRY_OR_ADMIT_STATIC_SCAN</x:t>
        </x:is>
      </x:c>
      <x:c r="H89" s="49" t="inlineStr">
        <x:is>
          <x:t xml:space="preserve">SCAFFOLDING_NOT_PUBLIC_COUNT</x:t>
        </x:is>
      </x:c>
      <x:c r="I89" s="49" t="inlineStr">
        <x:is>
          <x:t xml:space="preserve">0</x:t>
        </x:is>
      </x:c>
      <x:c r="L89" s="56" t="n"/>
    </x:row>
    <x:row r="90" ht="15" customHeight="1">
      <x:c r="A90" s="55" t="inlineStr">
        <x:is>
          <x:t xml:space="preserve">Law10Control</x:t>
        </x:is>
      </x:c>
      <x:c r="B90" s="49" t="inlineStr">
        <x:is>
          <x:t xml:space="preserve">structure</x:t>
        </x:is>
      </x:c>
      <x:c r="C90" s="49" t="inlineStr">
        <x:is>
          <x:t xml:space="preserve">theophysics-lean-main\theophysics-lean-main\Theophysics_LawMechanisms.lean</x:t>
        </x:is>
      </x:c>
      <x:c r="D90" s="49" t="inlineStr">
        <x:is>
          <x:t xml:space="preserve">310</x:t>
        </x:is>
      </x:c>
      <x:c r="E90" s="49" t="inlineStr">
        <x:is>
          <x:t xml:space="preserve">DECLARATION_OR_UNKNOWN</x:t>
        </x:is>
      </x:c>
      <x:c r="F90" s="49" t="inlineStr">
        <x:is>
          <x:t xml:space="preserve">PENDING_NOT_RUN</x:t>
        </x:is>
      </x:c>
      <x:c r="G90" s="49" t="inlineStr">
        <x:is>
          <x:t xml:space="preserve">NO_SORRY_OR_ADMIT_STATIC_SCAN</x:t>
        </x:is>
      </x:c>
      <x:c r="H90" s="49" t="inlineStr">
        <x:is>
          <x:t xml:space="preserve">SCAFFOLDING_NOT_PUBLIC_COUNT</x:t>
        </x:is>
      </x:c>
      <x:c r="I90" s="49" t="inlineStr">
        <x:is>
          <x:t xml:space="preserve">0</x:t>
        </x:is>
      </x:c>
      <x:c r="L90" s="56" t="n"/>
    </x:row>
    <x:row r="91" ht="15" customHeight="1">
      <x:c r="A91" s="55" t="inlineStr">
        <x:is>
          <x:t xml:space="preserve">Law1Control</x:t>
        </x:is>
      </x:c>
      <x:c r="B91" s="49" t="inlineStr">
        <x:is>
          <x:t xml:space="preserve">structure</x:t>
        </x:is>
      </x:c>
      <x:c r="C91" s="49" t="inlineStr">
        <x:is>
          <x:t xml:space="preserve">theophysics-lean-main\theophysics-lean-main\Theophysics_LawMechanisms.lean</x:t>
        </x:is>
      </x:c>
      <x:c r="D91" s="49" t="inlineStr">
        <x:is>
          <x:t xml:space="preserve">34</x:t>
        </x:is>
      </x:c>
      <x:c r="E91" s="49" t="inlineStr">
        <x:is>
          <x:t xml:space="preserve">DECLARATION_OR_UNKNOWN</x:t>
        </x:is>
      </x:c>
      <x:c r="F91" s="49" t="inlineStr">
        <x:is>
          <x:t xml:space="preserve">PENDING_NOT_RUN</x:t>
        </x:is>
      </x:c>
      <x:c r="G91" s="49" t="inlineStr">
        <x:is>
          <x:t xml:space="preserve">NO_SORRY_OR_ADMIT_STATIC_SCAN</x:t>
        </x:is>
      </x:c>
      <x:c r="H91" s="49" t="inlineStr">
        <x:is>
          <x:t xml:space="preserve">SCAFFOLDING_NOT_PUBLIC_COUNT</x:t>
        </x:is>
      </x:c>
      <x:c r="I91" s="49" t="inlineStr">
        <x:is>
          <x:t xml:space="preserve">0</x:t>
        </x:is>
      </x:c>
      <x:c r="L91" s="56" t="n"/>
    </x:row>
    <x:row r="92" ht="15" customHeight="1">
      <x:c r="A92" s="55" t="inlineStr">
        <x:is>
          <x:t xml:space="preserve">Law2Control</x:t>
        </x:is>
      </x:c>
      <x:c r="B92" s="49" t="inlineStr">
        <x:is>
          <x:t xml:space="preserve">structure</x:t>
        </x:is>
      </x:c>
      <x:c r="C92" s="49" t="inlineStr">
        <x:is>
          <x:t xml:space="preserve">theophysics-lean-main\theophysics-lean-main\Theophysics_LawMechanisms.lean</x:t>
        </x:is>
      </x:c>
      <x:c r="D92" s="49" t="inlineStr">
        <x:is>
          <x:t xml:space="preserve">122</x:t>
        </x:is>
      </x:c>
      <x:c r="E92" s="49" t="inlineStr">
        <x:is>
          <x:t xml:space="preserve">DECLARATION_OR_UNKNOWN</x:t>
        </x:is>
      </x:c>
      <x:c r="F92" s="49" t="inlineStr">
        <x:is>
          <x:t xml:space="preserve">PENDING_NOT_RUN</x:t>
        </x:is>
      </x:c>
      <x:c r="G92" s="49" t="inlineStr">
        <x:is>
          <x:t xml:space="preserve">NO_SORRY_OR_ADMIT_STATIC_SCAN</x:t>
        </x:is>
      </x:c>
      <x:c r="H92" s="49" t="inlineStr">
        <x:is>
          <x:t xml:space="preserve">SCAFFOLDING_NOT_PUBLIC_COUNT</x:t>
        </x:is>
      </x:c>
      <x:c r="I92" s="49" t="inlineStr">
        <x:is>
          <x:t xml:space="preserve">0</x:t>
        </x:is>
      </x:c>
      <x:c r="L92" s="56" t="n"/>
    </x:row>
    <x:row r="93" ht="15" customHeight="1">
      <x:c r="A93" s="55" t="inlineStr">
        <x:is>
          <x:t xml:space="preserve">Law9Control</x:t>
        </x:is>
      </x:c>
      <x:c r="B93" s="49" t="inlineStr">
        <x:is>
          <x:t xml:space="preserve">structure</x:t>
        </x:is>
      </x:c>
      <x:c r="C93" s="49" t="inlineStr">
        <x:is>
          <x:t xml:space="preserve">theophysics-lean-main\theophysics-lean-main\Theophysics_LawMechanisms.lean</x:t>
        </x:is>
      </x:c>
      <x:c r="D93" s="49" t="inlineStr">
        <x:is>
          <x:t xml:space="preserve">216</x:t>
        </x:is>
      </x:c>
      <x:c r="E93" s="49" t="inlineStr">
        <x:is>
          <x:t xml:space="preserve">DECLARATION_OR_UNKNOWN</x:t>
        </x:is>
      </x:c>
      <x:c r="F93" s="49" t="inlineStr">
        <x:is>
          <x:t xml:space="preserve">PENDING_NOT_RUN</x:t>
        </x:is>
      </x:c>
      <x:c r="G93" s="49" t="inlineStr">
        <x:is>
          <x:t xml:space="preserve">NO_SORRY_OR_ADMIT_STATIC_SCAN</x:t>
        </x:is>
      </x:c>
      <x:c r="H93" s="49" t="inlineStr">
        <x:is>
          <x:t xml:space="preserve">SCAFFOLDING_NOT_PUBLIC_COUNT</x:t>
        </x:is>
      </x:c>
      <x:c r="I93" s="49" t="inlineStr">
        <x:is>
          <x:t xml:space="preserve">0</x:t>
        </x:is>
      </x:c>
      <x:c r="L93" s="56" t="n"/>
    </x:row>
    <x:row r="94" ht="15" customHeight="1">
      <x:c r="A94" s="55" t="inlineStr">
        <x:is>
          <x:t xml:space="preserve">LawIso</x:t>
        </x:is>
      </x:c>
      <x:c r="B94" s="49" t="inlineStr">
        <x:is>
          <x:t xml:space="preserve">structure</x:t>
        </x:is>
      </x:c>
      <x:c r="C94" s="49" t="inlineStr">
        <x:is>
          <x:t xml:space="preserve">Lean-4-Proofs-main\Lean-4-Proofs-main\theophysics-lean-verification-package\TheophysicsProductionKernel.lean</x:t>
        </x:is>
      </x:c>
      <x:c r="D94" s="49" t="inlineStr">
        <x:is>
          <x:t xml:space="preserve">215</x:t>
        </x:is>
      </x:c>
      <x:c r="E94" s="49" t="inlineStr">
        <x:is>
          <x:t xml:space="preserve">DECLARATION_OR_UNKNOWN</x:t>
        </x:is>
      </x:c>
      <x:c r="F94" s="49" t="inlineStr">
        <x:is>
          <x:t xml:space="preserve">PENDING_NOT_RUN</x:t>
        </x:is>
      </x:c>
      <x:c r="G94" s="49" t="inlineStr">
        <x:is>
          <x:t xml:space="preserve">NO_SORRY_OR_ADMIT_STATIC_SCAN</x:t>
        </x:is>
      </x:c>
      <x:c r="H94" s="49" t="inlineStr">
        <x:is>
          <x:t xml:space="preserve">SCAFFOLDING_NOT_PUBLIC_COUNT</x:t>
        </x:is>
      </x:c>
      <x:c r="I94" s="49" t="inlineStr">
        <x:is>
          <x:t xml:space="preserve">0</x:t>
        </x:is>
      </x:c>
      <x:c r="L94" s="56" t="n"/>
    </x:row>
    <x:row r="95" ht="15" customHeight="1">
      <x:c r="A95" s="55" t="inlineStr">
        <x:is>
          <x:t xml:space="preserve">LawModel</x:t>
        </x:is>
      </x:c>
      <x:c r="B95" s="49" t="inlineStr">
        <x:is>
          <x:t xml:space="preserve">structure</x:t>
        </x:is>
      </x:c>
      <x:c r="C95" s="49" t="inlineStr">
        <x:is>
          <x:t xml:space="preserve">Lean-4-Proofs-main\Lean-4-Proofs-main\theophysics-lean-verification-package\TheophysicsProductionKernel.lean</x:t>
        </x:is>
      </x:c>
      <x:c r="D95" s="49" t="inlineStr">
        <x:is>
          <x:t xml:space="preserve">202</x:t>
        </x:is>
      </x:c>
      <x:c r="E95" s="49" t="inlineStr">
        <x:is>
          <x:t xml:space="preserve">DECLARATION_OR_UNKNOWN</x:t>
        </x:is>
      </x:c>
      <x:c r="F95" s="49" t="inlineStr">
        <x:is>
          <x:t xml:space="preserve">PENDING_NOT_RUN</x:t>
        </x:is>
      </x:c>
      <x:c r="G95" s="49" t="inlineStr">
        <x:is>
          <x:t xml:space="preserve">NO_SORRY_OR_ADMIT_STATIC_SCAN</x:t>
        </x:is>
      </x:c>
      <x:c r="H95" s="49" t="inlineStr">
        <x:is>
          <x:t xml:space="preserve">SCAFFOLDING_NOT_PUBLIC_COUNT</x:t>
        </x:is>
      </x:c>
      <x:c r="I95" s="49" t="inlineStr">
        <x:is>
          <x:t xml:space="preserve">0</x:t>
        </x:is>
      </x:c>
      <x:c r="L95" s="56" t="n"/>
    </x:row>
    <x:row r="96" ht="15" customHeight="1">
      <x:c r="A96" s="55" t="inlineStr">
        <x:is>
          <x:t xml:space="preserve">LocalFactors</x:t>
        </x:is>
      </x:c>
      <x:c r="B96" s="49" t="inlineStr">
        <x:is>
          <x:t xml:space="preserve">structure</x:t>
        </x:is>
      </x:c>
      <x:c r="C96" s="49" t="inlineStr">
        <x:is>
          <x:t xml:space="preserve">Lean-4-Proofs-main\Lean-4-Proofs-main\theophysics-lean-verification-package\CorrectedEntropyKernel.lean</x:t>
        </x:is>
      </x:c>
      <x:c r="D96" s="49" t="inlineStr">
        <x:is>
          <x:t xml:space="preserve">61</x:t>
        </x:is>
      </x:c>
      <x:c r="E96" s="49" t="inlineStr">
        <x:is>
          <x:t xml:space="preserve">DECLARATION_OR_UNKNOWN</x:t>
        </x:is>
      </x:c>
      <x:c r="F96" s="49" t="inlineStr">
        <x:is>
          <x:t xml:space="preserve">PENDING_NOT_RUN</x:t>
        </x:is>
      </x:c>
      <x:c r="G96" s="49" t="inlineStr">
        <x:is>
          <x:t xml:space="preserve">NO_SORRY_OR_ADMIT_STATIC_SCAN</x:t>
        </x:is>
      </x:c>
      <x:c r="H96" s="49" t="inlineStr">
        <x:is>
          <x:t xml:space="preserve">SCAFFOLDING_NOT_PUBLIC_COUNT</x:t>
        </x:is>
      </x:c>
      <x:c r="I96" s="49" t="inlineStr">
        <x:is>
          <x:t xml:space="preserve">0</x:t>
        </x:is>
      </x:c>
      <x:c r="L96" s="56" t="n"/>
    </x:row>
    <x:row r="97" ht="15" customHeight="1">
      <x:c r="A97" s="55" t="inlineStr">
        <x:is>
          <x:t xml:space="preserve">LogosTerm</x:t>
        </x:is>
      </x:c>
      <x:c r="B97" s="49" t="inlineStr">
        <x:is>
          <x:t xml:space="preserve">inductive</x:t>
        </x:is>
      </x:c>
      <x:c r="C97" s="49" t="inlineStr">
        <x:is>
          <x:t xml:space="preserve">theophysics-lean-main\theophysics-lean-main\Theophysics_Canonization.lean</x:t>
        </x:is>
      </x:c>
      <x:c r="D97" s="49" t="inlineStr">
        <x:is>
          <x:t xml:space="preserve">320</x:t>
        </x:is>
      </x:c>
      <x:c r="E97" s="49" t="inlineStr">
        <x:is>
          <x:t xml:space="preserve">DECLARATION_OR_UNKNOWN</x:t>
        </x:is>
      </x:c>
      <x:c r="F97" s="49" t="inlineStr">
        <x:is>
          <x:t xml:space="preserve">PENDING_NOT_RUN</x:t>
        </x:is>
      </x:c>
      <x:c r="G97" s="49" t="inlineStr">
        <x:is>
          <x:t xml:space="preserve">NO_SORRY_OR_ADMIT_STATIC_SCAN</x:t>
        </x:is>
      </x:c>
      <x:c r="H97" s="49" t="inlineStr">
        <x:is>
          <x:t xml:space="preserve">SCAFFOLDING_NOT_PUBLIC_COUNT</x:t>
        </x:is>
      </x:c>
      <x:c r="I97" s="49" t="inlineStr">
        <x:is>
          <x:t xml:space="preserve">0</x:t>
        </x:is>
      </x:c>
      <x:c r="L97" s="56" t="n"/>
    </x:row>
    <x:row r="98" ht="15" customHeight="1">
      <x:c r="A98" s="55" t="inlineStr">
        <x:is>
          <x:t xml:space="preserve">MGate</x:t>
        </x:is>
      </x:c>
      <x:c r="B98" s="49" t="inlineStr">
        <x:is>
          <x:t xml:space="preserve">def</x:t>
        </x:is>
      </x:c>
      <x:c r="C98" s="49" t="inlineStr">
        <x:is>
          <x:t xml:space="preserve">theophysics-lean-main\theophysics-lean-main\Theophysics_LawMechanisms.lean</x:t>
        </x:is>
      </x:c>
      <x:c r="D98" s="49" t="inlineStr">
        <x:is>
          <x:t xml:space="preserve">129</x:t>
        </x:is>
      </x:c>
      <x:c r="E98" s="49" t="inlineStr">
        <x:is>
          <x:t xml:space="preserve">DECLARATION_OR_UNKNOWN</x:t>
        </x:is>
      </x:c>
      <x:c r="F98" s="49" t="inlineStr">
        <x:is>
          <x:t xml:space="preserve">PENDING_NOT_RUN</x:t>
        </x:is>
      </x:c>
      <x:c r="G98" s="49" t="inlineStr">
        <x:is>
          <x:t xml:space="preserve">NO_SORRY_OR_ADMIT_STATIC_SCAN</x:t>
        </x:is>
      </x:c>
      <x:c r="H98" s="49" t="inlineStr">
        <x:is>
          <x:t xml:space="preserve">SCAFFOLDING_NOT_PUBLIC_COUNT</x:t>
        </x:is>
      </x:c>
      <x:c r="I98" s="49" t="inlineStr">
        <x:is>
          <x:t xml:space="preserve">0</x:t>
        </x:is>
      </x:c>
      <x:c r="L98" s="56" t="n"/>
    </x:row>
    <x:row r="99" ht="15" customHeight="1">
      <x:c r="A99" s="55" t="inlineStr">
        <x:is>
          <x:t xml:space="preserve">M_zero_collapses_chi</x:t>
        </x:is>
      </x:c>
      <x:c r="B99" s="49" t="inlineStr">
        <x:is>
          <x:t xml:space="preserve">theorem</x:t>
        </x:is>
      </x:c>
      <x:c r="C99" s="49" t="inlineStr">
        <x:is>
          <x:t xml:space="preserve">theophysics-lean-main\theophysics-lean-main\Final_Lean4_From_Excel.lean</x:t>
        </x:is>
      </x:c>
      <x:c r="D99" s="49" t="inlineStr">
        <x:is>
          <x:t xml:space="preserve">94</x:t>
        </x:is>
      </x:c>
      <x:c r="E99" s="49" t="inlineStr">
        <x:is>
          <x:t xml:space="preserve">SIMPLIFICATION</x:t>
        </x:is>
      </x:c>
      <x:c r="F99" s="49" t="inlineStr">
        <x:is>
          <x:t xml:space="preserve">PENDING_NOT_RUN</x:t>
        </x:is>
      </x:c>
      <x:c r="G99" s="49" t="inlineStr">
        <x:is>
          <x:t xml:space="preserve">NO_SORRY_OR_ADMIT_STATIC_SCAN</x:t>
        </x:is>
      </x:c>
      <x:c r="H99" s="49" t="inlineStr">
        <x:is>
          <x:t xml:space="preserve">CANONICAL_THEOREM_DEDUPED_PENDING_COMPILE</x:t>
        </x:is>
      </x:c>
      <x:c r="I99" s="49" t="inlineStr">
        <x:is>
          <x:t xml:space="preserve">3</x:t>
        </x:is>
      </x:c>
      <x:c r="L99" s="56" t="n"/>
    </x:row>
    <x:row r="100" ht="15" customHeight="1">
      <x:c r="A100" s="55" t="inlineStr">
        <x:is>
          <x:t xml:space="preserve">MasterState</x:t>
        </x:is>
      </x:c>
      <x:c r="B100" s="49" t="inlineStr">
        <x:is>
          <x:t xml:space="preserve">structure</x:t>
        </x:is>
      </x:c>
      <x:c r="C100" s="49" t="inlineStr">
        <x:is>
          <x:t xml:space="preserve">Lean-4-Proofs-main\Lean-4-Proofs-main\theophysics-lean-verification-package\TheophysicsProductionKernel.lean</x:t>
        </x:is>
      </x:c>
      <x:c r="D100" s="49" t="inlineStr">
        <x:is>
          <x:t xml:space="preserve">252</x:t>
        </x:is>
      </x:c>
      <x:c r="E100" s="49" t="inlineStr">
        <x:is>
          <x:t xml:space="preserve">DECLARATION_OR_UNKNOWN</x:t>
        </x:is>
      </x:c>
      <x:c r="F100" s="49" t="inlineStr">
        <x:is>
          <x:t xml:space="preserve">PENDING_NOT_RUN</x:t>
        </x:is>
      </x:c>
      <x:c r="G100" s="49" t="inlineStr">
        <x:is>
          <x:t xml:space="preserve">NO_SORRY_OR_ADMIT_STATIC_SCAN</x:t>
        </x:is>
      </x:c>
      <x:c r="H100" s="49" t="inlineStr">
        <x:is>
          <x:t xml:space="preserve">SCAFFOLDING_NOT_PUBLIC_COUNT</x:t>
        </x:is>
      </x:c>
      <x:c r="I100" s="49" t="inlineStr">
        <x:is>
          <x:t xml:space="preserve">0</x:t>
        </x:is>
      </x:c>
      <x:c r="L100" s="56" t="n"/>
    </x:row>
    <x:row r="101" ht="15" customHeight="1">
      <x:c r="A101" s="55" t="inlineStr">
        <x:is>
          <x:t xml:space="preserve">MemoryCase</x:t>
        </x:is>
      </x:c>
      <x:c r="B101" s="49" t="inlineStr">
        <x:is>
          <x:t xml:space="preserve">structure</x:t>
        </x:is>
      </x:c>
      <x:c r="C101" s="49" t="inlineStr">
        <x:is>
          <x:t xml:space="preserve">theophysics-lean-main\theophysics-lean-main\Theophysics_Adversarial.lean</x:t>
        </x:is>
      </x:c>
      <x:c r="D101" s="49" t="inlineStr">
        <x:is>
          <x:t xml:space="preserve">275</x:t>
        </x:is>
      </x:c>
      <x:c r="E101" s="49" t="inlineStr">
        <x:is>
          <x:t xml:space="preserve">DECLARATION_OR_UNKNOWN</x:t>
        </x:is>
      </x:c>
      <x:c r="F101" s="49" t="inlineStr">
        <x:is>
          <x:t xml:space="preserve">PENDING_NOT_RUN</x:t>
        </x:is>
      </x:c>
      <x:c r="G101" s="49" t="inlineStr">
        <x:is>
          <x:t xml:space="preserve">NO_SORRY_OR_ADMIT_STATIC_SCAN</x:t>
        </x:is>
      </x:c>
      <x:c r="H101" s="49" t="inlineStr">
        <x:is>
          <x:t xml:space="preserve">SCAFFOLDING_NOT_PUBLIC_COUNT</x:t>
        </x:is>
      </x:c>
      <x:c r="I101" s="49" t="inlineStr">
        <x:is>
          <x:t xml:space="preserve">3</x:t>
        </x:is>
      </x:c>
      <x:c r="L101" s="56" t="n"/>
    </x:row>
    <x:row r="102" ht="15" customHeight="1">
      <x:c r="A102" s="55" t="inlineStr">
        <x:is>
          <x:t xml:space="preserve">MoralLedger</x:t>
        </x:is>
      </x:c>
      <x:c r="B102" s="49" t="inlineStr">
        <x:is>
          <x:t xml:space="preserve">structure</x:t>
        </x:is>
      </x:c>
      <x:c r="C102" s="49" t="inlineStr">
        <x:is>
          <x:t xml:space="preserve">theophysics-lean-main\theophysics-lean-main\Theophysics_DeathTest.lean</x:t>
        </x:is>
      </x:c>
      <x:c r="D102" s="49" t="inlineStr">
        <x:is>
          <x:t xml:space="preserve">24</x:t>
        </x:is>
      </x:c>
      <x:c r="E102" s="49" t="inlineStr">
        <x:is>
          <x:t xml:space="preserve">DECLARATION_OR_UNKNOWN</x:t>
        </x:is>
      </x:c>
      <x:c r="F102" s="49" t="inlineStr">
        <x:is>
          <x:t xml:space="preserve">PENDING_NOT_RUN</x:t>
        </x:is>
      </x:c>
      <x:c r="G102" s="49" t="inlineStr">
        <x:is>
          <x:t xml:space="preserve">NO_SORRY_OR_ADMIT_STATIC_SCAN</x:t>
        </x:is>
      </x:c>
      <x:c r="H102" s="49" t="inlineStr">
        <x:is>
          <x:t xml:space="preserve">SCAFFOLDING_NOT_PUBLIC_COUNT</x:t>
        </x:is>
      </x:c>
      <x:c r="I102" s="49" t="inlineStr">
        <x:is>
          <x:t xml:space="preserve">0</x:t>
        </x:is>
      </x:c>
      <x:c r="L102" s="56" t="n"/>
    </x:row>
    <x:row r="103" ht="15" customHeight="1">
      <x:c r="A103" s="55" t="inlineStr">
        <x:is>
          <x:t xml:space="preserve">MoralSign</x:t>
        </x:is>
      </x:c>
      <x:c r="B103" s="49" t="inlineStr">
        <x:is>
          <x:t xml:space="preserve">inductive</x:t>
        </x:is>
      </x:c>
      <x:c r="C103" s="49" t="inlineStr">
        <x:is>
          <x:t xml:space="preserve">Faith-Thru-Physics-Lean-4--main\Faith-Thru-Physics-Lean-4--main\Theophysics_NegativeInventory.lean</x:t>
        </x:is>
      </x:c>
      <x:c r="D103" s="49" t="inlineStr">
        <x:is>
          <x:t xml:space="preserve">138</x:t>
        </x:is>
      </x:c>
      <x:c r="E103" s="49" t="inlineStr">
        <x:is>
          <x:t xml:space="preserve">DECLARATION_OR_UNKNOWN</x:t>
        </x:is>
      </x:c>
      <x:c r="F103" s="49" t="inlineStr">
        <x:is>
          <x:t xml:space="preserve">PENDING_NOT_RUN</x:t>
        </x:is>
      </x:c>
      <x:c r="G103" s="49" t="inlineStr">
        <x:is>
          <x:t xml:space="preserve">NO_SORRY_OR_ADMIT_STATIC_SCAN</x:t>
        </x:is>
      </x:c>
      <x:c r="H103" s="49" t="inlineStr">
        <x:is>
          <x:t xml:space="preserve">SCAFFOLDING_NOT_PUBLIC_COUNT</x:t>
        </x:is>
      </x:c>
      <x:c r="I103" s="49" t="inlineStr">
        <x:is>
          <x:t xml:space="preserve">0</x:t>
        </x:is>
      </x:c>
      <x:c r="L103" s="56" t="n"/>
    </x:row>
    <x:row r="104" ht="15" customHeight="1">
      <x:c r="A104" s="55" t="inlineStr">
        <x:is>
          <x:t xml:space="preserve">OffenseResolution</x:t>
        </x:is>
      </x:c>
      <x:c r="B104" s="49" t="inlineStr">
        <x:is>
          <x:t xml:space="preserve">structure</x:t>
        </x:is>
      </x:c>
      <x:c r="C104" s="49" t="inlineStr">
        <x:is>
          <x:t xml:space="preserve">theophysics-lean-main\theophysics-lean-main\Theophysics_Canonization.lean</x:t>
        </x:is>
      </x:c>
      <x:c r="D104" s="49" t="inlineStr">
        <x:is>
          <x:t xml:space="preserve">264</x:t>
        </x:is>
      </x:c>
      <x:c r="E104" s="49" t="inlineStr">
        <x:is>
          <x:t xml:space="preserve">DECLARATION_OR_UNKNOWN</x:t>
        </x:is>
      </x:c>
      <x:c r="F104" s="49" t="inlineStr">
        <x:is>
          <x:t xml:space="preserve">PENDING_NOT_RUN</x:t>
        </x:is>
      </x:c>
      <x:c r="G104" s="49" t="inlineStr">
        <x:is>
          <x:t xml:space="preserve">NO_SORRY_OR_ADMIT_STATIC_SCAN</x:t>
        </x:is>
      </x:c>
      <x:c r="H104" s="49" t="inlineStr">
        <x:is>
          <x:t xml:space="preserve">SCAFFOLDING_NOT_PUBLIC_COUNT</x:t>
        </x:is>
      </x:c>
      <x:c r="I104" s="49" t="inlineStr">
        <x:is>
          <x:t xml:space="preserve">0</x:t>
        </x:is>
      </x:c>
      <x:c r="L104" s="56" t="n"/>
    </x:row>
    <x:row r="105" ht="15" customHeight="1">
      <x:c r="A105" s="55" t="inlineStr">
        <x:is>
          <x:t xml:space="preserve">OffenseResolution.isCross</x:t>
        </x:is>
      </x:c>
      <x:c r="B105" s="49" t="inlineStr">
        <x:is>
          <x:t xml:space="preserve">def</x:t>
        </x:is>
      </x:c>
      <x:c r="C105" s="49" t="inlineStr">
        <x:is>
          <x:t xml:space="preserve">theophysics-lean-main\theophysics-lean-main\Theophysics_Canonization.lean</x:t>
        </x:is>
      </x:c>
      <x:c r="D105" s="49" t="inlineStr">
        <x:is>
          <x:t xml:space="preserve">271</x:t>
        </x:is>
      </x:c>
      <x:c r="E105" s="49" t="inlineStr">
        <x:is>
          <x:t xml:space="preserve">DECLARATION_OR_UNKNOWN</x:t>
        </x:is>
      </x:c>
      <x:c r="F105" s="49" t="inlineStr">
        <x:is>
          <x:t xml:space="preserve">PENDING_NOT_RUN</x:t>
        </x:is>
      </x:c>
      <x:c r="G105" s="49" t="inlineStr">
        <x:is>
          <x:t xml:space="preserve">NO_SORRY_OR_ADMIT_STATIC_SCAN</x:t>
        </x:is>
      </x:c>
      <x:c r="H105" s="49" t="inlineStr">
        <x:is>
          <x:t xml:space="preserve">SCAFFOLDING_NOT_PUBLIC_COUNT</x:t>
        </x:is>
      </x:c>
      <x:c r="I105" s="49" t="inlineStr">
        <x:is>
          <x:t xml:space="preserve">0</x:t>
        </x:is>
      </x:c>
      <x:c r="L105" s="56" t="n"/>
    </x:row>
    <x:row r="106" ht="15" customHeight="1">
      <x:c r="A106" s="55" t="inlineStr">
        <x:is>
          <x:t xml:space="preserve">OffenseResolution.perfectJustice</x:t>
        </x:is>
      </x:c>
      <x:c r="B106" s="49" t="inlineStr">
        <x:is>
          <x:t xml:space="preserve">def</x:t>
        </x:is>
      </x:c>
      <x:c r="C106" s="49" t="inlineStr">
        <x:is>
          <x:t xml:space="preserve">theophysics-lean-main\theophysics-lean-main\Theophysics_Canonization.lean</x:t>
        </x:is>
      </x:c>
      <x:c r="D106" s="49" t="inlineStr">
        <x:is>
          <x:t xml:space="preserve">269</x:t>
        </x:is>
      </x:c>
      <x:c r="E106" s="49" t="inlineStr">
        <x:is>
          <x:t xml:space="preserve">DECLARATION_OR_UNKNOWN</x:t>
        </x:is>
      </x:c>
      <x:c r="F106" s="49" t="inlineStr">
        <x:is>
          <x:t xml:space="preserve">PENDING_NOT_RUN</x:t>
        </x:is>
      </x:c>
      <x:c r="G106" s="49" t="inlineStr">
        <x:is>
          <x:t xml:space="preserve">NO_SORRY_OR_ADMIT_STATIC_SCAN</x:t>
        </x:is>
      </x:c>
      <x:c r="H106" s="49" t="inlineStr">
        <x:is>
          <x:t xml:space="preserve">SCAFFOLDING_NOT_PUBLIC_COUNT</x:t>
        </x:is>
      </x:c>
      <x:c r="I106" s="49" t="inlineStr">
        <x:is>
          <x:t xml:space="preserve">0</x:t>
        </x:is>
      </x:c>
      <x:c r="L106" s="56" t="inlineStr">
        <x:is>
          <x:t xml:space="preserve">justice_mercy_math</x:t>
        </x:is>
      </x:c>
    </x:row>
    <x:row r="107" ht="15" customHeight="1">
      <x:c r="A107" s="55" t="inlineStr">
        <x:is>
          <x:t xml:space="preserve">OffenseResolution.perfectMercy</x:t>
        </x:is>
      </x:c>
      <x:c r="B107" s="49" t="inlineStr">
        <x:is>
          <x:t xml:space="preserve">def</x:t>
        </x:is>
      </x:c>
      <x:c r="C107" s="49" t="inlineStr">
        <x:is>
          <x:t xml:space="preserve">theophysics-lean-main\theophysics-lean-main\Theophysics_Canonization.lean</x:t>
        </x:is>
      </x:c>
      <x:c r="D107" s="49" t="inlineStr">
        <x:is>
          <x:t xml:space="preserve">270</x:t>
        </x:is>
      </x:c>
      <x:c r="E107" s="49" t="inlineStr">
        <x:is>
          <x:t xml:space="preserve">DECLARATION_OR_UNKNOWN</x:t>
        </x:is>
      </x:c>
      <x:c r="F107" s="49" t="inlineStr">
        <x:is>
          <x:t xml:space="preserve">PENDING_NOT_RUN</x:t>
        </x:is>
      </x:c>
      <x:c r="G107" s="49" t="inlineStr">
        <x:is>
          <x:t xml:space="preserve">NO_SORRY_OR_ADMIT_STATIC_SCAN</x:t>
        </x:is>
      </x:c>
      <x:c r="H107" s="49" t="inlineStr">
        <x:is>
          <x:t xml:space="preserve">SCAFFOLDING_NOT_PUBLIC_COUNT</x:t>
        </x:is>
      </x:c>
      <x:c r="I107" s="49" t="inlineStr">
        <x:is>
          <x:t xml:space="preserve">0</x:t>
        </x:is>
      </x:c>
      <x:c r="L107" s="56" t="inlineStr">
        <x:is>
          <x:t xml:space="preserve">justice_mercy_math</x:t>
        </x:is>
      </x:c>
    </x:row>
    <x:row r="108" ht="15" customHeight="1">
      <x:c r="A108" s="55" t="inlineStr">
        <x:is>
          <x:t xml:space="preserve">ParentLaw</x:t>
        </x:is>
      </x:c>
      <x:c r="B108" s="49" t="inlineStr">
        <x:is>
          <x:t xml:space="preserve">inductive</x:t>
        </x:is>
      </x:c>
      <x:c r="C108" s="49" t="inlineStr">
        <x:is>
          <x:t xml:space="preserve">theophysics-lean-main\theophysics-lean-main\Theophysics_Canonization.lean</x:t>
        </x:is>
      </x:c>
      <x:c r="D108" s="49" t="inlineStr">
        <x:is>
          <x:t xml:space="preserve">212</x:t>
        </x:is>
      </x:c>
      <x:c r="E108" s="49" t="inlineStr">
        <x:is>
          <x:t xml:space="preserve">DECLARATION_OR_UNKNOWN</x:t>
        </x:is>
      </x:c>
      <x:c r="F108" s="49" t="inlineStr">
        <x:is>
          <x:t xml:space="preserve">PENDING_NOT_RUN</x:t>
        </x:is>
      </x:c>
      <x:c r="G108" s="49" t="inlineStr">
        <x:is>
          <x:t xml:space="preserve">NO_SORRY_OR_ADMIT_STATIC_SCAN</x:t>
        </x:is>
      </x:c>
      <x:c r="H108" s="49" t="inlineStr">
        <x:is>
          <x:t xml:space="preserve">SCAFFOLDING_NOT_PUBLIC_COUNT</x:t>
        </x:is>
      </x:c>
      <x:c r="I108" s="49" t="inlineStr">
        <x:is>
          <x:t xml:space="preserve">0</x:t>
        </x:is>
      </x:c>
      <x:c r="L108" s="56" t="n"/>
    </x:row>
    <x:row r="109" ht="15" customHeight="1">
      <x:c r="A109" s="55" t="inlineStr">
        <x:is>
          <x:t xml:space="preserve">PressureResult</x:t>
        </x:is>
      </x:c>
      <x:c r="B109" s="49" t="inlineStr">
        <x:is>
          <x:t xml:space="preserve">structure</x:t>
        </x:is>
      </x:c>
      <x:c r="C109" s="49" t="inlineStr">
        <x:is>
          <x:t xml:space="preserve">theophysics-lean-main\theophysics-lean-main\Theophysics_ChiEvaluator.lean</x:t>
        </x:is>
      </x:c>
      <x:c r="D109" s="49" t="inlineStr">
        <x:is>
          <x:t xml:space="preserve">289</x:t>
        </x:is>
      </x:c>
      <x:c r="E109" s="49" t="inlineStr">
        <x:is>
          <x:t xml:space="preserve">DECLARATION_OR_UNKNOWN</x:t>
        </x:is>
      </x:c>
      <x:c r="F109" s="49" t="inlineStr">
        <x:is>
          <x:t xml:space="preserve">PENDING_NOT_RUN</x:t>
        </x:is>
      </x:c>
      <x:c r="G109" s="49" t="inlineStr">
        <x:is>
          <x:t xml:space="preserve">NO_SORRY_OR_ADMIT_STATIC_SCAN</x:t>
        </x:is>
      </x:c>
      <x:c r="H109" s="49" t="inlineStr">
        <x:is>
          <x:t xml:space="preserve">SCAFFOLDING_NOT_PUBLIC_COUNT</x:t>
        </x:is>
      </x:c>
      <x:c r="I109" s="49" t="inlineStr">
        <x:is>
          <x:t xml:space="preserve">3</x:t>
        </x:is>
      </x:c>
      <x:c r="L109" s="56" t="n"/>
    </x:row>
    <x:row r="110" ht="15" customHeight="1">
      <x:c r="A110" s="55" t="inlineStr">
        <x:is>
          <x:t xml:space="preserve">PressureState</x:t>
        </x:is>
      </x:c>
      <x:c r="B110" s="49" t="inlineStr">
        <x:is>
          <x:t xml:space="preserve">inductive</x:t>
        </x:is>
      </x:c>
      <x:c r="C110" s="49" t="inlineStr">
        <x:is>
          <x:t xml:space="preserve">theophysics-lean-main\theophysics-lean-main\Theophysics_ChiEvaluator.lean</x:t>
        </x:is>
      </x:c>
      <x:c r="D110" s="49" t="inlineStr">
        <x:is>
          <x:t xml:space="preserve">65</x:t>
        </x:is>
      </x:c>
      <x:c r="E110" s="49" t="inlineStr">
        <x:is>
          <x:t xml:space="preserve">DECLARATION_OR_UNKNOWN</x:t>
        </x:is>
      </x:c>
      <x:c r="F110" s="49" t="inlineStr">
        <x:is>
          <x:t xml:space="preserve">PENDING_NOT_RUN</x:t>
        </x:is>
      </x:c>
      <x:c r="G110" s="49" t="inlineStr">
        <x:is>
          <x:t xml:space="preserve">NO_SORRY_OR_ADMIT_STATIC_SCAN</x:t>
        </x:is>
      </x:c>
      <x:c r="H110" s="49" t="inlineStr">
        <x:is>
          <x:t xml:space="preserve">SCAFFOLDING_NOT_PUBLIC_COUNT</x:t>
        </x:is>
      </x:c>
      <x:c r="I110" s="49" t="inlineStr">
        <x:is>
          <x:t xml:space="preserve">3</x:t>
        </x:is>
      </x:c>
      <x:c r="L110" s="56" t="n"/>
    </x:row>
    <x:row r="111" ht="15" customHeight="1">
      <x:c r="A111" s="55" t="inlineStr">
        <x:is>
          <x:t xml:space="preserve">QGate</x:t>
        </x:is>
      </x:c>
      <x:c r="B111" s="49" t="inlineStr">
        <x:is>
          <x:t xml:space="preserve">def</x:t>
        </x:is>
      </x:c>
      <x:c r="C111" s="49" t="inlineStr">
        <x:is>
          <x:t xml:space="preserve">theophysics-lean-main\theophysics-lean-main\Theophysics_Adversarial.lean</x:t>
        </x:is>
      </x:c>
      <x:c r="D111" s="49" t="inlineStr">
        <x:is>
          <x:t xml:space="preserve">221</x:t>
        </x:is>
      </x:c>
      <x:c r="E111" s="49" t="inlineStr">
        <x:is>
          <x:t xml:space="preserve">DECLARATION_OR_UNKNOWN</x:t>
        </x:is>
      </x:c>
      <x:c r="F111" s="49" t="inlineStr">
        <x:is>
          <x:t xml:space="preserve">PENDING_NOT_RUN</x:t>
        </x:is>
      </x:c>
      <x:c r="G111" s="49" t="inlineStr">
        <x:is>
          <x:t xml:space="preserve">NO_SORRY_OR_ADMIT_STATIC_SCAN</x:t>
        </x:is>
      </x:c>
      <x:c r="H111" s="49" t="inlineStr">
        <x:is>
          <x:t xml:space="preserve">SCAFFOLDING_NOT_PUBLIC_COUNT</x:t>
        </x:is>
      </x:c>
      <x:c r="I111" s="49" t="inlineStr">
        <x:is>
          <x:t xml:space="preserve">3</x:t>
        </x:is>
      </x:c>
      <x:c r="L111" s="56" t="n"/>
    </x:row>
    <x:row r="112" ht="15" customHeight="1">
      <x:c r="A112" s="55" t="inlineStr">
        <x:is>
          <x:t xml:space="preserve">Q_nonzero_not_sufficient_for_positive_chi</x:t>
        </x:is>
      </x:c>
      <x:c r="B112" s="49" t="inlineStr">
        <x:is>
          <x:t xml:space="preserve">theorem</x:t>
        </x:is>
      </x:c>
      <x:c r="C112" s="49" t="inlineStr">
        <x:is>
          <x:t xml:space="preserve">theophysics-lean-main\theophysics-lean-main\Final_Lean4_From_Excel.lean</x:t>
        </x:is>
      </x:c>
      <x:c r="D112" s="49" t="inlineStr">
        <x:is>
          <x:t xml:space="preserve">122</x:t>
        </x:is>
      </x:c>
      <x:c r="E112" s="49" t="inlineStr">
        <x:is>
          <x:t xml:space="preserve">SUBSTANTIVE_OR_CASE_PROOF</x:t>
        </x:is>
      </x:c>
      <x:c r="F112" s="49" t="inlineStr">
        <x:is>
          <x:t xml:space="preserve">PENDING_NOT_RUN</x:t>
        </x:is>
      </x:c>
      <x:c r="G112" s="49" t="inlineStr">
        <x:is>
          <x:t xml:space="preserve">NO_SORRY_OR_ADMIT_STATIC_SCAN</x:t>
        </x:is>
      </x:c>
      <x:c r="H112" s="49" t="inlineStr">
        <x:is>
          <x:t xml:space="preserve">CANONICAL_THEOREM_DEDUPED_PENDING_COMPILE</x:t>
        </x:is>
      </x:c>
      <x:c r="I112" s="49" t="inlineStr">
        <x:is>
          <x:t xml:space="preserve">3</x:t>
        </x:is>
      </x:c>
      <x:c r="J112" s="49" t="inlineStr">
        <x:is>
          <x:t xml:space="preserve">LEAN_DERIVATION_CHAIN:7</x:t>
        </x:is>
      </x:c>
      <x:c r="K112" s="49" t="inlineStr">
        <x:is>
          <x:t xml:space="preserve">Q &gt; 0 does NOT guarantee χ &gt; 0 (G = 0 still kills it). No single factor saves you.</x:t>
        </x:is>
      </x:c>
      <x:c r="L112" s="56" t="n"/>
    </x:row>
    <x:row r="113" ht="15" customHeight="1">
      <x:c r="A113" s="55" t="inlineStr">
        <x:is>
          <x:t xml:space="preserve">Q_zero_collapses_chi</x:t>
        </x:is>
      </x:c>
      <x:c r="B113" s="49" t="inlineStr">
        <x:is>
          <x:t xml:space="preserve">theorem</x:t>
        </x:is>
      </x:c>
      <x:c r="C113" s="49" t="inlineStr">
        <x:is>
          <x:t xml:space="preserve">theophysics-lean-main\theophysics-lean-main\Theophysics_Core.lean</x:t>
        </x:is>
      </x:c>
      <x:c r="D113" s="49" t="inlineStr">
        <x:is>
          <x:t xml:space="preserve">34</x:t>
        </x:is>
      </x:c>
      <x:c r="E113" s="49" t="inlineStr">
        <x:is>
          <x:t xml:space="preserve">DECLARATION_OR_UNKNOWN</x:t>
        </x:is>
      </x:c>
      <x:c r="F113" s="49" t="inlineStr">
        <x:is>
          <x:t xml:space="preserve">PENDING_NOT_RUN</x:t>
        </x:is>
      </x:c>
      <x:c r="G113" s="49" t="inlineStr">
        <x:is>
          <x:t xml:space="preserve">NO_SORRY_OR_ADMIT_STATIC_SCAN</x:t>
        </x:is>
      </x:c>
      <x:c r="H113" s="49" t="inlineStr">
        <x:is>
          <x:t xml:space="preserve">CANONICAL_THEOREM_DEDUPED_PENDING_COMPILE</x:t>
        </x:is>
      </x:c>
      <x:c r="I113" s="49" t="inlineStr">
        <x:is>
          <x:t xml:space="preserve">7</x:t>
        </x:is>
      </x:c>
      <x:c r="J113" s="49" t="inlineStr">
        <x:is>
          <x:t xml:space="preserve">LEAN_DERIVATION_CHAIN:6</x:t>
        </x:is>
      </x:c>
      <x:c r="K113" s="49" t="inlineStr">
        <x:is>
          <x:t xml:space="preserve">If Q = 0, then χ = 0 regardless of all other factors. Any single zero kills the product.</x:t>
        </x:is>
      </x:c>
      <x:c r="L113" s="56" t="n"/>
    </x:row>
    <x:row r="114" ht="15" customHeight="1">
      <x:c r="A114" s="55" t="inlineStr">
        <x:is>
          <x:t xml:space="preserve">Q_zero_still_collapses_after_substitution</x:t>
        </x:is>
      </x:c>
      <x:c r="B114" s="49" t="inlineStr">
        <x:is>
          <x:t xml:space="preserve">theorem</x:t>
        </x:is>
      </x:c>
      <x:c r="C114" s="49" t="inlineStr">
        <x:is>
          <x:t xml:space="preserve">theophysics-lean-main\theophysics-lean-main\Theophysics_Core.lean</x:t>
        </x:is>
      </x:c>
      <x:c r="D114" s="49" t="inlineStr">
        <x:is>
          <x:t xml:space="preserve">193</x:t>
        </x:is>
      </x:c>
      <x:c r="E114" s="49" t="inlineStr">
        <x:is>
          <x:t xml:space="preserve">TRIVIAL_TRUE</x:t>
        </x:is>
      </x:c>
      <x:c r="F114" s="49" t="inlineStr">
        <x:is>
          <x:t xml:space="preserve">PENDING_NOT_RUN</x:t>
        </x:is>
      </x:c>
      <x:c r="G114" s="49" t="inlineStr">
        <x:is>
          <x:t xml:space="preserve">NO_SORRY_OR_ADMIT_STATIC_SCAN</x:t>
        </x:is>
      </x:c>
      <x:c r="H114" s="49" t="inlineStr">
        <x:is>
          <x:t xml:space="preserve">LOW_CONTENT_TRUE_NOT_PUBLIC_COUNT</x:t>
        </x:is>
      </x:c>
      <x:c r="I114" s="49" t="inlineStr">
        <x:is>
          <x:t xml:space="preserve">3</x:t>
        </x:is>
      </x:c>
      <x:c r="J114" s="49" t="inlineStr">
        <x:is>
          <x:t xml:space="preserve">LEAN_DERIVATION_CHAIN:45</x:t>
        </x:is>
      </x:c>
      <x:c r="K114" s="49" t="inlineStr">
        <x:is>
          <x:t xml:space="preserve">Q=0 collapse survives substitution</x:t>
        </x:is>
      </x:c>
      <x:c r="L114" s="56" t="n"/>
    </x:row>
    <x:row r="115" ht="15" customHeight="1">
      <x:c r="A115" s="55" t="inlineStr">
        <x:is>
          <x:t xml:space="preserve">RGate</x:t>
        </x:is>
      </x:c>
      <x:c r="B115" s="49" t="inlineStr">
        <x:is>
          <x:t xml:space="preserve">def</x:t>
        </x:is>
      </x:c>
      <x:c r="C115" s="49" t="inlineStr">
        <x:is>
          <x:t xml:space="preserve">theophysics-lean-main\theophysics-lean-main\Theophysics_Adversarial.lean</x:t>
        </x:is>
      </x:c>
      <x:c r="D115" s="49" t="inlineStr">
        <x:is>
          <x:t xml:space="preserve">218</x:t>
        </x:is>
      </x:c>
      <x:c r="E115" s="49" t="inlineStr">
        <x:is>
          <x:t xml:space="preserve">DECLARATION_OR_UNKNOWN</x:t>
        </x:is>
      </x:c>
      <x:c r="F115" s="49" t="inlineStr">
        <x:is>
          <x:t xml:space="preserve">PENDING_NOT_RUN</x:t>
        </x:is>
      </x:c>
      <x:c r="G115" s="49" t="inlineStr">
        <x:is>
          <x:t xml:space="preserve">NO_SORRY_OR_ADMIT_STATIC_SCAN</x:t>
        </x:is>
      </x:c>
      <x:c r="H115" s="49" t="inlineStr">
        <x:is>
          <x:t xml:space="preserve">SCAFFOLDING_NOT_PUBLIC_COUNT</x:t>
        </x:is>
      </x:c>
      <x:c r="I115" s="49" t="inlineStr">
        <x:is>
          <x:t xml:space="preserve">3</x:t>
        </x:is>
      </x:c>
      <x:c r="L115" s="56" t="n"/>
    </x:row>
    <x:row r="116" ht="15" customHeight="1">
      <x:c r="A116" s="55" t="inlineStr">
        <x:is>
          <x:t xml:space="preserve">R_gate_required</x:t>
        </x:is>
      </x:c>
      <x:c r="B116" s="49" t="inlineStr">
        <x:is>
          <x:t xml:space="preserve">theorem</x:t>
        </x:is>
      </x:c>
      <x:c r="C116" s="49" t="inlineStr">
        <x:is>
          <x:t xml:space="preserve">theophysics-lean-main\theophysics-lean-main\Final_Lean4_From_Excel.lean</x:t>
        </x:is>
      </x:c>
      <x:c r="D116" s="49" t="inlineStr">
        <x:is>
          <x:t xml:space="preserve">118</x:t>
        </x:is>
      </x:c>
      <x:c r="E116" s="49" t="inlineStr">
        <x:is>
          <x:t xml:space="preserve">DECLARATION_OR_UNKNOWN</x:t>
        </x:is>
      </x:c>
      <x:c r="F116" s="49" t="inlineStr">
        <x:is>
          <x:t xml:space="preserve">PENDING_NOT_RUN</x:t>
        </x:is>
      </x:c>
      <x:c r="G116" s="49" t="inlineStr">
        <x:is>
          <x:t xml:space="preserve">NO_SORRY_OR_ADMIT_STATIC_SCAN</x:t>
        </x:is>
      </x:c>
      <x:c r="H116" s="49" t="inlineStr">
        <x:is>
          <x:t xml:space="preserve">CANONICAL_THEOREM_DEDUPED_PENDING_COMPILE</x:t>
        </x:is>
      </x:c>
      <x:c r="I116" s="49" t="inlineStr">
        <x:is>
          <x:t xml:space="preserve">3</x:t>
        </x:is>
      </x:c>
      <x:c r="L116" s="56" t="n"/>
    </x:row>
    <x:row r="117" ht="15" customHeight="1">
      <x:c r="A117" s="55" t="inlineStr">
        <x:is>
          <x:t xml:space="preserve">R_zero_collapses_chi</x:t>
        </x:is>
      </x:c>
      <x:c r="B117" s="49" t="inlineStr">
        <x:is>
          <x:t xml:space="preserve">theorem</x:t>
        </x:is>
      </x:c>
      <x:c r="C117" s="49" t="inlineStr">
        <x:is>
          <x:t xml:space="preserve">theophysics-lean-main\theophysics-lean-main\Final_Lean4_From_Excel.lean</x:t>
        </x:is>
      </x:c>
      <x:c r="D117" s="49" t="inlineStr">
        <x:is>
          <x:t xml:space="preserve">109</x:t>
        </x:is>
      </x:c>
      <x:c r="E117" s="49" t="inlineStr">
        <x:is>
          <x:t xml:space="preserve">SIMPLIFICATION</x:t>
        </x:is>
      </x:c>
      <x:c r="F117" s="49" t="inlineStr">
        <x:is>
          <x:t xml:space="preserve">PENDING_NOT_RUN</x:t>
        </x:is>
      </x:c>
      <x:c r="G117" s="49" t="inlineStr">
        <x:is>
          <x:t xml:space="preserve">NO_SORRY_OR_ADMIT_STATIC_SCAN</x:t>
        </x:is>
      </x:c>
      <x:c r="H117" s="49" t="inlineStr">
        <x:is>
          <x:t xml:space="preserve">CANONICAL_THEOREM_DEDUPED_PENDING_COMPILE</x:t>
        </x:is>
      </x:c>
      <x:c r="I117" s="49" t="inlineStr">
        <x:is>
          <x:t xml:space="preserve">3</x:t>
        </x:is>
      </x:c>
      <x:c r="L117" s="56" t="n"/>
    </x:row>
    <x:row r="118" ht="15" customHeight="1">
      <x:c r="A118" s="55" t="inlineStr">
        <x:is>
          <x:t xml:space="preserve">RawSignalPattern</x:t>
        </x:is>
      </x:c>
      <x:c r="B118" s="49" t="inlineStr">
        <x:is>
          <x:t xml:space="preserve">inductive</x:t>
        </x:is>
      </x:c>
      <x:c r="C118" s="49" t="inlineStr">
        <x:is>
          <x:t xml:space="preserve">theophysics-lean-main\theophysics-lean-main\Theophysics_DelayedChoice.lean</x:t>
        </x:is>
      </x:c>
      <x:c r="D118" s="49" t="inlineStr">
        <x:is>
          <x:t xml:space="preserve">39</x:t>
        </x:is>
      </x:c>
      <x:c r="E118" s="49" t="inlineStr">
        <x:is>
          <x:t xml:space="preserve">DECLARATION_OR_UNKNOWN</x:t>
        </x:is>
      </x:c>
      <x:c r="F118" s="49" t="inlineStr">
        <x:is>
          <x:t xml:space="preserve">PENDING_NOT_RUN</x:t>
        </x:is>
      </x:c>
      <x:c r="G118" s="49" t="inlineStr">
        <x:is>
          <x:t xml:space="preserve">NO_SORRY_OR_ADMIT_STATIC_SCAN</x:t>
        </x:is>
      </x:c>
      <x:c r="H118" s="49" t="inlineStr">
        <x:is>
          <x:t xml:space="preserve">SCAFFOLDING_NOT_PUBLIC_COUNT</x:t>
        </x:is>
      </x:c>
      <x:c r="I118" s="49" t="inlineStr">
        <x:is>
          <x:t xml:space="preserve">0</x:t>
        </x:is>
      </x:c>
      <x:c r="L118" s="56" t="n"/>
    </x:row>
    <x:row r="119" ht="15" customHeight="1">
      <x:c r="A119" s="55" t="inlineStr">
        <x:is>
          <x:t xml:space="preserve">Regime</x:t>
        </x:is>
      </x:c>
      <x:c r="B119" s="49" t="inlineStr">
        <x:is>
          <x:t xml:space="preserve">inductive</x:t>
        </x:is>
      </x:c>
      <x:c r="C119" s="49" t="inlineStr">
        <x:is>
          <x:t xml:space="preserve">Lean-4-Proofs-main\Lean-4-Proofs-main\theophysics-lean-verification-package\COPY_PASTE_LEAN4.lean</x:t>
        </x:is>
      </x:c>
      <x:c r="D119" s="49" t="inlineStr">
        <x:is>
          <x:t xml:space="preserve">73</x:t>
        </x:is>
      </x:c>
      <x:c r="E119" s="49" t="inlineStr">
        <x:is>
          <x:t xml:space="preserve">DECLARATION_OR_UNKNOWN</x:t>
        </x:is>
      </x:c>
      <x:c r="F119" s="49" t="inlineStr">
        <x:is>
          <x:t xml:space="preserve">PENDING_NOT_RUN</x:t>
        </x:is>
      </x:c>
      <x:c r="G119" s="49" t="inlineStr">
        <x:is>
          <x:t xml:space="preserve">NO_SORRY_OR_ADMIT_STATIC_SCAN</x:t>
        </x:is>
      </x:c>
      <x:c r="H119" s="49" t="inlineStr">
        <x:is>
          <x:t xml:space="preserve">SCAFFOLDING_NOT_PUBLIC_COUNT</x:t>
        </x:is>
      </x:c>
      <x:c r="I119" s="49" t="inlineStr">
        <x:is>
          <x:t xml:space="preserve">4</x:t>
        </x:is>
      </x:c>
      <x:c r="L119" s="56" t="n"/>
    </x:row>
    <x:row r="120" ht="15" customHeight="1">
      <x:c r="A120" s="55" t="inlineStr">
        <x:is>
          <x:t xml:space="preserve">RestorationModel</x:t>
        </x:is>
      </x:c>
      <x:c r="B120" s="49" t="inlineStr">
        <x:is>
          <x:t xml:space="preserve">structure</x:t>
        </x:is>
      </x:c>
      <x:c r="C120" s="49" t="inlineStr">
        <x:is>
          <x:t xml:space="preserve">theophysics-lean-main\theophysics-lean-main\Theophysics_Coherence.lean</x:t>
        </x:is>
      </x:c>
      <x:c r="D120" s="49" t="inlineStr">
        <x:is>
          <x:t xml:space="preserve">116</x:t>
        </x:is>
      </x:c>
      <x:c r="E120" s="49" t="inlineStr">
        <x:is>
          <x:t xml:space="preserve">DECLARATION_OR_UNKNOWN</x:t>
        </x:is>
      </x:c>
      <x:c r="F120" s="49" t="inlineStr">
        <x:is>
          <x:t xml:space="preserve">PENDING_NOT_RUN</x:t>
        </x:is>
      </x:c>
      <x:c r="G120" s="49" t="inlineStr">
        <x:is>
          <x:t xml:space="preserve">NO_SORRY_OR_ADMIT_STATIC_SCAN</x:t>
        </x:is>
      </x:c>
      <x:c r="H120" s="49" t="inlineStr">
        <x:is>
          <x:t xml:space="preserve">SCAFFOLDING_NOT_PUBLIC_COUNT</x:t>
        </x:is>
      </x:c>
      <x:c r="I120" s="49" t="inlineStr">
        <x:is>
          <x:t xml:space="preserve">3</x:t>
        </x:is>
      </x:c>
      <x:c r="L120" s="56" t="n"/>
    </x:row>
    <x:row r="121" ht="15" customHeight="1">
      <x:c r="A121" s="55" t="inlineStr">
        <x:is>
          <x:t xml:space="preserve">ReturnModel</x:t>
        </x:is>
      </x:c>
      <x:c r="B121" s="49" t="inlineStr">
        <x:is>
          <x:t xml:space="preserve">structure</x:t>
        </x:is>
      </x:c>
      <x:c r="C121" s="49" t="inlineStr">
        <x:is>
          <x:t xml:space="preserve">Faith-Thru-Physics-Lean-4--main\Faith-Thru-Physics-Lean-4--main\Theophysics_NegativeInventory.lean</x:t>
        </x:is>
      </x:c>
      <x:c r="D121" s="49" t="inlineStr">
        <x:is>
          <x:t xml:space="preserve">200</x:t>
        </x:is>
      </x:c>
      <x:c r="E121" s="49" t="inlineStr">
        <x:is>
          <x:t xml:space="preserve">DECLARATION_OR_UNKNOWN</x:t>
        </x:is>
      </x:c>
      <x:c r="F121" s="49" t="inlineStr">
        <x:is>
          <x:t xml:space="preserve">PENDING_NOT_RUN</x:t>
        </x:is>
      </x:c>
      <x:c r="G121" s="49" t="inlineStr">
        <x:is>
          <x:t xml:space="preserve">NO_SORRY_OR_ADMIT_STATIC_SCAN</x:t>
        </x:is>
      </x:c>
      <x:c r="H121" s="49" t="inlineStr">
        <x:is>
          <x:t xml:space="preserve">SCAFFOLDING_NOT_PUBLIC_COUNT</x:t>
        </x:is>
      </x:c>
      <x:c r="I121" s="49" t="inlineStr">
        <x:is>
          <x:t xml:space="preserve">0</x:t>
        </x:is>
      </x:c>
      <x:c r="L121" s="56" t="n"/>
    </x:row>
    <x:row r="122" ht="15" customHeight="1">
      <x:c r="A122" s="55" t="inlineStr">
        <x:is>
          <x:t xml:space="preserve">S_zero_collapses_chi</x:t>
        </x:is>
      </x:c>
      <x:c r="B122" s="49" t="inlineStr">
        <x:is>
          <x:t xml:space="preserve">theorem</x:t>
        </x:is>
      </x:c>
      <x:c r="C122" s="49" t="inlineStr">
        <x:is>
          <x:t xml:space="preserve">theophysics-lean-main\theophysics-lean-main\Final_Lean4_From_Excel.lean</x:t>
        </x:is>
      </x:c>
      <x:c r="D122" s="49" t="inlineStr">
        <x:is>
          <x:t xml:space="preserve">100</x:t>
        </x:is>
      </x:c>
      <x:c r="E122" s="49" t="inlineStr">
        <x:is>
          <x:t xml:space="preserve">SIMPLIFICATION</x:t>
        </x:is>
      </x:c>
      <x:c r="F122" s="49" t="inlineStr">
        <x:is>
          <x:t xml:space="preserve">PENDING_NOT_RUN</x:t>
        </x:is>
      </x:c>
      <x:c r="G122" s="49" t="inlineStr">
        <x:is>
          <x:t xml:space="preserve">NO_SORRY_OR_ADMIT_STATIC_SCAN</x:t>
        </x:is>
      </x:c>
      <x:c r="H122" s="49" t="inlineStr">
        <x:is>
          <x:t xml:space="preserve">CANONICAL_THEOREM_DEDUPED_PENDING_COMPILE</x:t>
        </x:is>
      </x:c>
      <x:c r="I122" s="49" t="inlineStr">
        <x:is>
          <x:t xml:space="preserve">3</x:t>
        </x:is>
      </x:c>
      <x:c r="L122" s="56" t="n"/>
    </x:row>
    <x:row r="123" ht="15" customHeight="1">
      <x:c r="A123" s="55" t="inlineStr">
        <x:is>
          <x:t xml:space="preserve">ScarSignature</x:t>
        </x:is>
      </x:c>
      <x:c r="B123" s="49" t="inlineStr">
        <x:is>
          <x:t xml:space="preserve">structure</x:t>
        </x:is>
      </x:c>
      <x:c r="C123" s="49" t="inlineStr">
        <x:is>
          <x:t xml:space="preserve">theophysics-lean-main\theophysics-lean-main\Theophysics_Fracture.lean</x:t>
        </x:is>
      </x:c>
      <x:c r="D123" s="49" t="inlineStr">
        <x:is>
          <x:t xml:space="preserve">28</x:t>
        </x:is>
      </x:c>
      <x:c r="E123" s="49" t="inlineStr">
        <x:is>
          <x:t xml:space="preserve">DECLARATION_OR_UNKNOWN</x:t>
        </x:is>
      </x:c>
      <x:c r="F123" s="49" t="inlineStr">
        <x:is>
          <x:t xml:space="preserve">PENDING_NOT_RUN</x:t>
        </x:is>
      </x:c>
      <x:c r="G123" s="49" t="inlineStr">
        <x:is>
          <x:t xml:space="preserve">NO_SORRY_OR_ADMIT_STATIC_SCAN</x:t>
        </x:is>
      </x:c>
      <x:c r="H123" s="49" t="inlineStr">
        <x:is>
          <x:t xml:space="preserve">SCAFFOLDING_NOT_PUBLIC_COUNT</x:t>
        </x:is>
      </x:c>
      <x:c r="I123" s="49" t="inlineStr">
        <x:is>
          <x:t xml:space="preserve">3</x:t>
        </x:is>
      </x:c>
      <x:c r="L123" s="56" t="n"/>
    </x:row>
    <x:row r="124" ht="15" customHeight="1">
      <x:c r="A124" s="55" t="inlineStr">
        <x:is>
          <x:t xml:space="preserve">Sign</x:t>
        </x:is>
      </x:c>
      <x:c r="B124" s="49" t="inlineStr">
        <x:is>
          <x:t xml:space="preserve">inductive</x:t>
        </x:is>
      </x:c>
      <x:c r="C124" s="49" t="inlineStr">
        <x:is>
          <x:t xml:space="preserve">theophysics-lean-main\theophysics-lean-main\Theophysics_Adversarial.lean</x:t>
        </x:is>
      </x:c>
      <x:c r="D124" s="49" t="inlineStr">
        <x:is>
          <x:t xml:space="preserve">254</x:t>
        </x:is>
      </x:c>
      <x:c r="E124" s="49" t="inlineStr">
        <x:is>
          <x:t xml:space="preserve">DECLARATION_OR_UNKNOWN</x:t>
        </x:is>
      </x:c>
      <x:c r="F124" s="49" t="inlineStr">
        <x:is>
          <x:t xml:space="preserve">PENDING_NOT_RUN</x:t>
        </x:is>
      </x:c>
      <x:c r="G124" s="49" t="inlineStr">
        <x:is>
          <x:t xml:space="preserve">NO_SORRY_OR_ADMIT_STATIC_SCAN</x:t>
        </x:is>
      </x:c>
      <x:c r="H124" s="49" t="inlineStr">
        <x:is>
          <x:t xml:space="preserve">SCAFFOLDING_NOT_PUBLIC_COUNT</x:t>
        </x:is>
      </x:c>
      <x:c r="I124" s="49" t="inlineStr">
        <x:is>
          <x:t xml:space="preserve">3</x:t>
        </x:is>
      </x:c>
      <x:c r="L124" s="56" t="n"/>
    </x:row>
    <x:row r="125" ht="15" customHeight="1">
      <x:c r="A125" s="55" t="inlineStr">
        <x:is>
          <x:t xml:space="preserve">SpiritLagrangian</x:t>
        </x:is>
      </x:c>
      <x:c r="B125" s="49" t="inlineStr">
        <x:is>
          <x:t xml:space="preserve">def</x:t>
        </x:is>
      </x:c>
      <x:c r="C125" s="49" t="inlineStr">
        <x:is>
          <x:t xml:space="preserve">theophysics-lean-main\theophysics-lean-main\Theophysics_Canonization.lean</x:t>
        </x:is>
      </x:c>
      <x:c r="D125" s="49" t="inlineStr">
        <x:is>
          <x:t xml:space="preserve">81</x:t>
        </x:is>
      </x:c>
      <x:c r="E125" s="49" t="inlineStr">
        <x:is>
          <x:t xml:space="preserve">DECLARATION_OR_UNKNOWN</x:t>
        </x:is>
      </x:c>
      <x:c r="F125" s="49" t="inlineStr">
        <x:is>
          <x:t xml:space="preserve">PENDING_NOT_RUN</x:t>
        </x:is>
      </x:c>
      <x:c r="G125" s="49" t="inlineStr">
        <x:is>
          <x:t xml:space="preserve">NO_SORRY_OR_ADMIT_STATIC_SCAN</x:t>
        </x:is>
      </x:c>
      <x:c r="H125" s="49" t="inlineStr">
        <x:is>
          <x:t xml:space="preserve">SCAFFOLDING_NOT_PUBLIC_COUNT</x:t>
        </x:is>
      </x:c>
      <x:c r="I125" s="49" t="inlineStr">
        <x:is>
          <x:t xml:space="preserve">0</x:t>
        </x:is>
      </x:c>
      <x:c r="L125" s="56" t="n"/>
    </x:row>
    <x:row r="126" ht="15" customHeight="1">
      <x:c r="A126" s="55" t="inlineStr">
        <x:is>
          <x:t xml:space="preserve">Stage</x:t>
        </x:is>
      </x:c>
      <x:c r="B126" s="49" t="inlineStr">
        <x:is>
          <x:t xml:space="preserve">inductive</x:t>
        </x:is>
      </x:c>
      <x:c r="C126" s="49" t="inlineStr">
        <x:is>
          <x:t xml:space="preserve">theophysics-lean-main\theophysics-lean-main\Theophysics_Adversarial.lean</x:t>
        </x:is>
      </x:c>
      <x:c r="D126" s="49" t="inlineStr">
        <x:is>
          <x:t xml:space="preserve">169</x:t>
        </x:is>
      </x:c>
      <x:c r="E126" s="49" t="inlineStr">
        <x:is>
          <x:t xml:space="preserve">DECLARATION_OR_UNKNOWN</x:t>
        </x:is>
      </x:c>
      <x:c r="F126" s="49" t="inlineStr">
        <x:is>
          <x:t xml:space="preserve">PENDING_NOT_RUN</x:t>
        </x:is>
      </x:c>
      <x:c r="G126" s="49" t="inlineStr">
        <x:is>
          <x:t xml:space="preserve">NO_SORRY_OR_ADMIT_STATIC_SCAN</x:t>
        </x:is>
      </x:c>
      <x:c r="H126" s="49" t="inlineStr">
        <x:is>
          <x:t xml:space="preserve">SCAFFOLDING_NOT_PUBLIC_COUNT</x:t>
        </x:is>
      </x:c>
      <x:c r="I126" s="49" t="inlineStr">
        <x:is>
          <x:t xml:space="preserve">3</x:t>
        </x:is>
      </x:c>
      <x:c r="L126" s="56" t="n"/>
    </x:row>
    <x:row r="127" ht="15" customHeight="1">
      <x:c r="A127" s="55" t="inlineStr">
        <x:is>
          <x:t xml:space="preserve">SuperFactors</x:t>
        </x:is>
      </x:c>
      <x:c r="B127" s="49" t="inlineStr">
        <x:is>
          <x:t xml:space="preserve">structure</x:t>
        </x:is>
      </x:c>
      <x:c r="C127" s="49" t="inlineStr">
        <x:is>
          <x:t xml:space="preserve">theophysics-lean-main\theophysics-lean-main\Theophysics_Canonization.lean</x:t>
        </x:is>
      </x:c>
      <x:c r="D127" s="49" t="inlineStr">
        <x:is>
          <x:t xml:space="preserve">45</x:t>
        </x:is>
      </x:c>
      <x:c r="E127" s="49" t="inlineStr">
        <x:is>
          <x:t xml:space="preserve">DECLARATION_OR_UNKNOWN</x:t>
        </x:is>
      </x:c>
      <x:c r="F127" s="49" t="inlineStr">
        <x:is>
          <x:t xml:space="preserve">PENDING_NOT_RUN</x:t>
        </x:is>
      </x:c>
      <x:c r="G127" s="49" t="inlineStr">
        <x:is>
          <x:t xml:space="preserve">NO_SORRY_OR_ADMIT_STATIC_SCAN</x:t>
        </x:is>
      </x:c>
      <x:c r="H127" s="49" t="inlineStr">
        <x:is>
          <x:t xml:space="preserve">SCAFFOLDING_NOT_PUBLIC_COUNT</x:t>
        </x:is>
      </x:c>
      <x:c r="I127" s="49" t="inlineStr">
        <x:is>
          <x:t xml:space="preserve">0</x:t>
        </x:is>
      </x:c>
      <x:c r="L127" s="56" t="n"/>
    </x:row>
    <x:row r="128" ht="15" customHeight="1">
      <x:c r="A128" s="55" t="inlineStr">
        <x:is>
          <x:t xml:space="preserve">SuperFactors.prod</x:t>
        </x:is>
      </x:c>
      <x:c r="B128" s="49" t="inlineStr">
        <x:is>
          <x:t xml:space="preserve">def</x:t>
        </x:is>
      </x:c>
      <x:c r="C128" s="49" t="inlineStr">
        <x:is>
          <x:t xml:space="preserve">theophysics-lean-main\theophysics-lean-main\Theophysics_Canonization.lean</x:t>
        </x:is>
      </x:c>
      <x:c r="D128" s="49" t="inlineStr">
        <x:is>
          <x:t xml:space="preserve">57</x:t>
        </x:is>
      </x:c>
      <x:c r="E128" s="49" t="inlineStr">
        <x:is>
          <x:t xml:space="preserve">DECLARATION_OR_UNKNOWN</x:t>
        </x:is>
      </x:c>
      <x:c r="F128" s="49" t="inlineStr">
        <x:is>
          <x:t xml:space="preserve">PENDING_NOT_RUN</x:t>
        </x:is>
      </x:c>
      <x:c r="G128" s="49" t="inlineStr">
        <x:is>
          <x:t xml:space="preserve">NO_SORRY_OR_ADMIT_STATIC_SCAN</x:t>
        </x:is>
      </x:c>
      <x:c r="H128" s="49" t="inlineStr">
        <x:is>
          <x:t xml:space="preserve">SCAFFOLDING_NOT_PUBLIC_COUNT</x:t>
        </x:is>
      </x:c>
      <x:c r="I128" s="49" t="inlineStr">
        <x:is>
          <x:t xml:space="preserve">0</x:t>
        </x:is>
      </x:c>
      <x:c r="L128" s="56" t="n"/>
    </x:row>
    <x:row r="129" ht="15" customHeight="1">
      <x:c r="A129" s="55" t="inlineStr">
        <x:is>
          <x:t xml:space="preserve">SystemBoundary</x:t>
        </x:is>
      </x:c>
      <x:c r="B129" s="49" t="inlineStr">
        <x:is>
          <x:t xml:space="preserve">inductive</x:t>
        </x:is>
      </x:c>
      <x:c r="C129" s="49" t="inlineStr">
        <x:is>
          <x:t xml:space="preserve">theophysics-lean-main\theophysics-lean-main\Theophysics_Coherence.lean</x:t>
        </x:is>
      </x:c>
      <x:c r="D129" s="49" t="inlineStr">
        <x:is>
          <x:t xml:space="preserve">18</x:t>
        </x:is>
      </x:c>
      <x:c r="E129" s="49" t="inlineStr">
        <x:is>
          <x:t xml:space="preserve">DECLARATION_OR_UNKNOWN</x:t>
        </x:is>
      </x:c>
      <x:c r="F129" s="49" t="inlineStr">
        <x:is>
          <x:t xml:space="preserve">PENDING_NOT_RUN</x:t>
        </x:is>
      </x:c>
      <x:c r="G129" s="49" t="inlineStr">
        <x:is>
          <x:t xml:space="preserve">NO_SORRY_OR_ADMIT_STATIC_SCAN</x:t>
        </x:is>
      </x:c>
      <x:c r="H129" s="49" t="inlineStr">
        <x:is>
          <x:t xml:space="preserve">SCAFFOLDING_NOT_PUBLIC_COUNT</x:t>
        </x:is>
      </x:c>
      <x:c r="I129" s="49" t="inlineStr">
        <x:is>
          <x:t xml:space="preserve">3</x:t>
        </x:is>
      </x:c>
      <x:c r="L129" s="56" t="n"/>
    </x:row>
    <x:row r="130" ht="15" customHeight="1">
      <x:c r="A130" s="55" t="inlineStr">
        <x:is>
          <x:t xml:space="preserve">T_zero_collapses_chi</x:t>
        </x:is>
      </x:c>
      <x:c r="B130" s="49" t="inlineStr">
        <x:is>
          <x:t xml:space="preserve">theorem</x:t>
        </x:is>
      </x:c>
      <x:c r="C130" s="49" t="inlineStr">
        <x:is>
          <x:t xml:space="preserve">theophysics-lean-main\theophysics-lean-main\Final_Lean4_From_Excel.lean</x:t>
        </x:is>
      </x:c>
      <x:c r="D130" s="49" t="inlineStr">
        <x:is>
          <x:t xml:space="preserve">103</x:t>
        </x:is>
      </x:c>
      <x:c r="E130" s="49" t="inlineStr">
        <x:is>
          <x:t xml:space="preserve">SIMPLIFICATION</x:t>
        </x:is>
      </x:c>
      <x:c r="F130" s="49" t="inlineStr">
        <x:is>
          <x:t xml:space="preserve">PENDING_NOT_RUN</x:t>
        </x:is>
      </x:c>
      <x:c r="G130" s="49" t="inlineStr">
        <x:is>
          <x:t xml:space="preserve">NO_SORRY_OR_ADMIT_STATIC_SCAN</x:t>
        </x:is>
      </x:c>
      <x:c r="H130" s="49" t="inlineStr">
        <x:is>
          <x:t xml:space="preserve">CANONICAL_THEOREM_DEDUPED_PENDING_COMPILE</x:t>
        </x:is>
      </x:c>
      <x:c r="I130" s="49" t="inlineStr">
        <x:is>
          <x:t xml:space="preserve">3</x:t>
        </x:is>
      </x:c>
      <x:c r="L130" s="56" t="n"/>
    </x:row>
    <x:row r="131" ht="15" customHeight="1">
      <x:c r="A131" s="55" t="inlineStr">
        <x:is>
          <x:t xml:space="preserve">TemporalOrder</x:t>
        </x:is>
      </x:c>
      <x:c r="B131" s="49" t="inlineStr">
        <x:is>
          <x:t xml:space="preserve">inductive</x:t>
        </x:is>
      </x:c>
      <x:c r="C131" s="49" t="inlineStr">
        <x:is>
          <x:t xml:space="preserve">theophysics-lean-main\theophysics-lean-main\Theophysics_DelayedChoice.lean</x:t>
        </x:is>
      </x:c>
      <x:c r="D131" s="49" t="inlineStr">
        <x:is>
          <x:t xml:space="preserve">43</x:t>
        </x:is>
      </x:c>
      <x:c r="E131" s="49" t="inlineStr">
        <x:is>
          <x:t xml:space="preserve">DECLARATION_OR_UNKNOWN</x:t>
        </x:is>
      </x:c>
      <x:c r="F131" s="49" t="inlineStr">
        <x:is>
          <x:t xml:space="preserve">PENDING_NOT_RUN</x:t>
        </x:is>
      </x:c>
      <x:c r="G131" s="49" t="inlineStr">
        <x:is>
          <x:t xml:space="preserve">NO_SORRY_OR_ADMIT_STATIC_SCAN</x:t>
        </x:is>
      </x:c>
      <x:c r="H131" s="49" t="inlineStr">
        <x:is>
          <x:t xml:space="preserve">SCAFFOLDING_NOT_PUBLIC_COUNT</x:t>
        </x:is>
      </x:c>
      <x:c r="I131" s="49" t="inlineStr">
        <x:is>
          <x:t xml:space="preserve">0</x:t>
        </x:is>
      </x:c>
      <x:c r="L131" s="56" t="n"/>
    </x:row>
    <x:row r="132" ht="15" customHeight="1">
      <x:c r="A132" s="55" t="inlineStr">
        <x:is>
          <x:t xml:space="preserve">UnifiedFieldLagrangian</x:t>
        </x:is>
      </x:c>
      <x:c r="B132" s="49" t="inlineStr">
        <x:is>
          <x:t xml:space="preserve">def</x:t>
        </x:is>
      </x:c>
      <x:c r="C132" s="49" t="inlineStr">
        <x:is>
          <x:t xml:space="preserve">theophysics-lean-main\theophysics-lean-main\Theophysics_Canonization.lean</x:t>
        </x:is>
      </x:c>
      <x:c r="D132" s="49" t="inlineStr">
        <x:is>
          <x:t xml:space="preserve">127</x:t>
        </x:is>
      </x:c>
      <x:c r="E132" s="49" t="inlineStr">
        <x:is>
          <x:t xml:space="preserve">DECLARATION_OR_UNKNOWN</x:t>
        </x:is>
      </x:c>
      <x:c r="F132" s="49" t="inlineStr">
        <x:is>
          <x:t xml:space="preserve">PENDING_NOT_RUN</x:t>
        </x:is>
      </x:c>
      <x:c r="G132" s="49" t="inlineStr">
        <x:is>
          <x:t xml:space="preserve">NO_SORRY_OR_ADMIT_STATIC_SCAN</x:t>
        </x:is>
      </x:c>
      <x:c r="H132" s="49" t="inlineStr">
        <x:is>
          <x:t xml:space="preserve">SCAFFOLDING_NOT_PUBLIC_COUNT</x:t>
        </x:is>
      </x:c>
      <x:c r="I132" s="49" t="inlineStr">
        <x:is>
          <x:t xml:space="preserve">0</x:t>
        </x:is>
      </x:c>
      <x:c r="L132" s="56" t="n"/>
    </x:row>
    <x:row r="133" ht="15" customHeight="1">
      <x:c r="A133" s="55" t="inlineStr">
        <x:is>
          <x:t xml:space="preserve">Verdict</x:t>
        </x:is>
      </x:c>
      <x:c r="B133" s="49" t="inlineStr">
        <x:is>
          <x:t xml:space="preserve">inductive</x:t>
        </x:is>
      </x:c>
      <x:c r="C133" s="49" t="inlineStr">
        <x:is>
          <x:t xml:space="preserve">theophysics-lean-main\theophysics-lean-main\Theophysics_ChiEvaluator.lean</x:t>
        </x:is>
      </x:c>
      <x:c r="D133" s="49" t="inlineStr">
        <x:is>
          <x:t xml:space="preserve">56</x:t>
        </x:is>
      </x:c>
      <x:c r="E133" s="49" t="inlineStr">
        <x:is>
          <x:t xml:space="preserve">DECLARATION_OR_UNKNOWN</x:t>
        </x:is>
      </x:c>
      <x:c r="F133" s="49" t="inlineStr">
        <x:is>
          <x:t xml:space="preserve">PENDING_NOT_RUN</x:t>
        </x:is>
      </x:c>
      <x:c r="G133" s="49" t="inlineStr">
        <x:is>
          <x:t xml:space="preserve">NO_SORRY_OR_ADMIT_STATIC_SCAN</x:t>
        </x:is>
      </x:c>
      <x:c r="H133" s="49" t="inlineStr">
        <x:is>
          <x:t xml:space="preserve">SCAFFOLDING_NOT_PUBLIC_COUNT</x:t>
        </x:is>
      </x:c>
      <x:c r="I133" s="49" t="inlineStr">
        <x:is>
          <x:t xml:space="preserve">3</x:t>
        </x:is>
      </x:c>
      <x:c r="L133" s="56" t="n"/>
    </x:row>
    <x:row r="134" ht="15" customHeight="1">
      <x:c r="A134" s="55" t="inlineStr">
        <x:is>
          <x:t xml:space="preserve">WhichPathStatus</x:t>
        </x:is>
      </x:c>
      <x:c r="B134" s="49" t="inlineStr">
        <x:is>
          <x:t xml:space="preserve">inductive</x:t>
        </x:is>
      </x:c>
      <x:c r="C134" s="49" t="inlineStr">
        <x:is>
          <x:t xml:space="preserve">theophysics-lean-main\theophysics-lean-main\Theophysics_DelayedChoice.lean</x:t>
        </x:is>
      </x:c>
      <x:c r="D134" s="49" t="inlineStr">
        <x:is>
          <x:t xml:space="preserve">28</x:t>
        </x:is>
      </x:c>
      <x:c r="E134" s="49" t="inlineStr">
        <x:is>
          <x:t xml:space="preserve">DECLARATION_OR_UNKNOWN</x:t>
        </x:is>
      </x:c>
      <x:c r="F134" s="49" t="inlineStr">
        <x:is>
          <x:t xml:space="preserve">PENDING_NOT_RUN</x:t>
        </x:is>
      </x:c>
      <x:c r="G134" s="49" t="inlineStr">
        <x:is>
          <x:t xml:space="preserve">NO_SORRY_OR_ADMIT_STATIC_SCAN</x:t>
        </x:is>
      </x:c>
      <x:c r="H134" s="49" t="inlineStr">
        <x:is>
          <x:t xml:space="preserve">SCAFFOLDING_NOT_PUBLIC_COUNT</x:t>
        </x:is>
      </x:c>
      <x:c r="I134" s="49" t="inlineStr">
        <x:is>
          <x:t xml:space="preserve">0</x:t>
        </x:is>
      </x:c>
      <x:c r="L134" s="56" t="n"/>
    </x:row>
    <x:row r="135" ht="15" customHeight="1">
      <x:c r="A135" s="55" t="inlineStr">
        <x:is>
          <x:t xml:space="preserve">ZeroPreservingOperator</x:t>
        </x:is>
      </x:c>
      <x:c r="B135" s="49" t="inlineStr">
        <x:is>
          <x:t xml:space="preserve">structure</x:t>
        </x:is>
      </x:c>
      <x:c r="C135" s="49" t="inlineStr">
        <x:is>
          <x:t xml:space="preserve">Lean-4-Proofs-main\Lean-4-Proofs-main\theophysics-lean-verification-package\COPY_PASTE_LEAN4.lean</x:t>
        </x:is>
      </x:c>
      <x:c r="D135" s="49" t="inlineStr">
        <x:is>
          <x:t xml:space="preserve">141</x:t>
        </x:is>
      </x:c>
      <x:c r="E135" s="49" t="inlineStr">
        <x:is>
          <x:t xml:space="preserve">DECLARATION_OR_UNKNOWN</x:t>
        </x:is>
      </x:c>
      <x:c r="F135" s="49" t="inlineStr">
        <x:is>
          <x:t xml:space="preserve">PENDING_NOT_RUN</x:t>
        </x:is>
      </x:c>
      <x:c r="G135" s="49" t="inlineStr">
        <x:is>
          <x:t xml:space="preserve">NO_SORRY_OR_ADMIT_STATIC_SCAN</x:t>
        </x:is>
      </x:c>
      <x:c r="H135" s="49" t="inlineStr">
        <x:is>
          <x:t xml:space="preserve">SCAFFOLDING_NOT_PUBLIC_COUNT</x:t>
        </x:is>
      </x:c>
      <x:c r="I135" s="49" t="inlineStr">
        <x:is>
          <x:t xml:space="preserve">3</x:t>
        </x:is>
      </x:c>
      <x:c r="L135" s="56" t="n"/>
    </x:row>
    <x:row r="136" ht="15" customHeight="1">
      <x:c r="A136" s="55" t="inlineStr">
        <x:is>
          <x:t xml:space="preserve">activeDiscoherence</x:t>
        </x:is>
      </x:c>
      <x:c r="B136" s="49" t="inlineStr">
        <x:is>
          <x:t xml:space="preserve">def</x:t>
        </x:is>
      </x:c>
      <x:c r="C136" s="49" t="inlineStr">
        <x:is>
          <x:t xml:space="preserve">theophysics-lean-main\theophysics-lean-main\Theophysics_Coherence.lean</x:t>
        </x:is>
      </x:c>
      <x:c r="D136" s="49" t="inlineStr">
        <x:is>
          <x:t xml:space="preserve">104</x:t>
        </x:is>
      </x:c>
      <x:c r="E136" s="49" t="inlineStr">
        <x:is>
          <x:t xml:space="preserve">DECLARATION_OR_UNKNOWN</x:t>
        </x:is>
      </x:c>
      <x:c r="F136" s="49" t="inlineStr">
        <x:is>
          <x:t xml:space="preserve">PENDING_NOT_RUN</x:t>
        </x:is>
      </x:c>
      <x:c r="G136" s="49" t="inlineStr">
        <x:is>
          <x:t xml:space="preserve">NO_SORRY_OR_ADMIT_STATIC_SCAN</x:t>
        </x:is>
      </x:c>
      <x:c r="H136" s="49" t="inlineStr">
        <x:is>
          <x:t xml:space="preserve">SCAFFOLDING_NOT_PUBLIC_COUNT</x:t>
        </x:is>
      </x:c>
      <x:c r="I136" s="49" t="inlineStr">
        <x:is>
          <x:t xml:space="preserve">3</x:t>
        </x:is>
      </x:c>
      <x:c r="L136" s="56" t="n"/>
    </x:row>
    <x:row r="137" ht="15" customHeight="1">
      <x:c r="A137" s="55" t="inlineStr">
        <x:is>
          <x:t xml:space="preserve">active_discoherence_is_active</x:t>
        </x:is>
      </x:c>
      <x:c r="B137" s="49" t="inlineStr">
        <x:is>
          <x:t xml:space="preserve">theorem</x:t>
        </x:is>
      </x:c>
      <x:c r="C137" s="49" t="inlineStr">
        <x:is>
          <x:t xml:space="preserve">theophysics-lean-main\theophysics-lean-main\Theophysics_Coherence.lean</x:t>
        </x:is>
      </x:c>
      <x:c r="D137" s="49" t="inlineStr">
        <x:is>
          <x:t xml:space="preserve">161</x:t>
        </x:is>
      </x:c>
      <x:c r="E137" s="49" t="inlineStr">
        <x:is>
          <x:t xml:space="preserve">DEFINITIONAL_RFL</x:t>
        </x:is>
      </x:c>
      <x:c r="F137" s="49" t="inlineStr">
        <x:is>
          <x:t xml:space="preserve">PENDING_NOT_RUN</x:t>
        </x:is>
      </x:c>
      <x:c r="G137" s="49" t="inlineStr">
        <x:is>
          <x:t xml:space="preserve">NO_SORRY_OR_ADMIT_STATIC_SCAN</x:t>
        </x:is>
      </x:c>
      <x:c r="H137" s="49" t="inlineStr">
        <x:is>
          <x:t xml:space="preserve">CANONICAL_THEOREM_DEDUPED_PENDING_COMPILE</x:t>
        </x:is>
      </x:c>
      <x:c r="I137" s="49" t="inlineStr">
        <x:is>
          <x:t xml:space="preserve">3</x:t>
        </x:is>
      </x:c>
      <x:c r="L137" s="56" t="n"/>
    </x:row>
    <x:row r="138" ht="15" customHeight="1">
      <x:c r="A138" s="55" t="inlineStr">
        <x:is>
          <x:t xml:space="preserve">all</x:t>
        </x:is>
      </x:c>
      <x:c r="B138" s="49" t="inlineStr">
        <x:is>
          <x:t xml:space="preserve">def</x:t>
        </x:is>
      </x:c>
      <x:c r="C138" s="49" t="inlineStr">
        <x:is>
          <x:t xml:space="preserve">Lean-4-Proofs-main\Lean-4-Proofs-main\theophysics-lean-verification-package\COPY_PASTE_LEAN4.lean</x:t>
        </x:is>
      </x:c>
      <x:c r="D138" s="49" t="inlineStr">
        <x:is>
          <x:t xml:space="preserve">102</x:t>
        </x:is>
      </x:c>
      <x:c r="E138" s="49" t="inlineStr">
        <x:is>
          <x:t xml:space="preserve">DECLARATION_OR_UNKNOWN</x:t>
        </x:is>
      </x:c>
      <x:c r="F138" s="49" t="inlineStr">
        <x:is>
          <x:t xml:space="preserve">PENDING_NOT_RUN</x:t>
        </x:is>
      </x:c>
      <x:c r="G138" s="49" t="inlineStr">
        <x:is>
          <x:t xml:space="preserve">NO_SORRY_OR_ADMIT_STATIC_SCAN</x:t>
        </x:is>
      </x:c>
      <x:c r="H138" s="49" t="inlineStr">
        <x:is>
          <x:t xml:space="preserve">SCAFFOLDING_NOT_PUBLIC_COUNT</x:t>
        </x:is>
      </x:c>
      <x:c r="I138" s="49" t="inlineStr">
        <x:is>
          <x:t xml:space="preserve">3</x:t>
        </x:is>
      </x:c>
      <x:c r="L138" s="56" t="n"/>
    </x:row>
    <x:row r="139" ht="15" customHeight="1">
      <x:c r="A139" s="55" t="inlineStr">
        <x:is>
          <x:t xml:space="preserve">allManifest</x:t>
        </x:is>
      </x:c>
      <x:c r="B139" s="49" t="inlineStr">
        <x:is>
          <x:t xml:space="preserve">def</x:t>
        </x:is>
      </x:c>
      <x:c r="C139" s="49" t="inlineStr">
        <x:is>
          <x:t xml:space="preserve">Lean-4-Proofs-main\Lean-4-Proofs-main\theophysics-lean-verification-package\COPY_PASTE_LEAN4.lean</x:t>
        </x:is>
      </x:c>
      <x:c r="D139" s="49" t="inlineStr">
        <x:is>
          <x:t xml:space="preserve">118</x:t>
        </x:is>
      </x:c>
      <x:c r="E139" s="49" t="inlineStr">
        <x:is>
          <x:t xml:space="preserve">DECLARATION_OR_UNKNOWN</x:t>
        </x:is>
      </x:c>
      <x:c r="F139" s="49" t="inlineStr">
        <x:is>
          <x:t xml:space="preserve">PENDING_NOT_RUN</x:t>
        </x:is>
      </x:c>
      <x:c r="G139" s="49" t="inlineStr">
        <x:is>
          <x:t xml:space="preserve">NO_SORRY_OR_ADMIT_STATIC_SCAN</x:t>
        </x:is>
      </x:c>
      <x:c r="H139" s="49" t="inlineStr">
        <x:is>
          <x:t xml:space="preserve">SCAFFOLDING_NOT_PUBLIC_COUNT</x:t>
        </x:is>
      </x:c>
      <x:c r="I139" s="49" t="inlineStr">
        <x:is>
          <x:t xml:space="preserve">3</x:t>
        </x:is>
      </x:c>
      <x:c r="L139" s="56" t="n"/>
    </x:row>
    <x:row r="140" ht="15" customHeight="1">
      <x:c r="A140" s="55" t="inlineStr">
        <x:is>
          <x:t xml:space="preserve">allManifest_implies_love</x:t>
        </x:is>
      </x:c>
      <x:c r="B140" s="49" t="inlineStr">
        <x:is>
          <x:t xml:space="preserve">theorem</x:t>
        </x:is>
      </x:c>
      <x:c r="C140" s="49" t="inlineStr">
        <x:is>
          <x:t xml:space="preserve">Lean-4-Proofs-main\Lean-4-Proofs-main\theophysics-lean-verification-package\FruitsGraceKernel.lean</x:t>
        </x:is>
      </x:c>
      <x:c r="D140" s="49" t="inlineStr">
        <x:is>
          <x:t xml:space="preserve">77</x:t>
        </x:is>
      </x:c>
      <x:c r="E140" s="49" t="inlineStr">
        <x:is>
          <x:t xml:space="preserve">DECLARATION_OR_UNKNOWN</x:t>
        </x:is>
      </x:c>
      <x:c r="F140" s="49" t="inlineStr">
        <x:is>
          <x:t xml:space="preserve">PENDING_NOT_RUN</x:t>
        </x:is>
      </x:c>
      <x:c r="G140" s="49" t="inlineStr">
        <x:is>
          <x:t xml:space="preserve">NO_SORRY_OR_ADMIT_STATIC_SCAN</x:t>
        </x:is>
      </x:c>
      <x:c r="H140" s="49" t="inlineStr">
        <x:is>
          <x:t xml:space="preserve">UNIQUE_THEOREM_PENDING_COMPILE</x:t>
        </x:is>
      </x:c>
      <x:c r="I140" s="49" t="inlineStr">
        <x:is>
          <x:t xml:space="preserve">0</x:t>
        </x:is>
      </x:c>
      <x:c r="L140" s="56" t="n"/>
    </x:row>
    <x:row r="141" ht="15" customHeight="1">
      <x:c r="A141" s="55" t="inlineStr">
        <x:is>
          <x:t xml:space="preserve">allManifest_implies_selfControl</x:t>
        </x:is>
      </x:c>
      <x:c r="B141" s="49" t="inlineStr">
        <x:is>
          <x:t xml:space="preserve">theorem</x:t>
        </x:is>
      </x:c>
      <x:c r="C141" s="49" t="inlineStr">
        <x:is>
          <x:t xml:space="preserve">Lean-4-Proofs-main\Lean-4-Proofs-main\theophysics-lean-verification-package\FruitsGraceKernel.lean</x:t>
        </x:is>
      </x:c>
      <x:c r="D141" s="49" t="inlineStr">
        <x:is>
          <x:t xml:space="preserve">82</x:t>
        </x:is>
      </x:c>
      <x:c r="E141" s="49" t="inlineStr">
        <x:is>
          <x:t xml:space="preserve">DECLARATION_OR_UNKNOWN</x:t>
        </x:is>
      </x:c>
      <x:c r="F141" s="49" t="inlineStr">
        <x:is>
          <x:t xml:space="preserve">PENDING_NOT_RUN</x:t>
        </x:is>
      </x:c>
      <x:c r="G141" s="49" t="inlineStr">
        <x:is>
          <x:t xml:space="preserve">NO_SORRY_OR_ADMIT_STATIC_SCAN</x:t>
        </x:is>
      </x:c>
      <x:c r="H141" s="49" t="inlineStr">
        <x:is>
          <x:t xml:space="preserve">UNIQUE_THEOREM_PENDING_COMPILE</x:t>
        </x:is>
      </x:c>
      <x:c r="I141" s="49" t="inlineStr">
        <x:is>
          <x:t xml:space="preserve">0</x:t>
        </x:is>
      </x:c>
      <x:c r="L141" s="56" t="n"/>
    </x:row>
    <x:row r="142" ht="15" customHeight="1">
      <x:c r="A142" s="55" t="inlineStr">
        <x:is>
          <x:t xml:space="preserve">allPerfectEvaluation</x:t>
        </x:is>
      </x:c>
      <x:c r="B142" s="49" t="inlineStr">
        <x:is>
          <x:t xml:space="preserve">def</x:t>
        </x:is>
      </x:c>
      <x:c r="C142" s="49" t="inlineStr">
        <x:is>
          <x:t xml:space="preserve">theophysics-lean-main\theophysics-lean-main\Theophysics_ChiEvaluator.lean</x:t>
        </x:is>
      </x:c>
      <x:c r="D142" s="49" t="inlineStr">
        <x:is>
          <x:t xml:space="preserve">160</x:t>
        </x:is>
      </x:c>
      <x:c r="E142" s="49" t="inlineStr">
        <x:is>
          <x:t xml:space="preserve">DECLARATION_OR_UNKNOWN</x:t>
        </x:is>
      </x:c>
      <x:c r="F142" s="49" t="inlineStr">
        <x:is>
          <x:t xml:space="preserve">PENDING_NOT_RUN</x:t>
        </x:is>
      </x:c>
      <x:c r="G142" s="49" t="inlineStr">
        <x:is>
          <x:t xml:space="preserve">NO_SORRY_OR_ADMIT_STATIC_SCAN</x:t>
        </x:is>
      </x:c>
      <x:c r="H142" s="49" t="inlineStr">
        <x:is>
          <x:t xml:space="preserve">SCAFFOLDING_NOT_PUBLIC_COUNT</x:t>
        </x:is>
      </x:c>
      <x:c r="I142" s="49" t="inlineStr">
        <x:is>
          <x:t xml:space="preserve">3</x:t>
        </x:is>
      </x:c>
      <x:c r="L142" s="56" t="n"/>
    </x:row>
    <x:row r="143" ht="15" customHeight="1">
      <x:c r="A143" s="55" t="inlineStr">
        <x:is>
          <x:t xml:space="preserve">all_ones_have_live_output</x:t>
        </x:is>
      </x:c>
      <x:c r="B143" s="49" t="inlineStr">
        <x:is>
          <x:t xml:space="preserve">theorem</x:t>
        </x:is>
      </x:c>
      <x:c r="C143" s="49" t="inlineStr">
        <x:is>
          <x:t xml:space="preserve">theophysics-lean-main\theophysics-lean-main\Theophysics_Core.lean</x:t>
        </x:is>
      </x:c>
      <x:c r="D143" s="49" t="inlineStr">
        <x:is>
          <x:t xml:space="preserve">260</x:t>
        </x:is>
      </x:c>
      <x:c r="E143" s="49" t="inlineStr">
        <x:is>
          <x:t xml:space="preserve">DECLARATION_OR_UNKNOWN</x:t>
        </x:is>
      </x:c>
      <x:c r="F143" s="49" t="inlineStr">
        <x:is>
          <x:t xml:space="preserve">PENDING_NOT_RUN</x:t>
        </x:is>
      </x:c>
      <x:c r="G143" s="49" t="inlineStr">
        <x:is>
          <x:t xml:space="preserve">NO_SORRY_OR_ADMIT_STATIC_SCAN</x:t>
        </x:is>
      </x:c>
      <x:c r="H143" s="49" t="inlineStr">
        <x:is>
          <x:t xml:space="preserve">CANONICAL_THEOREM_DEDUPED_PENDING_COMPILE</x:t>
        </x:is>
      </x:c>
      <x:c r="I143" s="49" t="inlineStr">
        <x:is>
          <x:t xml:space="preserve">3</x:t>
        </x:is>
      </x:c>
      <x:c r="L143" s="56" t="n"/>
    </x:row>
    <x:row r="144" ht="15" customHeight="1">
      <x:c r="A144" s="55" t="inlineStr">
        <x:is>
          <x:t xml:space="preserve">all_ones_live</x:t>
        </x:is>
      </x:c>
      <x:c r="B144" s="49" t="inlineStr">
        <x:is>
          <x:t xml:space="preserve">theorem</x:t>
        </x:is>
      </x:c>
      <x:c r="C144" s="49" t="inlineStr">
        <x:is>
          <x:t xml:space="preserve">theophysics-lean-main\theophysics-lean-main\Theophysics_Core.lean</x:t>
        </x:is>
      </x:c>
      <x:c r="D144" s="49" t="inlineStr">
        <x:is>
          <x:t xml:space="preserve">167</x:t>
        </x:is>
      </x:c>
      <x:c r="E144" s="49" t="inlineStr">
        <x:is>
          <x:t xml:space="preserve">DECLARATION_OR_UNKNOWN</x:t>
        </x:is>
      </x:c>
      <x:c r="F144" s="49" t="inlineStr">
        <x:is>
          <x:t xml:space="preserve">PENDING_NOT_RUN</x:t>
        </x:is>
      </x:c>
      <x:c r="G144" s="49" t="inlineStr">
        <x:is>
          <x:t xml:space="preserve">NO_SORRY_OR_ADMIT_STATIC_SCAN</x:t>
        </x:is>
      </x:c>
      <x:c r="H144" s="49" t="inlineStr">
        <x:is>
          <x:t xml:space="preserve">CANONICAL_THEOREM_DEDUPED_PENDING_COMPILE</x:t>
        </x:is>
      </x:c>
      <x:c r="I144" s="49" t="inlineStr">
        <x:is>
          <x:t xml:space="preserve">7</x:t>
        </x:is>
      </x:c>
      <x:c r="J144" s="49" t="inlineStr">
        <x:is>
          <x:t xml:space="preserve">LEAN_DERIVATION_CHAIN:39</x:t>
        </x:is>
      </x:c>
      <x:c r="K144" s="49" t="inlineStr">
        <x:is>
          <x:t xml:space="preserve">All factors at 1 → χ = 1 (life). The only surviving state when all gates pass.</x:t>
        </x:is>
      </x:c>
      <x:c r="L144" s="56" t="n"/>
    </x:row>
    <x:row r="145" ht="15" customHeight="1">
      <x:c r="A145" s="55" t="inlineStr">
        <x:is>
          <x:t xml:space="preserve">antiFruitDominates</x:t>
        </x:is>
      </x:c>
      <x:c r="B145" s="49" t="inlineStr">
        <x:is>
          <x:t xml:space="preserve">def</x:t>
        </x:is>
      </x:c>
      <x:c r="C145" s="49" t="inlineStr">
        <x:is>
          <x:t xml:space="preserve">theophysics-lean-main\theophysics-lean-main\Theophysics_ChiEvaluator.lean</x:t>
        </x:is>
      </x:c>
      <x:c r="D145" s="49" t="inlineStr">
        <x:is>
          <x:t xml:space="preserve">337</x:t>
        </x:is>
      </x:c>
      <x:c r="E145" s="49" t="inlineStr">
        <x:is>
          <x:t xml:space="preserve">DECLARATION_OR_UNKNOWN</x:t>
        </x:is>
      </x:c>
      <x:c r="F145" s="49" t="inlineStr">
        <x:is>
          <x:t xml:space="preserve">PENDING_NOT_RUN</x:t>
        </x:is>
      </x:c>
      <x:c r="G145" s="49" t="inlineStr">
        <x:is>
          <x:t xml:space="preserve">NO_SORRY_OR_ADMIT_STATIC_SCAN</x:t>
        </x:is>
      </x:c>
      <x:c r="H145" s="49" t="inlineStr">
        <x:is>
          <x:t xml:space="preserve">SCAFFOLDING_NOT_PUBLIC_COUNT</x:t>
        </x:is>
      </x:c>
      <x:c r="I145" s="49" t="inlineStr">
        <x:is>
          <x:t xml:space="preserve">3</x:t>
        </x:is>
      </x:c>
      <x:c r="L145" s="56" t="n"/>
    </x:row>
    <x:row r="146" ht="15" customHeight="1">
      <x:c r="A146" s="55" t="inlineStr">
        <x:is>
          <x:t xml:space="preserve">anti_expansion</x:t>
        </x:is>
      </x:c>
      <x:c r="B146" s="49" t="inlineStr">
        <x:is>
          <x:t xml:space="preserve">theorem</x:t>
        </x:is>
      </x:c>
      <x:c r="C146" s="49" t="inlineStr">
        <x:is>
          <x:t xml:space="preserve">theophysics-lean-main\theophysics-lean-main\Theophysics_Canonization.lean</x:t>
        </x:is>
      </x:c>
      <x:c r="D146" s="49" t="inlineStr">
        <x:is>
          <x:t xml:space="preserve">111</x:t>
        </x:is>
      </x:c>
      <x:c r="E146" s="49" t="inlineStr">
        <x:is>
          <x:t xml:space="preserve">SIMPLIFICATION</x:t>
        </x:is>
      </x:c>
      <x:c r="F146" s="49" t="inlineStr">
        <x:is>
          <x:t xml:space="preserve">PENDING_NOT_RUN</x:t>
        </x:is>
      </x:c>
      <x:c r="G146" s="49" t="inlineStr">
        <x:is>
          <x:t xml:space="preserve">NO_SORRY_OR_ADMIT_STATIC_SCAN</x:t>
        </x:is>
      </x:c>
      <x:c r="H146" s="49" t="inlineStr">
        <x:is>
          <x:t xml:space="preserve">UNIQUE_THEOREM_PENDING_COMPILE</x:t>
        </x:is>
      </x:c>
      <x:c r="I146" s="49" t="inlineStr">
        <x:is>
          <x:t xml:space="preserve">0</x:t>
        </x:is>
      </x:c>
      <x:c r="J146" s="49" t="inlineStr">
        <x:is>
          <x:t xml:space="preserve">LEAN_DERIVATION_CHAIN:244</x:t>
        </x:is>
      </x:c>
      <x:c r="K146" s="49" t="inlineStr">
        <x:is>
          <x:t xml:space="preserve">Anti-Lagrangian expanded form equals the sign flip exactly</x:t>
        </x:is>
      </x:c>
      <x:c r="L146" s="56" t="n"/>
    </x:row>
    <x:row r="147" ht="15" customHeight="1">
      <x:c r="A147" s="55" t="inlineStr">
        <x:is>
          <x:t xml:space="preserve">antitonicity_in_SProd_fails_if_M_negative</x:t>
        </x:is>
      </x:c>
      <x:c r="B147" s="49" t="inlineStr">
        <x:is>
          <x:t xml:space="preserve">theorem</x:t>
        </x:is>
      </x:c>
      <x:c r="C147" s="49" t="inlineStr">
        <x:is>
          <x:t xml:space="preserve">Lean-4-Proofs-main\Lean-4-Proofs-main\theophysics-lean-verification-package\narrow_product_test\NarrowProductTest\Basic.lean</x:t>
        </x:is>
      </x:c>
      <x:c r="D147" s="49" t="inlineStr">
        <x:is>
          <x:t xml:space="preserve">194</x:t>
        </x:is>
      </x:c>
      <x:c r="E147" s="49" t="inlineStr">
        <x:is>
          <x:t xml:space="preserve">WRAPPER_OR_IMPORTED</x:t>
        </x:is>
      </x:c>
      <x:c r="F147" s="49" t="inlineStr">
        <x:is>
          <x:t xml:space="preserve">PENDING_NOT_RUN</x:t>
        </x:is>
      </x:c>
      <x:c r="G147" s="49" t="inlineStr">
        <x:is>
          <x:t xml:space="preserve">NO_SORRY_OR_ADMIT_STATIC_SCAN</x:t>
        </x:is>
      </x:c>
      <x:c r="H147" s="49" t="inlineStr">
        <x:is>
          <x:t xml:space="preserve">UNIQUE_THEOREM_PENDING_COMPILE</x:t>
        </x:is>
      </x:c>
      <x:c r="I147" s="49" t="inlineStr">
        <x:is>
          <x:t xml:space="preserve">0</x:t>
        </x:is>
      </x:c>
      <x:c r="L147" s="56" t="n"/>
    </x:row>
    <x:row r="148" ht="15" customHeight="1">
      <x:c r="A148" s="55" t="inlineStr">
        <x:is>
          <x:t xml:space="preserve">applyConversion</x:t>
        </x:is>
      </x:c>
      <x:c r="B148" s="49" t="inlineStr">
        <x:is>
          <x:t xml:space="preserve">def</x:t>
        </x:is>
      </x:c>
      <x:c r="C148" s="49" t="inlineStr">
        <x:is>
          <x:t xml:space="preserve">Faith-Thru-Physics-Lean-4--main\Faith-Thru-Physics-Lean-4--main\Theophysics_NegativeInventory.lean</x:t>
        </x:is>
      </x:c>
      <x:c r="D148" s="49" t="inlineStr">
        <x:is>
          <x:t xml:space="preserve">169</x:t>
        </x:is>
      </x:c>
      <x:c r="E148" s="49" t="inlineStr">
        <x:is>
          <x:t xml:space="preserve">DECLARATION_OR_UNKNOWN</x:t>
        </x:is>
      </x:c>
      <x:c r="F148" s="49" t="inlineStr">
        <x:is>
          <x:t xml:space="preserve">PENDING_NOT_RUN</x:t>
        </x:is>
      </x:c>
      <x:c r="G148" s="49" t="inlineStr">
        <x:is>
          <x:t xml:space="preserve">NO_SORRY_OR_ADMIT_STATIC_SCAN</x:t>
        </x:is>
      </x:c>
      <x:c r="H148" s="49" t="inlineStr">
        <x:is>
          <x:t xml:space="preserve">SCAFFOLDING_NOT_PUBLIC_COUNT</x:t>
        </x:is>
      </x:c>
      <x:c r="I148" s="49" t="inlineStr">
        <x:is>
          <x:t xml:space="preserve">0</x:t>
        </x:is>
      </x:c>
      <x:c r="L148" s="56" t="n"/>
    </x:row>
    <x:row r="149" ht="15" customHeight="1">
      <x:c r="A149" s="55" t="inlineStr">
        <x:is>
          <x:t xml:space="preserve">arbitraryGraceCloneMatchesG</x:t>
        </x:is>
      </x:c>
      <x:c r="B149" s="49" t="inlineStr">
        <x:is>
          <x:t xml:space="preserve">def</x:t>
        </x:is>
      </x:c>
      <x:c r="C149" s="49" t="inlineStr">
        <x:is>
          <x:t xml:space="preserve">theophysics-lean-main\theophysics-lean-main\Theophysics_Adversarial.lean</x:t>
        </x:is>
      </x:c>
      <x:c r="D149" s="49" t="inlineStr">
        <x:is>
          <x:t xml:space="preserve">194</x:t>
        </x:is>
      </x:c>
      <x:c r="E149" s="49" t="inlineStr">
        <x:is>
          <x:t xml:space="preserve">DECLARATION_OR_UNKNOWN</x:t>
        </x:is>
      </x:c>
      <x:c r="F149" s="49" t="inlineStr">
        <x:is>
          <x:t xml:space="preserve">PENDING_NOT_RUN</x:t>
        </x:is>
      </x:c>
      <x:c r="G149" s="49" t="inlineStr">
        <x:is>
          <x:t xml:space="preserve">NO_SORRY_OR_ADMIT_STATIC_SCAN</x:t>
        </x:is>
      </x:c>
      <x:c r="H149" s="49" t="inlineStr">
        <x:is>
          <x:t xml:space="preserve">SCAFFOLDING_NOT_PUBLIC_COUNT</x:t>
        </x:is>
      </x:c>
      <x:c r="I149" s="49" t="inlineStr">
        <x:is>
          <x:t xml:space="preserve">3</x:t>
        </x:is>
      </x:c>
      <x:c r="L149" s="56" t="n"/>
    </x:row>
    <x:row r="150" ht="15" customHeight="1">
      <x:c r="A150" s="55" t="inlineStr">
        <x:is>
          <x:t xml:space="preserve">arbitraryThreePartSystem_invalid</x:t>
        </x:is>
      </x:c>
      <x:c r="B150" s="49" t="inlineStr">
        <x:is>
          <x:t xml:space="preserve">theorem</x:t>
        </x:is>
      </x:c>
      <x:c r="C150" s="49" t="inlineStr">
        <x:is>
          <x:t xml:space="preserve">theophysics-lean-main\theophysics-lean-main\Theophysics_Adversarial.lean</x:t>
        </x:is>
      </x:c>
      <x:c r="D150" s="49" t="inlineStr">
        <x:is>
          <x:t xml:space="preserve">465</x:t>
        </x:is>
      </x:c>
      <x:c r="E150" s="49" t="inlineStr">
        <x:is>
          <x:t xml:space="preserve">WRAPPER_OR_IMPORTED</x:t>
        </x:is>
      </x:c>
      <x:c r="F150" s="49" t="inlineStr">
        <x:is>
          <x:t xml:space="preserve">PENDING_NOT_RUN</x:t>
        </x:is>
      </x:c>
      <x:c r="G150" s="49" t="inlineStr">
        <x:is>
          <x:t xml:space="preserve">NO_SORRY_OR_ADMIT_STATIC_SCAN</x:t>
        </x:is>
      </x:c>
      <x:c r="H150" s="49" t="inlineStr">
        <x:is>
          <x:t xml:space="preserve">CANONICAL_THEOREM_DEDUPED_PENDING_COMPILE</x:t>
        </x:is>
      </x:c>
      <x:c r="I150" s="49" t="inlineStr">
        <x:is>
          <x:t xml:space="preserve">4</x:t>
        </x:is>
      </x:c>
      <x:c r="J150" s="49" t="inlineStr">
        <x:is>
          <x:t xml:space="preserve">LEAN_DERIVATION_CHAIN:105</x:t>
        </x:is>
      </x:c>
      <x:c r="K150" s="49" t="inlineStr">
        <x:is>
          <x:t xml:space="preserve">REJECTION: Generic 3-part system fails — wrong role profiles</x:t>
        </x:is>
      </x:c>
      <x:c r="L150" s="56" t="n"/>
    </x:row>
    <x:row r="151" ht="15" customHeight="1">
      <x:c r="A151" s="55" t="inlineStr">
        <x:is>
          <x:t xml:space="preserve">arbitrary_faith_clone_does_not_match_G</x:t>
        </x:is>
      </x:c>
      <x:c r="B151" s="49" t="inlineStr">
        <x:is>
          <x:t xml:space="preserve">theorem</x:t>
        </x:is>
      </x:c>
      <x:c r="C151" s="49" t="inlineStr">
        <x:is>
          <x:t xml:space="preserve">theophysics-lean-main\theophysics-lean-main\Theophysics_Adversarial.lean</x:t>
        </x:is>
      </x:c>
      <x:c r="D151" s="49" t="inlineStr">
        <x:is>
          <x:t xml:space="preserve">346</x:t>
        </x:is>
      </x:c>
      <x:c r="E151" s="49" t="inlineStr">
        <x:is>
          <x:t xml:space="preserve">DEFINITIONAL_RFL</x:t>
        </x:is>
      </x:c>
      <x:c r="F151" s="49" t="inlineStr">
        <x:is>
          <x:t xml:space="preserve">PENDING_NOT_RUN</x:t>
        </x:is>
      </x:c>
      <x:c r="G151" s="49" t="inlineStr">
        <x:is>
          <x:t xml:space="preserve">NO_SORRY_OR_ADMIT_STATIC_SCAN</x:t>
        </x:is>
      </x:c>
      <x:c r="H151" s="49" t="inlineStr">
        <x:is>
          <x:t xml:space="preserve">CANONICAL_THEOREM_DEDUPED_PENDING_COMPILE</x:t>
        </x:is>
      </x:c>
      <x:c r="I151" s="49" t="inlineStr">
        <x:is>
          <x:t xml:space="preserve">3</x:t>
        </x:is>
      </x:c>
      <x:c r="J151" s="49" t="inlineStr">
        <x:is>
          <x:t xml:space="preserve">LEAN_DERIVATION_CHAIN:26</x:t>
        </x:is>
      </x:c>
      <x:c r="K151" s="49" t="inlineStr">
        <x:is>
          <x:t xml:space="preserve">REJECTION: A term with Q's signature fails the G slot</x:t>
        </x:is>
      </x:c>
      <x:c r="L151" s="56" t="n"/>
    </x:row>
    <x:row r="152" ht="15" customHeight="1">
      <x:c r="A152" s="55" t="inlineStr">
        <x:is>
          <x:t xml:space="preserve">arbitrary_grace_clone_matches_G</x:t>
        </x:is>
      </x:c>
      <x:c r="B152" s="49" t="inlineStr">
        <x:is>
          <x:t xml:space="preserve">theorem</x:t>
        </x:is>
      </x:c>
      <x:c r="C152" s="49" t="inlineStr">
        <x:is>
          <x:t xml:space="preserve">theophysics-lean-main\theophysics-lean-main\Theophysics_Adversarial.lean</x:t>
        </x:is>
      </x:c>
      <x:c r="D152" s="49" t="inlineStr">
        <x:is>
          <x:t xml:space="preserve">342</x:t>
        </x:is>
      </x:c>
      <x:c r="E152" s="49" t="inlineStr">
        <x:is>
          <x:t xml:space="preserve">DEFINITIONAL_RFL</x:t>
        </x:is>
      </x:c>
      <x:c r="F152" s="49" t="inlineStr">
        <x:is>
          <x:t xml:space="preserve">PENDING_NOT_RUN</x:t>
        </x:is>
      </x:c>
      <x:c r="G152" s="49" t="inlineStr">
        <x:is>
          <x:t xml:space="preserve">NO_SORRY_OR_ADMIT_STATIC_SCAN</x:t>
        </x:is>
      </x:c>
      <x:c r="H152" s="49" t="inlineStr">
        <x:is>
          <x:t xml:space="preserve">CANONICAL_THEOREM_DEDUPED_PENDING_COMPILE</x:t>
        </x:is>
      </x:c>
      <x:c r="I152" s="49" t="inlineStr">
        <x:is>
          <x:t xml:space="preserve">3</x:t>
        </x:is>
      </x:c>
      <x:c r="J152" s="49" t="inlineStr">
        <x:is>
          <x:t xml:space="preserve">LEAN_DERIVATION_CHAIN:25</x:t>
        </x:is>
      </x:c>
      <x:c r="K152" s="49" t="inlineStr">
        <x:is>
          <x:t xml:space="preserve">A new term with G's signature passes structurally — adversarial boundary: label honesty cannot be verified</x:t>
        </x:is>
      </x:c>
      <x:c r="L152" s="56" t="n"/>
    </x:row>
    <x:row r="153" ht="15" customHeight="1">
      <x:c r="A153" s="55" t="inlineStr">
        <x:is>
          <x:t xml:space="preserve">arbitrary_three_part_passes_bare_gate</x:t>
        </x:is>
      </x:c>
      <x:c r="B153" s="49" t="inlineStr">
        <x:is>
          <x:t xml:space="preserve">theorem</x:t>
        </x:is>
      </x:c>
      <x:c r="C153" s="49" t="inlineStr">
        <x:is>
          <x:t xml:space="preserve">theophysics-lean-main\theophysics-lean-main\Theophysics_Core.lean</x:t>
        </x:is>
      </x:c>
      <x:c r="D153" s="49" t="inlineStr">
        <x:is>
          <x:t xml:space="preserve">238</x:t>
        </x:is>
      </x:c>
      <x:c r="E153" s="49" t="inlineStr">
        <x:is>
          <x:t xml:space="preserve">TRIVIAL_TRUE</x:t>
        </x:is>
      </x:c>
      <x:c r="F153" s="49" t="inlineStr">
        <x:is>
          <x:t xml:space="preserve">PENDING_NOT_RUN</x:t>
        </x:is>
      </x:c>
      <x:c r="G153" s="49" t="inlineStr">
        <x:is>
          <x:t xml:space="preserve">NO_SORRY_OR_ADMIT_STATIC_SCAN</x:t>
        </x:is>
      </x:c>
      <x:c r="H153" s="49" t="inlineStr">
        <x:is>
          <x:t xml:space="preserve">LOW_CONTENT_TRUE_NOT_PUBLIC_COUNT</x:t>
        </x:is>
      </x:c>
      <x:c r="I153" s="49" t="inlineStr">
        <x:is>
          <x:t xml:space="preserve">3</x:t>
        </x:is>
      </x:c>
      <x:c r="L153" s="56" t="n"/>
    </x:row>
    <x:row r="154" ht="15" customHeight="1">
      <x:c r="A154" s="55" t="inlineStr">
        <x:is>
          <x:t xml:space="preserve">asserted_everything_fitted_nothing_all_fail</x:t>
        </x:is>
      </x:c>
      <x:c r="B154" s="49" t="inlineStr">
        <x:is>
          <x:t xml:space="preserve">theorem</x:t>
        </x:is>
      </x:c>
      <x:c r="C154" s="49" t="inlineStr">
        <x:is>
          <x:t xml:space="preserve">Faith-Thru-Physics-Lean-4--main\Faith-Thru-Physics-Lean-4--main\Theophysics_NegativeInventory.lean</x:t>
        </x:is>
      </x:c>
      <x:c r="D154" s="49" t="inlineStr">
        <x:is>
          <x:t xml:space="preserve">128</x:t>
        </x:is>
      </x:c>
      <x:c r="E154" s="49" t="inlineStr">
        <x:is>
          <x:t xml:space="preserve">WRAPPER_OR_IMPORTED</x:t>
        </x:is>
      </x:c>
      <x:c r="F154" s="49" t="inlineStr">
        <x:is>
          <x:t xml:space="preserve">PENDING_NOT_RUN</x:t>
        </x:is>
      </x:c>
      <x:c r="G154" s="49" t="inlineStr">
        <x:is>
          <x:t xml:space="preserve">NO_SORRY_OR_ADMIT_STATIC_SCAN</x:t>
        </x:is>
      </x:c>
      <x:c r="H154" s="49" t="inlineStr">
        <x:is>
          <x:t xml:space="preserve">UNIQUE_THEOREM_PENDING_COMPILE</x:t>
        </x:is>
      </x:c>
      <x:c r="I154" s="49" t="inlineStr">
        <x:is>
          <x:t xml:space="preserve">0</x:t>
        </x:is>
      </x:c>
      <x:c r="J154" s="49" t="inlineStr">
        <x:is>
          <x:t xml:space="preserve">LEAN_DERIVATION_CHAIN:224</x:t>
        </x:is>
      </x:c>
      <x:c r="K154" s="49" t="inlineStr">
        <x:is>
          <x:t xml:space="preserve">Concrete false positive: all flags asserted, nothing fitted, all fail</x:t>
        </x:is>
      </x:c>
      <x:c r="L154" s="56" t="n"/>
    </x:row>
    <x:row r="155" ht="15" customHeight="1">
      <x:c r="A155" s="55" t="inlineStr">
        <x:is>
          <x:t xml:space="preserve">avoidance_is_not_victory</x:t>
        </x:is>
      </x:c>
      <x:c r="B155" s="49" t="inlineStr">
        <x:is>
          <x:t xml:space="preserve">theorem</x:t>
        </x:is>
      </x:c>
      <x:c r="C155" s="49" t="inlineStr">
        <x:is>
          <x:t xml:space="preserve">theophysics-lean-main\theophysics-lean-main\Theophysics_DeathTest.lean</x:t>
        </x:is>
      </x:c>
      <x:c r="D155" s="49" t="inlineStr">
        <x:is>
          <x:t xml:space="preserve">117</x:t>
        </x:is>
      </x:c>
      <x:c r="E155" s="49" t="inlineStr">
        <x:is>
          <x:t xml:space="preserve">DEFINITIONAL_RFL</x:t>
        </x:is>
      </x:c>
      <x:c r="F155" s="49" t="inlineStr">
        <x:is>
          <x:t xml:space="preserve">PENDING_NOT_RUN</x:t>
        </x:is>
      </x:c>
      <x:c r="G155" s="49" t="inlineStr">
        <x:is>
          <x:t xml:space="preserve">NO_SORRY_OR_ADMIT_STATIC_SCAN</x:t>
        </x:is>
      </x:c>
      <x:c r="H155" s="49" t="inlineStr">
        <x:is>
          <x:t xml:space="preserve">UNIQUE_THEOREM_PENDING_COMPILE</x:t>
        </x:is>
      </x:c>
      <x:c r="I155" s="49" t="inlineStr">
        <x:is>
          <x:t xml:space="preserve">0</x:t>
        </x:is>
      </x:c>
      <x:c r="L155" s="56" t="n"/>
    </x:row>
    <x:row r="156" ht="15" customHeight="1">
      <x:c r="A156" s="55" t="inlineStr">
        <x:is>
          <x:t xml:space="preserve">below_accountability_has_zero_culpability</x:t>
        </x:is>
      </x:c>
      <x:c r="B156" s="49" t="inlineStr">
        <x:is>
          <x:t xml:space="preserve">theorem</x:t>
        </x:is>
      </x:c>
      <x:c r="C156" s="49" t="inlineStr">
        <x:is>
          <x:t xml:space="preserve">theophysics-lean-main\theophysics-lean-main\Theophysics_Core.lean</x:t>
        </x:is>
      </x:c>
      <x:c r="D156" s="49" t="inlineStr">
        <x:is>
          <x:t xml:space="preserve">38</x:t>
        </x:is>
      </x:c>
      <x:c r="E156" s="49" t="inlineStr">
        <x:is>
          <x:t xml:space="preserve">TRIVIAL_TRUE</x:t>
        </x:is>
      </x:c>
      <x:c r="F156" s="49" t="inlineStr">
        <x:is>
          <x:t xml:space="preserve">PENDING_NOT_RUN</x:t>
        </x:is>
      </x:c>
      <x:c r="G156" s="49" t="inlineStr">
        <x:is>
          <x:t xml:space="preserve">NO_SORRY_OR_ADMIT_STATIC_SCAN</x:t>
        </x:is>
      </x:c>
      <x:c r="H156" s="49" t="inlineStr">
        <x:is>
          <x:t xml:space="preserve">LOW_CONTENT_TRUE_NOT_PUBLIC_COUNT</x:t>
        </x:is>
      </x:c>
      <x:c r="I156" s="49" t="inlineStr">
        <x:is>
          <x:t xml:space="preserve">3</x:t>
        </x:is>
      </x:c>
      <x:c r="J156" s="49" t="inlineStr">
        <x:is>
          <x:t xml:space="preserve">LEAN_DERIVATION_CHAIN:126</x:t>
        </x:is>
      </x:c>
      <x:c r="K156" s="49" t="inlineStr">
        <x:is>
          <x:t xml:space="preserve">Below threshold → 0 culpability</x:t>
        </x:is>
      </x:c>
      <x:c r="L156" s="56" t="n"/>
    </x:row>
    <x:row r="157" ht="15" customHeight="1">
      <x:c r="A157" s="55" t="inlineStr">
        <x:is>
          <x:t xml:space="preserve">below_accountability_maps_to_neutral_even_with_bad_signal</x:t>
        </x:is>
      </x:c>
      <x:c r="B157" s="49" t="inlineStr">
        <x:is>
          <x:t xml:space="preserve">theorem</x:t>
        </x:is>
      </x:c>
      <x:c r="C157" s="49" t="inlineStr">
        <x:is>
          <x:t xml:space="preserve">theophysics-lean-main\theophysics-lean-main\Theophysics_Core.lean</x:t>
        </x:is>
      </x:c>
      <x:c r="D157" s="49" t="inlineStr">
        <x:is>
          <x:t xml:space="preserve">39</x:t>
        </x:is>
      </x:c>
      <x:c r="E157" s="49" t="inlineStr">
        <x:is>
          <x:t xml:space="preserve">TRIVIAL_TRUE</x:t>
        </x:is>
      </x:c>
      <x:c r="F157" s="49" t="inlineStr">
        <x:is>
          <x:t xml:space="preserve">PENDING_NOT_RUN</x:t>
        </x:is>
      </x:c>
      <x:c r="G157" s="49" t="inlineStr">
        <x:is>
          <x:t xml:space="preserve">NO_SORRY_OR_ADMIT_STATIC_SCAN</x:t>
        </x:is>
      </x:c>
      <x:c r="H157" s="49" t="inlineStr">
        <x:is>
          <x:t xml:space="preserve">LOW_CONTENT_TRUE_NOT_PUBLIC_COUNT</x:t>
        </x:is>
      </x:c>
      <x:c r="I157" s="49" t="inlineStr">
        <x:is>
          <x:t xml:space="preserve">3</x:t>
        </x:is>
      </x:c>
      <x:c r="J157" s="49" t="inlineStr">
        <x:is>
          <x:t xml:space="preserve">LEAN_DERIVATION_CHAIN:125</x:t>
        </x:is>
      </x:c>
      <x:c r="K157" s="49" t="inlineStr">
        <x:is>
          <x:t xml:space="preserve">Below age of accountability → neutral regardless of observed behavior</x:t>
        </x:is>
      </x:c>
      <x:c r="L157" s="56" t="n"/>
    </x:row>
    <x:row r="158" ht="15" customHeight="1">
      <x:c r="A158" s="55" t="inlineStr">
        <x:is>
          <x:t xml:space="preserve">binaryGate</x:t>
        </x:is>
      </x:c>
      <x:c r="B158" s="49" t="inlineStr">
        <x:is>
          <x:t xml:space="preserve">def</x:t>
        </x:is>
      </x:c>
      <x:c r="C158" s="49" t="inlineStr">
        <x:is>
          <x:t xml:space="preserve">theophysics-lean-main\theophysics-lean-main\Final_Lean4_From_Excel.lean</x:t>
        </x:is>
      </x:c>
      <x:c r="D158" s="49" t="inlineStr">
        <x:is>
          <x:t xml:space="preserve">277</x:t>
        </x:is>
      </x:c>
      <x:c r="E158" s="49" t="inlineStr">
        <x:is>
          <x:t xml:space="preserve">DECLARATION_OR_UNKNOWN</x:t>
        </x:is>
      </x:c>
      <x:c r="F158" s="49" t="inlineStr">
        <x:is>
          <x:t xml:space="preserve">PENDING_NOT_RUN</x:t>
        </x:is>
      </x:c>
      <x:c r="G158" s="49" t="inlineStr">
        <x:is>
          <x:t xml:space="preserve">NO_SORRY_OR_ADMIT_STATIC_SCAN</x:t>
        </x:is>
      </x:c>
      <x:c r="H158" s="49" t="inlineStr">
        <x:is>
          <x:t xml:space="preserve">SCAFFOLDING_NOT_PUBLIC_COUNT</x:t>
        </x:is>
      </x:c>
      <x:c r="I158" s="49" t="inlineStr">
        <x:is>
          <x:t xml:space="preserve">3</x:t>
        </x:is>
      </x:c>
      <x:c r="L158" s="56" t="n"/>
    </x:row>
    <x:row r="159" ht="15" customHeight="1">
      <x:c r="A159" s="55" t="inlineStr">
        <x:is>
          <x:t xml:space="preserve">binaryGate_positive</x:t>
        </x:is>
      </x:c>
      <x:c r="B159" s="49" t="inlineStr">
        <x:is>
          <x:t xml:space="preserve">theorem</x:t>
        </x:is>
      </x:c>
      <x:c r="C159" s="49" t="inlineStr">
        <x:is>
          <x:t xml:space="preserve">theophysics-lean-main\theophysics-lean-main\Theophysics_Core.lean</x:t>
        </x:is>
      </x:c>
      <x:c r="D159" s="49" t="inlineStr">
        <x:is>
          <x:t xml:space="preserve">207</x:t>
        </x:is>
      </x:c>
      <x:c r="E159" s="49" t="inlineStr">
        <x:is>
          <x:t xml:space="preserve">DECLARATION_OR_UNKNOWN</x:t>
        </x:is>
      </x:c>
      <x:c r="F159" s="49" t="inlineStr">
        <x:is>
          <x:t xml:space="preserve">PENDING_NOT_RUN</x:t>
        </x:is>
      </x:c>
      <x:c r="G159" s="49" t="inlineStr">
        <x:is>
          <x:t xml:space="preserve">NO_SORRY_OR_ADMIT_STATIC_SCAN</x:t>
        </x:is>
      </x:c>
      <x:c r="H159" s="49" t="inlineStr">
        <x:is>
          <x:t xml:space="preserve">CANONICAL_THEOREM_DEDUPED_PENDING_COMPILE</x:t>
        </x:is>
      </x:c>
      <x:c r="I159" s="49" t="inlineStr">
        <x:is>
          <x:t xml:space="preserve">7</x:t>
        </x:is>
      </x:c>
      <x:c r="J159" s="49" t="inlineStr">
        <x:is>
          <x:t xml:space="preserve">LEAN_DERIVATION_CHAIN:74</x:t>
        </x:is>
      </x:c>
      <x:c r="K159" s="49" t="inlineStr">
        <x:is>
          <x:t xml:space="preserve">Score ≥ 1 → gate 1</x:t>
        </x:is>
      </x:c>
      <x:c r="L159" s="56" t="n"/>
    </x:row>
    <x:row r="160" ht="15" customHeight="1">
      <x:c r="A160" s="55" t="inlineStr">
        <x:is>
          <x:t xml:space="preserve">binaryGate_zero</x:t>
        </x:is>
      </x:c>
      <x:c r="B160" s="49" t="inlineStr">
        <x:is>
          <x:t xml:space="preserve">theorem</x:t>
        </x:is>
      </x:c>
      <x:c r="C160" s="49" t="inlineStr">
        <x:is>
          <x:t xml:space="preserve">theophysics-lean-main\theophysics-lean-main\Theophysics_Core.lean</x:t>
        </x:is>
      </x:c>
      <x:c r="D160" s="49" t="inlineStr">
        <x:is>
          <x:t xml:space="preserve">209</x:t>
        </x:is>
      </x:c>
      <x:c r="E160" s="49" t="inlineStr">
        <x:is>
          <x:t xml:space="preserve">DECLARATION_OR_UNKNOWN</x:t>
        </x:is>
      </x:c>
      <x:c r="F160" s="49" t="inlineStr">
        <x:is>
          <x:t xml:space="preserve">PENDING_NOT_RUN</x:t>
        </x:is>
      </x:c>
      <x:c r="G160" s="49" t="inlineStr">
        <x:is>
          <x:t xml:space="preserve">NO_SORRY_OR_ADMIT_STATIC_SCAN</x:t>
        </x:is>
      </x:c>
      <x:c r="H160" s="49" t="inlineStr">
        <x:is>
          <x:t xml:space="preserve">CANONICAL_THEOREM_DEDUPED_PENDING_COMPILE</x:t>
        </x:is>
      </x:c>
      <x:c r="I160" s="49" t="inlineStr">
        <x:is>
          <x:t xml:space="preserve">7</x:t>
        </x:is>
      </x:c>
      <x:c r="J160" s="49" t="inlineStr">
        <x:is>
          <x:t xml:space="preserve">LEAN_DERIVATION_CHAIN:73</x:t>
        </x:is>
      </x:c>
      <x:c r="K160" s="49" t="inlineStr">
        <x:is>
          <x:t xml:space="preserve">Score 0 → gate 0</x:t>
        </x:is>
      </x:c>
      <x:c r="L160" s="56" t="n"/>
    </x:row>
    <x:row r="161" ht="15" customHeight="1">
      <x:c r="A161" s="55" t="inlineStr">
        <x:is>
          <x:t xml:space="preserve">binaryGate_zero_or_one</x:t>
        </x:is>
      </x:c>
      <x:c r="B161" s="49" t="inlineStr">
        <x:is>
          <x:t xml:space="preserve">theorem</x:t>
        </x:is>
      </x:c>
      <x:c r="C161" s="49" t="inlineStr">
        <x:is>
          <x:t xml:space="preserve">theophysics-lean-main\theophysics-lean-main\Theophysics_Core.lean</x:t>
        </x:is>
      </x:c>
      <x:c r="D161" s="49" t="inlineStr">
        <x:is>
          <x:t xml:space="preserve">211</x:t>
        </x:is>
      </x:c>
      <x:c r="E161" s="49" t="inlineStr">
        <x:is>
          <x:t xml:space="preserve">DECLARATION_OR_UNKNOWN</x:t>
        </x:is>
      </x:c>
      <x:c r="F161" s="49" t="inlineStr">
        <x:is>
          <x:t xml:space="preserve">PENDING_NOT_RUN</x:t>
        </x:is>
      </x:c>
      <x:c r="G161" s="49" t="inlineStr">
        <x:is>
          <x:t xml:space="preserve">NO_SORRY_OR_ADMIT_STATIC_SCAN</x:t>
        </x:is>
      </x:c>
      <x:c r="H161" s="49" t="inlineStr">
        <x:is>
          <x:t xml:space="preserve">CANONICAL_THEOREM_DEDUPED_PENDING_COMPILE</x:t>
        </x:is>
      </x:c>
      <x:c r="I161" s="49" t="inlineStr">
        <x:is>
          <x:t xml:space="preserve">7</x:t>
        </x:is>
      </x:c>
      <x:c r="J161" s="49" t="inlineStr">
        <x:is>
          <x:t xml:space="preserve">LEAN_DERIVATION_CHAIN:75</x:t>
        </x:is>
      </x:c>
      <x:c r="K161" s="49" t="inlineStr">
        <x:is>
          <x:t xml:space="preserve">Gate output is always exactly 0 or 1. No intermediate states.</x:t>
        </x:is>
      </x:c>
      <x:c r="L161" s="56" t="n"/>
    </x:row>
    <x:row r="162" ht="15" customHeight="1">
      <x:c r="A162" s="55" t="inlineStr">
        <x:is>
          <x:t xml:space="preserve">biologyHomeostasisSignature</x:t>
        </x:is>
      </x:c>
      <x:c r="B162" s="49" t="inlineStr">
        <x:is>
          <x:t xml:space="preserve">def</x:t>
        </x:is>
      </x:c>
      <x:c r="C162" s="49" t="inlineStr">
        <x:is>
          <x:t xml:space="preserve">theophysics-lean-main\theophysics-lean-main\Theophysics_Universality.lean</x:t>
        </x:is>
      </x:c>
      <x:c r="D162" s="49" t="inlineStr">
        <x:is>
          <x:t xml:space="preserve">101</x:t>
        </x:is>
      </x:c>
      <x:c r="E162" s="49" t="inlineStr">
        <x:is>
          <x:t xml:space="preserve">DECLARATION_OR_UNKNOWN</x:t>
        </x:is>
      </x:c>
      <x:c r="F162" s="49" t="inlineStr">
        <x:is>
          <x:t xml:space="preserve">PENDING_NOT_RUN</x:t>
        </x:is>
      </x:c>
      <x:c r="G162" s="49" t="inlineStr">
        <x:is>
          <x:t xml:space="preserve">NO_SORRY_OR_ADMIT_STATIC_SCAN</x:t>
        </x:is>
      </x:c>
      <x:c r="H162" s="49" t="inlineStr">
        <x:is>
          <x:t xml:space="preserve">SCAFFOLDING_NOT_PUBLIC_COUNT</x:t>
        </x:is>
      </x:c>
      <x:c r="I162" s="49" t="inlineStr">
        <x:is>
          <x:t xml:space="preserve">0</x:t>
        </x:is>
      </x:c>
      <x:c r="L162" s="56" t="n"/>
    </x:row>
    <x:row r="163" ht="15" customHeight="1">
      <x:c r="A163" s="55" t="inlineStr">
        <x:is>
          <x:t xml:space="preserve">biology_homeostasis_is_strong_cd_class</x:t>
        </x:is>
      </x:c>
      <x:c r="B163" s="49" t="inlineStr">
        <x:is>
          <x:t xml:space="preserve">theorem</x:t>
        </x:is>
      </x:c>
      <x:c r="C163" s="49" t="inlineStr">
        <x:is>
          <x:t xml:space="preserve">theophysics-lean-main\theophysics-lean-main\Theophysics_Universality.lean</x:t>
        </x:is>
      </x:c>
      <x:c r="D163" s="49" t="inlineStr">
        <x:is>
          <x:t xml:space="preserve">241</x:t>
        </x:is>
      </x:c>
      <x:c r="E163" s="49" t="inlineStr">
        <x:is>
          <x:t xml:space="preserve">DEFINITIONAL_RFL</x:t>
        </x:is>
      </x:c>
      <x:c r="F163" s="49" t="inlineStr">
        <x:is>
          <x:t xml:space="preserve">PENDING_NOT_RUN</x:t>
        </x:is>
      </x:c>
      <x:c r="G163" s="49" t="inlineStr">
        <x:is>
          <x:t xml:space="preserve">NO_SORRY_OR_ADMIT_STATIC_SCAN</x:t>
        </x:is>
      </x:c>
      <x:c r="H163" s="49" t="inlineStr">
        <x:is>
          <x:t xml:space="preserve">UNIQUE_THEOREM_PENDING_COMPILE</x:t>
        </x:is>
      </x:c>
      <x:c r="I163" s="49" t="inlineStr">
        <x:is>
          <x:t xml:space="preserve">0</x:t>
        </x:is>
      </x:c>
      <x:c r="L163" s="56" t="n"/>
    </x:row>
    <x:row r="164" ht="15" customHeight="1">
      <x:c r="A164" s="55" t="inlineStr">
        <x:is>
          <x:t xml:space="preserve">borrowed_victory_fails</x:t>
        </x:is>
      </x:c>
      <x:c r="B164" s="49" t="inlineStr">
        <x:is>
          <x:t xml:space="preserve">theorem</x:t>
        </x:is>
      </x:c>
      <x:c r="C164" s="49" t="inlineStr">
        <x:is>
          <x:t xml:space="preserve">theophysics-lean-main\theophysics-lean-main\Theophysics_GodTest.lean</x:t>
        </x:is>
      </x:c>
      <x:c r="D164" s="49" t="inlineStr">
        <x:is>
          <x:t xml:space="preserve">250</x:t>
        </x:is>
      </x:c>
      <x:c r="E164" s="49" t="inlineStr">
        <x:is>
          <x:t xml:space="preserve">DEFINITIONAL_RFL</x:t>
        </x:is>
      </x:c>
      <x:c r="F164" s="49" t="inlineStr">
        <x:is>
          <x:t xml:space="preserve">PENDING_NOT_RUN</x:t>
        </x:is>
      </x:c>
      <x:c r="G164" s="49" t="inlineStr">
        <x:is>
          <x:t xml:space="preserve">NO_SORRY_OR_ADMIT_STATIC_SCAN</x:t>
        </x:is>
      </x:c>
      <x:c r="H164" s="49" t="inlineStr">
        <x:is>
          <x:t xml:space="preserve">UNIQUE_THEOREM_PENDING_COMPILE</x:t>
        </x:is>
      </x:c>
      <x:c r="I164" s="49" t="inlineStr">
        <x:is>
          <x:t xml:space="preserve">0</x:t>
        </x:is>
      </x:c>
      <x:c r="L164" s="56" t="n"/>
    </x:row>
    <x:row r="165" ht="15" customHeight="1">
      <x:c r="A165" s="55" t="inlineStr">
        <x:is>
          <x:t xml:space="preserve">bound_state_requires_excitation_and_coupling</x:t>
        </x:is>
      </x:c>
      <x:c r="B165" s="49" t="inlineStr">
        <x:is>
          <x:t xml:space="preserve">theorem</x:t>
        </x:is>
      </x:c>
      <x:c r="C165" s="49" t="inlineStr">
        <x:is>
          <x:t xml:space="preserve">theophysics-lean-main\theophysics-lean-main\Theophysics_Core.lean</x:t>
        </x:is>
      </x:c>
      <x:c r="D165" s="49" t="inlineStr">
        <x:is>
          <x:t xml:space="preserve">154</x:t>
        </x:is>
      </x:c>
      <x:c r="E165" s="49" t="inlineStr">
        <x:is>
          <x:t xml:space="preserve">TRIVIAL_TRUE</x:t>
        </x:is>
      </x:c>
      <x:c r="F165" s="49" t="inlineStr">
        <x:is>
          <x:t xml:space="preserve">PENDING_NOT_RUN</x:t>
        </x:is>
      </x:c>
      <x:c r="G165" s="49" t="inlineStr">
        <x:is>
          <x:t xml:space="preserve">NO_SORRY_OR_ADMIT_STATIC_SCAN</x:t>
        </x:is>
      </x:c>
      <x:c r="H165" s="49" t="inlineStr">
        <x:is>
          <x:t xml:space="preserve">LOW_CONTENT_TRUE_NOT_PUBLIC_COUNT</x:t>
        </x:is>
      </x:c>
      <x:c r="I165" s="49" t="inlineStr">
        <x:is>
          <x:t xml:space="preserve">3</x:t>
        </x:is>
      </x:c>
      <x:c r="J165" s="49" t="inlineStr">
        <x:is>
          <x:t xml:space="preserve">LEAN_DERIVATION_CHAIN:189</x:t>
        </x:is>
      </x:c>
      <x:c r="K165" s="49" t="inlineStr">
        <x:is>
          <x:t xml:space="preserve">Bound state requires both excitation AND coupling (multi-parent)</x:t>
        </x:is>
      </x:c>
      <x:c r="L165" s="56" t="inlineStr">
        <x:is>
          <x:t xml:space="preserve">heaviside_content_loss | load_bearing_controls | variable_coupling</x:t>
        </x:is>
      </x:c>
    </x:row>
    <x:row r="166" ht="15" customHeight="1">
      <x:c r="A166" s="55" t="inlineStr">
        <x:is>
          <x:t xml:space="preserve">boundedScore</x:t>
        </x:is>
      </x:c>
      <x:c r="B166" s="49" t="inlineStr">
        <x:is>
          <x:t xml:space="preserve">def</x:t>
        </x:is>
      </x:c>
      <x:c r="C166" s="49" t="inlineStr">
        <x:is>
          <x:t xml:space="preserve">theophysics-lean-main\theophysics-lean-main\Theophysics_ChiEvaluator.lean</x:t>
        </x:is>
      </x:c>
      <x:c r="D166" s="49" t="inlineStr">
        <x:is>
          <x:t xml:space="preserve">85</x:t>
        </x:is>
      </x:c>
      <x:c r="E166" s="49" t="inlineStr">
        <x:is>
          <x:t xml:space="preserve">DECLARATION_OR_UNKNOWN</x:t>
        </x:is>
      </x:c>
      <x:c r="F166" s="49" t="inlineStr">
        <x:is>
          <x:t xml:space="preserve">PENDING_NOT_RUN</x:t>
        </x:is>
      </x:c>
      <x:c r="G166" s="49" t="inlineStr">
        <x:is>
          <x:t xml:space="preserve">NO_SORRY_OR_ADMIT_STATIC_SCAN</x:t>
        </x:is>
      </x:c>
      <x:c r="H166" s="49" t="inlineStr">
        <x:is>
          <x:t xml:space="preserve">SCAFFOLDING_NOT_PUBLIC_COUNT</x:t>
        </x:is>
      </x:c>
      <x:c r="I166" s="49" t="inlineStr">
        <x:is>
          <x:t xml:space="preserve">3</x:t>
        </x:is>
      </x:c>
      <x:c r="L166" s="56" t="n"/>
    </x:row>
    <x:row r="167" ht="15" customHeight="1">
      <x:c r="A167" s="55" t="inlineStr">
        <x:is>
          <x:t xml:space="preserve">bridgeFailureRejected</x:t>
        </x:is>
      </x:c>
      <x:c r="B167" s="49" t="inlineStr">
        <x:is>
          <x:t xml:space="preserve">def</x:t>
        </x:is>
      </x:c>
      <x:c r="C167" s="49" t="inlineStr">
        <x:is>
          <x:t xml:space="preserve">theophysics-lean-main\theophysics-lean-main\Theophysics_Adversarial.lean</x:t>
        </x:is>
      </x:c>
      <x:c r="D167" s="49" t="inlineStr">
        <x:is>
          <x:t xml:space="preserve">189</x:t>
        </x:is>
      </x:c>
      <x:c r="E167" s="49" t="inlineStr">
        <x:is>
          <x:t xml:space="preserve">DECLARATION_OR_UNKNOWN</x:t>
        </x:is>
      </x:c>
      <x:c r="F167" s="49" t="inlineStr">
        <x:is>
          <x:t xml:space="preserve">PENDING_NOT_RUN</x:t>
        </x:is>
      </x:c>
      <x:c r="G167" s="49" t="inlineStr">
        <x:is>
          <x:t xml:space="preserve">NO_SORRY_OR_ADMIT_STATIC_SCAN</x:t>
        </x:is>
      </x:c>
      <x:c r="H167" s="49" t="inlineStr">
        <x:is>
          <x:t xml:space="preserve">SCAFFOLDING_NOT_PUBLIC_COUNT</x:t>
        </x:is>
      </x:c>
      <x:c r="I167" s="49" t="inlineStr">
        <x:is>
          <x:t xml:space="preserve">3</x:t>
        </x:is>
      </x:c>
      <x:c r="L167" s="56" t="n"/>
    </x:row>
    <x:row r="168" ht="15" customHeight="1">
      <x:c r="A168" s="55" t="inlineStr">
        <x:is>
          <x:t xml:space="preserve">burden_negative_positive_stays_negative</x:t>
        </x:is>
      </x:c>
      <x:c r="B168" s="49" t="inlineStr">
        <x:is>
          <x:t xml:space="preserve">theorem</x:t>
        </x:is>
      </x:c>
      <x:c r="C168" s="49" t="inlineStr">
        <x:is>
          <x:t xml:space="preserve">theophysics-lean-main\theophysics-lean-main\Theophysics_Adversarial.lean</x:t>
        </x:is>
      </x:c>
      <x:c r="D168" s="49" t="inlineStr">
        <x:is>
          <x:t xml:space="preserve">495</x:t>
        </x:is>
      </x:c>
      <x:c r="E168" s="49" t="inlineStr">
        <x:is>
          <x:t xml:space="preserve">DEFINITIONAL_RFL</x:t>
        </x:is>
      </x:c>
      <x:c r="F168" s="49" t="inlineStr">
        <x:is>
          <x:t xml:space="preserve">PENDING_NOT_RUN</x:t>
        </x:is>
      </x:c>
      <x:c r="G168" s="49" t="inlineStr">
        <x:is>
          <x:t xml:space="preserve">NO_SORRY_OR_ADMIT_STATIC_SCAN</x:t>
        </x:is>
      </x:c>
      <x:c r="H168" s="49" t="inlineStr">
        <x:is>
          <x:t xml:space="preserve">CANONICAL_THEOREM_DEDUPED_PENDING_COMPILE</x:t>
        </x:is>
      </x:c>
      <x:c r="I168" s="49" t="inlineStr">
        <x:is>
          <x:t xml:space="preserve">3</x:t>
        </x:is>
      </x:c>
      <x:c r="J168" s="49" t="inlineStr">
        <x:is>
          <x:t xml:space="preserve">LEAN_DERIVATION_CHAIN:133</x:t>
        </x:is>
      </x:c>
      <x:c r="K168" s="49" t="inlineStr">
        <x:is>
          <x:t xml:space="preserve">REJECTION: Any negative in the burden keeps it negative</x:t>
        </x:is>
      </x:c>
      <x:c r="L168" s="56" t="n"/>
    </x:row>
    <x:row r="169" ht="15" customHeight="1">
      <x:c r="A169" s="55" t="inlineStr">
        <x:is>
          <x:t xml:space="preserve">burden_two_negatives_stay_negative</x:t>
        </x:is>
      </x:c>
      <x:c r="B169" s="49" t="inlineStr">
        <x:is>
          <x:t xml:space="preserve">theorem</x:t>
        </x:is>
      </x:c>
      <x:c r="C169" s="49" t="inlineStr">
        <x:is>
          <x:t xml:space="preserve">theophysics-lean-main\theophysics-lean-main\Final_Lean4_From_Excel.lean</x:t>
        </x:is>
      </x:c>
      <x:c r="D169" s="49" t="inlineStr">
        <x:is>
          <x:t xml:space="preserve">339</x:t>
        </x:is>
      </x:c>
      <x:c r="E169" s="49" t="inlineStr">
        <x:is>
          <x:t xml:space="preserve">FINITE_DECIDABLE</x:t>
        </x:is>
      </x:c>
      <x:c r="F169" s="49" t="inlineStr">
        <x:is>
          <x:t xml:space="preserve">PENDING_NOT_RUN</x:t>
        </x:is>
      </x:c>
      <x:c r="G169" s="49" t="inlineStr">
        <x:is>
          <x:t xml:space="preserve">NO_SORRY_OR_ADMIT_STATIC_SCAN</x:t>
        </x:is>
      </x:c>
      <x:c r="H169" s="49" t="inlineStr">
        <x:is>
          <x:t xml:space="preserve">CANONICAL_THEOREM_DEDUPED_PENDING_COMPILE</x:t>
        </x:is>
      </x:c>
      <x:c r="I169" s="49" t="inlineStr">
        <x:is>
          <x:t xml:space="preserve">3</x:t>
        </x:is>
      </x:c>
      <x:c r="J169" s="49" t="inlineStr">
        <x:is>
          <x:t xml:space="preserve">LEAN_DERIVATION_CHAIN:132</x:t>
        </x:is>
      </x:c>
      <x:c r="K169" s="49" t="inlineStr">
        <x:is>
          <x:t xml:space="preserve">REJECTION: Burden coupling: negative + negative = negative. Accumulation does not redeem.</x:t>
        </x:is>
      </x:c>
      <x:c r="L169" s="56" t="n"/>
    </x:row>
    <x:row r="170" ht="15" customHeight="1">
      <x:c r="A170" s="55" t="inlineStr">
        <x:is>
          <x:t xml:space="preserve">c0_ne_c1</x:t>
        </x:is>
      </x:c>
      <x:c r="B170" s="49" t="inlineStr">
        <x:is>
          <x:t xml:space="preserve">theorem</x:t>
        </x:is>
      </x:c>
      <x:c r="C170" s="49" t="inlineStr">
        <x:is>
          <x:t xml:space="preserve">theophysics-lean-main\theophysics-lean-main\Theophysics_Core.lean</x:t>
        </x:is>
      </x:c>
      <x:c r="D170" s="49" t="inlineStr">
        <x:is>
          <x:t xml:space="preserve">248</x:t>
        </x:is>
      </x:c>
      <x:c r="E170" s="49" t="inlineStr">
        <x:is>
          <x:t xml:space="preserve">DECLARATION_OR_UNKNOWN</x:t>
        </x:is>
      </x:c>
      <x:c r="F170" s="49" t="inlineStr">
        <x:is>
          <x:t xml:space="preserve">PENDING_NOT_RUN</x:t>
        </x:is>
      </x:c>
      <x:c r="G170" s="49" t="inlineStr">
        <x:is>
          <x:t xml:space="preserve">NO_SORRY_OR_ADMIT_STATIC_SCAN</x:t>
        </x:is>
      </x:c>
      <x:c r="H170" s="49" t="inlineStr">
        <x:is>
          <x:t xml:space="preserve">CANONICAL_THEOREM_DEDUPED_PENDING_COMPILE</x:t>
        </x:is>
      </x:c>
      <x:c r="I170" s="49" t="inlineStr">
        <x:is>
          <x:t xml:space="preserve">3</x:t>
        </x:is>
      </x:c>
      <x:c r="L170" s="56" t="inlineStr">
        <x:is>
          <x:t xml:space="preserve">heaviside_content_loss | load_bearing_controls | variable_coupling</x:t>
        </x:is>
      </x:c>
    </x:row>
    <x:row r="171" ht="15" customHeight="1">
      <x:c r="A171" s="55" t="inlineStr">
        <x:is>
          <x:t xml:space="preserve">c1_ne_c0</x:t>
        </x:is>
      </x:c>
      <x:c r="B171" s="49" t="inlineStr">
        <x:is>
          <x:t xml:space="preserve">theorem</x:t>
        </x:is>
      </x:c>
      <x:c r="C171" s="49" t="inlineStr">
        <x:is>
          <x:t xml:space="preserve">theophysics-lean-main\theophysics-lean-main\Theophysics_Core.lean</x:t>
        </x:is>
      </x:c>
      <x:c r="D171" s="49" t="inlineStr">
        <x:is>
          <x:t xml:space="preserve">249</x:t>
        </x:is>
      </x:c>
      <x:c r="E171" s="49" t="inlineStr">
        <x:is>
          <x:t xml:space="preserve">DECLARATION_OR_UNKNOWN</x:t>
        </x:is>
      </x:c>
      <x:c r="F171" s="49" t="inlineStr">
        <x:is>
          <x:t xml:space="preserve">PENDING_NOT_RUN</x:t>
        </x:is>
      </x:c>
      <x:c r="G171" s="49" t="inlineStr">
        <x:is>
          <x:t xml:space="preserve">NO_SORRY_OR_ADMIT_STATIC_SCAN</x:t>
        </x:is>
      </x:c>
      <x:c r="H171" s="49" t="inlineStr">
        <x:is>
          <x:t xml:space="preserve">CANONICAL_THEOREM_DEDUPED_PENDING_COMPILE</x:t>
        </x:is>
      </x:c>
      <x:c r="I171" s="49" t="inlineStr">
        <x:is>
          <x:t xml:space="preserve">3</x:t>
        </x:is>
      </x:c>
      <x:c r="L171" s="56" t="inlineStr">
        <x:is>
          <x:t xml:space="preserve">heaviside_content_loss | load_bearing_controls | variable_coupling</x:t>
        </x:is>
      </x:c>
    </x:row>
    <x:row r="172" ht="15" customHeight="1">
      <x:c r="A172" s="55" t="inlineStr">
        <x:is>
          <x:t xml:space="preserve">c_is_a_factor</x:t>
        </x:is>
      </x:c>
      <x:c r="B172" s="49" t="inlineStr">
        <x:is>
          <x:t xml:space="preserve">theorem</x:t>
        </x:is>
      </x:c>
      <x:c r="C172" s="49" t="inlineStr">
        <x:is>
          <x:t xml:space="preserve">Lean-4-Proofs-main\Lean-4-Proofs-main\theophysics-lean-verification-package\narrow_product_test\NarrowProductTest\Basic.lean</x:t>
        </x:is>
      </x:c>
      <x:c r="D172" s="49" t="inlineStr">
        <x:is>
          <x:t xml:space="preserve">162</x:t>
        </x:is>
      </x:c>
      <x:c r="E172" s="49" t="inlineStr">
        <x:is>
          <x:t xml:space="preserve">WRAPPER_OR_IMPORTED</x:t>
        </x:is>
      </x:c>
      <x:c r="F172" s="49" t="inlineStr">
        <x:is>
          <x:t xml:space="preserve">PENDING_NOT_RUN</x:t>
        </x:is>
      </x:c>
      <x:c r="G172" s="49" t="inlineStr">
        <x:is>
          <x:t xml:space="preserve">NO_SORRY_OR_ADMIT_STATIC_SCAN</x:t>
        </x:is>
      </x:c>
      <x:c r="H172" s="49" t="inlineStr">
        <x:is>
          <x:t xml:space="preserve">CANONICAL_THEOREM_DEDUPED_PENDING_COMPILE</x:t>
        </x:is>
      </x:c>
      <x:c r="I172" s="49" t="inlineStr">
        <x:is>
          <x:t xml:space="preserve">1</x:t>
        </x:is>
      </x:c>
      <x:c r="L172" s="56" t="n"/>
    </x:row>
    <x:row r="173" ht="15" customHeight="1">
      <x:c r="A173" s="55" t="inlineStr">
        <x:is>
          <x:t xml:space="preserve">c_is_factor</x:t>
        </x:is>
      </x:c>
      <x:c r="B173" s="49" t="inlineStr">
        <x:is>
          <x:t xml:space="preserve">theorem</x:t>
        </x:is>
      </x:c>
      <x:c r="C173" s="49" t="inlineStr">
        <x:is>
          <x:t xml:space="preserve">Lean-4-Proofs-main\Lean-4-Proofs-main\theophysics-lean-verification-package\CorrectedEntropyKernel.lean</x:t>
        </x:is>
      </x:c>
      <x:c r="D173" s="49" t="inlineStr">
        <x:is>
          <x:t xml:space="preserve">36</x:t>
        </x:is>
      </x:c>
      <x:c r="E173" s="49" t="inlineStr">
        <x:is>
          <x:t xml:space="preserve">FINITE_DECIDABLE</x:t>
        </x:is>
      </x:c>
      <x:c r="F173" s="49" t="inlineStr">
        <x:is>
          <x:t xml:space="preserve">PENDING_NOT_RUN</x:t>
        </x:is>
      </x:c>
      <x:c r="G173" s="49" t="inlineStr">
        <x:is>
          <x:t xml:space="preserve">NO_SORRY_OR_ADMIT_STATIC_SCAN</x:t>
        </x:is>
      </x:c>
      <x:c r="H173" s="49" t="inlineStr">
        <x:is>
          <x:t xml:space="preserve">UNIQUE_THEOREM_PENDING_COMPILE</x:t>
        </x:is>
      </x:c>
      <x:c r="I173" s="49" t="inlineStr">
        <x:is>
          <x:t xml:space="preserve">0</x:t>
        </x:is>
      </x:c>
      <x:c r="L173" s="56" t="n"/>
    </x:row>
    <x:row r="174" ht="15" customHeight="1">
      <x:c r="A174" s="55" t="inlineStr">
        <x:is>
          <x:t xml:space="preserve">c_is_factor_A</x:t>
        </x:is>
      </x:c>
      <x:c r="B174" s="49" t="inlineStr">
        <x:is>
          <x:t xml:space="preserve">theorem</x:t>
        </x:is>
      </x:c>
      <x:c r="C174" s="49" t="inlineStr">
        <x:is>
          <x:t xml:space="preserve">Lean-4-Proofs-main\Lean-4-Proofs-main\theophysics-lean-verification-package\narrow_product_test\NarrowProductTest\Basic.lean</x:t>
        </x:is>
      </x:c>
      <x:c r="D174" s="49" t="inlineStr">
        <x:is>
          <x:t xml:space="preserve">13</x:t>
        </x:is>
      </x:c>
      <x:c r="E174" s="49" t="inlineStr">
        <x:is>
          <x:t xml:space="preserve">FINITE_DECIDABLE</x:t>
        </x:is>
      </x:c>
      <x:c r="F174" s="49" t="inlineStr">
        <x:is>
          <x:t xml:space="preserve">PENDING_NOT_RUN</x:t>
        </x:is>
      </x:c>
      <x:c r="G174" s="49" t="inlineStr">
        <x:is>
          <x:t xml:space="preserve">NO_SORRY_OR_ADMIT_STATIC_SCAN</x:t>
        </x:is>
      </x:c>
      <x:c r="H174" s="49" t="inlineStr">
        <x:is>
          <x:t xml:space="preserve">UNIQUE_THEOREM_PENDING_COMPILE</x:t>
        </x:is>
      </x:c>
      <x:c r="I174" s="49" t="inlineStr">
        <x:is>
          <x:t xml:space="preserve">0</x:t>
        </x:is>
      </x:c>
      <x:c r="L174" s="56" t="n"/>
    </x:row>
    <x:row r="175" ht="15" customHeight="1">
      <x:c r="A175" s="55" t="inlineStr">
        <x:is>
          <x:t xml:space="preserve">c_is_factor_B</x:t>
        </x:is>
      </x:c>
      <x:c r="B175" s="49" t="inlineStr">
        <x:is>
          <x:t xml:space="preserve">theorem</x:t>
        </x:is>
      </x:c>
      <x:c r="C175" s="49" t="inlineStr">
        <x:is>
          <x:t xml:space="preserve">Lean-4-Proofs-main\Lean-4-Proofs-main\theophysics-lean-verification-package\narrow_product_test\NarrowProductTest\Basic.lean</x:t>
        </x:is>
      </x:c>
      <x:c r="D175" s="49" t="inlineStr">
        <x:is>
          <x:t xml:space="preserve">16</x:t>
        </x:is>
      </x:c>
      <x:c r="E175" s="49" t="inlineStr">
        <x:is>
          <x:t xml:space="preserve">FINITE_DECIDABLE</x:t>
        </x:is>
      </x:c>
      <x:c r="F175" s="49" t="inlineStr">
        <x:is>
          <x:t xml:space="preserve">PENDING_NOT_RUN</x:t>
        </x:is>
      </x:c>
      <x:c r="G175" s="49" t="inlineStr">
        <x:is>
          <x:t xml:space="preserve">NO_SORRY_OR_ADMIT_STATIC_SCAN</x:t>
        </x:is>
      </x:c>
      <x:c r="H175" s="49" t="inlineStr">
        <x:is>
          <x:t xml:space="preserve">UNIQUE_THEOREM_PENDING_COMPILE</x:t>
        </x:is>
      </x:c>
      <x:c r="I175" s="49" t="inlineStr">
        <x:is>
          <x:t xml:space="preserve">0</x:t>
        </x:is>
      </x:c>
      <x:c r="L175" s="56" t="n"/>
    </x:row>
    <x:row r="176" ht="15" customHeight="1">
      <x:c r="A176" s="55" t="inlineStr">
        <x:is>
          <x:t xml:space="preserve">c_zero_kills_chi</x:t>
        </x:is>
      </x:c>
      <x:c r="B176" s="49" t="inlineStr">
        <x:is>
          <x:t xml:space="preserve">theorem</x:t>
        </x:is>
      </x:c>
      <x:c r="C176" s="49" t="inlineStr">
        <x:is>
          <x:t xml:space="preserve">theophysics-lean-main\theophysics-lean-main\Theophysics_Core.lean</x:t>
        </x:is>
      </x:c>
      <x:c r="D176" s="49" t="inlineStr">
        <x:is>
          <x:t xml:space="preserve">259</x:t>
        </x:is>
      </x:c>
      <x:c r="E176" s="49" t="inlineStr">
        <x:is>
          <x:t xml:space="preserve">DECLARATION_OR_UNKNOWN</x:t>
        </x:is>
      </x:c>
      <x:c r="F176" s="49" t="inlineStr">
        <x:is>
          <x:t xml:space="preserve">PENDING_NOT_RUN</x:t>
        </x:is>
      </x:c>
      <x:c r="G176" s="49" t="inlineStr">
        <x:is>
          <x:t xml:space="preserve">NO_SORRY_OR_ADMIT_STATIC_SCAN</x:t>
        </x:is>
      </x:c>
      <x:c r="H176" s="49" t="inlineStr">
        <x:is>
          <x:t xml:space="preserve">CANONICAL_THEOREM_DEDUPED_PENDING_COMPILE</x:t>
        </x:is>
      </x:c>
      <x:c r="I176" s="49" t="inlineStr">
        <x:is>
          <x:t xml:space="preserve">3</x:t>
        </x:is>
      </x:c>
      <x:c r="L176" s="56" t="n"/>
    </x:row>
    <x:row r="177" ht="15" customHeight="1">
      <x:c r="A177" s="55" t="inlineStr">
        <x:is>
          <x:t xml:space="preserve">canClaimPercent</x:t>
        </x:is>
      </x:c>
      <x:c r="B177" s="49" t="inlineStr">
        <x:is>
          <x:t xml:space="preserve">def</x:t>
        </x:is>
      </x:c>
      <x:c r="C177" s="49" t="inlineStr">
        <x:is>
          <x:t xml:space="preserve">theophysics-lean-main\theophysics-lean-main\Theophysics_Adversarial.lean</x:t>
        </x:is>
      </x:c>
      <x:c r="D177" s="49" t="inlineStr">
        <x:is>
          <x:t xml:space="preserve">305</x:t>
        </x:is>
      </x:c>
      <x:c r="E177" s="49" t="inlineStr">
        <x:is>
          <x:t xml:space="preserve">DECLARATION_OR_UNKNOWN</x:t>
        </x:is>
      </x:c>
      <x:c r="F177" s="49" t="inlineStr">
        <x:is>
          <x:t xml:space="preserve">PENDING_NOT_RUN</x:t>
        </x:is>
      </x:c>
      <x:c r="G177" s="49" t="inlineStr">
        <x:is>
          <x:t xml:space="preserve">NO_SORRY_OR_ADMIT_STATIC_SCAN</x:t>
        </x:is>
      </x:c>
      <x:c r="H177" s="49" t="inlineStr">
        <x:is>
          <x:t xml:space="preserve">SCAFFOLDING_NOT_PUBLIC_COUNT</x:t>
        </x:is>
      </x:c>
      <x:c r="I177" s="49" t="inlineStr">
        <x:is>
          <x:t xml:space="preserve">3</x:t>
        </x:is>
      </x:c>
      <x:c r="L177" s="56" t="n"/>
    </x:row>
    <x:row r="178" ht="15" customHeight="1">
      <x:c r="A178" s="55" t="inlineStr">
        <x:is>
          <x:t xml:space="preserve">canRestore</x:t>
        </x:is>
      </x:c>
      <x:c r="B178" s="49" t="inlineStr">
        <x:is>
          <x:t xml:space="preserve">def</x:t>
        </x:is>
      </x:c>
      <x:c r="C178" s="49" t="inlineStr">
        <x:is>
          <x:t xml:space="preserve">theophysics-lean-main\theophysics-lean-main\Theophysics_Coherence.lean</x:t>
        </x:is>
      </x:c>
      <x:c r="D178" s="49" t="inlineStr">
        <x:is>
          <x:t xml:space="preserve">123</x:t>
        </x:is>
      </x:c>
      <x:c r="E178" s="49" t="inlineStr">
        <x:is>
          <x:t xml:space="preserve">DECLARATION_OR_UNKNOWN</x:t>
        </x:is>
      </x:c>
      <x:c r="F178" s="49" t="inlineStr">
        <x:is>
          <x:t xml:space="preserve">PENDING_NOT_RUN</x:t>
        </x:is>
      </x:c>
      <x:c r="G178" s="49" t="inlineStr">
        <x:is>
          <x:t xml:space="preserve">NO_SORRY_OR_ADMIT_STATIC_SCAN</x:t>
        </x:is>
      </x:c>
      <x:c r="H178" s="49" t="inlineStr">
        <x:is>
          <x:t xml:space="preserve">SCAFFOLDING_NOT_PUBLIC_COUNT</x:t>
        </x:is>
      </x:c>
      <x:c r="I178" s="49" t="inlineStr">
        <x:is>
          <x:t xml:space="preserve">3</x:t>
        </x:is>
      </x:c>
      <x:c r="L178" s="56" t="n"/>
    </x:row>
    <x:row r="179" ht="15" customHeight="1">
      <x:c r="A179" s="55" t="inlineStr">
        <x:is>
          <x:t xml:space="preserve">canRetain</x:t>
        </x:is>
      </x:c>
      <x:c r="B179" s="49" t="inlineStr">
        <x:is>
          <x:t xml:space="preserve">def</x:t>
        </x:is>
      </x:c>
      <x:c r="C179" s="49" t="inlineStr">
        <x:is>
          <x:t xml:space="preserve">theophysics-lean-main\theophysics-lean-main\Theophysics_DeathTest.lean</x:t>
        </x:is>
      </x:c>
      <x:c r="D179" s="49" t="inlineStr">
        <x:is>
          <x:t xml:space="preserve">34</x:t>
        </x:is>
      </x:c>
      <x:c r="E179" s="49" t="inlineStr">
        <x:is>
          <x:t xml:space="preserve">DECLARATION_OR_UNKNOWN</x:t>
        </x:is>
      </x:c>
      <x:c r="F179" s="49" t="inlineStr">
        <x:is>
          <x:t xml:space="preserve">PENDING_NOT_RUN</x:t>
        </x:is>
      </x:c>
      <x:c r="G179" s="49" t="inlineStr">
        <x:is>
          <x:t xml:space="preserve">NO_SORRY_OR_ADMIT_STATIC_SCAN</x:t>
        </x:is>
      </x:c>
      <x:c r="H179" s="49" t="inlineStr">
        <x:is>
          <x:t xml:space="preserve">SCAFFOLDING_NOT_PUBLIC_COUNT</x:t>
        </x:is>
      </x:c>
      <x:c r="I179" s="49" t="inlineStr">
        <x:is>
          <x:t xml:space="preserve">0</x:t>
        </x:is>
      </x:c>
      <x:c r="L179" s="56" t="n"/>
    </x:row>
    <x:row r="180" ht="15" customHeight="1">
      <x:c r="A180" s="55" t="inlineStr">
        <x:is>
          <x:t xml:space="preserve">cannot_rescue_zero</x:t>
        </x:is>
      </x:c>
      <x:c r="B180" s="49" t="inlineStr">
        <x:is>
          <x:t xml:space="preserve">theorem</x:t>
        </x:is>
      </x:c>
      <x:c r="C180" s="49" t="inlineStr">
        <x:is>
          <x:t xml:space="preserve">Lean-4-Proofs-main\Lean-4-Proofs-main\theophysics-lean-verification-package\FruitsGraceKernel.lean</x:t>
        </x:is>
      </x:c>
      <x:c r="D180" s="49" t="inlineStr">
        <x:is>
          <x:t xml:space="preserve">155</x:t>
        </x:is>
      </x:c>
      <x:c r="E180" s="49" t="inlineStr">
        <x:is>
          <x:t xml:space="preserve">DECLARATION_OR_UNKNOWN</x:t>
        </x:is>
      </x:c>
      <x:c r="F180" s="49" t="inlineStr">
        <x:is>
          <x:t xml:space="preserve">PENDING_NOT_RUN</x:t>
        </x:is>
      </x:c>
      <x:c r="G180" s="49" t="inlineStr">
        <x:is>
          <x:t xml:space="preserve">NO_SORRY_OR_ADMIT_STATIC_SCAN</x:t>
        </x:is>
      </x:c>
      <x:c r="H180" s="49" t="inlineStr">
        <x:is>
          <x:t xml:space="preserve">CANONICAL_THEOREM_DEDUPED_PENDING_COMPILE</x:t>
        </x:is>
      </x:c>
      <x:c r="I180" s="49" t="inlineStr">
        <x:is>
          <x:t xml:space="preserve">1</x:t>
        </x:is>
      </x:c>
      <x:c r="L180" s="56" t="n"/>
    </x:row>
    <x:row r="181" ht="15" customHeight="1">
      <x:c r="A181" s="55" t="inlineStr">
        <x:is>
          <x:t xml:space="preserve">canonicalRows_all_valid</x:t>
        </x:is>
      </x:c>
      <x:c r="B181" s="49" t="inlineStr">
        <x:is>
          <x:t xml:space="preserve">theorem</x:t>
        </x:is>
      </x:c>
      <x:c r="C181" s="49" t="inlineStr">
        <x:is>
          <x:t xml:space="preserve">theophysics-lean-main\theophysics-lean-main\Theophysics_Core.lean</x:t>
        </x:is>
      </x:c>
      <x:c r="D181" s="49" t="inlineStr">
        <x:is>
          <x:t xml:space="preserve">169</x:t>
        </x:is>
      </x:c>
      <x:c r="E181" s="49" t="inlineStr">
        <x:is>
          <x:t xml:space="preserve">DECLARATION_OR_UNKNOWN</x:t>
        </x:is>
      </x:c>
      <x:c r="F181" s="49" t="inlineStr">
        <x:is>
          <x:t xml:space="preserve">PENDING_NOT_RUN</x:t>
        </x:is>
      </x:c>
      <x:c r="G181" s="49" t="inlineStr">
        <x:is>
          <x:t xml:space="preserve">NO_SORRY_OR_ADMIT_STATIC_SCAN</x:t>
        </x:is>
      </x:c>
      <x:c r="H181" s="49" t="inlineStr">
        <x:is>
          <x:t xml:space="preserve">CANONICAL_THEOREM_DEDUPED_PENDING_COMPILE</x:t>
        </x:is>
      </x:c>
      <x:c r="I181" s="49" t="inlineStr">
        <x:is>
          <x:t xml:space="preserve">7</x:t>
        </x:is>
      </x:c>
      <x:c r="J181" s="49" t="inlineStr">
        <x:is>
          <x:t xml:space="preserve">LEAN_DERIVATION_CHAIN:19</x:t>
        </x:is>
      </x:c>
      <x:c r="K181" s="49" t="inlineStr">
        <x:is>
          <x:t xml:space="preserve">All 10 canonical bridge rows pass signature validation</x:t>
        </x:is>
      </x:c>
      <x:c r="L181" s="56" t="n"/>
    </x:row>
    <x:row r="182" ht="15" customHeight="1">
      <x:c r="A182" s="55" t="inlineStr">
        <x:is>
          <x:t xml:space="preserve">canonical_substitution_preserves_signature</x:t>
        </x:is>
      </x:c>
      <x:c r="B182" s="49" t="inlineStr">
        <x:is>
          <x:t xml:space="preserve">theorem</x:t>
        </x:is>
      </x:c>
      <x:c r="C182" s="49" t="inlineStr">
        <x:is>
          <x:t xml:space="preserve">theophysics-lean-main\theophysics-lean-main\Theophysics_Core.lean</x:t>
        </x:is>
      </x:c>
      <x:c r="D182" s="49" t="inlineStr">
        <x:is>
          <x:t xml:space="preserve">184</x:t>
        </x:is>
      </x:c>
      <x:c r="E182" s="49" t="inlineStr">
        <x:is>
          <x:t xml:space="preserve">DECLARATION_OR_UNKNOWN</x:t>
        </x:is>
      </x:c>
      <x:c r="F182" s="49" t="inlineStr">
        <x:is>
          <x:t xml:space="preserve">PENDING_NOT_RUN</x:t>
        </x:is>
      </x:c>
      <x:c r="G182" s="49" t="inlineStr">
        <x:is>
          <x:t xml:space="preserve">NO_SORRY_OR_ADMIT_STATIC_SCAN</x:t>
        </x:is>
      </x:c>
      <x:c r="H182" s="49" t="inlineStr">
        <x:is>
          <x:t xml:space="preserve">CANONICAL_THEOREM_DEDUPED_PENDING_COMPILE</x:t>
        </x:is>
      </x:c>
      <x:c r="I182" s="49" t="inlineStr">
        <x:is>
          <x:t xml:space="preserve">7</x:t>
        </x:is>
      </x:c>
      <x:c r="J182" s="49" t="inlineStr">
        <x:is>
          <x:t xml:space="preserve">LEAN_DERIVATION_CHAIN:42</x:t>
        </x:is>
      </x:c>
      <x:c r="K182" s="49" t="inlineStr">
        <x:is>
          <x:t xml:space="preserve">Physical→spiritual substitution preserves signatures for all 10 factors</x:t>
        </x:is>
      </x:c>
      <x:c r="L182" s="56" t="n"/>
    </x:row>
    <x:row r="183" ht="15" customHeight="1">
      <x:c r="A183" s="55" t="inlineStr">
        <x:is>
          <x:t xml:space="preserve">canonical_substitution_row_valid</x:t>
        </x:is>
      </x:c>
      <x:c r="B183" s="49" t="inlineStr">
        <x:is>
          <x:t xml:space="preserve">theorem</x:t>
        </x:is>
      </x:c>
      <x:c r="C183" s="49" t="inlineStr">
        <x:is>
          <x:t xml:space="preserve">theophysics-lean-main\theophysics-lean-main\Theophysics_Core.lean</x:t>
        </x:is>
      </x:c>
      <x:c r="D183" s="49" t="inlineStr">
        <x:is>
          <x:t xml:space="preserve">187</x:t>
        </x:is>
      </x:c>
      <x:c r="E183" s="49" t="inlineStr">
        <x:is>
          <x:t xml:space="preserve">TRIVIAL_TRUE</x:t>
        </x:is>
      </x:c>
      <x:c r="F183" s="49" t="inlineStr">
        <x:is>
          <x:t xml:space="preserve">PENDING_NOT_RUN</x:t>
        </x:is>
      </x:c>
      <x:c r="G183" s="49" t="inlineStr">
        <x:is>
          <x:t xml:space="preserve">NO_SORRY_OR_ADMIT_STATIC_SCAN</x:t>
        </x:is>
      </x:c>
      <x:c r="H183" s="49" t="inlineStr">
        <x:is>
          <x:t xml:space="preserve">LOW_CONTENT_TRUE_NOT_PUBLIC_COUNT</x:t>
        </x:is>
      </x:c>
      <x:c r="I183" s="49" t="inlineStr">
        <x:is>
          <x:t xml:space="preserve">3</x:t>
        </x:is>
      </x:c>
      <x:c r="J183" s="49" t="inlineStr">
        <x:is>
          <x:t xml:space="preserve">LEAN_DERIVATION_CHAIN:41</x:t>
        </x:is>
      </x:c>
      <x:c r="K183" s="49" t="inlineStr">
        <x:is>
          <x:t xml:space="preserve">Every factor's canonical substitution row passes</x:t>
        </x:is>
      </x:c>
      <x:c r="L183" s="56" t="n"/>
    </x:row>
    <x:row r="184" ht="15" customHeight="1">
      <x:c r="A184" s="55" t="inlineStr">
        <x:is>
          <x:t xml:space="preserve">capacity_mono_in_truth</x:t>
        </x:is>
      </x:c>
      <x:c r="B184" s="49" t="inlineStr">
        <x:is>
          <x:t xml:space="preserve">theorem</x:t>
        </x:is>
      </x:c>
      <x:c r="C184" s="49" t="inlineStr">
        <x:is>
          <x:t xml:space="preserve">theophysics-lean-main\theophysics-lean-main\Theophysics_Canonization.lean</x:t>
        </x:is>
      </x:c>
      <x:c r="D184" s="49" t="inlineStr">
        <x:is>
          <x:t xml:space="preserve">409</x:t>
        </x:is>
      </x:c>
      <x:c r="E184" s="49" t="inlineStr">
        <x:is>
          <x:t xml:space="preserve">WRAPPER_OR_IMPORTED</x:t>
        </x:is>
      </x:c>
      <x:c r="F184" s="49" t="inlineStr">
        <x:is>
          <x:t xml:space="preserve">PENDING_NOT_RUN</x:t>
        </x:is>
      </x:c>
      <x:c r="G184" s="49" t="inlineStr">
        <x:is>
          <x:t xml:space="preserve">NO_SORRY_OR_ADMIT_STATIC_SCAN</x:t>
        </x:is>
      </x:c>
      <x:c r="H184" s="49" t="inlineStr">
        <x:is>
          <x:t xml:space="preserve">UNIQUE_THEOREM_PENDING_COMPILE</x:t>
        </x:is>
      </x:c>
      <x:c r="I184" s="49" t="inlineStr">
        <x:is>
          <x:t xml:space="preserve">0</x:t>
        </x:is>
      </x:c>
      <x:c r="J184" s="49" t="inlineStr">
        <x:is>
          <x:t xml:space="preserve">LEAN_DERIVATION_CHAIN:259</x:t>
        </x:is>
      </x:c>
      <x:c r="K184" s="49" t="inlineStr">
        <x:is>
          <x:t xml:space="preserve">More truth implies strictly more received coherence (Shannon layer)</x:t>
        </x:is>
      </x:c>
      <x:c r="L184" s="56" t="n"/>
    </x:row>
    <x:row r="185" ht="15" customHeight="1">
      <x:c r="A185" s="55" t="inlineStr">
        <x:is>
          <x:t xml:space="preserve">chainParent</x:t>
        </x:is>
      </x:c>
      <x:c r="B185" s="49" t="inlineStr">
        <x:is>
          <x:t xml:space="preserve">def</x:t>
        </x:is>
      </x:c>
      <x:c r="C185" s="49" t="inlineStr">
        <x:is>
          <x:t xml:space="preserve">theophysics-lean-main\theophysics-lean-main\Theophysics_Canonization.lean</x:t>
        </x:is>
      </x:c>
      <x:c r="D185" s="49" t="inlineStr">
        <x:is>
          <x:t xml:space="preserve">352</x:t>
        </x:is>
      </x:c>
      <x:c r="E185" s="49" t="inlineStr">
        <x:is>
          <x:t xml:space="preserve">DECLARATION_OR_UNKNOWN</x:t>
        </x:is>
      </x:c>
      <x:c r="F185" s="49" t="inlineStr">
        <x:is>
          <x:t xml:space="preserve">PENDING_NOT_RUN</x:t>
        </x:is>
      </x:c>
      <x:c r="G185" s="49" t="inlineStr">
        <x:is>
          <x:t xml:space="preserve">NO_SORRY_OR_ADMIT_STATIC_SCAN</x:t>
        </x:is>
      </x:c>
      <x:c r="H185" s="49" t="inlineStr">
        <x:is>
          <x:t xml:space="preserve">SCAFFOLDING_NOT_PUBLIC_COUNT</x:t>
        </x:is>
      </x:c>
      <x:c r="I185" s="49" t="inlineStr">
        <x:is>
          <x:t xml:space="preserve">0</x:t>
        </x:is>
      </x:c>
      <x:c r="L185" s="56" t="n"/>
    </x:row>
    <x:row r="186" ht="15" customHeight="1">
      <x:c r="A186" s="55" t="inlineStr">
        <x:is>
          <x:t xml:space="preserve">channelCollapsed</x:t>
        </x:is>
      </x:c>
      <x:c r="B186" s="49" t="inlineStr">
        <x:is>
          <x:t xml:space="preserve">def</x:t>
        </x:is>
      </x:c>
      <x:c r="C186" s="49" t="inlineStr">
        <x:is>
          <x:t xml:space="preserve">theophysics-lean-main\theophysics-lean-main\Theophysics_ChiEvaluator.lean</x:t>
        </x:is>
      </x:c>
      <x:c r="D186" s="49" t="inlineStr">
        <x:is>
          <x:t xml:space="preserve">212</x:t>
        </x:is>
      </x:c>
      <x:c r="E186" s="49" t="inlineStr">
        <x:is>
          <x:t xml:space="preserve">DECLARATION_OR_UNKNOWN</x:t>
        </x:is>
      </x:c>
      <x:c r="F186" s="49" t="inlineStr">
        <x:is>
          <x:t xml:space="preserve">PENDING_NOT_RUN</x:t>
        </x:is>
      </x:c>
      <x:c r="G186" s="49" t="inlineStr">
        <x:is>
          <x:t xml:space="preserve">NO_SORRY_OR_ADMIT_STATIC_SCAN</x:t>
        </x:is>
      </x:c>
      <x:c r="H186" s="49" t="inlineStr">
        <x:is>
          <x:t xml:space="preserve">SCAFFOLDING_NOT_PUBLIC_COUNT</x:t>
        </x:is>
      </x:c>
      <x:c r="I186" s="49" t="inlineStr">
        <x:is>
          <x:t xml:space="preserve">3</x:t>
        </x:is>
      </x:c>
      <x:c r="L186" s="56" t="n"/>
    </x:row>
    <x:row r="187" ht="15" customHeight="1">
      <x:c r="A187" s="55" t="inlineStr">
        <x:is>
          <x:t xml:space="preserve">chi</x:t>
        </x:is>
      </x:c>
      <x:c r="B187" s="49" t="inlineStr">
        <x:is>
          <x:t xml:space="preserve">def</x:t>
        </x:is>
      </x:c>
      <x:c r="C187" s="49" t="inlineStr">
        <x:is>
          <x:t xml:space="preserve">theophysics-lean-main\theophysics-lean-main\Final_Lean4_From_Excel.lean</x:t>
        </x:is>
      </x:c>
      <x:c r="D187" s="49" t="inlineStr">
        <x:is>
          <x:t xml:space="preserve">83</x:t>
        </x:is>
      </x:c>
      <x:c r="E187" s="49" t="inlineStr">
        <x:is>
          <x:t xml:space="preserve">DECLARATION_OR_UNKNOWN</x:t>
        </x:is>
      </x:c>
      <x:c r="F187" s="49" t="inlineStr">
        <x:is>
          <x:t xml:space="preserve">PENDING_NOT_RUN</x:t>
        </x:is>
      </x:c>
      <x:c r="G187" s="49" t="inlineStr">
        <x:is>
          <x:t xml:space="preserve">NO_SORRY_OR_ADMIT_STATIC_SCAN</x:t>
        </x:is>
      </x:c>
      <x:c r="H187" s="49" t="inlineStr">
        <x:is>
          <x:t xml:space="preserve">SCAFFOLDING_NOT_PUBLIC_COUNT</x:t>
        </x:is>
      </x:c>
      <x:c r="I187" s="49" t="inlineStr">
        <x:is>
          <x:t xml:space="preserve">4</x:t>
        </x:is>
      </x:c>
      <x:c r="L187" s="56" t="n"/>
    </x:row>
    <x:row r="188" ht="15" customHeight="1">
      <x:c r="A188" s="55" t="inlineStr">
        <x:is>
          <x:t xml:space="preserve">chiLocal</x:t>
        </x:is>
      </x:c>
      <x:c r="B188" s="49" t="inlineStr">
        <x:is>
          <x:t xml:space="preserve">def</x:t>
        </x:is>
      </x:c>
      <x:c r="C188" s="49" t="inlineStr">
        <x:is>
          <x:t xml:space="preserve">Lean-4-Proofs-main\Lean-4-Proofs-main\theophysics-lean-verification-package\CorrectedEntropyKernel.lean</x:t>
        </x:is>
      </x:c>
      <x:c r="D188" s="49" t="inlineStr">
        <x:is>
          <x:t xml:space="preserve">181</x:t>
        </x:is>
      </x:c>
      <x:c r="E188" s="49" t="inlineStr">
        <x:is>
          <x:t xml:space="preserve">DECLARATION_OR_UNKNOWN</x:t>
        </x:is>
      </x:c>
      <x:c r="F188" s="49" t="inlineStr">
        <x:is>
          <x:t xml:space="preserve">PENDING_NOT_RUN</x:t>
        </x:is>
      </x:c>
      <x:c r="G188" s="49" t="inlineStr">
        <x:is>
          <x:t xml:space="preserve">NO_SORRY_OR_ADMIT_STATIC_SCAN</x:t>
        </x:is>
      </x:c>
      <x:c r="H188" s="49" t="inlineStr">
        <x:is>
          <x:t xml:space="preserve">SCAFFOLDING_NOT_PUBLIC_COUNT</x:t>
        </x:is>
      </x:c>
      <x:c r="I188" s="49" t="inlineStr">
        <x:is>
          <x:t xml:space="preserve">2</x:t>
        </x:is>
      </x:c>
      <x:c r="L188" s="56" t="n"/>
    </x:row>
    <x:row r="189" ht="15" customHeight="1">
      <x:c r="A189" s="55" t="inlineStr">
        <x:is>
          <x:t xml:space="preserve">chiLocal_antitone_in_SProd</x:t>
        </x:is>
      </x:c>
      <x:c r="B189" s="49" t="inlineStr">
        <x:is>
          <x:t xml:space="preserve">theorem</x:t>
        </x:is>
      </x:c>
      <x:c r="C189" s="49" t="inlineStr">
        <x:is>
          <x:t xml:space="preserve">Lean-4-Proofs-main\Lean-4-Proofs-main\theophysics-lean-verification-package\narrow_product_test\NarrowProductTest\Basic.lean</x:t>
        </x:is>
      </x:c>
      <x:c r="D189" s="49" t="inlineStr">
        <x:is>
          <x:t xml:space="preserve">135</x:t>
        </x:is>
      </x:c>
      <x:c r="E189" s="49" t="inlineStr">
        <x:is>
          <x:t xml:space="preserve">WRAPPER_OR_IMPORTED</x:t>
        </x:is>
      </x:c>
      <x:c r="F189" s="49" t="inlineStr">
        <x:is>
          <x:t xml:space="preserve">PENDING_NOT_RUN</x:t>
        </x:is>
      </x:c>
      <x:c r="G189" s="49" t="inlineStr">
        <x:is>
          <x:t xml:space="preserve">NO_SORRY_OR_ADMIT_STATIC_SCAN</x:t>
        </x:is>
      </x:c>
      <x:c r="H189" s="49" t="inlineStr">
        <x:is>
          <x:t xml:space="preserve">CANONICAL_THEOREM_DEDUPED_PENDING_COMPILE</x:t>
        </x:is>
      </x:c>
      <x:c r="I189" s="49" t="inlineStr">
        <x:is>
          <x:t xml:space="preserve">1</x:t>
        </x:is>
      </x:c>
      <x:c r="L189" s="56" t="n"/>
    </x:row>
    <x:row r="190" ht="15" customHeight="1">
      <x:c r="A190" s="55" t="inlineStr">
        <x:is>
          <x:t xml:space="preserve">chiLocal_eq_zero_of_R_zero</x:t>
        </x:is>
      </x:c>
      <x:c r="B190" s="49" t="inlineStr">
        <x:is>
          <x:t xml:space="preserve">theorem</x:t>
        </x:is>
      </x:c>
      <x:c r="C190" s="49" t="inlineStr">
        <x:is>
          <x:t xml:space="preserve">Lean-4-Proofs-main\Lean-4-Proofs-main\theophysics-lean-verification-package\narrow_product_test\NarrowProductTest\Basic.lean</x:t>
        </x:is>
      </x:c>
      <x:c r="D190" s="49" t="inlineStr">
        <x:is>
          <x:t xml:space="preserve">62</x:t>
        </x:is>
      </x:c>
      <x:c r="E190" s="49" t="inlineStr">
        <x:is>
          <x:t xml:space="preserve">SIMPLIFICATION</x:t>
        </x:is>
      </x:c>
      <x:c r="F190" s="49" t="inlineStr">
        <x:is>
          <x:t xml:space="preserve">PENDING_NOT_RUN</x:t>
        </x:is>
      </x:c>
      <x:c r="G190" s="49" t="inlineStr">
        <x:is>
          <x:t xml:space="preserve">NO_SORRY_OR_ADMIT_STATIC_SCAN</x:t>
        </x:is>
      </x:c>
      <x:c r="H190" s="49" t="inlineStr">
        <x:is>
          <x:t xml:space="preserve">CANONICAL_THEOREM_DEDUPED_PENDING_COMPILE</x:t>
        </x:is>
      </x:c>
      <x:c r="I190" s="49" t="inlineStr">
        <x:is>
          <x:t xml:space="preserve">1</x:t>
        </x:is>
      </x:c>
      <x:c r="L190" s="56" t="n"/>
    </x:row>
    <x:row r="191" ht="15" customHeight="1">
      <x:c r="A191" s="55" t="inlineStr">
        <x:is>
          <x:t xml:space="preserve">chiLocal_eq_zero_of_any_factor_zero</x:t>
        </x:is>
      </x:c>
      <x:c r="B191" s="49" t="inlineStr">
        <x:is>
          <x:t xml:space="preserve">theorem</x:t>
        </x:is>
      </x:c>
      <x:c r="C191" s="49" t="inlineStr">
        <x:is>
          <x:t xml:space="preserve">Lean-4-Proofs-main\Lean-4-Proofs-main\theophysics-lean-verification-package\narrow_product_test\NarrowProductTest\Basic.lean</x:t>
        </x:is>
      </x:c>
      <x:c r="D191" s="49" t="inlineStr">
        <x:is>
          <x:t xml:space="preserve">68</x:t>
        </x:is>
      </x:c>
      <x:c r="E191" s="49" t="inlineStr">
        <x:is>
          <x:t xml:space="preserve">SIMPLIFICATION</x:t>
        </x:is>
      </x:c>
      <x:c r="F191" s="49" t="inlineStr">
        <x:is>
          <x:t xml:space="preserve">PENDING_NOT_RUN</x:t>
        </x:is>
      </x:c>
      <x:c r="G191" s="49" t="inlineStr">
        <x:is>
          <x:t xml:space="preserve">NO_SORRY_OR_ADMIT_STATIC_SCAN</x:t>
        </x:is>
      </x:c>
      <x:c r="H191" s="49" t="inlineStr">
        <x:is>
          <x:t xml:space="preserve">UNIQUE_THEOREM_PENDING_COMPILE</x:t>
        </x:is>
      </x:c>
      <x:c r="I191" s="49" t="inlineStr">
        <x:is>
          <x:t xml:space="preserve">0</x:t>
        </x:is>
      </x:c>
      <x:c r="L191" s="56" t="n"/>
    </x:row>
    <x:row r="192" ht="15" customHeight="1">
      <x:c r="A192" s="55" t="inlineStr">
        <x:is>
          <x:t xml:space="preserve">chiLocal_is_output</x:t>
        </x:is>
      </x:c>
      <x:c r="B192" s="49" t="inlineStr">
        <x:is>
          <x:t xml:space="preserve">theorem</x:t>
        </x:is>
      </x:c>
      <x:c r="C192" s="49" t="inlineStr">
        <x:is>
          <x:t xml:space="preserve">Lean-4-Proofs-main\Lean-4-Proofs-main\theophysics-lean-verification-package\CorrectedEntropyKernel.lean</x:t>
        </x:is>
      </x:c>
      <x:c r="D192" s="49" t="inlineStr">
        <x:is>
          <x:t xml:space="preserve">376</x:t>
        </x:is>
      </x:c>
      <x:c r="E192" s="49" t="inlineStr">
        <x:is>
          <x:t xml:space="preserve">DEFINITIONAL_RFL</x:t>
        </x:is>
      </x:c>
      <x:c r="F192" s="49" t="inlineStr">
        <x:is>
          <x:t xml:space="preserve">PENDING_NOT_RUN</x:t>
        </x:is>
      </x:c>
      <x:c r="G192" s="49" t="inlineStr">
        <x:is>
          <x:t xml:space="preserve">NO_SORRY_OR_ADMIT_STATIC_SCAN</x:t>
        </x:is>
      </x:c>
      <x:c r="H192" s="49" t="inlineStr">
        <x:is>
          <x:t xml:space="preserve">UNIQUE_THEOREM_PENDING_COMPILE</x:t>
        </x:is>
      </x:c>
      <x:c r="I192" s="49" t="inlineStr">
        <x:is>
          <x:t xml:space="preserve">0</x:t>
        </x:is>
      </x:c>
      <x:c r="L192" s="56" t="n"/>
    </x:row>
    <x:row r="193" ht="15" customHeight="1">
      <x:c r="A193" s="55" t="inlineStr">
        <x:is>
          <x:t xml:space="preserve">chiLocal_is_output_not_factor</x:t>
        </x:is>
      </x:c>
      <x:c r="B193" s="49" t="inlineStr">
        <x:is>
          <x:t xml:space="preserve">theorem</x:t>
        </x:is>
      </x:c>
      <x:c r="C193" s="49" t="inlineStr">
        <x:is>
          <x:t xml:space="preserve">Lean-4-Proofs-main\Lean-4-Proofs-main\theophysics-lean-verification-package\narrow_product_test\NarrowProductTest\Basic.lean</x:t>
        </x:is>
      </x:c>
      <x:c r="D193" s="49" t="inlineStr">
        <x:is>
          <x:t xml:space="preserve">166</x:t>
        </x:is>
      </x:c>
      <x:c r="E193" s="49" t="inlineStr">
        <x:is>
          <x:t xml:space="preserve">DEFINITIONAL_RFL</x:t>
        </x:is>
      </x:c>
      <x:c r="F193" s="49" t="inlineStr">
        <x:is>
          <x:t xml:space="preserve">PENDING_NOT_RUN</x:t>
        </x:is>
      </x:c>
      <x:c r="G193" s="49" t="inlineStr">
        <x:is>
          <x:t xml:space="preserve">NO_SORRY_OR_ADMIT_STATIC_SCAN</x:t>
        </x:is>
      </x:c>
      <x:c r="H193" s="49" t="inlineStr">
        <x:is>
          <x:t xml:space="preserve">CANONICAL_THEOREM_DEDUPED_PENDING_COMPILE</x:t>
        </x:is>
      </x:c>
      <x:c r="I193" s="49" t="inlineStr">
        <x:is>
          <x:t xml:space="preserve">1</x:t>
        </x:is>
      </x:c>
      <x:c r="L193" s="56" t="n"/>
    </x:row>
    <x:row r="194" ht="15" customHeight="1">
      <x:c r="A194" s="55" t="inlineStr">
        <x:is>
          <x:t xml:space="preserve">chiLocal_mono_in_G</x:t>
        </x:is>
      </x:c>
      <x:c r="B194" s="49" t="inlineStr">
        <x:is>
          <x:t xml:space="preserve">theorem</x:t>
        </x:is>
      </x:c>
      <x:c r="C194" s="49" t="inlineStr">
        <x:is>
          <x:t xml:space="preserve">Lean-4-Proofs-main\Lean-4-Proofs-main\theophysics-lean-verification-package\narrow_product_test\NarrowProductTest\Basic.lean</x:t>
        </x:is>
      </x:c>
      <x:c r="D194" s="49" t="inlineStr">
        <x:is>
          <x:t xml:space="preserve">110</x:t>
        </x:is>
      </x:c>
      <x:c r="E194" s="49" t="inlineStr">
        <x:is>
          <x:t xml:space="preserve">WRAPPER_OR_IMPORTED</x:t>
        </x:is>
      </x:c>
      <x:c r="F194" s="49" t="inlineStr">
        <x:is>
          <x:t xml:space="preserve">PENDING_NOT_RUN</x:t>
        </x:is>
      </x:c>
      <x:c r="G194" s="49" t="inlineStr">
        <x:is>
          <x:t xml:space="preserve">NO_SORRY_OR_ADMIT_STATIC_SCAN</x:t>
        </x:is>
      </x:c>
      <x:c r="H194" s="49" t="inlineStr">
        <x:is>
          <x:t xml:space="preserve">CANONICAL_THEOREM_DEDUPED_PENDING_COMPILE</x:t>
        </x:is>
      </x:c>
      <x:c r="I194" s="49" t="inlineStr">
        <x:is>
          <x:t xml:space="preserve">1</x:t>
        </x:is>
      </x:c>
      <x:c r="L194" s="56" t="n"/>
    </x:row>
    <x:row r="195" ht="15" customHeight="1">
      <x:c r="A195" s="55" t="inlineStr">
        <x:is>
          <x:t xml:space="preserve">chiLocal_name_not_a_factor</x:t>
        </x:is>
      </x:c>
      <x:c r="B195" s="49" t="inlineStr">
        <x:is>
          <x:t xml:space="preserve">theorem</x:t>
        </x:is>
      </x:c>
      <x:c r="C195" s="49" t="inlineStr">
        <x:is>
          <x:t xml:space="preserve">Lean-4-Proofs-main\Lean-4-Proofs-main\theophysics-lean-verification-package\narrow_product_test\NarrowProductTest\Basic.lean</x:t>
        </x:is>
      </x:c>
      <x:c r="D195" s="49" t="inlineStr">
        <x:is>
          <x:t xml:space="preserve">171</x:t>
        </x:is>
      </x:c>
      <x:c r="E195" s="49" t="inlineStr">
        <x:is>
          <x:t xml:space="preserve">WRAPPER_OR_IMPORTED</x:t>
        </x:is>
      </x:c>
      <x:c r="F195" s="49" t="inlineStr">
        <x:is>
          <x:t xml:space="preserve">PENDING_NOT_RUN</x:t>
        </x:is>
      </x:c>
      <x:c r="G195" s="49" t="inlineStr">
        <x:is>
          <x:t xml:space="preserve">NO_SORRY_OR_ADMIT_STATIC_SCAN</x:t>
        </x:is>
      </x:c>
      <x:c r="H195" s="49" t="inlineStr">
        <x:is>
          <x:t xml:space="preserve">CANONICAL_THEOREM_DEDUPED_PENDING_COMPILE</x:t>
        </x:is>
      </x:c>
      <x:c r="I195" s="49" t="inlineStr">
        <x:is>
          <x:t xml:space="preserve">1</x:t>
        </x:is>
      </x:c>
      <x:c r="L195" s="56" t="n"/>
    </x:row>
    <x:row r="196" ht="15" customHeight="1">
      <x:c r="A196" s="55" t="inlineStr">
        <x:is>
          <x:t xml:space="preserve">chiLocal_not_factor_A</x:t>
        </x:is>
      </x:c>
      <x:c r="B196" s="49" t="inlineStr">
        <x:is>
          <x:t xml:space="preserve">theorem</x:t>
        </x:is>
      </x:c>
      <x:c r="C196" s="49" t="inlineStr">
        <x:is>
          <x:t xml:space="preserve">Lean-4-Proofs-main\Lean-4-Proofs-main\theophysics-lean-verification-package\narrow_product_test\NarrowProductTest\Basic.lean</x:t>
        </x:is>
      </x:c>
      <x:c r="D196" s="49" t="inlineStr">
        <x:is>
          <x:t xml:space="preserve">19</x:t>
        </x:is>
      </x:c>
      <x:c r="E196" s="49" t="inlineStr">
        <x:is>
          <x:t xml:space="preserve">FINITE_DECIDABLE</x:t>
        </x:is>
      </x:c>
      <x:c r="F196" s="49" t="inlineStr">
        <x:is>
          <x:t xml:space="preserve">PENDING_NOT_RUN</x:t>
        </x:is>
      </x:c>
      <x:c r="G196" s="49" t="inlineStr">
        <x:is>
          <x:t xml:space="preserve">NO_SORRY_OR_ADMIT_STATIC_SCAN</x:t>
        </x:is>
      </x:c>
      <x:c r="H196" s="49" t="inlineStr">
        <x:is>
          <x:t xml:space="preserve">UNIQUE_THEOREM_PENDING_COMPILE</x:t>
        </x:is>
      </x:c>
      <x:c r="I196" s="49" t="inlineStr">
        <x:is>
          <x:t xml:space="preserve">0</x:t>
        </x:is>
      </x:c>
      <x:c r="L196" s="56" t="n"/>
    </x:row>
    <x:row r="197" ht="15" customHeight="1">
      <x:c r="A197" s="55" t="inlineStr">
        <x:is>
          <x:t xml:space="preserve">chiLocal_not_factor_B</x:t>
        </x:is>
      </x:c>
      <x:c r="B197" s="49" t="inlineStr">
        <x:is>
          <x:t xml:space="preserve">theorem</x:t>
        </x:is>
      </x:c>
      <x:c r="C197" s="49" t="inlineStr">
        <x:is>
          <x:t xml:space="preserve">Lean-4-Proofs-main\Lean-4-Proofs-main\theophysics-lean-verification-package\narrow_product_test\NarrowProductTest\Basic.lean</x:t>
        </x:is>
      </x:c>
      <x:c r="D197" s="49" t="inlineStr">
        <x:is>
          <x:t xml:space="preserve">22</x:t>
        </x:is>
      </x:c>
      <x:c r="E197" s="49" t="inlineStr">
        <x:is>
          <x:t xml:space="preserve">FINITE_DECIDABLE</x:t>
        </x:is>
      </x:c>
      <x:c r="F197" s="49" t="inlineStr">
        <x:is>
          <x:t xml:space="preserve">PENDING_NOT_RUN</x:t>
        </x:is>
      </x:c>
      <x:c r="G197" s="49" t="inlineStr">
        <x:is>
          <x:t xml:space="preserve">NO_SORRY_OR_ADMIT_STATIC_SCAN</x:t>
        </x:is>
      </x:c>
      <x:c r="H197" s="49" t="inlineStr">
        <x:is>
          <x:t xml:space="preserve">UNIQUE_THEOREM_PENDING_COMPILE</x:t>
        </x:is>
      </x:c>
      <x:c r="I197" s="49" t="inlineStr">
        <x:is>
          <x:t xml:space="preserve">0</x:t>
        </x:is>
      </x:c>
      <x:c r="L197" s="56" t="n"/>
    </x:row>
    <x:row r="198" ht="15" customHeight="1">
      <x:c r="A198" s="55" t="inlineStr">
        <x:is>
          <x:t xml:space="preserve">chiLocal_pos</x:t>
        </x:is>
      </x:c>
      <x:c r="B198" s="49" t="inlineStr">
        <x:is>
          <x:t xml:space="preserve">theorem</x:t>
        </x:is>
      </x:c>
      <x:c r="C198" s="49" t="inlineStr">
        <x:is>
          <x:t xml:space="preserve">Lean-4-Proofs-main\Lean-4-Proofs-main\theophysics-lean-verification-package\narrow_product_test\NarrowProductTest\Basic.lean</x:t>
        </x:is>
      </x:c>
      <x:c r="D198" s="49" t="inlineStr">
        <x:is>
          <x:t xml:space="preserve">91</x:t>
        </x:is>
      </x:c>
      <x:c r="E198" s="49" t="inlineStr">
        <x:is>
          <x:t xml:space="preserve">SIMPLIFICATION</x:t>
        </x:is>
      </x:c>
      <x:c r="F198" s="49" t="inlineStr">
        <x:is>
          <x:t xml:space="preserve">PENDING_NOT_RUN</x:t>
        </x:is>
      </x:c>
      <x:c r="G198" s="49" t="inlineStr">
        <x:is>
          <x:t xml:space="preserve">NO_SORRY_OR_ADMIT_STATIC_SCAN</x:t>
        </x:is>
      </x:c>
      <x:c r="H198" s="49" t="inlineStr">
        <x:is>
          <x:t xml:space="preserve">CANONICAL_THEOREM_DEDUPED_PENDING_COMPILE</x:t>
        </x:is>
      </x:c>
      <x:c r="I198" s="49" t="inlineStr">
        <x:is>
          <x:t xml:space="preserve">1</x:t>
        </x:is>
      </x:c>
      <x:c r="L198" s="56" t="n"/>
    </x:row>
    <x:row r="199" ht="15" customHeight="1">
      <x:c r="A199" s="55" t="inlineStr">
        <x:is>
          <x:t xml:space="preserve">chiRate</x:t>
        </x:is>
      </x:c>
      <x:c r="B199" s="49" t="inlineStr">
        <x:is>
          <x:t xml:space="preserve">def</x:t>
        </x:is>
      </x:c>
      <x:c r="C199" s="49" t="inlineStr">
        <x:is>
          <x:t xml:space="preserve">theophysics-lean-main\theophysics-lean-main\Theophysics_Canonization.lean</x:t>
        </x:is>
      </x:c>
      <x:c r="D199" s="49" t="inlineStr">
        <x:is>
          <x:t xml:space="preserve">195</x:t>
        </x:is>
      </x:c>
      <x:c r="E199" s="49" t="inlineStr">
        <x:is>
          <x:t xml:space="preserve">DECLARATION_OR_UNKNOWN</x:t>
        </x:is>
      </x:c>
      <x:c r="F199" s="49" t="inlineStr">
        <x:is>
          <x:t xml:space="preserve">PENDING_NOT_RUN</x:t>
        </x:is>
      </x:c>
      <x:c r="G199" s="49" t="inlineStr">
        <x:is>
          <x:t xml:space="preserve">NO_SORRY_OR_ADMIT_STATIC_SCAN</x:t>
        </x:is>
      </x:c>
      <x:c r="H199" s="49" t="inlineStr">
        <x:is>
          <x:t xml:space="preserve">SCAFFOLDING_NOT_PUBLIC_COUNT</x:t>
        </x:is>
      </x:c>
      <x:c r="I199" s="49" t="inlineStr">
        <x:is>
          <x:t xml:space="preserve">0</x:t>
        </x:is>
      </x:c>
      <x:c r="L199" s="56" t="n"/>
    </x:row>
    <x:row r="200" ht="15" customHeight="1">
      <x:c r="A200" s="55" t="inlineStr">
        <x:is>
          <x:t xml:space="preserve">chiRatio_gt_one_iff</x:t>
        </x:is>
      </x:c>
      <x:c r="B200" s="49" t="inlineStr">
        <x:is>
          <x:t xml:space="preserve">theorem</x:t>
        </x:is>
      </x:c>
      <x:c r="C200" s="49" t="inlineStr">
        <x:is>
          <x:t xml:space="preserve">theophysics-lean-main\theophysics-lean-main\Theophysics_Canonization.lean</x:t>
        </x:is>
      </x:c>
      <x:c r="D200" s="49" t="inlineStr">
        <x:is>
          <x:t xml:space="preserve">190</x:t>
        </x:is>
      </x:c>
      <x:c r="E200" s="49" t="inlineStr">
        <x:is>
          <x:t xml:space="preserve">SUBSTANTIVE_OR_CASE_PROOF</x:t>
        </x:is>
      </x:c>
      <x:c r="F200" s="49" t="inlineStr">
        <x:is>
          <x:t xml:space="preserve">PENDING_NOT_RUN</x:t>
        </x:is>
      </x:c>
      <x:c r="G200" s="49" t="inlineStr">
        <x:is>
          <x:t xml:space="preserve">NO_SORRY_OR_ADMIT_STATIC_SCAN</x:t>
        </x:is>
      </x:c>
      <x:c r="H200" s="49" t="inlineStr">
        <x:is>
          <x:t xml:space="preserve">UNIQUE_THEOREM_PENDING_COMPILE</x:t>
        </x:is>
      </x:c>
      <x:c r="I200" s="49" t="inlineStr">
        <x:is>
          <x:t xml:space="preserve">0</x:t>
        </x:is>
      </x:c>
      <x:c r="J200" s="49" t="inlineStr">
        <x:is>
          <x:t xml:space="preserve">LEAN_DERIVATION_CHAIN:251</x:t>
        </x:is>
      </x:c>
      <x:c r="K200" s="49" t="inlineStr">
        <x:is>
          <x:t xml:space="preserve">chi_ratio &gt; 1 iff G &gt; S (combat direction)</x:t>
        </x:is>
      </x:c>
      <x:c r="L200" s="56" t="n"/>
    </x:row>
    <x:row r="201" ht="15" customHeight="1">
      <x:c r="A201" s="55" t="inlineStr">
        <x:is>
          <x:t xml:space="preserve">chiViaCOpIsPlainScalarSelfMultiplication</x:t>
        </x:is>
      </x:c>
      <x:c r="B201" s="49" t="inlineStr">
        <x:is>
          <x:t xml:space="preserve">def</x:t>
        </x:is>
      </x:c>
      <x:c r="C201" s="49" t="inlineStr">
        <x:is>
          <x:t xml:space="preserve">theophysics-lean-main\theophysics-lean-main\Theophysics_Adversarial.lean</x:t>
        </x:is>
      </x:c>
      <x:c r="D201" s="49" t="inlineStr">
        <x:is>
          <x:t xml:space="preserve">271</x:t>
        </x:is>
      </x:c>
      <x:c r="E201" s="49" t="inlineStr">
        <x:is>
          <x:t xml:space="preserve">DECLARATION_OR_UNKNOWN</x:t>
        </x:is>
      </x:c>
      <x:c r="F201" s="49" t="inlineStr">
        <x:is>
          <x:t xml:space="preserve">PENDING_NOT_RUN</x:t>
        </x:is>
      </x:c>
      <x:c r="G201" s="49" t="inlineStr">
        <x:is>
          <x:t xml:space="preserve">NO_SORRY_OR_ADMIT_STATIC_SCAN</x:t>
        </x:is>
      </x:c>
      <x:c r="H201" s="49" t="inlineStr">
        <x:is>
          <x:t xml:space="preserve">SCAFFOLDING_NOT_PUBLIC_COUNT</x:t>
        </x:is>
      </x:c>
      <x:c r="I201" s="49" t="inlineStr">
        <x:is>
          <x:t xml:space="preserve">3</x:t>
        </x:is>
      </x:c>
      <x:c r="L201" s="56" t="n"/>
    </x:row>
    <x:row r="202" ht="15" customHeight="1">
      <x:c r="A202" s="55" t="inlineStr">
        <x:is>
          <x:t xml:space="preserve">chiWithC</x:t>
        </x:is>
      </x:c>
      <x:c r="B202" s="49" t="inlineStr">
        <x:is>
          <x:t xml:space="preserve">def</x:t>
        </x:is>
      </x:c>
      <x:c r="C202" s="49" t="inlineStr">
        <x:is>
          <x:t xml:space="preserve">Lean-4-Proofs-main\Lean-4-Proofs-main\theophysics-lean-verification-package\CorrectedEntropyKernel.lean</x:t>
        </x:is>
      </x:c>
      <x:c r="D202" s="49" t="inlineStr">
        <x:is>
          <x:t xml:space="preserve">211</x:t>
        </x:is>
      </x:c>
      <x:c r="E202" s="49" t="inlineStr">
        <x:is>
          <x:t xml:space="preserve">DECLARATION_OR_UNKNOWN</x:t>
        </x:is>
      </x:c>
      <x:c r="F202" s="49" t="inlineStr">
        <x:is>
          <x:t xml:space="preserve">PENDING_NOT_RUN</x:t>
        </x:is>
      </x:c>
      <x:c r="G202" s="49" t="inlineStr">
        <x:is>
          <x:t xml:space="preserve">NO_SORRY_OR_ADMIT_STATIC_SCAN</x:t>
        </x:is>
      </x:c>
      <x:c r="H202" s="49" t="inlineStr">
        <x:is>
          <x:t xml:space="preserve">SCAFFOLDING_NOT_PUBLIC_COUNT</x:t>
        </x:is>
      </x:c>
      <x:c r="I202" s="49" t="inlineStr">
        <x:is>
          <x:t xml:space="preserve">0</x:t>
        </x:is>
      </x:c>
      <x:c r="L202" s="56" t="n"/>
    </x:row>
    <x:row r="203" ht="15" customHeight="1">
      <x:c r="A203" s="55" t="inlineStr">
        <x:is>
          <x:t xml:space="preserve">chiWithC_monotone</x:t>
        </x:is>
      </x:c>
      <x:c r="B203" s="49" t="inlineStr">
        <x:is>
          <x:t xml:space="preserve">theorem</x:t>
        </x:is>
      </x:c>
      <x:c r="C203" s="49" t="inlineStr">
        <x:is>
          <x:t xml:space="preserve">Lean-4-Proofs-main\Lean-4-Proofs-main\theophysics-lean-verification-package\CorrectedEntropyKernel.lean</x:t>
        </x:is>
      </x:c>
      <x:c r="D203" s="49" t="inlineStr">
        <x:is>
          <x:t xml:space="preserve">354</x:t>
        </x:is>
      </x:c>
      <x:c r="E203" s="49" t="inlineStr">
        <x:is>
          <x:t xml:space="preserve">WRAPPER_OR_IMPORTED</x:t>
        </x:is>
      </x:c>
      <x:c r="F203" s="49" t="inlineStr">
        <x:is>
          <x:t xml:space="preserve">PENDING_NOT_RUN</x:t>
        </x:is>
      </x:c>
      <x:c r="G203" s="49" t="inlineStr">
        <x:is>
          <x:t xml:space="preserve">NO_SORRY_OR_ADMIT_STATIC_SCAN</x:t>
        </x:is>
      </x:c>
      <x:c r="H203" s="49" t="inlineStr">
        <x:is>
          <x:t xml:space="preserve">UNIQUE_THEOREM_PENDING_COMPILE</x:t>
        </x:is>
      </x:c>
      <x:c r="I203" s="49" t="inlineStr">
        <x:is>
          <x:t xml:space="preserve">0</x:t>
        </x:is>
      </x:c>
      <x:c r="L203" s="56" t="n"/>
    </x:row>
    <x:row r="204" ht="15" customHeight="1">
      <x:c r="A204" s="55" t="inlineStr">
        <x:is>
          <x:t xml:space="preserve">chiWithE</x:t>
        </x:is>
      </x:c>
      <x:c r="B204" s="49" t="inlineStr">
        <x:is>
          <x:t xml:space="preserve">def</x:t>
        </x:is>
      </x:c>
      <x:c r="C204" s="49" t="inlineStr">
        <x:is>
          <x:t xml:space="preserve">Lean-4-Proofs-main\Lean-4-Proofs-main\theophysics-lean-verification-package\CorrectedEntropyKernel.lean</x:t>
        </x:is>
      </x:c>
      <x:c r="D204" s="49" t="inlineStr">
        <x:is>
          <x:t xml:space="preserve">191</x:t>
        </x:is>
      </x:c>
      <x:c r="E204" s="49" t="inlineStr">
        <x:is>
          <x:t xml:space="preserve">DECLARATION_OR_UNKNOWN</x:t>
        </x:is>
      </x:c>
      <x:c r="F204" s="49" t="inlineStr">
        <x:is>
          <x:t xml:space="preserve">PENDING_NOT_RUN</x:t>
        </x:is>
      </x:c>
      <x:c r="G204" s="49" t="inlineStr">
        <x:is>
          <x:t xml:space="preserve">NO_SORRY_OR_ADMIT_STATIC_SCAN</x:t>
        </x:is>
      </x:c>
      <x:c r="H204" s="49" t="inlineStr">
        <x:is>
          <x:t xml:space="preserve">SCAFFOLDING_NOT_PUBLIC_COUNT</x:t>
        </x:is>
      </x:c>
      <x:c r="I204" s="49" t="inlineStr">
        <x:is>
          <x:t xml:space="preserve">0</x:t>
        </x:is>
      </x:c>
      <x:c r="L204" s="56" t="n"/>
    </x:row>
    <x:row r="205" ht="15" customHeight="1">
      <x:c r="A205" s="55" t="inlineStr">
        <x:is>
          <x:t xml:space="preserve">chiWithE_monotone</x:t>
        </x:is>
      </x:c>
      <x:c r="B205" s="49" t="inlineStr">
        <x:is>
          <x:t xml:space="preserve">theorem</x:t>
        </x:is>
      </x:c>
      <x:c r="C205" s="49" t="inlineStr">
        <x:is>
          <x:t xml:space="preserve">Lean-4-Proofs-main\Lean-4-Proofs-main\theophysics-lean-verification-package\CorrectedEntropyKernel.lean</x:t>
        </x:is>
      </x:c>
      <x:c r="D205" s="49" t="inlineStr">
        <x:is>
          <x:t xml:space="preserve">310</x:t>
        </x:is>
      </x:c>
      <x:c r="E205" s="49" t="inlineStr">
        <x:is>
          <x:t xml:space="preserve">WRAPPER_OR_IMPORTED</x:t>
        </x:is>
      </x:c>
      <x:c r="F205" s="49" t="inlineStr">
        <x:is>
          <x:t xml:space="preserve">PENDING_NOT_RUN</x:t>
        </x:is>
      </x:c>
      <x:c r="G205" s="49" t="inlineStr">
        <x:is>
          <x:t xml:space="preserve">NO_SORRY_OR_ADMIT_STATIC_SCAN</x:t>
        </x:is>
      </x:c>
      <x:c r="H205" s="49" t="inlineStr">
        <x:is>
          <x:t xml:space="preserve">UNIQUE_THEOREM_PENDING_COMPILE</x:t>
        </x:is>
      </x:c>
      <x:c r="I205" s="49" t="inlineStr">
        <x:is>
          <x:t xml:space="preserve">0</x:t>
        </x:is>
      </x:c>
      <x:c r="L205" s="56" t="n"/>
    </x:row>
    <x:row r="206" ht="15" customHeight="1">
      <x:c r="A206" s="55" t="inlineStr">
        <x:is>
          <x:t xml:space="preserve">chiWithEntropy</x:t>
        </x:is>
      </x:c>
      <x:c r="B206" s="49" t="inlineStr">
        <x:is>
          <x:t xml:space="preserve">def</x:t>
        </x:is>
      </x:c>
      <x:c r="C206" s="49" t="inlineStr">
        <x:is>
          <x:t xml:space="preserve">Lean-4-Proofs-main\Lean-4-Proofs-main\theophysics-lean-verification-package\CorrectedEntropyKernel.lean</x:t>
        </x:is>
      </x:c>
      <x:c r="D206" s="49" t="inlineStr">
        <x:is>
          <x:t xml:space="preserve">216</x:t>
        </x:is>
      </x:c>
      <x:c r="E206" s="49" t="inlineStr">
        <x:is>
          <x:t xml:space="preserve">DECLARATION_OR_UNKNOWN</x:t>
        </x:is>
      </x:c>
      <x:c r="F206" s="49" t="inlineStr">
        <x:is>
          <x:t xml:space="preserve">PENDING_NOT_RUN</x:t>
        </x:is>
      </x:c>
      <x:c r="G206" s="49" t="inlineStr">
        <x:is>
          <x:t xml:space="preserve">NO_SORRY_OR_ADMIT_STATIC_SCAN</x:t>
        </x:is>
      </x:c>
      <x:c r="H206" s="49" t="inlineStr">
        <x:is>
          <x:t xml:space="preserve">SCAFFOLDING_NOT_PUBLIC_COUNT</x:t>
        </x:is>
      </x:c>
      <x:c r="I206" s="49" t="inlineStr">
        <x:is>
          <x:t xml:space="preserve">0</x:t>
        </x:is>
      </x:c>
      <x:c r="L206" s="56" t="n"/>
    </x:row>
    <x:row r="207" ht="15" customHeight="1">
      <x:c r="A207" s="55" t="inlineStr">
        <x:is>
          <x:t xml:space="preserve">chiWithEntropy_antitone</x:t>
        </x:is>
      </x:c>
      <x:c r="B207" s="49" t="inlineStr">
        <x:is>
          <x:t xml:space="preserve">theorem</x:t>
        </x:is>
      </x:c>
      <x:c r="C207" s="49" t="inlineStr">
        <x:is>
          <x:t xml:space="preserve">Lean-4-Proofs-main\Lean-4-Proofs-main\theophysics-lean-verification-package\CorrectedEntropyKernel.lean</x:t>
        </x:is>
      </x:c>
      <x:c r="D207" s="49" t="inlineStr">
        <x:is>
          <x:t xml:space="preserve">365</x:t>
        </x:is>
      </x:c>
      <x:c r="E207" s="49" t="inlineStr">
        <x:is>
          <x:t xml:space="preserve">WRAPPER_OR_IMPORTED</x:t>
        </x:is>
      </x:c>
      <x:c r="F207" s="49" t="inlineStr">
        <x:is>
          <x:t xml:space="preserve">PENDING_NOT_RUN</x:t>
        </x:is>
      </x:c>
      <x:c r="G207" s="49" t="inlineStr">
        <x:is>
          <x:t xml:space="preserve">NO_SORRY_OR_ADMIT_STATIC_SCAN</x:t>
        </x:is>
      </x:c>
      <x:c r="H207" s="49" t="inlineStr">
        <x:is>
          <x:t xml:space="preserve">UNIQUE_THEOREM_PENDING_COMPILE</x:t>
        </x:is>
      </x:c>
      <x:c r="I207" s="49" t="inlineStr">
        <x:is>
          <x:t xml:space="preserve">0</x:t>
        </x:is>
      </x:c>
      <x:c r="L207" s="56" t="n"/>
    </x:row>
    <x:row r="208" ht="15" customHeight="1">
      <x:c r="A208" s="55" t="inlineStr">
        <x:is>
          <x:t xml:space="preserve">chiWithF</x:t>
        </x:is>
      </x:c>
      <x:c r="B208" s="49" t="inlineStr">
        <x:is>
          <x:t xml:space="preserve">def</x:t>
        </x:is>
      </x:c>
      <x:c r="C208" s="49" t="inlineStr">
        <x:is>
          <x:t xml:space="preserve">Lean-4-Proofs-main\Lean-4-Proofs-main\theophysics-lean-verification-package\CorrectedEntropyKernel.lean</x:t>
        </x:is>
      </x:c>
      <x:c r="D208" s="49" t="inlineStr">
        <x:is>
          <x:t xml:space="preserve">206</x:t>
        </x:is>
      </x:c>
      <x:c r="E208" s="49" t="inlineStr">
        <x:is>
          <x:t xml:space="preserve">DECLARATION_OR_UNKNOWN</x:t>
        </x:is>
      </x:c>
      <x:c r="F208" s="49" t="inlineStr">
        <x:is>
          <x:t xml:space="preserve">PENDING_NOT_RUN</x:t>
        </x:is>
      </x:c>
      <x:c r="G208" s="49" t="inlineStr">
        <x:is>
          <x:t xml:space="preserve">NO_SORRY_OR_ADMIT_STATIC_SCAN</x:t>
        </x:is>
      </x:c>
      <x:c r="H208" s="49" t="inlineStr">
        <x:is>
          <x:t xml:space="preserve">SCAFFOLDING_NOT_PUBLIC_COUNT</x:t>
        </x:is>
      </x:c>
      <x:c r="I208" s="49" t="inlineStr">
        <x:is>
          <x:t xml:space="preserve">0</x:t>
        </x:is>
      </x:c>
      <x:c r="L208" s="56" t="n"/>
    </x:row>
    <x:row r="209" ht="15" customHeight="1">
      <x:c r="A209" s="55" t="inlineStr">
        <x:is>
          <x:t xml:space="preserve">chiWithF_monotone</x:t>
        </x:is>
      </x:c>
      <x:c r="B209" s="49" t="inlineStr">
        <x:is>
          <x:t xml:space="preserve">theorem</x:t>
        </x:is>
      </x:c>
      <x:c r="C209" s="49" t="inlineStr">
        <x:is>
          <x:t xml:space="preserve">Lean-4-Proofs-main\Lean-4-Proofs-main\theophysics-lean-verification-package\CorrectedEntropyKernel.lean</x:t>
        </x:is>
      </x:c>
      <x:c r="D209" s="49" t="inlineStr">
        <x:is>
          <x:t xml:space="preserve">343</x:t>
        </x:is>
      </x:c>
      <x:c r="E209" s="49" t="inlineStr">
        <x:is>
          <x:t xml:space="preserve">WRAPPER_OR_IMPORTED</x:t>
        </x:is>
      </x:c>
      <x:c r="F209" s="49" t="inlineStr">
        <x:is>
          <x:t xml:space="preserve">PENDING_NOT_RUN</x:t>
        </x:is>
      </x:c>
      <x:c r="G209" s="49" t="inlineStr">
        <x:is>
          <x:t xml:space="preserve">NO_SORRY_OR_ADMIT_STATIC_SCAN</x:t>
        </x:is>
      </x:c>
      <x:c r="H209" s="49" t="inlineStr">
        <x:is>
          <x:t xml:space="preserve">UNIQUE_THEOREM_PENDING_COMPILE</x:t>
        </x:is>
      </x:c>
      <x:c r="I209" s="49" t="inlineStr">
        <x:is>
          <x:t xml:space="preserve">0</x:t>
        </x:is>
      </x:c>
      <x:c r="L209" s="56" t="n"/>
    </x:row>
    <x:row r="210" ht="15" customHeight="1">
      <x:c r="A210" s="55" t="inlineStr">
        <x:is>
          <x:t xml:space="preserve">chiWithG</x:t>
        </x:is>
      </x:c>
      <x:c r="B210" s="49" t="inlineStr">
        <x:is>
          <x:t xml:space="preserve">def</x:t>
        </x:is>
      </x:c>
      <x:c r="C210" s="49" t="inlineStr">
        <x:is>
          <x:t xml:space="preserve">Lean-4-Proofs-main\Lean-4-Proofs-main\theophysics-lean-verification-package\CorrectedEntropyKernel.lean</x:t>
        </x:is>
      </x:c>
      <x:c r="D210" s="49" t="inlineStr">
        <x:is>
          <x:t xml:space="preserve">186</x:t>
        </x:is>
      </x:c>
      <x:c r="E210" s="49" t="inlineStr">
        <x:is>
          <x:t xml:space="preserve">DECLARATION_OR_UNKNOWN</x:t>
        </x:is>
      </x:c>
      <x:c r="F210" s="49" t="inlineStr">
        <x:is>
          <x:t xml:space="preserve">PENDING_NOT_RUN</x:t>
        </x:is>
      </x:c>
      <x:c r="G210" s="49" t="inlineStr">
        <x:is>
          <x:t xml:space="preserve">NO_SORRY_OR_ADMIT_STATIC_SCAN</x:t>
        </x:is>
      </x:c>
      <x:c r="H210" s="49" t="inlineStr">
        <x:is>
          <x:t xml:space="preserve">SCAFFOLDING_NOT_PUBLIC_COUNT</x:t>
        </x:is>
      </x:c>
      <x:c r="I210" s="49" t="inlineStr">
        <x:is>
          <x:t xml:space="preserve">0</x:t>
        </x:is>
      </x:c>
      <x:c r="L210" s="56" t="n"/>
    </x:row>
    <x:row r="211" ht="15" customHeight="1">
      <x:c r="A211" s="55" t="inlineStr">
        <x:is>
          <x:t xml:space="preserve">chiWithG_monotone</x:t>
        </x:is>
      </x:c>
      <x:c r="B211" s="49" t="inlineStr">
        <x:is>
          <x:t xml:space="preserve">theorem</x:t>
        </x:is>
      </x:c>
      <x:c r="C211" s="49" t="inlineStr">
        <x:is>
          <x:t xml:space="preserve">Lean-4-Proofs-main\Lean-4-Proofs-main\theophysics-lean-verification-package\CorrectedEntropyKernel.lean</x:t>
        </x:is>
      </x:c>
      <x:c r="D211" s="49" t="inlineStr">
        <x:is>
          <x:t xml:space="preserve">299</x:t>
        </x:is>
      </x:c>
      <x:c r="E211" s="49" t="inlineStr">
        <x:is>
          <x:t xml:space="preserve">WRAPPER_OR_IMPORTED</x:t>
        </x:is>
      </x:c>
      <x:c r="F211" s="49" t="inlineStr">
        <x:is>
          <x:t xml:space="preserve">PENDING_NOT_RUN</x:t>
        </x:is>
      </x:c>
      <x:c r="G211" s="49" t="inlineStr">
        <x:is>
          <x:t xml:space="preserve">NO_SORRY_OR_ADMIT_STATIC_SCAN</x:t>
        </x:is>
      </x:c>
      <x:c r="H211" s="49" t="inlineStr">
        <x:is>
          <x:t xml:space="preserve">UNIQUE_THEOREM_PENDING_COMPILE</x:t>
        </x:is>
      </x:c>
      <x:c r="I211" s="49" t="inlineStr">
        <x:is>
          <x:t xml:space="preserve">0</x:t>
        </x:is>
      </x:c>
      <x:c r="L211" s="56" t="n"/>
    </x:row>
    <x:row r="212" ht="15" customHeight="1">
      <x:c r="A212" s="55" t="inlineStr">
        <x:is>
          <x:t xml:space="preserve">chiWithK</x:t>
        </x:is>
      </x:c>
      <x:c r="B212" s="49" t="inlineStr">
        <x:is>
          <x:t xml:space="preserve">def</x:t>
        </x:is>
      </x:c>
      <x:c r="C212" s="49" t="inlineStr">
        <x:is>
          <x:t xml:space="preserve">Lean-4-Proofs-main\Lean-4-Proofs-main\theophysics-lean-verification-package\CorrectedEntropyKernel.lean</x:t>
        </x:is>
      </x:c>
      <x:c r="D212" s="49" t="inlineStr">
        <x:is>
          <x:t xml:space="preserve">201</x:t>
        </x:is>
      </x:c>
      <x:c r="E212" s="49" t="inlineStr">
        <x:is>
          <x:t xml:space="preserve">DECLARATION_OR_UNKNOWN</x:t>
        </x:is>
      </x:c>
      <x:c r="F212" s="49" t="inlineStr">
        <x:is>
          <x:t xml:space="preserve">PENDING_NOT_RUN</x:t>
        </x:is>
      </x:c>
      <x:c r="G212" s="49" t="inlineStr">
        <x:is>
          <x:t xml:space="preserve">NO_SORRY_OR_ADMIT_STATIC_SCAN</x:t>
        </x:is>
      </x:c>
      <x:c r="H212" s="49" t="inlineStr">
        <x:is>
          <x:t xml:space="preserve">SCAFFOLDING_NOT_PUBLIC_COUNT</x:t>
        </x:is>
      </x:c>
      <x:c r="I212" s="49" t="inlineStr">
        <x:is>
          <x:t xml:space="preserve">0</x:t>
        </x:is>
      </x:c>
      <x:c r="L212" s="56" t="n"/>
    </x:row>
    <x:row r="213" ht="15" customHeight="1">
      <x:c r="A213" s="55" t="inlineStr">
        <x:is>
          <x:t xml:space="preserve">chiWithK_monotone</x:t>
        </x:is>
      </x:c>
      <x:c r="B213" s="49" t="inlineStr">
        <x:is>
          <x:t xml:space="preserve">theorem</x:t>
        </x:is>
      </x:c>
      <x:c r="C213" s="49" t="inlineStr">
        <x:is>
          <x:t xml:space="preserve">Lean-4-Proofs-main\Lean-4-Proofs-main\theophysics-lean-verification-package\CorrectedEntropyKernel.lean</x:t>
        </x:is>
      </x:c>
      <x:c r="D213" s="49" t="inlineStr">
        <x:is>
          <x:t xml:space="preserve">332</x:t>
        </x:is>
      </x:c>
      <x:c r="E213" s="49" t="inlineStr">
        <x:is>
          <x:t xml:space="preserve">WRAPPER_OR_IMPORTED</x:t>
        </x:is>
      </x:c>
      <x:c r="F213" s="49" t="inlineStr">
        <x:is>
          <x:t xml:space="preserve">PENDING_NOT_RUN</x:t>
        </x:is>
      </x:c>
      <x:c r="G213" s="49" t="inlineStr">
        <x:is>
          <x:t xml:space="preserve">NO_SORRY_OR_ADMIT_STATIC_SCAN</x:t>
        </x:is>
      </x:c>
      <x:c r="H213" s="49" t="inlineStr">
        <x:is>
          <x:t xml:space="preserve">UNIQUE_THEOREM_PENDING_COMPILE</x:t>
        </x:is>
      </x:c>
      <x:c r="I213" s="49" t="inlineStr">
        <x:is>
          <x:t xml:space="preserve">0</x:t>
        </x:is>
      </x:c>
      <x:c r="L213" s="56" t="n"/>
    </x:row>
    <x:row r="214" ht="15" customHeight="1">
      <x:c r="A214" s="55" t="inlineStr">
        <x:is>
          <x:t xml:space="preserve">chiWithT</x:t>
        </x:is>
      </x:c>
      <x:c r="B214" s="49" t="inlineStr">
        <x:is>
          <x:t xml:space="preserve">def</x:t>
        </x:is>
      </x:c>
      <x:c r="C214" s="49" t="inlineStr">
        <x:is>
          <x:t xml:space="preserve">Lean-4-Proofs-main\Lean-4-Proofs-main\theophysics-lean-verification-package\CorrectedEntropyKernel.lean</x:t>
        </x:is>
      </x:c>
      <x:c r="D214" s="49" t="inlineStr">
        <x:is>
          <x:t xml:space="preserve">196</x:t>
        </x:is>
      </x:c>
      <x:c r="E214" s="49" t="inlineStr">
        <x:is>
          <x:t xml:space="preserve">DECLARATION_OR_UNKNOWN</x:t>
        </x:is>
      </x:c>
      <x:c r="F214" s="49" t="inlineStr">
        <x:is>
          <x:t xml:space="preserve">PENDING_NOT_RUN</x:t>
        </x:is>
      </x:c>
      <x:c r="G214" s="49" t="inlineStr">
        <x:is>
          <x:t xml:space="preserve">NO_SORRY_OR_ADMIT_STATIC_SCAN</x:t>
        </x:is>
      </x:c>
      <x:c r="H214" s="49" t="inlineStr">
        <x:is>
          <x:t xml:space="preserve">SCAFFOLDING_NOT_PUBLIC_COUNT</x:t>
        </x:is>
      </x:c>
      <x:c r="I214" s="49" t="inlineStr">
        <x:is>
          <x:t xml:space="preserve">0</x:t>
        </x:is>
      </x:c>
      <x:c r="L214" s="56" t="n"/>
    </x:row>
    <x:row r="215" ht="15" customHeight="1">
      <x:c r="A215" s="55" t="inlineStr">
        <x:is>
          <x:t xml:space="preserve">chiWithT_monotone</x:t>
        </x:is>
      </x:c>
      <x:c r="B215" s="49" t="inlineStr">
        <x:is>
          <x:t xml:space="preserve">theorem</x:t>
        </x:is>
      </x:c>
      <x:c r="C215" s="49" t="inlineStr">
        <x:is>
          <x:t xml:space="preserve">Lean-4-Proofs-main\Lean-4-Proofs-main\theophysics-lean-verification-package\CorrectedEntropyKernel.lean</x:t>
        </x:is>
      </x:c>
      <x:c r="D215" s="49" t="inlineStr">
        <x:is>
          <x:t xml:space="preserve">321</x:t>
        </x:is>
      </x:c>
      <x:c r="E215" s="49" t="inlineStr">
        <x:is>
          <x:t xml:space="preserve">WRAPPER_OR_IMPORTED</x:t>
        </x:is>
      </x:c>
      <x:c r="F215" s="49" t="inlineStr">
        <x:is>
          <x:t xml:space="preserve">PENDING_NOT_RUN</x:t>
        </x:is>
      </x:c>
      <x:c r="G215" s="49" t="inlineStr">
        <x:is>
          <x:t xml:space="preserve">NO_SORRY_OR_ADMIT_STATIC_SCAN</x:t>
        </x:is>
      </x:c>
      <x:c r="H215" s="49" t="inlineStr">
        <x:is>
          <x:t xml:space="preserve">UNIQUE_THEOREM_PENDING_COMPILE</x:t>
        </x:is>
      </x:c>
      <x:c r="I215" s="49" t="inlineStr">
        <x:is>
          <x:t xml:space="preserve">0</x:t>
        </x:is>
      </x:c>
      <x:c r="L215" s="56" t="n"/>
    </x:row>
    <x:row r="216" ht="15" customHeight="1">
      <x:c r="A216" s="55" t="inlineStr">
        <x:is>
          <x:t xml:space="preserve">chi_evaluator_detects_high_signal_low_freedom</x:t>
        </x:is>
      </x:c>
      <x:c r="B216" s="49" t="inlineStr">
        <x:is>
          <x:t xml:space="preserve">theorem</x:t>
        </x:is>
      </x:c>
      <x:c r="C216" s="49" t="inlineStr">
        <x:is>
          <x:t xml:space="preserve">theophysics-lean-main\theophysics-lean-main\Theophysics_Core.lean</x:t>
        </x:is>
      </x:c>
      <x:c r="D216" s="49" t="inlineStr">
        <x:is>
          <x:t xml:space="preserve">100</x:t>
        </x:is>
      </x:c>
      <x:c r="E216" s="49" t="inlineStr">
        <x:is>
          <x:t xml:space="preserve">DECLARATION_OR_UNKNOWN</x:t>
        </x:is>
      </x:c>
      <x:c r="F216" s="49" t="inlineStr">
        <x:is>
          <x:t xml:space="preserve">PENDING_NOT_RUN</x:t>
        </x:is>
      </x:c>
      <x:c r="G216" s="49" t="inlineStr">
        <x:is>
          <x:t xml:space="preserve">NO_SORRY_OR_ADMIT_STATIC_SCAN</x:t>
        </x:is>
      </x:c>
      <x:c r="H216" s="49" t="inlineStr">
        <x:is>
          <x:t xml:space="preserve">CANONICAL_THEOREM_DEDUPED_PENDING_COMPILE</x:t>
        </x:is>
      </x:c>
      <x:c r="I216" s="49" t="inlineStr">
        <x:is>
          <x:t xml:space="preserve">3</x:t>
        </x:is>
      </x:c>
      <x:c r="L216" s="56" t="n"/>
    </x:row>
    <x:row r="217" ht="15" customHeight="1">
      <x:c r="A217" s="55" t="inlineStr">
        <x:is>
          <x:t xml:space="preserve">chi_evaluator_marker</x:t>
        </x:is>
      </x:c>
      <x:c r="B217" s="49" t="inlineStr">
        <x:is>
          <x:t xml:space="preserve">theorem</x:t>
        </x:is>
      </x:c>
      <x:c r="C217" s="49" t="inlineStr">
        <x:is>
          <x:t xml:space="preserve">theophysics-lean-main\theophysics-lean-main\Theophysics_ChiEvaluator.lean</x:t>
        </x:is>
      </x:c>
      <x:c r="D217" s="49" t="inlineStr">
        <x:is>
          <x:t xml:space="preserve">356</x:t>
        </x:is>
      </x:c>
      <x:c r="E217" s="49" t="inlineStr">
        <x:is>
          <x:t xml:space="preserve">WRAPPER_OR_IMPORTED</x:t>
        </x:is>
      </x:c>
      <x:c r="F217" s="49" t="inlineStr">
        <x:is>
          <x:t xml:space="preserve">PENDING_NOT_RUN</x:t>
        </x:is>
      </x:c>
      <x:c r="G217" s="49" t="inlineStr">
        <x:is>
          <x:t xml:space="preserve">NO_SORRY_OR_ADMIT_STATIC_SCAN</x:t>
        </x:is>
      </x:c>
      <x:c r="H217" s="49" t="inlineStr">
        <x:is>
          <x:t xml:space="preserve">CANONICAL_THEOREM_DEDUPED_PENDING_COMPILE</x:t>
        </x:is>
      </x:c>
      <x:c r="I217" s="49" t="inlineStr">
        <x:is>
          <x:t xml:space="preserve">3</x:t>
        </x:is>
      </x:c>
      <x:c r="L217" s="56" t="n"/>
    </x:row>
    <x:row r="218" ht="15" customHeight="1">
      <x:c r="A218" s="55" t="inlineStr">
        <x:is>
          <x:t xml:space="preserve">chi_evaluator_positive_gradient_marker</x:t>
        </x:is>
      </x:c>
      <x:c r="B218" s="49" t="inlineStr">
        <x:is>
          <x:t xml:space="preserve">theorem</x:t>
        </x:is>
      </x:c>
      <x:c r="C218" s="49" t="inlineStr">
        <x:is>
          <x:t xml:space="preserve">theophysics-lean-main\theophysics-lean-main\Theophysics_Core.lean</x:t>
        </x:is>
      </x:c>
      <x:c r="D218" s="49" t="inlineStr">
        <x:is>
          <x:t xml:space="preserve">103</x:t>
        </x:is>
      </x:c>
      <x:c r="E218" s="49" t="inlineStr">
        <x:is>
          <x:t xml:space="preserve">DECLARATION_OR_UNKNOWN</x:t>
        </x:is>
      </x:c>
      <x:c r="F218" s="49" t="inlineStr">
        <x:is>
          <x:t xml:space="preserve">PENDING_NOT_RUN</x:t>
        </x:is>
      </x:c>
      <x:c r="G218" s="49" t="inlineStr">
        <x:is>
          <x:t xml:space="preserve">NO_SORRY_OR_ADMIT_STATIC_SCAN</x:t>
        </x:is>
      </x:c>
      <x:c r="H218" s="49" t="inlineStr">
        <x:is>
          <x:t xml:space="preserve">CANONICAL_THEOREM_DEDUPED_PENDING_COMPILE</x:t>
        </x:is>
      </x:c>
      <x:c r="I218" s="49" t="inlineStr">
        <x:is>
          <x:t xml:space="preserve">3</x:t>
        </x:is>
      </x:c>
      <x:c r="L218" s="56" t="n"/>
    </x:row>
    <x:row r="219" ht="15" customHeight="1">
      <x:c r="A219" s="55" t="inlineStr">
        <x:is>
          <x:t xml:space="preserve">chi_evaluator_rejects_coercion_gate</x:t>
        </x:is>
      </x:c>
      <x:c r="B219" s="49" t="inlineStr">
        <x:is>
          <x:t xml:space="preserve">theorem</x:t>
        </x:is>
      </x:c>
      <x:c r="C219" s="49" t="inlineStr">
        <x:is>
          <x:t xml:space="preserve">theophysics-lean-main\theophysics-lean-main\Theophysics_Core.lean</x:t>
        </x:is>
      </x:c>
      <x:c r="D219" s="49" t="inlineStr">
        <x:is>
          <x:t xml:space="preserve">97</x:t>
        </x:is>
      </x:c>
      <x:c r="E219" s="49" t="inlineStr">
        <x:is>
          <x:t xml:space="preserve">DECLARATION_OR_UNKNOWN</x:t>
        </x:is>
      </x:c>
      <x:c r="F219" s="49" t="inlineStr">
        <x:is>
          <x:t xml:space="preserve">PENDING_NOT_RUN</x:t>
        </x:is>
      </x:c>
      <x:c r="G219" s="49" t="inlineStr">
        <x:is>
          <x:t xml:space="preserve">NO_SORRY_OR_ADMIT_STATIC_SCAN</x:t>
        </x:is>
      </x:c>
      <x:c r="H219" s="49" t="inlineStr">
        <x:is>
          <x:t xml:space="preserve">CANONICAL_THEOREM_DEDUPED_PENDING_COMPILE</x:t>
        </x:is>
      </x:c>
      <x:c r="I219" s="49" t="inlineStr">
        <x:is>
          <x:t xml:space="preserve">3</x:t>
        </x:is>
      </x:c>
      <x:c r="L219" s="56" t="n"/>
    </x:row>
    <x:row r="220" ht="15" customHeight="1">
      <x:c r="A220" s="55" t="inlineStr">
        <x:is>
          <x:t xml:space="preserve">chi_pos_of_all_pos</x:t>
        </x:is>
      </x:c>
      <x:c r="B220" s="49" t="inlineStr">
        <x:is>
          <x:t xml:space="preserve">theorem</x:t>
        </x:is>
      </x:c>
      <x:c r="C220" s="49" t="inlineStr">
        <x:is>
          <x:t xml:space="preserve">Lean-4-Proofs-main\Lean-4-Proofs-main\theophysics-lean-verification-package\CorrectedEntropyKernel.lean</x:t>
        </x:is>
      </x:c>
      <x:c r="D220" s="49" t="inlineStr">
        <x:is>
          <x:t xml:space="preserve">288</x:t>
        </x:is>
      </x:c>
      <x:c r="E220" s="49" t="inlineStr">
        <x:is>
          <x:t xml:space="preserve">WRAPPER_OR_IMPORTED</x:t>
        </x:is>
      </x:c>
      <x:c r="F220" s="49" t="inlineStr">
        <x:is>
          <x:t xml:space="preserve">PENDING_NOT_RUN</x:t>
        </x:is>
      </x:c>
      <x:c r="G220" s="49" t="inlineStr">
        <x:is>
          <x:t xml:space="preserve">NO_SORRY_OR_ADMIT_STATIC_SCAN</x:t>
        </x:is>
      </x:c>
      <x:c r="H220" s="49" t="inlineStr">
        <x:is>
          <x:t xml:space="preserve">UNIQUE_THEOREM_PENDING_COMPILE</x:t>
        </x:is>
      </x:c>
      <x:c r="I220" s="49" t="inlineStr">
        <x:is>
          <x:t xml:space="preserve">0</x:t>
        </x:is>
      </x:c>
      <x:c r="L220" s="56" t="n"/>
    </x:row>
    <x:row r="221" ht="15" customHeight="1">
      <x:c r="A221" s="55" t="inlineStr">
        <x:is>
          <x:t xml:space="preserve">chi_via_COp_converts_two_negative_burdens</x:t>
        </x:is>
      </x:c>
      <x:c r="B221" s="49" t="inlineStr">
        <x:is>
          <x:t xml:space="preserve">theorem</x:t>
        </x:is>
      </x:c>
      <x:c r="C221" s="49" t="inlineStr">
        <x:is>
          <x:t xml:space="preserve">theophysics-lean-main\theophysics-lean-main\Theophysics_Core.lean</x:t>
        </x:is>
      </x:c>
      <x:c r="D221" s="49" t="inlineStr">
        <x:is>
          <x:t xml:space="preserve">57</x:t>
        </x:is>
      </x:c>
      <x:c r="E221" s="49" t="inlineStr">
        <x:is>
          <x:t xml:space="preserve">TRIVIAL_TRUE</x:t>
        </x:is>
      </x:c>
      <x:c r="F221" s="49" t="inlineStr">
        <x:is>
          <x:t xml:space="preserve">PENDING_NOT_RUN</x:t>
        </x:is>
      </x:c>
      <x:c r="G221" s="49" t="inlineStr">
        <x:is>
          <x:t xml:space="preserve">NO_SORRY_OR_ADMIT_STATIC_SCAN</x:t>
        </x:is>
      </x:c>
      <x:c r="H221" s="49" t="inlineStr">
        <x:is>
          <x:t xml:space="preserve">LOW_CONTENT_TRUE_NOT_PUBLIC_COUNT</x:t>
        </x:is>
      </x:c>
      <x:c r="I221" s="49" t="inlineStr">
        <x:is>
          <x:t xml:space="preserve">3</x:t>
        </x:is>
      </x:c>
      <x:c r="J221" s="49" t="inlineStr">
        <x:is>
          <x:t xml:space="preserve">LEAN_DERIVATION_CHAIN:150</x:t>
        </x:is>
      </x:c>
      <x:c r="K221" s="49" t="inlineStr">
        <x:is>
          <x:t xml:space="preserve">C_op converts accumulated negative burdens into positive coherence</x:t>
        </x:is>
      </x:c>
      <x:c r="L221" s="56" t="n"/>
    </x:row>
    <x:row r="222" ht="15" customHeight="1">
      <x:c r="A222" s="55" t="inlineStr">
        <x:is>
          <x:t xml:space="preserve">chi_via_COp_is_not_plain_scalar_self_multiplication</x:t>
        </x:is>
      </x:c>
      <x:c r="B222" s="49" t="inlineStr">
        <x:is>
          <x:t xml:space="preserve">theorem</x:t>
        </x:is>
      </x:c>
      <x:c r="C222" s="49" t="inlineStr">
        <x:is>
          <x:t xml:space="preserve">theophysics-lean-main\theophysics-lean-main\Theophysics_Adversarial.lean</x:t>
        </x:is>
      </x:c>
      <x:c r="D222" s="49" t="inlineStr">
        <x:is>
          <x:t xml:space="preserve">515</x:t>
        </x:is>
      </x:c>
      <x:c r="E222" s="49" t="inlineStr">
        <x:is>
          <x:t xml:space="preserve">DEFINITIONAL_RFL</x:t>
        </x:is>
      </x:c>
      <x:c r="F222" s="49" t="inlineStr">
        <x:is>
          <x:t xml:space="preserve">PENDING_NOT_RUN</x:t>
        </x:is>
      </x:c>
      <x:c r="G222" s="49" t="inlineStr">
        <x:is>
          <x:t xml:space="preserve">NO_SORRY_OR_ADMIT_STATIC_SCAN</x:t>
        </x:is>
      </x:c>
      <x:c r="H222" s="49" t="inlineStr">
        <x:is>
          <x:t xml:space="preserve">CANONICAL_THEOREM_DEDUPED_PENDING_COMPILE</x:t>
        </x:is>
      </x:c>
      <x:c r="I222" s="49" t="inlineStr">
        <x:is>
          <x:t xml:space="preserve">3</x:t>
        </x:is>
      </x:c>
      <x:c r="J222" s="49" t="inlineStr">
        <x:is>
          <x:t xml:space="preserve">LEAN_DERIVATION_CHAIN:151</x:t>
        </x:is>
      </x:c>
      <x:c r="K222" s="49" t="inlineStr">
        <x:is>
          <x:t xml:space="preserve">REJECTION: C is NOT just another factor in the product. External integration, not scalar.</x:t>
        </x:is>
      </x:c>
      <x:c r="L222" s="56" t="n"/>
    </x:row>
    <x:row r="223" ht="15" customHeight="1">
      <x:c r="A223" s="55" t="inlineStr">
        <x:is>
          <x:t xml:space="preserve">chi_zero_if_any_factor_zero</x:t>
        </x:is>
      </x:c>
      <x:c r="B223" s="49" t="inlineStr">
        <x:is>
          <x:t xml:space="preserve">theorem</x:t>
        </x:is>
      </x:c>
      <x:c r="C223" s="49" t="inlineStr">
        <x:is>
          <x:t xml:space="preserve">Lean-4-Proofs-main\Lean-4-Proofs-main\theophysics-lean-verification-package\TheophysicsProductionKernel.lean</x:t>
        </x:is>
      </x:c>
      <x:c r="D223" s="49" t="inlineStr">
        <x:is>
          <x:t xml:space="preserve">274</x:t>
        </x:is>
      </x:c>
      <x:c r="E223" s="49" t="inlineStr">
        <x:is>
          <x:t xml:space="preserve">WRAPPER_OR_IMPORTED</x:t>
        </x:is>
      </x:c>
      <x:c r="F223" s="49" t="inlineStr">
        <x:is>
          <x:t xml:space="preserve">PENDING_NOT_RUN</x:t>
        </x:is>
      </x:c>
      <x:c r="G223" s="49" t="inlineStr">
        <x:is>
          <x:t xml:space="preserve">NO_SORRY_OR_ADMIT_STATIC_SCAN</x:t>
        </x:is>
      </x:c>
      <x:c r="H223" s="49" t="inlineStr">
        <x:is>
          <x:t xml:space="preserve">UNIQUE_THEOREM_PENDING_COMPILE</x:t>
        </x:is>
      </x:c>
      <x:c r="I223" s="49" t="inlineStr">
        <x:is>
          <x:t xml:space="preserve">0</x:t>
        </x:is>
      </x:c>
      <x:c r="L223" s="56" t="n"/>
    </x:row>
    <x:row r="224" ht="15" customHeight="1">
      <x:c r="A224" s="55" t="inlineStr">
        <x:is>
          <x:t xml:space="preserve">chi_zero_of_C_zero</x:t>
        </x:is>
      </x:c>
      <x:c r="B224" s="49" t="inlineStr">
        <x:is>
          <x:t xml:space="preserve">theorem</x:t>
        </x:is>
      </x:c>
      <x:c r="C224" s="49" t="inlineStr">
        <x:is>
          <x:t xml:space="preserve">Lean-4-Proofs-main\Lean-4-Proofs-main\theophysics-lean-verification-package\CorrectedEntropyKernel.lean</x:t>
        </x:is>
      </x:c>
      <x:c r="D224" s="49" t="inlineStr">
        <x:is>
          <x:t xml:space="preserve">276</x:t>
        </x:is>
      </x:c>
      <x:c r="E224" s="49" t="inlineStr">
        <x:is>
          <x:t xml:space="preserve">SIMPLIFICATION</x:t>
        </x:is>
      </x:c>
      <x:c r="F224" s="49" t="inlineStr">
        <x:is>
          <x:t xml:space="preserve">PENDING_NOT_RUN</x:t>
        </x:is>
      </x:c>
      <x:c r="G224" s="49" t="inlineStr">
        <x:is>
          <x:t xml:space="preserve">NO_SORRY_OR_ADMIT_STATIC_SCAN</x:t>
        </x:is>
      </x:c>
      <x:c r="H224" s="49" t="inlineStr">
        <x:is>
          <x:t xml:space="preserve">UNIQUE_THEOREM_PENDING_COMPILE</x:t>
        </x:is>
      </x:c>
      <x:c r="I224" s="49" t="inlineStr">
        <x:is>
          <x:t xml:space="preserve">0</x:t>
        </x:is>
      </x:c>
      <x:c r="L224" s="56" t="n"/>
    </x:row>
    <x:row r="225" ht="15" customHeight="1">
      <x:c r="A225" s="55" t="inlineStr">
        <x:is>
          <x:t xml:space="preserve">chi_zero_of_E_zero</x:t>
        </x:is>
      </x:c>
      <x:c r="B225" s="49" t="inlineStr">
        <x:is>
          <x:t xml:space="preserve">theorem</x:t>
        </x:is>
      </x:c>
      <x:c r="C225" s="49" t="inlineStr">
        <x:is>
          <x:t xml:space="preserve">Lean-4-Proofs-main\Lean-4-Proofs-main\theophysics-lean-verification-package\CorrectedEntropyKernel.lean</x:t>
        </x:is>
      </x:c>
      <x:c r="D225" s="49" t="inlineStr">
        <x:is>
          <x:t xml:space="preserve">246</x:t>
        </x:is>
      </x:c>
      <x:c r="E225" s="49" t="inlineStr">
        <x:is>
          <x:t xml:space="preserve">SIMPLIFICATION</x:t>
        </x:is>
      </x:c>
      <x:c r="F225" s="49" t="inlineStr">
        <x:is>
          <x:t xml:space="preserve">PENDING_NOT_RUN</x:t>
        </x:is>
      </x:c>
      <x:c r="G225" s="49" t="inlineStr">
        <x:is>
          <x:t xml:space="preserve">NO_SORRY_OR_ADMIT_STATIC_SCAN</x:t>
        </x:is>
      </x:c>
      <x:c r="H225" s="49" t="inlineStr">
        <x:is>
          <x:t xml:space="preserve">UNIQUE_THEOREM_PENDING_COMPILE</x:t>
        </x:is>
      </x:c>
      <x:c r="I225" s="49" t="inlineStr">
        <x:is>
          <x:t xml:space="preserve">0</x:t>
        </x:is>
      </x:c>
      <x:c r="L225" s="56" t="n"/>
    </x:row>
    <x:row r="226" ht="15" customHeight="1">
      <x:c r="A226" s="55" t="inlineStr">
        <x:is>
          <x:t xml:space="preserve">chi_zero_of_F_zero</x:t>
        </x:is>
      </x:c>
      <x:c r="B226" s="49" t="inlineStr">
        <x:is>
          <x:t xml:space="preserve">theorem</x:t>
        </x:is>
      </x:c>
      <x:c r="C226" s="49" t="inlineStr">
        <x:is>
          <x:t xml:space="preserve">Lean-4-Proofs-main\Lean-4-Proofs-main\theophysics-lean-verification-package\CorrectedEntropyKernel.lean</x:t>
        </x:is>
      </x:c>
      <x:c r="D226" s="49" t="inlineStr">
        <x:is>
          <x:t xml:space="preserve">270</x:t>
        </x:is>
      </x:c>
      <x:c r="E226" s="49" t="inlineStr">
        <x:is>
          <x:t xml:space="preserve">SIMPLIFICATION</x:t>
        </x:is>
      </x:c>
      <x:c r="F226" s="49" t="inlineStr">
        <x:is>
          <x:t xml:space="preserve">PENDING_NOT_RUN</x:t>
        </x:is>
      </x:c>
      <x:c r="G226" s="49" t="inlineStr">
        <x:is>
          <x:t xml:space="preserve">NO_SORRY_OR_ADMIT_STATIC_SCAN</x:t>
        </x:is>
      </x:c>
      <x:c r="H226" s="49" t="inlineStr">
        <x:is>
          <x:t xml:space="preserve">UNIQUE_THEOREM_PENDING_COMPILE</x:t>
        </x:is>
      </x:c>
      <x:c r="I226" s="49" t="inlineStr">
        <x:is>
          <x:t xml:space="preserve">0</x:t>
        </x:is>
      </x:c>
      <x:c r="L226" s="56" t="n"/>
    </x:row>
    <x:row r="227" ht="15" customHeight="1">
      <x:c r="A227" s="55" t="inlineStr">
        <x:is>
          <x:t xml:space="preserve">chi_zero_of_G_zero</x:t>
        </x:is>
      </x:c>
      <x:c r="B227" s="49" t="inlineStr">
        <x:is>
          <x:t xml:space="preserve">theorem</x:t>
        </x:is>
      </x:c>
      <x:c r="C227" s="49" t="inlineStr">
        <x:is>
          <x:t xml:space="preserve">Lean-4-Proofs-main\Lean-4-Proofs-main\theophysics-lean-verification-package\CorrectedEntropyKernel.lean</x:t>
        </x:is>
      </x:c>
      <x:c r="D227" s="49" t="inlineStr">
        <x:is>
          <x:t xml:space="preserve">234</x:t>
        </x:is>
      </x:c>
      <x:c r="E227" s="49" t="inlineStr">
        <x:is>
          <x:t xml:space="preserve">SIMPLIFICATION</x:t>
        </x:is>
      </x:c>
      <x:c r="F227" s="49" t="inlineStr">
        <x:is>
          <x:t xml:space="preserve">PENDING_NOT_RUN</x:t>
        </x:is>
      </x:c>
      <x:c r="G227" s="49" t="inlineStr">
        <x:is>
          <x:t xml:space="preserve">NO_SORRY_OR_ADMIT_STATIC_SCAN</x:t>
        </x:is>
      </x:c>
      <x:c r="H227" s="49" t="inlineStr">
        <x:is>
          <x:t xml:space="preserve">UNIQUE_THEOREM_PENDING_COMPILE</x:t>
        </x:is>
      </x:c>
      <x:c r="I227" s="49" t="inlineStr">
        <x:is>
          <x:t xml:space="preserve">0</x:t>
        </x:is>
      </x:c>
      <x:c r="L227" s="56" t="n"/>
    </x:row>
    <x:row r="228" ht="15" customHeight="1">
      <x:c r="A228" s="55" t="inlineStr">
        <x:is>
          <x:t xml:space="preserve">chi_zero_of_K_zero</x:t>
        </x:is>
      </x:c>
      <x:c r="B228" s="49" t="inlineStr">
        <x:is>
          <x:t xml:space="preserve">theorem</x:t>
        </x:is>
      </x:c>
      <x:c r="C228" s="49" t="inlineStr">
        <x:is>
          <x:t xml:space="preserve">Lean-4-Proofs-main\Lean-4-Proofs-main\theophysics-lean-verification-package\CorrectedEntropyKernel.lean</x:t>
        </x:is>
      </x:c>
      <x:c r="D228" s="49" t="inlineStr">
        <x:is>
          <x:t xml:space="preserve">258</x:t>
        </x:is>
      </x:c>
      <x:c r="E228" s="49" t="inlineStr">
        <x:is>
          <x:t xml:space="preserve">SIMPLIFICATION</x:t>
        </x:is>
      </x:c>
      <x:c r="F228" s="49" t="inlineStr">
        <x:is>
          <x:t xml:space="preserve">PENDING_NOT_RUN</x:t>
        </x:is>
      </x:c>
      <x:c r="G228" s="49" t="inlineStr">
        <x:is>
          <x:t xml:space="preserve">NO_SORRY_OR_ADMIT_STATIC_SCAN</x:t>
        </x:is>
      </x:c>
      <x:c r="H228" s="49" t="inlineStr">
        <x:is>
          <x:t xml:space="preserve">UNIQUE_THEOREM_PENDING_COMPILE</x:t>
        </x:is>
      </x:c>
      <x:c r="I228" s="49" t="inlineStr">
        <x:is>
          <x:t xml:space="preserve">0</x:t>
        </x:is>
      </x:c>
      <x:c r="L228" s="56" t="n"/>
    </x:row>
    <x:row r="229" ht="15" customHeight="1">
      <x:c r="A229" s="55" t="inlineStr">
        <x:is>
          <x:t xml:space="preserve">chi_zero_of_M_zero</x:t>
        </x:is>
      </x:c>
      <x:c r="B229" s="49" t="inlineStr">
        <x:is>
          <x:t xml:space="preserve">theorem</x:t>
        </x:is>
      </x:c>
      <x:c r="C229" s="49" t="inlineStr">
        <x:is>
          <x:t xml:space="preserve">Lean-4-Proofs-main\Lean-4-Proofs-main\theophysics-lean-verification-package\CorrectedEntropyKernel.lean</x:t>
        </x:is>
      </x:c>
      <x:c r="D229" s="49" t="inlineStr">
        <x:is>
          <x:t xml:space="preserve">240</x:t>
        </x:is>
      </x:c>
      <x:c r="E229" s="49" t="inlineStr">
        <x:is>
          <x:t xml:space="preserve">SIMPLIFICATION</x:t>
        </x:is>
      </x:c>
      <x:c r="F229" s="49" t="inlineStr">
        <x:is>
          <x:t xml:space="preserve">PENDING_NOT_RUN</x:t>
        </x:is>
      </x:c>
      <x:c r="G229" s="49" t="inlineStr">
        <x:is>
          <x:t xml:space="preserve">NO_SORRY_OR_ADMIT_STATIC_SCAN</x:t>
        </x:is>
      </x:c>
      <x:c r="H229" s="49" t="inlineStr">
        <x:is>
          <x:t xml:space="preserve">UNIQUE_THEOREM_PENDING_COMPILE</x:t>
        </x:is>
      </x:c>
      <x:c r="I229" s="49" t="inlineStr">
        <x:is>
          <x:t xml:space="preserve">0</x:t>
        </x:is>
      </x:c>
      <x:c r="L229" s="56" t="n"/>
    </x:row>
    <x:row r="230" ht="15" customHeight="1">
      <x:c r="A230" s="55" t="inlineStr">
        <x:is>
          <x:t xml:space="preserve">chi_zero_of_Q_zero</x:t>
        </x:is>
      </x:c>
      <x:c r="B230" s="49" t="inlineStr">
        <x:is>
          <x:t xml:space="preserve">theorem</x:t>
        </x:is>
      </x:c>
      <x:c r="C230" s="49" t="inlineStr">
        <x:is>
          <x:t xml:space="preserve">Lean-4-Proofs-main\Lean-4-Proofs-main\theophysics-lean-verification-package\CorrectedEntropyKernel.lean</x:t>
        </x:is>
      </x:c>
      <x:c r="D230" s="49" t="inlineStr">
        <x:is>
          <x:t xml:space="preserve">264</x:t>
        </x:is>
      </x:c>
      <x:c r="E230" s="49" t="inlineStr">
        <x:is>
          <x:t xml:space="preserve">SIMPLIFICATION</x:t>
        </x:is>
      </x:c>
      <x:c r="F230" s="49" t="inlineStr">
        <x:is>
          <x:t xml:space="preserve">PENDING_NOT_RUN</x:t>
        </x:is>
      </x:c>
      <x:c r="G230" s="49" t="inlineStr">
        <x:is>
          <x:t xml:space="preserve">NO_SORRY_OR_ADMIT_STATIC_SCAN</x:t>
        </x:is>
      </x:c>
      <x:c r="H230" s="49" t="inlineStr">
        <x:is>
          <x:t xml:space="preserve">UNIQUE_THEOREM_PENDING_COMPILE</x:t>
        </x:is>
      </x:c>
      <x:c r="I230" s="49" t="inlineStr">
        <x:is>
          <x:t xml:space="preserve">0</x:t>
        </x:is>
      </x:c>
      <x:c r="L230" s="56" t="n"/>
    </x:row>
    <x:row r="231" ht="15" customHeight="1">
      <x:c r="A231" s="55" t="inlineStr">
        <x:is>
          <x:t xml:space="preserve">chi_zero_of_R_false</x:t>
        </x:is>
      </x:c>
      <x:c r="B231" s="49" t="inlineStr">
        <x:is>
          <x:t xml:space="preserve">theorem</x:t>
        </x:is>
      </x:c>
      <x:c r="C231" s="49" t="inlineStr">
        <x:is>
          <x:t xml:space="preserve">Lean-4-Proofs-main\Lean-4-Proofs-main\theophysics-lean-verification-package\CorrectedEntropyKernel.lean</x:t>
        </x:is>
      </x:c>
      <x:c r="D231" s="49" t="inlineStr">
        <x:is>
          <x:t xml:space="preserve">282</x:t>
        </x:is>
      </x:c>
      <x:c r="E231" s="49" t="inlineStr">
        <x:is>
          <x:t xml:space="preserve">SIMPLIFICATION</x:t>
        </x:is>
      </x:c>
      <x:c r="F231" s="49" t="inlineStr">
        <x:is>
          <x:t xml:space="preserve">PENDING_NOT_RUN</x:t>
        </x:is>
      </x:c>
      <x:c r="G231" s="49" t="inlineStr">
        <x:is>
          <x:t xml:space="preserve">NO_SORRY_OR_ADMIT_STATIC_SCAN</x:t>
        </x:is>
      </x:c>
      <x:c r="H231" s="49" t="inlineStr">
        <x:is>
          <x:t xml:space="preserve">UNIQUE_THEOREM_PENDING_COMPILE</x:t>
        </x:is>
      </x:c>
      <x:c r="I231" s="49" t="inlineStr">
        <x:is>
          <x:t xml:space="preserve">0</x:t>
        </x:is>
      </x:c>
      <x:c r="L231" s="56" t="n"/>
    </x:row>
    <x:row r="232" ht="15" customHeight="1">
      <x:c r="A232" s="55" t="inlineStr">
        <x:is>
          <x:t xml:space="preserve">chi_zero_of_T_zero</x:t>
        </x:is>
      </x:c>
      <x:c r="B232" s="49" t="inlineStr">
        <x:is>
          <x:t xml:space="preserve">theorem</x:t>
        </x:is>
      </x:c>
      <x:c r="C232" s="49" t="inlineStr">
        <x:is>
          <x:t xml:space="preserve">Lean-4-Proofs-main\Lean-4-Proofs-main\theophysics-lean-verification-package\CorrectedEntropyKernel.lean</x:t>
        </x:is>
      </x:c>
      <x:c r="D232" s="49" t="inlineStr">
        <x:is>
          <x:t xml:space="preserve">252</x:t>
        </x:is>
      </x:c>
      <x:c r="E232" s="49" t="inlineStr">
        <x:is>
          <x:t xml:space="preserve">SIMPLIFICATION</x:t>
        </x:is>
      </x:c>
      <x:c r="F232" s="49" t="inlineStr">
        <x:is>
          <x:t xml:space="preserve">PENDING_NOT_RUN</x:t>
        </x:is>
      </x:c>
      <x:c r="G232" s="49" t="inlineStr">
        <x:is>
          <x:t xml:space="preserve">NO_SORRY_OR_ADMIT_STATIC_SCAN</x:t>
        </x:is>
      </x:c>
      <x:c r="H232" s="49" t="inlineStr">
        <x:is>
          <x:t xml:space="preserve">UNIQUE_THEOREM_PENDING_COMPILE</x:t>
        </x:is>
      </x:c>
      <x:c r="I232" s="49" t="inlineStr">
        <x:is>
          <x:t xml:space="preserve">0</x:t>
        </x:is>
      </x:c>
      <x:c r="L232" s="56" t="n"/>
    </x:row>
    <x:row r="233" ht="15" customHeight="1">
      <x:c r="A233" s="55" t="inlineStr">
        <x:is>
          <x:t xml:space="preserve">christ</x:t>
        </x:is>
      </x:c>
      <x:c r="B233" s="49" t="inlineStr">
        <x:is>
          <x:t xml:space="preserve">def</x:t>
        </x:is>
      </x:c>
      <x:c r="C233" s="49" t="inlineStr">
        <x:is>
          <x:t xml:space="preserve">theophysics-lean-main\theophysics-lean-main\Theophysics_DeathTest.lean</x:t>
        </x:is>
      </x:c>
      <x:c r="D233" s="49" t="inlineStr">
        <x:is>
          <x:t xml:space="preserve">51</x:t>
        </x:is>
      </x:c>
      <x:c r="E233" s="49" t="inlineStr">
        <x:is>
          <x:t xml:space="preserve">DECLARATION_OR_UNKNOWN</x:t>
        </x:is>
      </x:c>
      <x:c r="F233" s="49" t="inlineStr">
        <x:is>
          <x:t xml:space="preserve">PENDING_NOT_RUN</x:t>
        </x:is>
      </x:c>
      <x:c r="G233" s="49" t="inlineStr">
        <x:is>
          <x:t xml:space="preserve">NO_SORRY_OR_ADMIT_STATIC_SCAN</x:t>
        </x:is>
      </x:c>
      <x:c r="H233" s="49" t="inlineStr">
        <x:is>
          <x:t xml:space="preserve">SCAFFOLDING_NOT_PUBLIC_COUNT</x:t>
        </x:is>
      </x:c>
      <x:c r="I233" s="49" t="inlineStr">
        <x:is>
          <x:t xml:space="preserve">0</x:t>
        </x:is>
      </x:c>
      <x:c r="L233" s="56" t="n"/>
    </x:row>
    <x:row r="234" ht="15" customHeight="1">
      <x:c r="A234" s="55" t="inlineStr">
        <x:is>
          <x:t xml:space="preserve">christ_coherent_memory_retained</x:t>
        </x:is>
      </x:c>
      <x:c r="B234" s="49" t="inlineStr">
        <x:is>
          <x:t xml:space="preserve">theorem</x:t>
        </x:is>
      </x:c>
      <x:c r="C234" s="49" t="inlineStr">
        <x:is>
          <x:t xml:space="preserve">theophysics-lean-main\theophysics-lean-main\Theophysics_Core.lean</x:t>
        </x:is>
      </x:c>
      <x:c r="D234" s="49" t="inlineStr">
        <x:is>
          <x:t xml:space="preserve">147</x:t>
        </x:is>
      </x:c>
      <x:c r="E234" s="49" t="inlineStr">
        <x:is>
          <x:t xml:space="preserve">TRIVIAL_TRUE</x:t>
        </x:is>
      </x:c>
      <x:c r="F234" s="49" t="inlineStr">
        <x:is>
          <x:t xml:space="preserve">PENDING_NOT_RUN</x:t>
        </x:is>
      </x:c>
      <x:c r="G234" s="49" t="inlineStr">
        <x:is>
          <x:t xml:space="preserve">NO_SORRY_OR_ADMIT_STATIC_SCAN</x:t>
        </x:is>
      </x:c>
      <x:c r="H234" s="49" t="inlineStr">
        <x:is>
          <x:t xml:space="preserve">LOW_CONTENT_TRUE_NOT_PUBLIC_COUNT</x:t>
        </x:is>
      </x:c>
      <x:c r="I234" s="49" t="inlineStr">
        <x:is>
          <x:t xml:space="preserve">3</x:t>
        </x:is>
      </x:c>
      <x:c r="J234" s="49" t="inlineStr">
        <x:is>
          <x:t xml:space="preserve">LEAN_DERIVATION_CHAIN:165</x:t>
        </x:is>
      </x:c>
      <x:c r="K234" s="49" t="inlineStr">
        <x:is>
          <x:t xml:space="preserve">Recorded + Christ-coherent → retention bit = 1</x:t>
        </x:is>
      </x:c>
      <x:c r="L234" s="56" t="n"/>
    </x:row>
    <x:row r="235" ht="15" customHeight="1">
      <x:c r="A235" s="55" t="inlineStr">
        <x:is>
          <x:t xml:space="preserve">christ_is_unique_perfect_coherence_fixed_point</x:t>
        </x:is>
      </x:c>
      <x:c r="B235" s="49" t="inlineStr">
        <x:is>
          <x:t xml:space="preserve">theorem</x:t>
        </x:is>
      </x:c>
      <x:c r="C235" s="49" t="inlineStr">
        <x:is>
          <x:t xml:space="preserve">theophysics-lean-main\theophysics-lean-main\Theophysics_Canonization.lean</x:t>
        </x:is>
      </x:c>
      <x:c r="D235" s="49" t="inlineStr">
        <x:is>
          <x:t xml:space="preserve">570</x:t>
        </x:is>
      </x:c>
      <x:c r="E235" s="49" t="inlineStr">
        <x:is>
          <x:t xml:space="preserve">SUBSTANTIVE_OR_CASE_PROOF</x:t>
        </x:is>
      </x:c>
      <x:c r="F235" s="49" t="inlineStr">
        <x:is>
          <x:t xml:space="preserve">PENDING_NOT_RUN</x:t>
        </x:is>
      </x:c>
      <x:c r="G235" s="49" t="inlineStr">
        <x:is>
          <x:t xml:space="preserve">NO_SORRY_OR_ADMIT_STATIC_SCAN</x:t>
        </x:is>
      </x:c>
      <x:c r="H235" s="49" t="inlineStr">
        <x:is>
          <x:t xml:space="preserve">UNIQUE_THEOREM_PENDING_COMPILE</x:t>
        </x:is>
      </x:c>
      <x:c r="I235" s="49" t="inlineStr">
        <x:is>
          <x:t xml:space="preserve">0</x:t>
        </x:is>
      </x:c>
      <x:c r="J235" s="49" t="inlineStr">
        <x:is>
          <x:t xml:space="preserve">LEAN_DERIVATION_CHAIN:272</x:t>
        </x:is>
      </x:c>
      <x:c r="K235" s="49" t="inlineStr">
        <x:is>
          <x:t xml:space="preserve">All perfect-coherence profiles agree (definitional agreement)</x:t>
        </x:is>
      </x:c>
      <x:c r="L235" s="56" t="n"/>
    </x:row>
    <x:row r="236" ht="15" customHeight="1">
      <x:c r="A236" s="55" t="inlineStr">
        <x:is>
          <x:t xml:space="preserve">christ_marker_passes</x:t>
        </x:is>
      </x:c>
      <x:c r="B236" s="49" t="inlineStr">
        <x:is>
          <x:t xml:space="preserve">theorem</x:t>
        </x:is>
      </x:c>
      <x:c r="C236" s="49" t="inlineStr">
        <x:is>
          <x:t xml:space="preserve">theophysics-lean-main\theophysics-lean-main\Theophysics_GodTest.lean</x:t>
        </x:is>
      </x:c>
      <x:c r="D236" s="49" t="inlineStr">
        <x:is>
          <x:t xml:space="preserve">218</x:t>
        </x:is>
      </x:c>
      <x:c r="E236" s="49" t="inlineStr">
        <x:is>
          <x:t xml:space="preserve">DEFINITIONAL_RFL</x:t>
        </x:is>
      </x:c>
      <x:c r="F236" s="49" t="inlineStr">
        <x:is>
          <x:t xml:space="preserve">PENDING_NOT_RUN</x:t>
        </x:is>
      </x:c>
      <x:c r="G236" s="49" t="inlineStr">
        <x:is>
          <x:t xml:space="preserve">NO_SORRY_OR_ADMIT_STATIC_SCAN</x:t>
        </x:is>
      </x:c>
      <x:c r="H236" s="49" t="inlineStr">
        <x:is>
          <x:t xml:space="preserve">UNIQUE_THEOREM_PENDING_COMPILE</x:t>
        </x:is>
      </x:c>
      <x:c r="I236" s="49" t="inlineStr">
        <x:is>
          <x:t xml:space="preserve">0</x:t>
        </x:is>
      </x:c>
      <x:c r="L236" s="56" t="n"/>
    </x:row>
    <x:row r="237" ht="15" customHeight="1">
      <x:c r="A237" s="55" t="inlineStr">
        <x:is>
          <x:t xml:space="preserve">christ_must_be_released</x:t>
        </x:is>
      </x:c>
      <x:c r="B237" s="49" t="inlineStr">
        <x:is>
          <x:t xml:space="preserve">theorem</x:t>
        </x:is>
      </x:c>
      <x:c r="C237" s="49" t="inlineStr">
        <x:is>
          <x:t xml:space="preserve">theophysics-lean-main\theophysics-lean-main\Theophysics_DeathTest.lean</x:t>
        </x:is>
      </x:c>
      <x:c r="D237" s="49" t="inlineStr">
        <x:is>
          <x:t xml:space="preserve">92</x:t>
        </x:is>
      </x:c>
      <x:c r="E237" s="49" t="inlineStr">
        <x:is>
          <x:t xml:space="preserve">DEFINITIONAL_RFL</x:t>
        </x:is>
      </x:c>
      <x:c r="F237" s="49" t="inlineStr">
        <x:is>
          <x:t xml:space="preserve">PENDING_NOT_RUN</x:t>
        </x:is>
      </x:c>
      <x:c r="G237" s="49" t="inlineStr">
        <x:is>
          <x:t xml:space="preserve">NO_SORRY_OR_ADMIT_STATIC_SCAN</x:t>
        </x:is>
      </x:c>
      <x:c r="H237" s="49" t="inlineStr">
        <x:is>
          <x:t xml:space="preserve">UNIQUE_THEOREM_PENDING_COMPILE</x:t>
        </x:is>
      </x:c>
      <x:c r="I237" s="49" t="inlineStr">
        <x:is>
          <x:t xml:space="preserve">0</x:t>
        </x:is>
      </x:c>
      <x:c r="L237" s="56" t="n"/>
    </x:row>
    <x:row r="238" ht="15" customHeight="1">
      <x:c r="A238" s="55" t="inlineStr">
        <x:is>
          <x:t xml:space="preserve">christ_profile_is_stationary</x:t>
        </x:is>
      </x:c>
      <x:c r="B238" s="49" t="inlineStr">
        <x:is>
          <x:t xml:space="preserve">theorem</x:t>
        </x:is>
      </x:c>
      <x:c r="C238" s="49" t="inlineStr">
        <x:is>
          <x:t xml:space="preserve">theophysics-lean-main\theophysics-lean-main\Theophysics_Canonization.lean</x:t>
        </x:is>
      </x:c>
      <x:c r="D238" s="49" t="inlineStr">
        <x:is>
          <x:t xml:space="preserve">511</x:t>
        </x:is>
      </x:c>
      <x:c r="E238" s="49" t="inlineStr">
        <x:is>
          <x:t xml:space="preserve">SUBSTANTIVE_OR_CASE_PROOF</x:t>
        </x:is>
      </x:c>
      <x:c r="F238" s="49" t="inlineStr">
        <x:is>
          <x:t xml:space="preserve">PENDING_NOT_RUN</x:t>
        </x:is>
      </x:c>
      <x:c r="G238" s="49" t="inlineStr">
        <x:is>
          <x:t xml:space="preserve">NO_SORRY_OR_ADMIT_STATIC_SCAN</x:t>
        </x:is>
      </x:c>
      <x:c r="H238" s="49" t="inlineStr">
        <x:is>
          <x:t xml:space="preserve">UNIQUE_THEOREM_PENDING_COMPILE</x:t>
        </x:is>
      </x:c>
      <x:c r="I238" s="49" t="inlineStr">
        <x:is>
          <x:t xml:space="preserve">0</x:t>
        </x:is>
      </x:c>
      <x:c r="J238" s="49" t="inlineStr">
        <x:is>
          <x:t xml:space="preserve">LEAN_DERIVATION_CHAIN:268</x:t>
        </x:is>
      </x:c>
      <x:c r="K238" s="49" t="inlineStr">
        <x:is>
          <x:t xml:space="preserve">C=1, S=0 implies rate = 0 for every grace flux (fixed point)</x:t>
        </x:is>
      </x:c>
      <x:c r="L238" s="56" t="n"/>
    </x:row>
    <x:row r="239" ht="15" customHeight="1">
      <x:c r="A239" s="55" t="inlineStr">
        <x:is>
          <x:t xml:space="preserve">christic_conversion_turns_negative_burden_positive</x:t>
        </x:is>
      </x:c>
      <x:c r="B239" s="49" t="inlineStr">
        <x:is>
          <x:t xml:space="preserve">theorem</x:t>
        </x:is>
      </x:c>
      <x:c r="C239" s="49" t="inlineStr">
        <x:is>
          <x:t xml:space="preserve">theophysics-lean-main\theophysics-lean-main\Theophysics_Core.lean</x:t>
        </x:is>
      </x:c>
      <x:c r="D239" s="49" t="inlineStr">
        <x:is>
          <x:t xml:space="preserve">46</x:t>
        </x:is>
      </x:c>
      <x:c r="E239" s="49" t="inlineStr">
        <x:is>
          <x:t xml:space="preserve">TRIVIAL_TRUE</x:t>
        </x:is>
      </x:c>
      <x:c r="F239" s="49" t="inlineStr">
        <x:is>
          <x:t xml:space="preserve">PENDING_NOT_RUN</x:t>
        </x:is>
      </x:c>
      <x:c r="G239" s="49" t="inlineStr">
        <x:is>
          <x:t xml:space="preserve">NO_SORRY_OR_ADMIT_STATIC_SCAN</x:t>
        </x:is>
      </x:c>
      <x:c r="H239" s="49" t="inlineStr">
        <x:is>
          <x:t xml:space="preserve">LOW_CONTENT_TRUE_NOT_PUBLIC_COUNT</x:t>
        </x:is>
      </x:c>
      <x:c r="I239" s="49" t="inlineStr">
        <x:is>
          <x:t xml:space="preserve">3</x:t>
        </x:is>
      </x:c>
      <x:c r="J239" s="49" t="inlineStr">
        <x:is>
          <x:t xml:space="preserve">LEAN_DERIVATION_CHAIN:134</x:t>
        </x:is>
      </x:c>
      <x:c r="K239" s="49" t="inlineStr">
        <x:is>
          <x:t xml:space="preserve">External Christic conversion: negative → positive</x:t>
        </x:is>
      </x:c>
      <x:c r="L239" s="56" t="n"/>
    </x:row>
    <x:row r="240" ht="15" customHeight="1">
      <x:c r="A240" s="55" t="inlineStr">
        <x:is>
          <x:t xml:space="preserve">christic_conversion_turns_neutral_burden_positive</x:t>
        </x:is>
      </x:c>
      <x:c r="B240" s="49" t="inlineStr">
        <x:is>
          <x:t xml:space="preserve">theorem</x:t>
        </x:is>
      </x:c>
      <x:c r="C240" s="49" t="inlineStr">
        <x:is>
          <x:t xml:space="preserve">theophysics-lean-main\theophysics-lean-main\Theophysics_Core.lean</x:t>
        </x:is>
      </x:c>
      <x:c r="D240" s="49" t="inlineStr">
        <x:is>
          <x:t xml:space="preserve">47</x:t>
        </x:is>
      </x:c>
      <x:c r="E240" s="49" t="inlineStr">
        <x:is>
          <x:t xml:space="preserve">TRIVIAL_TRUE</x:t>
        </x:is>
      </x:c>
      <x:c r="F240" s="49" t="inlineStr">
        <x:is>
          <x:t xml:space="preserve">PENDING_NOT_RUN</x:t>
        </x:is>
      </x:c>
      <x:c r="G240" s="49" t="inlineStr">
        <x:is>
          <x:t xml:space="preserve">NO_SORRY_OR_ADMIT_STATIC_SCAN</x:t>
        </x:is>
      </x:c>
      <x:c r="H240" s="49" t="inlineStr">
        <x:is>
          <x:t xml:space="preserve">LOW_CONTENT_TRUE_NOT_PUBLIC_COUNT</x:t>
        </x:is>
      </x:c>
      <x:c r="I240" s="49" t="inlineStr">
        <x:is>
          <x:t xml:space="preserve">3</x:t>
        </x:is>
      </x:c>
      <x:c r="J240" s="49" t="inlineStr">
        <x:is>
          <x:t xml:space="preserve">LEAN_DERIVATION_CHAIN:135</x:t>
        </x:is>
      </x:c>
      <x:c r="K240" s="49" t="inlineStr">
        <x:is>
          <x:t xml:space="preserve">Christic conversion: neutral → positive</x:t>
        </x:is>
      </x:c>
      <x:c r="L240" s="56" t="n"/>
    </x:row>
    <x:row r="241" ht="15" customHeight="1">
      <x:c r="A241" s="55" t="inlineStr">
        <x:is>
          <x:t xml:space="preserve">closedEightOfTen</x:t>
        </x:is>
      </x:c>
      <x:c r="B241" s="49" t="inlineStr">
        <x:is>
          <x:t xml:space="preserve">def</x:t>
        </x:is>
      </x:c>
      <x:c r="C241" s="49" t="inlineStr">
        <x:is>
          <x:t xml:space="preserve">theophysics-lean-main\theophysics-lean-main\Theophysics_Adversarial.lean</x:t>
        </x:is>
      </x:c>
      <x:c r="D241" s="49" t="inlineStr">
        <x:is>
          <x:t xml:space="preserve">312</x:t>
        </x:is>
      </x:c>
      <x:c r="E241" s="49" t="inlineStr">
        <x:is>
          <x:t xml:space="preserve">DECLARATION_OR_UNKNOWN</x:t>
        </x:is>
      </x:c>
      <x:c r="F241" s="49" t="inlineStr">
        <x:is>
          <x:t xml:space="preserve">PENDING_NOT_RUN</x:t>
        </x:is>
      </x:c>
      <x:c r="G241" s="49" t="inlineStr">
        <x:is>
          <x:t xml:space="preserve">NO_SORRY_OR_ADMIT_STATIC_SCAN</x:t>
        </x:is>
      </x:c>
      <x:c r="H241" s="49" t="inlineStr">
        <x:is>
          <x:t xml:space="preserve">SCAFFOLDING_NOT_PUBLIC_COUNT</x:t>
        </x:is>
      </x:c>
      <x:c r="I241" s="49" t="inlineStr">
        <x:is>
          <x:t xml:space="preserve">3</x:t>
        </x:is>
      </x:c>
      <x:c r="L241" s="56" t="n"/>
    </x:row>
    <x:row r="242" ht="15" customHeight="1">
      <x:c r="A242" s="55" t="inlineStr">
        <x:is>
          <x:t xml:space="preserve">closedEightOfTen_attempt_count</x:t>
        </x:is>
      </x:c>
      <x:c r="B242" s="49" t="inlineStr">
        <x:is>
          <x:t xml:space="preserve">theorem</x:t>
        </x:is>
      </x:c>
      <x:c r="C242" s="49" t="inlineStr">
        <x:is>
          <x:t xml:space="preserve">theophysics-lean-main\theophysics-lean-main\Theophysics_Core.lean</x:t>
        </x:is>
      </x:c>
      <x:c r="D242" s="49" t="inlineStr">
        <x:is>
          <x:t xml:space="preserve">160</x:t>
        </x:is>
      </x:c>
      <x:c r="E242" s="49" t="inlineStr">
        <x:is>
          <x:t xml:space="preserve">TRIVIAL_TRUE</x:t>
        </x:is>
      </x:c>
      <x:c r="F242" s="49" t="inlineStr">
        <x:is>
          <x:t xml:space="preserve">PENDING_NOT_RUN</x:t>
        </x:is>
      </x:c>
      <x:c r="G242" s="49" t="inlineStr">
        <x:is>
          <x:t xml:space="preserve">NO_SORRY_OR_ADMIT_STATIC_SCAN</x:t>
        </x:is>
      </x:c>
      <x:c r="H242" s="49" t="inlineStr">
        <x:is>
          <x:t xml:space="preserve">LOW_CONTENT_TRUE_NOT_PUBLIC_COUNT</x:t>
        </x:is>
      </x:c>
      <x:c r="I242" s="49" t="inlineStr">
        <x:is>
          <x:t xml:space="preserve">3</x:t>
        </x:is>
      </x:c>
      <x:c r="J242" s="49" t="inlineStr">
        <x:is>
          <x:t xml:space="preserve">LEAN_DERIVATION_CHAIN:195</x:t>
        </x:is>
      </x:c>
      <x:c r="K242" s="49" t="inlineStr">
        <x:is>
          <x:t xml:space="preserve">10 attempts logged</x:t>
        </x:is>
      </x:c>
      <x:c r="L242" s="56" t="n"/>
    </x:row>
    <x:row r="243" ht="15" customHeight="1">
      <x:c r="A243" s="55" t="inlineStr">
        <x:is>
          <x:t xml:space="preserve">closedEightOfTen_can_claim_80_percent</x:t>
        </x:is>
      </x:c>
      <x:c r="B243" s="49" t="inlineStr">
        <x:is>
          <x:t xml:space="preserve">theorem</x:t>
        </x:is>
      </x:c>
      <x:c r="C243" s="49" t="inlineStr">
        <x:is>
          <x:t xml:space="preserve">theophysics-lean-main\theophysics-lean-main\Theophysics_Core.lean</x:t>
        </x:is>
      </x:c>
      <x:c r="D243" s="49" t="inlineStr">
        <x:is>
          <x:t xml:space="preserve">161</x:t>
        </x:is>
      </x:c>
      <x:c r="E243" s="49" t="inlineStr">
        <x:is>
          <x:t xml:space="preserve">TRIVIAL_TRUE</x:t>
        </x:is>
      </x:c>
      <x:c r="F243" s="49" t="inlineStr">
        <x:is>
          <x:t xml:space="preserve">PENDING_NOT_RUN</x:t>
        </x:is>
      </x:c>
      <x:c r="G243" s="49" t="inlineStr">
        <x:is>
          <x:t xml:space="preserve">NO_SORRY_OR_ADMIT_STATIC_SCAN</x:t>
        </x:is>
      </x:c>
      <x:c r="H243" s="49" t="inlineStr">
        <x:is>
          <x:t xml:space="preserve">LOW_CONTENT_TRUE_NOT_PUBLIC_COUNT</x:t>
        </x:is>
      </x:c>
      <x:c r="I243" s="49" t="inlineStr">
        <x:is>
          <x:t xml:space="preserve">3</x:t>
        </x:is>
      </x:c>
      <x:c r="J243" s="49" t="inlineStr">
        <x:is>
          <x:t xml:space="preserve">LEAN_DERIVATION_CHAIN:198</x:t>
        </x:is>
      </x:c>
      <x:c r="K243" s="49" t="inlineStr">
        <x:is>
          <x:t xml:space="preserve">80% hit rate claim is valid</x:t>
        </x:is>
      </x:c>
      <x:c r="L243" s="56" t="n"/>
    </x:row>
    <x:row r="244" ht="15" customHeight="1">
      <x:c r="A244" s="55" t="inlineStr">
        <x:is>
          <x:t xml:space="preserve">closedEightOfTen_cannot_claim_90_percent</x:t>
        </x:is>
      </x:c>
      <x:c r="B244" s="49" t="inlineStr">
        <x:is>
          <x:t xml:space="preserve">theorem</x:t>
        </x:is>
      </x:c>
      <x:c r="C244" s="49" t="inlineStr">
        <x:is>
          <x:t xml:space="preserve">theophysics-lean-main\theophysics-lean-main\Theophysics_Adversarial.lean</x:t>
        </x:is>
      </x:c>
      <x:c r="D244" s="49" t="inlineStr">
        <x:is>
          <x:t xml:space="preserve">565</x:t>
        </x:is>
      </x:c>
      <x:c r="E244" s="49" t="inlineStr">
        <x:is>
          <x:t xml:space="preserve">DEFINITIONAL_RFL</x:t>
        </x:is>
      </x:c>
      <x:c r="F244" s="49" t="inlineStr">
        <x:is>
          <x:t xml:space="preserve">PENDING_NOT_RUN</x:t>
        </x:is>
      </x:c>
      <x:c r="G244" s="49" t="inlineStr">
        <x:is>
          <x:t xml:space="preserve">NO_SORRY_OR_ADMIT_STATIC_SCAN</x:t>
        </x:is>
      </x:c>
      <x:c r="H244" s="49" t="inlineStr">
        <x:is>
          <x:t xml:space="preserve">CANONICAL_THEOREM_DEDUPED_PENDING_COMPILE</x:t>
        </x:is>
      </x:c>
      <x:c r="I244" s="49" t="inlineStr">
        <x:is>
          <x:t xml:space="preserve">3</x:t>
        </x:is>
      </x:c>
      <x:c r="J244" s="49" t="inlineStr">
        <x:is>
          <x:t xml:space="preserve">LEAN_DERIVATION_CHAIN:199</x:t>
        </x:is>
      </x:c>
      <x:c r="K244" s="49" t="inlineStr">
        <x:is>
          <x:t xml:space="preserve">REJECTION: 90% claim is blocked. Can't claim what you haven't earned.</x:t>
        </x:is>
      </x:c>
      <x:c r="L244" s="56" t="n"/>
    </x:row>
    <x:row r="245" ht="15" customHeight="1">
      <x:c r="A245" s="55" t="inlineStr">
        <x:is>
          <x:t xml:space="preserve">closedEightOfTen_denominator_closed</x:t>
        </x:is>
      </x:c>
      <x:c r="B245" s="49" t="inlineStr">
        <x:is>
          <x:t xml:space="preserve">theorem</x:t>
        </x:is>
      </x:c>
      <x:c r="C245" s="49" t="inlineStr">
        <x:is>
          <x:t xml:space="preserve">theophysics-lean-main\theophysics-lean-main\Theophysics_Core.lean</x:t>
        </x:is>
      </x:c>
      <x:c r="D245" s="49" t="inlineStr">
        <x:is>
          <x:t xml:space="preserve">162</x:t>
        </x:is>
      </x:c>
      <x:c r="E245" s="49" t="inlineStr">
        <x:is>
          <x:t xml:space="preserve">TRIVIAL_TRUE</x:t>
        </x:is>
      </x:c>
      <x:c r="F245" s="49" t="inlineStr">
        <x:is>
          <x:t xml:space="preserve">PENDING_NOT_RUN</x:t>
        </x:is>
      </x:c>
      <x:c r="G245" s="49" t="inlineStr">
        <x:is>
          <x:t xml:space="preserve">NO_SORRY_OR_ADMIT_STATIC_SCAN</x:t>
        </x:is>
      </x:c>
      <x:c r="H245" s="49" t="inlineStr">
        <x:is>
          <x:t xml:space="preserve">LOW_CONTENT_TRUE_NOT_PUBLIC_COUNT</x:t>
        </x:is>
      </x:c>
      <x:c r="I245" s="49" t="inlineStr">
        <x:is>
          <x:t xml:space="preserve">3</x:t>
        </x:is>
      </x:c>
      <x:c r="J245" s="49" t="inlineStr">
        <x:is>
          <x:t xml:space="preserve">LEAN_DERIVATION_CHAIN:197</x:t>
        </x:is>
      </x:c>
      <x:c r="K245" s="49" t="inlineStr">
        <x:is>
          <x:t xml:space="preserve">All attempts logged before publication. No hidden failures.</x:t>
        </x:is>
      </x:c>
      <x:c r="L245" s="56" t="n"/>
    </x:row>
    <x:row r="246" ht="15" customHeight="1">
      <x:c r="A246" s="55" t="inlineStr">
        <x:is>
          <x:t xml:space="preserve">closedEightOfTen_hit_count</x:t>
        </x:is>
      </x:c>
      <x:c r="B246" s="49" t="inlineStr">
        <x:is>
          <x:t xml:space="preserve">theorem</x:t>
        </x:is>
      </x:c>
      <x:c r="C246" s="49" t="inlineStr">
        <x:is>
          <x:t xml:space="preserve">theophysics-lean-main\theophysics-lean-main\Theophysics_Core.lean</x:t>
        </x:is>
      </x:c>
      <x:c r="D246" s="49" t="inlineStr">
        <x:is>
          <x:t xml:space="preserve">163</x:t>
        </x:is>
      </x:c>
      <x:c r="E246" s="49" t="inlineStr">
        <x:is>
          <x:t xml:space="preserve">TRIVIAL_TRUE</x:t>
        </x:is>
      </x:c>
      <x:c r="F246" s="49" t="inlineStr">
        <x:is>
          <x:t xml:space="preserve">PENDING_NOT_RUN</x:t>
        </x:is>
      </x:c>
      <x:c r="G246" s="49" t="inlineStr">
        <x:is>
          <x:t xml:space="preserve">NO_SORRY_OR_ADMIT_STATIC_SCAN</x:t>
        </x:is>
      </x:c>
      <x:c r="H246" s="49" t="inlineStr">
        <x:is>
          <x:t xml:space="preserve">LOW_CONTENT_TRUE_NOT_PUBLIC_COUNT</x:t>
        </x:is>
      </x:c>
      <x:c r="I246" s="49" t="inlineStr">
        <x:is>
          <x:t xml:space="preserve">3</x:t>
        </x:is>
      </x:c>
      <x:c r="J246" s="49" t="inlineStr">
        <x:is>
          <x:t xml:space="preserve">LEAN_DERIVATION_CHAIN:196</x:t>
        </x:is>
      </x:c>
      <x:c r="K246" s="49" t="inlineStr">
        <x:is>
          <x:t xml:space="preserve">8 hits (compiled bridges)</x:t>
        </x:is>
      </x:c>
      <x:c r="L246" s="56" t="n"/>
    </x:row>
    <x:row r="247" ht="15" customHeight="1">
      <x:c r="A247" s="55" t="inlineStr">
        <x:is>
          <x:t xml:space="preserve">closedWithoutInput</x:t>
        </x:is>
      </x:c>
      <x:c r="B247" s="49" t="inlineStr">
        <x:is>
          <x:t xml:space="preserve">def</x:t>
        </x:is>
      </x:c>
      <x:c r="C247" s="49" t="inlineStr">
        <x:is>
          <x:t xml:space="preserve">theophysics-lean-main\theophysics-lean-main\Theophysics_Coherence.lean</x:t>
        </x:is>
      </x:c>
      <x:c r="D247" s="49" t="inlineStr">
        <x:is>
          <x:t xml:space="preserve">129</x:t>
        </x:is>
      </x:c>
      <x:c r="E247" s="49" t="inlineStr">
        <x:is>
          <x:t xml:space="preserve">DECLARATION_OR_UNKNOWN</x:t>
        </x:is>
      </x:c>
      <x:c r="F247" s="49" t="inlineStr">
        <x:is>
          <x:t xml:space="preserve">PENDING_NOT_RUN</x:t>
        </x:is>
      </x:c>
      <x:c r="G247" s="49" t="inlineStr">
        <x:is>
          <x:t xml:space="preserve">NO_SORRY_OR_ADMIT_STATIC_SCAN</x:t>
        </x:is>
      </x:c>
      <x:c r="H247" s="49" t="inlineStr">
        <x:is>
          <x:t xml:space="preserve">SCAFFOLDING_NOT_PUBLIC_COUNT</x:t>
        </x:is>
      </x:c>
      <x:c r="I247" s="49" t="inlineStr">
        <x:is>
          <x:t xml:space="preserve">3</x:t>
        </x:is>
      </x:c>
      <x:c r="L247" s="56" t="n"/>
    </x:row>
    <x:row r="248" ht="15" customHeight="1">
      <x:c r="A248" s="55" t="inlineStr">
        <x:is>
          <x:t xml:space="preserve">closed_moral_system_decays</x:t>
        </x:is>
      </x:c>
      <x:c r="B248" s="49" t="inlineStr">
        <x:is>
          <x:t xml:space="preserve">theorem</x:t>
        </x:is>
      </x:c>
      <x:c r="C248" s="49" t="inlineStr">
        <x:is>
          <x:t xml:space="preserve">theophysics-lean-main\theophysics-lean-main\Theophysics_Canonization.lean</x:t>
        </x:is>
      </x:c>
      <x:c r="D248" s="49" t="inlineStr">
        <x:is>
          <x:t xml:space="preserve">436</x:t>
        </x:is>
      </x:c>
      <x:c r="E248" s="49" t="inlineStr">
        <x:is>
          <x:t xml:space="preserve">SIMPLIFICATION</x:t>
        </x:is>
      </x:c>
      <x:c r="F248" s="49" t="inlineStr">
        <x:is>
          <x:t xml:space="preserve">PENDING_NOT_RUN</x:t>
        </x:is>
      </x:c>
      <x:c r="G248" s="49" t="inlineStr">
        <x:is>
          <x:t xml:space="preserve">NO_SORRY_OR_ADMIT_STATIC_SCAN</x:t>
        </x:is>
      </x:c>
      <x:c r="H248" s="49" t="inlineStr">
        <x:is>
          <x:t xml:space="preserve">UNIQUE_THEOREM_PENDING_COMPILE</x:t>
        </x:is>
      </x:c>
      <x:c r="I248" s="49" t="inlineStr">
        <x:is>
          <x:t xml:space="preserve">0</x:t>
        </x:is>
      </x:c>
      <x:c r="J248" s="49" t="inlineStr">
        <x:is>
          <x:t xml:space="preserve">LEAN_DERIVATION_CHAIN:260</x:t>
        </x:is>
      </x:c>
      <x:c r="K248" s="49" t="inlineStr">
        <x:is>
          <x:t xml:space="preserve">O=0 implies rate = -S*C &lt; 0 (closed-system regime)</x:t>
        </x:is>
      </x:c>
      <x:c r="L248" s="56" t="n"/>
    </x:row>
    <x:row r="249" ht="15" customHeight="1">
      <x:c r="A249" s="55" t="inlineStr">
        <x:is>
          <x:t xml:space="preserve">closed_system_equilibrium_zero</x:t>
        </x:is>
      </x:c>
      <x:c r="B249" s="49" t="inlineStr">
        <x:is>
          <x:t xml:space="preserve">theorem</x:t>
        </x:is>
      </x:c>
      <x:c r="C249" s="49" t="inlineStr">
        <x:is>
          <x:t xml:space="preserve">theophysics-lean-main\theophysics-lean-main\Theophysics_Canonization.lean</x:t>
        </x:is>
      </x:c>
      <x:c r="D249" s="49" t="inlineStr">
        <x:is>
          <x:t xml:space="preserve">446</x:t>
        </x:is>
      </x:c>
      <x:c r="E249" s="49" t="inlineStr">
        <x:is>
          <x:t xml:space="preserve">SIMPLIFICATION</x:t>
        </x:is>
      </x:c>
      <x:c r="F249" s="49" t="inlineStr">
        <x:is>
          <x:t xml:space="preserve">PENDING_NOT_RUN</x:t>
        </x:is>
      </x:c>
      <x:c r="G249" s="49" t="inlineStr">
        <x:is>
          <x:t xml:space="preserve">NO_SORRY_OR_ADMIT_STATIC_SCAN</x:t>
        </x:is>
      </x:c>
      <x:c r="H249" s="49" t="inlineStr">
        <x:is>
          <x:t xml:space="preserve">UNIQUE_THEOREM_PENDING_COMPILE</x:t>
        </x:is>
      </x:c>
      <x:c r="I249" s="49" t="inlineStr">
        <x:is>
          <x:t xml:space="preserve">0</x:t>
        </x:is>
      </x:c>
      <x:c r="J249" s="49" t="inlineStr">
        <x:is>
          <x:t xml:space="preserve">LEAN_DERIVATION_CHAIN:261</x:t>
        </x:is>
      </x:c>
      <x:c r="K249" s="49" t="inlineStr">
        <x:is>
          <x:t xml:space="preserve">O=0 implies C* = 0</x:t>
        </x:is>
      </x:c>
      <x:c r="L249" s="56" t="n"/>
    </x:row>
    <x:row r="250" ht="15" customHeight="1">
      <x:c r="A250" s="55" t="inlineStr">
        <x:is>
          <x:t xml:space="preserve">closed_without_input_cannot_restore</x:t>
        </x:is>
      </x:c>
      <x:c r="B250" s="49" t="inlineStr">
        <x:is>
          <x:t xml:space="preserve">theorem</x:t>
        </x:is>
      </x:c>
      <x:c r="C250" s="49" t="inlineStr">
        <x:is>
          <x:t xml:space="preserve">theophysics-lean-main\theophysics-lean-main\Theophysics_Coherence.lean</x:t>
        </x:is>
      </x:c>
      <x:c r="D250" s="49" t="inlineStr">
        <x:is>
          <x:t xml:space="preserve">165</x:t>
        </x:is>
      </x:c>
      <x:c r="E250" s="49" t="inlineStr">
        <x:is>
          <x:t xml:space="preserve">DEFINITIONAL_RFL</x:t>
        </x:is>
      </x:c>
      <x:c r="F250" s="49" t="inlineStr">
        <x:is>
          <x:t xml:space="preserve">PENDING_NOT_RUN</x:t>
        </x:is>
      </x:c>
      <x:c r="G250" s="49" t="inlineStr">
        <x:is>
          <x:t xml:space="preserve">NO_SORRY_OR_ADMIT_STATIC_SCAN</x:t>
        </x:is>
      </x:c>
      <x:c r="H250" s="49" t="inlineStr">
        <x:is>
          <x:t xml:space="preserve">CANONICAL_THEOREM_DEDUPED_PENDING_COMPILE</x:t>
        </x:is>
      </x:c>
      <x:c r="I250" s="49" t="inlineStr">
        <x:is>
          <x:t xml:space="preserve">3</x:t>
        </x:is>
      </x:c>
      <x:c r="L250" s="56" t="n"/>
    </x:row>
    <x:row r="251" ht="15" customHeight="1">
      <x:c r="A251" s="55" t="inlineStr">
        <x:is>
          <x:t xml:space="preserve">coerced_third_party_fails_voluntariness</x:t>
        </x:is>
      </x:c>
      <x:c r="B251" s="49" t="inlineStr">
        <x:is>
          <x:t xml:space="preserve">theorem</x:t>
        </x:is>
      </x:c>
      <x:c r="C251" s="49" t="inlineStr">
        <x:is>
          <x:t xml:space="preserve">theophysics-lean-main\theophysics-lean-main\Theophysics_Adversarial.lean</x:t>
        </x:is>
      </x:c>
      <x:c r="D251" s="49" t="inlineStr">
        <x:is>
          <x:t xml:space="preserve">482</x:t>
        </x:is>
      </x:c>
      <x:c r="E251" s="49" t="inlineStr">
        <x:is>
          <x:t xml:space="preserve">DEFINITIONAL_RFL</x:t>
        </x:is>
      </x:c>
      <x:c r="F251" s="49" t="inlineStr">
        <x:is>
          <x:t xml:space="preserve">PENDING_NOT_RUN</x:t>
        </x:is>
      </x:c>
      <x:c r="G251" s="49" t="inlineStr">
        <x:is>
          <x:t xml:space="preserve">NO_SORRY_OR_ADMIT_STATIC_SCAN</x:t>
        </x:is>
      </x:c>
      <x:c r="H251" s="49" t="inlineStr">
        <x:is>
          <x:t xml:space="preserve">CANONICAL_THEOREM_DEDUPED_PENDING_COMPILE</x:t>
        </x:is>
      </x:c>
      <x:c r="I251" s="49" t="inlineStr">
        <x:is>
          <x:t xml:space="preserve">3</x:t>
        </x:is>
      </x:c>
      <x:c r="J251" s="49" t="inlineStr">
        <x:is>
          <x:t xml:space="preserve">LEAN_DERIVATION_CHAIN:117</x:t>
        </x:is>
      </x:c>
      <x:c r="K251" s="49" t="inlineStr">
        <x:is>
          <x:t xml:space="preserve">REJECTION: Coercion fails voluntariness. Forced repair is not love.</x:t>
        </x:is>
      </x:c>
      <x:c r="L251" s="56" t="n"/>
    </x:row>
    <x:row r="252" ht="15" customHeight="1">
      <x:c r="A252" s="55" t="inlineStr">
        <x:is>
          <x:t xml:space="preserve">coerciveClaim</x:t>
        </x:is>
      </x:c>
      <x:c r="B252" s="49" t="inlineStr">
        <x:is>
          <x:t xml:space="preserve">def</x:t>
        </x:is>
      </x:c>
      <x:c r="C252" s="49" t="inlineStr">
        <x:is>
          <x:t xml:space="preserve">theophysics-lean-main\theophysics-lean-main\Theophysics_ChiEvaluator.lean</x:t>
        </x:is>
      </x:c>
      <x:c r="D252" s="49" t="inlineStr">
        <x:is>
          <x:t xml:space="preserve">173</x:t>
        </x:is>
      </x:c>
      <x:c r="E252" s="49" t="inlineStr">
        <x:is>
          <x:t xml:space="preserve">DECLARATION_OR_UNKNOWN</x:t>
        </x:is>
      </x:c>
      <x:c r="F252" s="49" t="inlineStr">
        <x:is>
          <x:t xml:space="preserve">PENDING_NOT_RUN</x:t>
        </x:is>
      </x:c>
      <x:c r="G252" s="49" t="inlineStr">
        <x:is>
          <x:t xml:space="preserve">NO_SORRY_OR_ADMIT_STATIC_SCAN</x:t>
        </x:is>
      </x:c>
      <x:c r="H252" s="49" t="inlineStr">
        <x:is>
          <x:t xml:space="preserve">SCAFFOLDING_NOT_PUBLIC_COUNT</x:t>
        </x:is>
      </x:c>
      <x:c r="I252" s="49" t="inlineStr">
        <x:is>
          <x:t xml:space="preserve">3</x:t>
        </x:is>
      </x:c>
      <x:c r="L252" s="56" t="n"/>
    </x:row>
    <x:row r="253" ht="15" customHeight="1">
      <x:c r="A253" s="55" t="inlineStr">
        <x:is>
          <x:t xml:space="preserve">coerciveOrder</x:t>
        </x:is>
      </x:c>
      <x:c r="B253" s="49" t="inlineStr">
        <x:is>
          <x:t xml:space="preserve">def</x:t>
        </x:is>
      </x:c>
      <x:c r="C253" s="49" t="inlineStr">
        <x:is>
          <x:t xml:space="preserve">theophysics-lean-main\theophysics-lean-main\Theophysics_Coherence.lean</x:t>
        </x:is>
      </x:c>
      <x:c r="D253" s="49" t="inlineStr">
        <x:is>
          <x:t xml:space="preserve">77</x:t>
        </x:is>
      </x:c>
      <x:c r="E253" s="49" t="inlineStr">
        <x:is>
          <x:t xml:space="preserve">DECLARATION_OR_UNKNOWN</x:t>
        </x:is>
      </x:c>
      <x:c r="F253" s="49" t="inlineStr">
        <x:is>
          <x:t xml:space="preserve">PENDING_NOT_RUN</x:t>
        </x:is>
      </x:c>
      <x:c r="G253" s="49" t="inlineStr">
        <x:is>
          <x:t xml:space="preserve">NO_SORRY_OR_ADMIT_STATIC_SCAN</x:t>
        </x:is>
      </x:c>
      <x:c r="H253" s="49" t="inlineStr">
        <x:is>
          <x:t xml:space="preserve">SCAFFOLDING_NOT_PUBLIC_COUNT</x:t>
        </x:is>
      </x:c>
      <x:c r="I253" s="49" t="inlineStr">
        <x:is>
          <x:t xml:space="preserve">3</x:t>
        </x:is>
      </x:c>
      <x:c r="L253" s="56" t="n"/>
    </x:row>
    <x:row r="254" ht="15" customHeight="1">
      <x:c r="A254" s="55" t="inlineStr">
        <x:is>
          <x:t xml:space="preserve">coerciveOutput</x:t>
        </x:is>
      </x:c>
      <x:c r="B254" s="49" t="inlineStr">
        <x:is>
          <x:t xml:space="preserve">def</x:t>
        </x:is>
      </x:c>
      <x:c r="C254" s="49" t="inlineStr">
        <x:is>
          <x:t xml:space="preserve">theophysics-lean-main\theophysics-lean-main\Theophysics_ChiEvaluator.lean</x:t>
        </x:is>
      </x:c>
      <x:c r="D254" s="49" t="inlineStr">
        <x:is>
          <x:t xml:space="preserve">344</x:t>
        </x:is>
      </x:c>
      <x:c r="E254" s="49" t="inlineStr">
        <x:is>
          <x:t xml:space="preserve">DECLARATION_OR_UNKNOWN</x:t>
        </x:is>
      </x:c>
      <x:c r="F254" s="49" t="inlineStr">
        <x:is>
          <x:t xml:space="preserve">PENDING_NOT_RUN</x:t>
        </x:is>
      </x:c>
      <x:c r="G254" s="49" t="inlineStr">
        <x:is>
          <x:t xml:space="preserve">NO_SORRY_OR_ADMIT_STATIC_SCAN</x:t>
        </x:is>
      </x:c>
      <x:c r="H254" s="49" t="inlineStr">
        <x:is>
          <x:t xml:space="preserve">SCAFFOLDING_NOT_PUBLIC_COUNT</x:t>
        </x:is>
      </x:c>
      <x:c r="I254" s="49" t="inlineStr">
        <x:is>
          <x:t xml:space="preserve">3</x:t>
        </x:is>
      </x:c>
      <x:c r="L254" s="56" t="n"/>
    </x:row>
    <x:row r="255" ht="15" customHeight="1">
      <x:c r="A255" s="55" t="inlineStr">
        <x:is>
          <x:t xml:space="preserve">coercive_claim_collapses</x:t>
        </x:is>
      </x:c>
      <x:c r="B255" s="49" t="inlineStr">
        <x:is>
          <x:t xml:space="preserve">theorem</x:t>
        </x:is>
      </x:c>
      <x:c r="C255" s="49" t="inlineStr">
        <x:is>
          <x:t xml:space="preserve">theophysics-lean-main\theophysics-lean-main\Theophysics_ChiEvaluator.lean</x:t>
        </x:is>
      </x:c>
      <x:c r="D255" s="49" t="inlineStr">
        <x:is>
          <x:t xml:space="preserve">269</x:t>
        </x:is>
      </x:c>
      <x:c r="E255" s="49" t="inlineStr">
        <x:is>
          <x:t xml:space="preserve">DEFINITIONAL_RFL</x:t>
        </x:is>
      </x:c>
      <x:c r="F255" s="49" t="inlineStr">
        <x:is>
          <x:t xml:space="preserve">PENDING_NOT_RUN</x:t>
        </x:is>
      </x:c>
      <x:c r="G255" s="49" t="inlineStr">
        <x:is>
          <x:t xml:space="preserve">NO_SORRY_OR_ADMIT_STATIC_SCAN</x:t>
        </x:is>
      </x:c>
      <x:c r="H255" s="49" t="inlineStr">
        <x:is>
          <x:t xml:space="preserve">CANONICAL_THEOREM_DEDUPED_PENDING_COMPILE</x:t>
        </x:is>
      </x:c>
      <x:c r="I255" s="49" t="inlineStr">
        <x:is>
          <x:t xml:space="preserve">3</x:t>
        </x:is>
      </x:c>
      <x:c r="L255" s="56" t="n"/>
    </x:row>
    <x:row r="256" ht="15" customHeight="1">
      <x:c r="A256" s="55" t="inlineStr">
        <x:is>
          <x:t xml:space="preserve">coercive_order_is_merely_ordered</x:t>
        </x:is>
      </x:c>
      <x:c r="B256" s="49" t="inlineStr">
        <x:is>
          <x:t xml:space="preserve">theorem</x:t>
        </x:is>
      </x:c>
      <x:c r="C256" s="49" t="inlineStr">
        <x:is>
          <x:t xml:space="preserve">theophysics-lean-main\theophysics-lean-main\Theophysics_Coherence.lean</x:t>
        </x:is>
      </x:c>
      <x:c r="D256" s="49" t="inlineStr">
        <x:is>
          <x:t xml:space="preserve">145</x:t>
        </x:is>
      </x:c>
      <x:c r="E256" s="49" t="inlineStr">
        <x:is>
          <x:t xml:space="preserve">DEFINITIONAL_RFL</x:t>
        </x:is>
      </x:c>
      <x:c r="F256" s="49" t="inlineStr">
        <x:is>
          <x:t xml:space="preserve">PENDING_NOT_RUN</x:t>
        </x:is>
      </x:c>
      <x:c r="G256" s="49" t="inlineStr">
        <x:is>
          <x:t xml:space="preserve">NO_SORRY_OR_ADMIT_STATIC_SCAN</x:t>
        </x:is>
      </x:c>
      <x:c r="H256" s="49" t="inlineStr">
        <x:is>
          <x:t xml:space="preserve">CANONICAL_THEOREM_DEDUPED_PENDING_COMPILE</x:t>
        </x:is>
      </x:c>
      <x:c r="I256" s="49" t="inlineStr">
        <x:is>
          <x:t xml:space="preserve">3</x:t>
        </x:is>
      </x:c>
      <x:c r="L256" s="56" t="n"/>
    </x:row>
    <x:row r="257" ht="15" customHeight="1">
      <x:c r="A257" s="55" t="inlineStr">
        <x:is>
          <x:t xml:space="preserve">coercive_order_is_not_full_coherence</x:t>
        </x:is>
      </x:c>
      <x:c r="B257" s="49" t="inlineStr">
        <x:is>
          <x:t xml:space="preserve">theorem</x:t>
        </x:is>
      </x:c>
      <x:c r="C257" s="49" t="inlineStr">
        <x:is>
          <x:t xml:space="preserve">theophysics-lean-main\theophysics-lean-main\Theophysics_Coherence.lean</x:t>
        </x:is>
      </x:c>
      <x:c r="D257" s="49" t="inlineStr">
        <x:is>
          <x:t xml:space="preserve">149</x:t>
        </x:is>
      </x:c>
      <x:c r="E257" s="49" t="inlineStr">
        <x:is>
          <x:t xml:space="preserve">DEFINITIONAL_RFL</x:t>
        </x:is>
      </x:c>
      <x:c r="F257" s="49" t="inlineStr">
        <x:is>
          <x:t xml:space="preserve">PENDING_NOT_RUN</x:t>
        </x:is>
      </x:c>
      <x:c r="G257" s="49" t="inlineStr">
        <x:is>
          <x:t xml:space="preserve">NO_SORRY_OR_ADMIT_STATIC_SCAN</x:t>
        </x:is>
      </x:c>
      <x:c r="H257" s="49" t="inlineStr">
        <x:is>
          <x:t xml:space="preserve">CANONICAL_THEOREM_DEDUPED_PENDING_COMPILE</x:t>
        </x:is>
      </x:c>
      <x:c r="I257" s="49" t="inlineStr">
        <x:is>
          <x:t xml:space="preserve">3</x:t>
        </x:is>
      </x:c>
      <x:c r="L257" s="56" t="n"/>
    </x:row>
    <x:row r="258" ht="15" customHeight="1">
      <x:c r="A258" s="55" t="inlineStr">
        <x:is>
          <x:t xml:space="preserve">coercive_output_antifruit_dominates</x:t>
        </x:is>
      </x:c>
      <x:c r="B258" s="49" t="inlineStr">
        <x:is>
          <x:t xml:space="preserve">theorem</x:t>
        </x:is>
      </x:c>
      <x:c r="C258" s="49" t="inlineStr">
        <x:is>
          <x:t xml:space="preserve">theophysics-lean-main\theophysics-lean-main\Theophysics_ChiEvaluator.lean</x:t>
        </x:is>
      </x:c>
      <x:c r="D258" s="49" t="inlineStr">
        <x:is>
          <x:t xml:space="preserve">352</x:t>
        </x:is>
      </x:c>
      <x:c r="E258" s="49" t="inlineStr">
        <x:is>
          <x:t xml:space="preserve">DEFINITIONAL_RFL</x:t>
        </x:is>
      </x:c>
      <x:c r="F258" s="49" t="inlineStr">
        <x:is>
          <x:t xml:space="preserve">PENDING_NOT_RUN</x:t>
        </x:is>
      </x:c>
      <x:c r="G258" s="49" t="inlineStr">
        <x:is>
          <x:t xml:space="preserve">NO_SORRY_OR_ADMIT_STATIC_SCAN</x:t>
        </x:is>
      </x:c>
      <x:c r="H258" s="49" t="inlineStr">
        <x:is>
          <x:t xml:space="preserve">CANONICAL_THEOREM_DEDUPED_PENDING_COMPILE</x:t>
        </x:is>
      </x:c>
      <x:c r="I258" s="49" t="inlineStr">
        <x:is>
          <x:t xml:space="preserve">3</x:t>
        </x:is>
      </x:c>
      <x:c r="L258" s="56" t="n"/>
    </x:row>
    <x:row r="259" ht="15" customHeight="1">
      <x:c r="A259" s="55" t="inlineStr">
        <x:is>
          <x:t xml:space="preserve">coherenceRate</x:t>
        </x:is>
      </x:c>
      <x:c r="B259" s="49" t="inlineStr">
        <x:is>
          <x:t xml:space="preserve">def</x:t>
        </x:is>
      </x:c>
      <x:c r="C259" s="49" t="inlineStr">
        <x:is>
          <x:t xml:space="preserve">theophysics-lean-main\theophysics-lean-main\Theophysics_Canonization.lean</x:t>
        </x:is>
      </x:c>
      <x:c r="D259" s="49" t="inlineStr">
        <x:is>
          <x:t xml:space="preserve">429</x:t>
        </x:is>
      </x:c>
      <x:c r="E259" s="49" t="inlineStr">
        <x:is>
          <x:t xml:space="preserve">DECLARATION_OR_UNKNOWN</x:t>
        </x:is>
      </x:c>
      <x:c r="F259" s="49" t="inlineStr">
        <x:is>
          <x:t xml:space="preserve">PENDING_NOT_RUN</x:t>
        </x:is>
      </x:c>
      <x:c r="G259" s="49" t="inlineStr">
        <x:is>
          <x:t xml:space="preserve">NO_SORRY_OR_ADMIT_STATIC_SCAN</x:t>
        </x:is>
      </x:c>
      <x:c r="H259" s="49" t="inlineStr">
        <x:is>
          <x:t xml:space="preserve">SCAFFOLDING_NOT_PUBLIC_COUNT</x:t>
        </x:is>
      </x:c>
      <x:c r="I259" s="49" t="inlineStr">
        <x:is>
          <x:t xml:space="preserve">0</x:t>
        </x:is>
      </x:c>
      <x:c r="L259" s="56" t="n"/>
    </x:row>
    <x:row r="260" ht="15" customHeight="1">
      <x:c r="A260" s="55" t="inlineStr">
        <x:is>
          <x:t xml:space="preserve">coherence_spine_rejects_mere_order</x:t>
        </x:is>
      </x:c>
      <x:c r="B260" s="49" t="inlineStr">
        <x:is>
          <x:t xml:space="preserve">theorem</x:t>
        </x:is>
      </x:c>
      <x:c r="C260" s="49" t="inlineStr">
        <x:is>
          <x:t xml:space="preserve">theophysics-lean-main\theophysics-lean-main\Theophysics_Core.lean</x:t>
        </x:is>
      </x:c>
      <x:c r="D260" s="49" t="inlineStr">
        <x:is>
          <x:t xml:space="preserve">60</x:t>
        </x:is>
      </x:c>
      <x:c r="E260" s="49" t="inlineStr">
        <x:is>
          <x:t xml:space="preserve">DECLARATION_OR_UNKNOWN</x:t>
        </x:is>
      </x:c>
      <x:c r="F260" s="49" t="inlineStr">
        <x:is>
          <x:t xml:space="preserve">PENDING_NOT_RUN</x:t>
        </x:is>
      </x:c>
      <x:c r="G260" s="49" t="inlineStr">
        <x:is>
          <x:t xml:space="preserve">NO_SORRY_OR_ADMIT_STATIC_SCAN</x:t>
        </x:is>
      </x:c>
      <x:c r="H260" s="49" t="inlineStr">
        <x:is>
          <x:t xml:space="preserve">CANONICAL_THEOREM_DEDUPED_PENDING_COMPILE</x:t>
        </x:is>
      </x:c>
      <x:c r="I260" s="49" t="inlineStr">
        <x:is>
          <x:t xml:space="preserve">3</x:t>
        </x:is>
      </x:c>
      <x:c r="L260" s="56" t="n"/>
    </x:row>
    <x:row r="261" ht="15" customHeight="1">
      <x:c r="A261" s="55" t="inlineStr">
        <x:is>
          <x:t xml:space="preserve">coherence_swapped_with_consequence_lock_invalid</x:t>
        </x:is>
      </x:c>
      <x:c r="B261" s="49" t="inlineStr">
        <x:is>
          <x:t xml:space="preserve">theorem</x:t>
        </x:is>
      </x:c>
      <x:c r="C261" s="49" t="inlineStr">
        <x:is>
          <x:t xml:space="preserve">theophysics-lean-main\theophysics-lean-main\Theophysics_Adversarial.lean</x:t>
        </x:is>
      </x:c>
      <x:c r="D261" s="49" t="inlineStr">
        <x:is>
          <x:t xml:space="preserve">334</x:t>
        </x:is>
      </x:c>
      <x:c r="E261" s="49" t="inlineStr">
        <x:is>
          <x:t xml:space="preserve">DEFINITIONAL_RFL</x:t>
        </x:is>
      </x:c>
      <x:c r="F261" s="49" t="inlineStr">
        <x:is>
          <x:t xml:space="preserve">PENDING_NOT_RUN</x:t>
        </x:is>
      </x:c>
      <x:c r="G261" s="49" t="inlineStr">
        <x:is>
          <x:t xml:space="preserve">NO_SORRY_OR_ADMIT_STATIC_SCAN</x:t>
        </x:is>
      </x:c>
      <x:c r="H261" s="49" t="inlineStr">
        <x:is>
          <x:t xml:space="preserve">CANONICAL_THEOREM_DEDUPED_PENDING_COMPILE</x:t>
        </x:is>
      </x:c>
      <x:c r="I261" s="49" t="inlineStr">
        <x:is>
          <x:t xml:space="preserve">3</x:t>
        </x:is>
      </x:c>
      <x:c r="J261" s="49" t="inlineStr">
        <x:is>
          <x:t xml:space="preserve">LEAN_DERIVATION_CHAIN:23</x:t>
        </x:is>
      </x:c>
      <x:c r="K261" s="49" t="inlineStr">
        <x:is>
          <x:t xml:space="preserve">REJECTION: C↔R swap rejected</x:t>
        </x:is>
      </x:c>
      <x:c r="L261" s="56" t="n"/>
    </x:row>
    <x:row r="262" ht="15" customHeight="1">
      <x:c r="A262" s="55" t="inlineStr">
        <x:is>
          <x:t xml:space="preserve">coherent</x:t>
        </x:is>
      </x:c>
      <x:c r="B262" s="49" t="inlineStr">
        <x:is>
          <x:t xml:space="preserve">def</x:t>
        </x:is>
      </x:c>
      <x:c r="C262" s="49" t="inlineStr">
        <x:is>
          <x:t xml:space="preserve">theophysics-lean-main\theophysics-lean-main\Theophysics_Coherence.lean</x:t>
        </x:is>
      </x:c>
      <x:c r="D262" s="49" t="inlineStr">
        <x:is>
          <x:t xml:space="preserve">43</x:t>
        </x:is>
      </x:c>
      <x:c r="E262" s="49" t="inlineStr">
        <x:is>
          <x:t xml:space="preserve">DECLARATION_OR_UNKNOWN</x:t>
        </x:is>
      </x:c>
      <x:c r="F262" s="49" t="inlineStr">
        <x:is>
          <x:t xml:space="preserve">PENDING_NOT_RUN</x:t>
        </x:is>
      </x:c>
      <x:c r="G262" s="49" t="inlineStr">
        <x:is>
          <x:t xml:space="preserve">NO_SORRY_OR_ADMIT_STATIC_SCAN</x:t>
        </x:is>
      </x:c>
      <x:c r="H262" s="49" t="inlineStr">
        <x:is>
          <x:t xml:space="preserve">SCAFFOLDING_NOT_PUBLIC_COUNT</x:t>
        </x:is>
      </x:c>
      <x:c r="I262" s="49" t="inlineStr">
        <x:is>
          <x:t xml:space="preserve">3</x:t>
        </x:is>
      </x:c>
      <x:c r="L262" s="56" t="n"/>
    </x:row>
    <x:row r="263" ht="15" customHeight="1">
      <x:c r="A263" s="55" t="inlineStr">
        <x:is>
          <x:t xml:space="preserve">collapse_preserved</x:t>
        </x:is>
      </x:c>
      <x:c r="B263" s="49" t="inlineStr">
        <x:is>
          <x:t xml:space="preserve">theorem</x:t>
        </x:is>
      </x:c>
      <x:c r="C263" s="49" t="inlineStr">
        <x:is>
          <x:t xml:space="preserve">Lean-4-Proofs-main\Lean-4-Proofs-main\theophysics-lean-verification-package\TheophysicsProductionKernel.lean</x:t>
        </x:is>
      </x:c>
      <x:c r="D263" s="49" t="inlineStr">
        <x:is>
          <x:t xml:space="preserve">235</x:t>
        </x:is>
      </x:c>
      <x:c r="E263" s="49" t="inlineStr">
        <x:is>
          <x:t xml:space="preserve">DECLARATION_OR_UNKNOWN</x:t>
        </x:is>
      </x:c>
      <x:c r="F263" s="49" t="inlineStr">
        <x:is>
          <x:t xml:space="preserve">PENDING_NOT_RUN</x:t>
        </x:is>
      </x:c>
      <x:c r="G263" s="49" t="inlineStr">
        <x:is>
          <x:t xml:space="preserve">NO_SORRY_OR_ADMIT_STATIC_SCAN</x:t>
        </x:is>
      </x:c>
      <x:c r="H263" s="49" t="inlineStr">
        <x:is>
          <x:t xml:space="preserve">UNIQUE_THEOREM_PENDING_COMPILE</x:t>
        </x:is>
      </x:c>
      <x:c r="I263" s="49" t="inlineStr">
        <x:is>
          <x:t xml:space="preserve">0</x:t>
        </x:is>
      </x:c>
      <x:c r="L263" s="56" t="n"/>
    </x:row>
    <x:row r="264" ht="15" customHeight="1">
      <x:c r="A264" s="55" t="inlineStr">
        <x:is>
          <x:t xml:space="preserve">collapsed</x:t>
        </x:is>
      </x:c>
      <x:c r="B264" s="49" t="inlineStr">
        <x:is>
          <x:t xml:space="preserve">def</x:t>
        </x:is>
      </x:c>
      <x:c r="C264" s="49" t="inlineStr">
        <x:is>
          <x:t xml:space="preserve">theophysics-lean-main\theophysics-lean-main\Theophysics_ChiEvaluator.lean</x:t>
        </x:is>
      </x:c>
      <x:c r="D264" s="49" t="inlineStr">
        <x:is>
          <x:t xml:space="preserve">215</x:t>
        </x:is>
      </x:c>
      <x:c r="E264" s="49" t="inlineStr">
        <x:is>
          <x:t xml:space="preserve">DECLARATION_OR_UNKNOWN</x:t>
        </x:is>
      </x:c>
      <x:c r="F264" s="49" t="inlineStr">
        <x:is>
          <x:t xml:space="preserve">PENDING_NOT_RUN</x:t>
        </x:is>
      </x:c>
      <x:c r="G264" s="49" t="inlineStr">
        <x:is>
          <x:t xml:space="preserve">NO_SORRY_OR_ADMIT_STATIC_SCAN</x:t>
        </x:is>
      </x:c>
      <x:c r="H264" s="49" t="inlineStr">
        <x:is>
          <x:t xml:space="preserve">SCAFFOLDING_NOT_PUBLIC_COUNT</x:t>
        </x:is>
      </x:c>
      <x:c r="I264" s="49" t="inlineStr">
        <x:is>
          <x:t xml:space="preserve">3</x:t>
        </x:is>
      </x:c>
      <x:c r="L264" s="56" t="n"/>
    </x:row>
    <x:row r="265" ht="15" customHeight="1">
      <x:c r="A265" s="55" t="inlineStr">
        <x:is>
          <x:t xml:space="preserve">collapsed_maps_to_collapsed</x:t>
        </x:is>
      </x:c>
      <x:c r="B265" s="49" t="inlineStr">
        <x:is>
          <x:t xml:space="preserve">theorem</x:t>
        </x:is>
      </x:c>
      <x:c r="C265" s="49" t="inlineStr">
        <x:is>
          <x:t xml:space="preserve">Lean-4-Proofs-main\Lean-4-Proofs-main\theophysics-lean-verification-package\TheophysicsProductionKernel.lean</x:t>
        </x:is>
      </x:c>
      <x:c r="D265" s="49" t="inlineStr">
        <x:is>
          <x:t xml:space="preserve">240</x:t>
        </x:is>
      </x:c>
      <x:c r="E265" s="49" t="inlineStr">
        <x:is>
          <x:t xml:space="preserve">DECLARATION_OR_UNKNOWN</x:t>
        </x:is>
      </x:c>
      <x:c r="F265" s="49" t="inlineStr">
        <x:is>
          <x:t xml:space="preserve">PENDING_NOT_RUN</x:t>
        </x:is>
      </x:c>
      <x:c r="G265" s="49" t="inlineStr">
        <x:is>
          <x:t xml:space="preserve">NO_SORRY_OR_ADMIT_STATIC_SCAN</x:t>
        </x:is>
      </x:c>
      <x:c r="H265" s="49" t="inlineStr">
        <x:is>
          <x:t xml:space="preserve">UNIQUE_THEOREM_PENDING_COMPILE</x:t>
        </x:is>
      </x:c>
      <x:c r="I265" s="49" t="inlineStr">
        <x:is>
          <x:t xml:space="preserve">0</x:t>
        </x:is>
      </x:c>
      <x:c r="L265" s="56" t="n"/>
    </x:row>
    <x:row r="266" ht="15" customHeight="1">
      <x:c r="A266" s="55" t="inlineStr">
        <x:is>
          <x:t xml:space="preserve">compose</x:t>
        </x:is>
      </x:c>
      <x:c r="B266" s="49" t="inlineStr">
        <x:is>
          <x:t xml:space="preserve">def</x:t>
        </x:is>
      </x:c>
      <x:c r="C266" s="49" t="inlineStr">
        <x:is>
          <x:t xml:space="preserve">Faith-Thru-Physics-Lean-4--main\Faith-Thru-Physics-Lean-4--main\Theophysics_NegativeInventory.lean</x:t>
        </x:is>
      </x:c>
      <x:c r="D266" s="49" t="inlineStr">
        <x:is>
          <x:t xml:space="preserve">145</x:t>
        </x:is>
      </x:c>
      <x:c r="E266" s="49" t="inlineStr">
        <x:is>
          <x:t xml:space="preserve">DECLARATION_OR_UNKNOWN</x:t>
        </x:is>
      </x:c>
      <x:c r="F266" s="49" t="inlineStr">
        <x:is>
          <x:t xml:space="preserve">PENDING_NOT_RUN</x:t>
        </x:is>
      </x:c>
      <x:c r="G266" s="49" t="inlineStr">
        <x:is>
          <x:t xml:space="preserve">NO_SORRY_OR_ADMIT_STATIC_SCAN</x:t>
        </x:is>
      </x:c>
      <x:c r="H266" s="49" t="inlineStr">
        <x:is>
          <x:t xml:space="preserve">SCAFFOLDING_NOT_PUBLIC_COUNT</x:t>
        </x:is>
      </x:c>
      <x:c r="I266" s="49" t="inlineStr">
        <x:is>
          <x:t xml:space="preserve">0</x:t>
        </x:is>
      </x:c>
      <x:c r="L266" s="56" t="n"/>
    </x:row>
    <x:row r="267" ht="15" customHeight="1">
      <x:c r="A267" s="55" t="inlineStr">
        <x:is>
          <x:t xml:space="preserve">compression_swapped_with_communion_invalid</x:t>
        </x:is>
      </x:c>
      <x:c r="B267" s="49" t="inlineStr">
        <x:is>
          <x:t xml:space="preserve">theorem</x:t>
        </x:is>
      </x:c>
      <x:c r="C267" s="49" t="inlineStr">
        <x:is>
          <x:t xml:space="preserve">theophysics-lean-main\theophysics-lean-main\Final_Lean4_From_Excel.lean</x:t>
        </x:is>
      </x:c>
      <x:c r="D267" s="49" t="inlineStr">
        <x:is>
          <x:t xml:space="preserve">210</x:t>
        </x:is>
      </x:c>
      <x:c r="E267" s="49" t="inlineStr">
        <x:is>
          <x:t xml:space="preserve">WRAPPER_OR_IMPORTED</x:t>
        </x:is>
      </x:c>
      <x:c r="F267" s="49" t="inlineStr">
        <x:is>
          <x:t xml:space="preserve">PENDING_NOT_RUN</x:t>
        </x:is>
      </x:c>
      <x:c r="G267" s="49" t="inlineStr">
        <x:is>
          <x:t xml:space="preserve">NO_SORRY_OR_ADMIT_STATIC_SCAN</x:t>
        </x:is>
      </x:c>
      <x:c r="H267" s="49" t="inlineStr">
        <x:is>
          <x:t xml:space="preserve">CANONICAL_THEOREM_DEDUPED_PENDING_COMPILE</x:t>
        </x:is>
      </x:c>
      <x:c r="I267" s="49" t="inlineStr">
        <x:is>
          <x:t xml:space="preserve">3</x:t>
        </x:is>
      </x:c>
      <x:c r="J267" s="49" t="inlineStr">
        <x:is>
          <x:t xml:space="preserve">LEAN_DERIVATION_CHAIN:22</x:t>
        </x:is>
      </x:c>
      <x:c r="K267" s="49" t="inlineStr">
        <x:is>
          <x:t xml:space="preserve">REJECTION: K↔F swap rejected</x:t>
        </x:is>
      </x:c>
      <x:c r="L267" s="56" t="n"/>
    </x:row>
    <x:row r="268" ht="15" customHeight="1">
      <x:c r="A268" s="55" t="inlineStr">
        <x:is>
          <x:t xml:space="preserve">computerScienceSignature</x:t>
        </x:is>
      </x:c>
      <x:c r="B268" s="49" t="inlineStr">
        <x:is>
          <x:t xml:space="preserve">def</x:t>
        </x:is>
      </x:c>
      <x:c r="C268" s="49" t="inlineStr">
        <x:is>
          <x:t xml:space="preserve">theophysics-lean-main\theophysics-lean-main\Theophysics_Universality.lean</x:t>
        </x:is>
      </x:c>
      <x:c r="D268" s="49" t="inlineStr">
        <x:is>
          <x:t xml:space="preserve">128</x:t>
        </x:is>
      </x:c>
      <x:c r="E268" s="49" t="inlineStr">
        <x:is>
          <x:t xml:space="preserve">DECLARATION_OR_UNKNOWN</x:t>
        </x:is>
      </x:c>
      <x:c r="F268" s="49" t="inlineStr">
        <x:is>
          <x:t xml:space="preserve">PENDING_NOT_RUN</x:t>
        </x:is>
      </x:c>
      <x:c r="G268" s="49" t="inlineStr">
        <x:is>
          <x:t xml:space="preserve">NO_SORRY_OR_ADMIT_STATIC_SCAN</x:t>
        </x:is>
      </x:c>
      <x:c r="H268" s="49" t="inlineStr">
        <x:is>
          <x:t xml:space="preserve">SCAFFOLDING_NOT_PUBLIC_COUNT</x:t>
        </x:is>
      </x:c>
      <x:c r="I268" s="49" t="inlineStr">
        <x:is>
          <x:t xml:space="preserve">0</x:t>
        </x:is>
      </x:c>
      <x:c r="L268" s="56" t="n"/>
    </x:row>
    <x:row r="269" ht="15" customHeight="1">
      <x:c r="A269" s="55" t="inlineStr">
        <x:is>
          <x:t xml:space="preserve">computer_science_is_strong_cd_class</x:t>
        </x:is>
      </x:c>
      <x:c r="B269" s="49" t="inlineStr">
        <x:is>
          <x:t xml:space="preserve">theorem</x:t>
        </x:is>
      </x:c>
      <x:c r="C269" s="49" t="inlineStr">
        <x:is>
          <x:t xml:space="preserve">theophysics-lean-main\theophysics-lean-main\Theophysics_Universality.lean</x:t>
        </x:is>
      </x:c>
      <x:c r="D269" s="49" t="inlineStr">
        <x:is>
          <x:t xml:space="preserve">253</x:t>
        </x:is>
      </x:c>
      <x:c r="E269" s="49" t="inlineStr">
        <x:is>
          <x:t xml:space="preserve">DEFINITIONAL_RFL</x:t>
        </x:is>
      </x:c>
      <x:c r="F269" s="49" t="inlineStr">
        <x:is>
          <x:t xml:space="preserve">PENDING_NOT_RUN</x:t>
        </x:is>
      </x:c>
      <x:c r="G269" s="49" t="inlineStr">
        <x:is>
          <x:t xml:space="preserve">NO_SORRY_OR_ADMIT_STATIC_SCAN</x:t>
        </x:is>
      </x:c>
      <x:c r="H269" s="49" t="inlineStr">
        <x:is>
          <x:t xml:space="preserve">UNIQUE_THEOREM_PENDING_COMPILE</x:t>
        </x:is>
      </x:c>
      <x:c r="I269" s="49" t="inlineStr">
        <x:is>
          <x:t xml:space="preserve">0</x:t>
        </x:is>
      </x:c>
      <x:c r="L269" s="56" t="n"/>
    </x:row>
    <x:row r="270" ht="15" customHeight="1">
      <x:c r="A270" s="55" t="inlineStr">
        <x:is>
          <x:t xml:space="preserve">conditionalPattern</x:t>
        </x:is>
      </x:c>
      <x:c r="B270" s="49" t="inlineStr">
        <x:is>
          <x:t xml:space="preserve">def</x:t>
        </x:is>
      </x:c>
      <x:c r="C270" s="49" t="inlineStr">
        <x:is>
          <x:t xml:space="preserve">theophysics-lean-main\theophysics-lean-main\Theophysics_DelayedChoice.lean</x:t>
        </x:is>
      </x:c>
      <x:c r="D270" s="49" t="inlineStr">
        <x:is>
          <x:t xml:space="preserve">54</x:t>
        </x:is>
      </x:c>
      <x:c r="E270" s="49" t="inlineStr">
        <x:is>
          <x:t xml:space="preserve">DECLARATION_OR_UNKNOWN</x:t>
        </x:is>
      </x:c>
      <x:c r="F270" s="49" t="inlineStr">
        <x:is>
          <x:t xml:space="preserve">PENDING_NOT_RUN</x:t>
        </x:is>
      </x:c>
      <x:c r="G270" s="49" t="inlineStr">
        <x:is>
          <x:t xml:space="preserve">NO_SORRY_OR_ADMIT_STATIC_SCAN</x:t>
        </x:is>
      </x:c>
      <x:c r="H270" s="49" t="inlineStr">
        <x:is>
          <x:t xml:space="preserve">SCAFFOLDING_NOT_PUBLIC_COUNT</x:t>
        </x:is>
      </x:c>
      <x:c r="I270" s="49" t="inlineStr">
        <x:is>
          <x:t xml:space="preserve">0</x:t>
        </x:is>
      </x:c>
      <x:c r="L270" s="56" t="n"/>
    </x:row>
    <x:row r="271" ht="15" customHeight="1">
      <x:c r="A271" s="55" t="inlineStr">
        <x:is>
          <x:t xml:space="preserve">confinement_sample</x:t>
        </x:is>
      </x:c>
      <x:c r="B271" s="49" t="inlineStr">
        <x:is>
          <x:t xml:space="preserve">theorem</x:t>
        </x:is>
      </x:c>
      <x:c r="C271" s="49" t="inlineStr">
        <x:is>
          <x:t xml:space="preserve">theophysics-lean-main\theophysics-lean-main\Theophysics_Canonization.lean</x:t>
        </x:is>
      </x:c>
      <x:c r="D271" s="49" t="inlineStr">
        <x:is>
          <x:t xml:space="preserve">251</x:t>
        </x:is>
      </x:c>
      <x:c r="E271" s="49" t="inlineStr">
        <x:is>
          <x:t xml:space="preserve">WRAPPER_OR_IMPORTED</x:t>
        </x:is>
      </x:c>
      <x:c r="F271" s="49" t="inlineStr">
        <x:is>
          <x:t xml:space="preserve">PENDING_NOT_RUN</x:t>
        </x:is>
      </x:c>
      <x:c r="G271" s="49" t="inlineStr">
        <x:is>
          <x:t xml:space="preserve">NO_SORRY_OR_ADMIT_STATIC_SCAN</x:t>
        </x:is>
      </x:c>
      <x:c r="H271" s="49" t="inlineStr">
        <x:is>
          <x:t xml:space="preserve">UNIQUE_THEOREM_PENDING_COMPILE</x:t>
        </x:is>
      </x:c>
      <x:c r="I271" s="49" t="inlineStr">
        <x:is>
          <x:t xml:space="preserve">0</x:t>
        </x:is>
      </x:c>
      <x:c r="J271" s="49" t="inlineStr">
        <x:is>
          <x:t xml:space="preserve">LEAN_DERIVATION_CHAIN:253</x:t>
        </x:is>
      </x:c>
      <x:c r="K271" s="49" t="inlineStr">
        <x:is>
          <x:t xml:space="preserve">Cornell potential difference identity (confinement structure)</x:t>
        </x:is>
      </x:c>
      <x:c r="L271" s="56" t="n"/>
    </x:row>
    <x:row r="272" ht="15" customHeight="1">
      <x:c r="A272" s="55" t="inlineStr">
        <x:is>
          <x:t xml:space="preserve">confirmation_maps_to_resurrection</x:t>
        </x:is>
      </x:c>
      <x:c r="B272" s="49" t="inlineStr">
        <x:is>
          <x:t xml:space="preserve">theorem</x:t>
        </x:is>
      </x:c>
      <x:c r="C272" s="49" t="inlineStr">
        <x:is>
          <x:t xml:space="preserve">theophysics-lean-main\theophysics-lean-main\Theophysics_Core.lean</x:t>
        </x:is>
      </x:c>
      <x:c r="D272" s="49" t="inlineStr">
        <x:is>
          <x:t xml:space="preserve">164</x:t>
        </x:is>
      </x:c>
      <x:c r="E272" s="49" t="inlineStr">
        <x:is>
          <x:t xml:space="preserve">TRIVIAL_TRUE</x:t>
        </x:is>
      </x:c>
      <x:c r="F272" s="49" t="inlineStr">
        <x:is>
          <x:t xml:space="preserve">PENDING_NOT_RUN</x:t>
        </x:is>
      </x:c>
      <x:c r="G272" s="49" t="inlineStr">
        <x:is>
          <x:t xml:space="preserve">NO_SORRY_OR_ADMIT_STATIC_SCAN</x:t>
        </x:is>
      </x:c>
      <x:c r="H272" s="49" t="inlineStr">
        <x:is>
          <x:t xml:space="preserve">LOW_CONTENT_TRUE_NOT_PUBLIC_COUNT</x:t>
        </x:is>
      </x:c>
      <x:c r="I272" s="49" t="inlineStr">
        <x:is>
          <x:t xml:space="preserve">3</x:t>
        </x:is>
      </x:c>
      <x:c r="J272" s="49" t="inlineStr">
        <x:is>
          <x:t xml:space="preserve">LEAN_DERIVATION_CHAIN:17</x:t>
        </x:is>
      </x:c>
      <x:c r="K272" s="49" t="inlineStr">
        <x:is>
          <x:t xml:space="preserve">Specific: confirmation → resurrection</x:t>
        </x:is>
      </x:c>
      <x:c r="L272" s="56" t="n"/>
    </x:row>
    <x:row r="273" ht="15" customHeight="1">
      <x:c r="A273" s="55" t="inlineStr">
        <x:is>
          <x:t xml:space="preserve">conjugate_transfer</x:t>
        </x:is>
      </x:c>
      <x:c r="B273" s="49" t="inlineStr">
        <x:is>
          <x:t xml:space="preserve">theorem</x:t>
        </x:is>
      </x:c>
      <x:c r="C273" s="49" t="inlineStr">
        <x:is>
          <x:t xml:space="preserve">theophysics-lean-main\theophysics-lean-main\Theophysics_Canonization.lean</x:t>
        </x:is>
      </x:c>
      <x:c r="D273" s="49" t="inlineStr">
        <x:is>
          <x:t xml:space="preserve">373</x:t>
        </x:is>
      </x:c>
      <x:c r="E273" s="49" t="inlineStr">
        <x:is>
          <x:t xml:space="preserve">SUBSTANTIVE_OR_CASE_PROOF</x:t>
        </x:is>
      </x:c>
      <x:c r="F273" s="49" t="inlineStr">
        <x:is>
          <x:t xml:space="preserve">PENDING_NOT_RUN</x:t>
        </x:is>
      </x:c>
      <x:c r="G273" s="49" t="inlineStr">
        <x:is>
          <x:t xml:space="preserve">NO_SORRY_OR_ADMIT_STATIC_SCAN</x:t>
        </x:is>
      </x:c>
      <x:c r="H273" s="49" t="inlineStr">
        <x:is>
          <x:t xml:space="preserve">UNIQUE_THEOREM_PENDING_COMPILE</x:t>
        </x:is>
      </x:c>
      <x:c r="I273" s="49" t="inlineStr">
        <x:is>
          <x:t xml:space="preserve">0</x:t>
        </x:is>
      </x:c>
      <x:c r="J273" s="49" t="inlineStr">
        <x:is>
          <x:t xml:space="preserve">LEAN_DERIVATION_CHAIN:257</x:t>
        </x:is>
      </x:c>
      <x:c r="K273" s="49" t="inlineStr">
        <x:is>
          <x:t xml:space="preserve">N1 conjugacy: dG = -dS, nothing leaks</x:t>
        </x:is>
      </x:c>
      <x:c r="L273" s="56" t="n"/>
    </x:row>
    <x:row r="274" ht="15" customHeight="1">
      <x:c r="A274" s="55" t="inlineStr">
        <x:is>
          <x:t xml:space="preserve">controlSystemSignature</x:t>
        </x:is>
      </x:c>
      <x:c r="B274" s="49" t="inlineStr">
        <x:is>
          <x:t xml:space="preserve">def</x:t>
        </x:is>
      </x:c>
      <x:c r="C274" s="49" t="inlineStr">
        <x:is>
          <x:t xml:space="preserve">theophysics-lean-main\theophysics-lean-main\Theophysics_Universality.lean</x:t>
        </x:is>
      </x:c>
      <x:c r="D274" s="49" t="inlineStr">
        <x:is>
          <x:t xml:space="preserve">92</x:t>
        </x:is>
      </x:c>
      <x:c r="E274" s="49" t="inlineStr">
        <x:is>
          <x:t xml:space="preserve">DECLARATION_OR_UNKNOWN</x:t>
        </x:is>
      </x:c>
      <x:c r="F274" s="49" t="inlineStr">
        <x:is>
          <x:t xml:space="preserve">PENDING_NOT_RUN</x:t>
        </x:is>
      </x:c>
      <x:c r="G274" s="49" t="inlineStr">
        <x:is>
          <x:t xml:space="preserve">NO_SORRY_OR_ADMIT_STATIC_SCAN</x:t>
        </x:is>
      </x:c>
      <x:c r="H274" s="49" t="inlineStr">
        <x:is>
          <x:t xml:space="preserve">SCAFFOLDING_NOT_PUBLIC_COUNT</x:t>
        </x:is>
      </x:c>
      <x:c r="I274" s="49" t="inlineStr">
        <x:is>
          <x:t xml:space="preserve">0</x:t>
        </x:is>
      </x:c>
      <x:c r="L274" s="56" t="n"/>
    </x:row>
    <x:row r="275" ht="15" customHeight="1">
      <x:c r="A275" s="55" t="inlineStr">
        <x:is>
          <x:t xml:space="preserve">control_system_is_strong_cd_class</x:t>
        </x:is>
      </x:c>
      <x:c r="B275" s="49" t="inlineStr">
        <x:is>
          <x:t xml:space="preserve">theorem</x:t>
        </x:is>
      </x:c>
      <x:c r="C275" s="49" t="inlineStr">
        <x:is>
          <x:t xml:space="preserve">theophysics-lean-main\theophysics-lean-main\Theophysics_Universality.lean</x:t>
        </x:is>
      </x:c>
      <x:c r="D275" s="49" t="inlineStr">
        <x:is>
          <x:t xml:space="preserve">237</x:t>
        </x:is>
      </x:c>
      <x:c r="E275" s="49" t="inlineStr">
        <x:is>
          <x:t xml:space="preserve">DEFINITIONAL_RFL</x:t>
        </x:is>
      </x:c>
      <x:c r="F275" s="49" t="inlineStr">
        <x:is>
          <x:t xml:space="preserve">PENDING_NOT_RUN</x:t>
        </x:is>
      </x:c>
      <x:c r="G275" s="49" t="inlineStr">
        <x:is>
          <x:t xml:space="preserve">NO_SORRY_OR_ADMIT_STATIC_SCAN</x:t>
        </x:is>
      </x:c>
      <x:c r="H275" s="49" t="inlineStr">
        <x:is>
          <x:t xml:space="preserve">UNIQUE_THEOREM_PENDING_COMPILE</x:t>
        </x:is>
      </x:c>
      <x:c r="I275" s="49" t="inlineStr">
        <x:is>
          <x:t xml:space="preserve">0</x:t>
        </x:is>
      </x:c>
      <x:c r="L275" s="56" t="n"/>
    </x:row>
    <x:row r="276" ht="15" customHeight="1">
      <x:c r="A276" s="55" t="inlineStr">
        <x:is>
          <x:t xml:space="preserve">convertedPositive</x:t>
        </x:is>
      </x:c>
      <x:c r="B276" s="49" t="inlineStr">
        <x:is>
          <x:t xml:space="preserve">def</x:t>
        </x:is>
      </x:c>
      <x:c r="C276" s="49" t="inlineStr">
        <x:is>
          <x:t xml:space="preserve">theophysics-lean-main\theophysics-lean-main\Theophysics_Adversarial.lean</x:t>
        </x:is>
      </x:c>
      <x:c r="D276" s="49" t="inlineStr">
        <x:is>
          <x:t xml:space="preserve">266</x:t>
        </x:is>
      </x:c>
      <x:c r="E276" s="49" t="inlineStr">
        <x:is>
          <x:t xml:space="preserve">DECLARATION_OR_UNKNOWN</x:t>
        </x:is>
      </x:c>
      <x:c r="F276" s="49" t="inlineStr">
        <x:is>
          <x:t xml:space="preserve">PENDING_NOT_RUN</x:t>
        </x:is>
      </x:c>
      <x:c r="G276" s="49" t="inlineStr">
        <x:is>
          <x:t xml:space="preserve">NO_SORRY_OR_ADMIT_STATIC_SCAN</x:t>
        </x:is>
      </x:c>
      <x:c r="H276" s="49" t="inlineStr">
        <x:is>
          <x:t xml:space="preserve">SCAFFOLDING_NOT_PUBLIC_COUNT</x:t>
        </x:is>
      </x:c>
      <x:c r="I276" s="49" t="inlineStr">
        <x:is>
          <x:t xml:space="preserve">3</x:t>
        </x:is>
      </x:c>
      <x:c r="L276" s="56" t="n"/>
    </x:row>
    <x:row r="277" ht="15" customHeight="1">
      <x:c r="A277" s="55" t="inlineStr">
        <x:is>
          <x:t xml:space="preserve">converted_negative_burden_gate_one</x:t>
        </x:is>
      </x:c>
      <x:c r="B277" s="49" t="inlineStr">
        <x:is>
          <x:t xml:space="preserve">theorem</x:t>
        </x:is>
      </x:c>
      <x:c r="C277" s="49" t="inlineStr">
        <x:is>
          <x:t xml:space="preserve">theophysics-lean-main\theophysics-lean-main\Theophysics_Core.lean</x:t>
        </x:is>
      </x:c>
      <x:c r="D277" s="49" t="inlineStr">
        <x:is>
          <x:t xml:space="preserve">48</x:t>
        </x:is>
      </x:c>
      <x:c r="E277" s="49" t="inlineStr">
        <x:is>
          <x:t xml:space="preserve">TRIVIAL_TRUE</x:t>
        </x:is>
      </x:c>
      <x:c r="F277" s="49" t="inlineStr">
        <x:is>
          <x:t xml:space="preserve">PENDING_NOT_RUN</x:t>
        </x:is>
      </x:c>
      <x:c r="G277" s="49" t="inlineStr">
        <x:is>
          <x:t xml:space="preserve">NO_SORRY_OR_ADMIT_STATIC_SCAN</x:t>
        </x:is>
      </x:c>
      <x:c r="H277" s="49" t="inlineStr">
        <x:is>
          <x:t xml:space="preserve">LOW_CONTENT_TRUE_NOT_PUBLIC_COUNT</x:t>
        </x:is>
      </x:c>
      <x:c r="I277" s="49" t="inlineStr">
        <x:is>
          <x:t xml:space="preserve">3</x:t>
        </x:is>
      </x:c>
      <x:c r="J277" s="49" t="inlineStr">
        <x:is>
          <x:t xml:space="preserve">LEAN_DERIVATION_CHAIN:139</x:t>
        </x:is>
      </x:c>
      <x:c r="K277" s="49" t="inlineStr">
        <x:is>
          <x:t xml:space="preserve">Converted burden → coherence gate = 1</x:t>
        </x:is>
      </x:c>
      <x:c r="L277" s="56" t="n"/>
    </x:row>
    <x:row r="278" ht="15" customHeight="1">
      <x:c r="A278" s="55" t="inlineStr">
        <x:is>
          <x:t xml:space="preserve">core_pipeline_marker</x:t>
        </x:is>
      </x:c>
      <x:c r="B278" s="49" t="inlineStr">
        <x:is>
          <x:t xml:space="preserve">theorem</x:t>
        </x:is>
      </x:c>
      <x:c r="C278" s="49" t="inlineStr">
        <x:is>
          <x:t xml:space="preserve">theophysics-lean-main\theophysics-lean-main\Theophysics_Core.lean</x:t>
        </x:is>
      </x:c>
      <x:c r="D278" s="49" t="inlineStr">
        <x:is>
          <x:t xml:space="preserve">266</x:t>
        </x:is>
      </x:c>
      <x:c r="E278" s="49" t="inlineStr">
        <x:is>
          <x:t xml:space="preserve">DECLARATION_OR_UNKNOWN</x:t>
        </x:is>
      </x:c>
      <x:c r="F278" s="49" t="inlineStr">
        <x:is>
          <x:t xml:space="preserve">PENDING_NOT_RUN</x:t>
        </x:is>
      </x:c>
      <x:c r="G278" s="49" t="inlineStr">
        <x:is>
          <x:t xml:space="preserve">NO_SORRY_OR_ADMIT_STATIC_SCAN</x:t>
        </x:is>
      </x:c>
      <x:c r="H278" s="49" t="inlineStr">
        <x:is>
          <x:t xml:space="preserve">CANONICAL_THEOREM_DEDUPED_PENDING_COMPILE</x:t>
        </x:is>
      </x:c>
      <x:c r="I278" s="49" t="inlineStr">
        <x:is>
          <x:t xml:space="preserve">3</x:t>
        </x:is>
      </x:c>
      <x:c r="L278" s="56" t="n"/>
    </x:row>
    <x:row r="279" ht="15" customHeight="1">
      <x:c r="A279" s="55" t="inlineStr">
        <x:is>
          <x:t xml:space="preserve">cosmic_cycle_fails</x:t>
        </x:is>
      </x:c>
      <x:c r="B279" s="49" t="inlineStr">
        <x:is>
          <x:t xml:space="preserve">theorem</x:t>
        </x:is>
      </x:c>
      <x:c r="C279" s="49" t="inlineStr">
        <x:is>
          <x:t xml:space="preserve">theophysics-lean-main\theophysics-lean-main\Theophysics_GodTest.lean</x:t>
        </x:is>
      </x:c>
      <x:c r="D279" s="49" t="inlineStr">
        <x:is>
          <x:t xml:space="preserve">274</x:t>
        </x:is>
      </x:c>
      <x:c r="E279" s="49" t="inlineStr">
        <x:is>
          <x:t xml:space="preserve">DEFINITIONAL_RFL</x:t>
        </x:is>
      </x:c>
      <x:c r="F279" s="49" t="inlineStr">
        <x:is>
          <x:t xml:space="preserve">PENDING_NOT_RUN</x:t>
        </x:is>
      </x:c>
      <x:c r="G279" s="49" t="inlineStr">
        <x:is>
          <x:t xml:space="preserve">NO_SORRY_OR_ADMIT_STATIC_SCAN</x:t>
        </x:is>
      </x:c>
      <x:c r="H279" s="49" t="inlineStr">
        <x:is>
          <x:t xml:space="preserve">UNIQUE_THEOREM_PENDING_COMPILE</x:t>
        </x:is>
      </x:c>
      <x:c r="I279" s="49" t="inlineStr">
        <x:is>
          <x:t xml:space="preserve">0</x:t>
        </x:is>
      </x:c>
      <x:c r="L279" s="56" t="n"/>
    </x:row>
    <x:row r="280" ht="15" customHeight="1">
      <x:c r="A280" s="55" t="inlineStr">
        <x:is>
          <x:t xml:space="preserve">cost_cannot_vanish</x:t>
        </x:is>
      </x:c>
      <x:c r="B280" s="49" t="inlineStr">
        <x:is>
          <x:t xml:space="preserve">theorem</x:t>
        </x:is>
      </x:c>
      <x:c r="C280" s="49" t="inlineStr">
        <x:is>
          <x:t xml:space="preserve">theophysics-lean-main\theophysics-lean-main\Theophysics_Canonization.lean</x:t>
        </x:is>
      </x:c>
      <x:c r="D280" s="49" t="inlineStr">
        <x:is>
          <x:t xml:space="preserve">388</x:t>
        </x:is>
      </x:c>
      <x:c r="E280" s="49" t="inlineStr">
        <x:is>
          <x:t xml:space="preserve">WRAPPER_OR_IMPORTED</x:t>
        </x:is>
      </x:c>
      <x:c r="F280" s="49" t="inlineStr">
        <x:is>
          <x:t xml:space="preserve">PENDING_NOT_RUN</x:t>
        </x:is>
      </x:c>
      <x:c r="G280" s="49" t="inlineStr">
        <x:is>
          <x:t xml:space="preserve">NO_SORRY_OR_ADMIT_STATIC_SCAN</x:t>
        </x:is>
      </x:c>
      <x:c r="H280" s="49" t="inlineStr">
        <x:is>
          <x:t xml:space="preserve">UNIQUE_THEOREM_PENDING_COMPILE</x:t>
        </x:is>
      </x:c>
      <x:c r="I280" s="49" t="inlineStr">
        <x:is>
          <x:t xml:space="preserve">0</x:t>
        </x:is>
      </x:c>
      <x:c r="J280" s="49" t="inlineStr">
        <x:is>
          <x:t xml:space="preserve">LEAN_DERIVATION_CHAIN:258</x:t>
        </x:is>
      </x:c>
      <x:c r="K280" s="49" t="inlineStr">
        <x:is>
          <x:t xml:space="preserve">Real offense implies delta+nu_loss nonzero - cost must land somewhere</x:t>
        </x:is>
      </x:c>
      <x:c r="L280" s="56" t="n"/>
    </x:row>
    <x:row r="281" ht="15" customHeight="1">
      <x:c r="A281" s="55" t="inlineStr">
        <x:is>
          <x:t xml:space="preserve">costless_conversion_fails</x:t>
        </x:is>
      </x:c>
      <x:c r="B281" s="49" t="inlineStr">
        <x:is>
          <x:t xml:space="preserve">theorem</x:t>
        </x:is>
      </x:c>
      <x:c r="C281" s="49" t="inlineStr">
        <x:is>
          <x:t xml:space="preserve">Faith-Thru-Physics-Lean-4--main\Faith-Thru-Physics-Lean-4--main\Theophysics_NegativeInventory.lean</x:t>
        </x:is>
      </x:c>
      <x:c r="D281" s="49" t="inlineStr">
        <x:is>
          <x:t xml:space="preserve">183</x:t>
        </x:is>
      </x:c>
      <x:c r="E281" s="49" t="inlineStr">
        <x:is>
          <x:t xml:space="preserve">SIMPLIFICATION</x:t>
        </x:is>
      </x:c>
      <x:c r="F281" s="49" t="inlineStr">
        <x:is>
          <x:t xml:space="preserve">PENDING_NOT_RUN</x:t>
        </x:is>
      </x:c>
      <x:c r="G281" s="49" t="inlineStr">
        <x:is>
          <x:t xml:space="preserve">NO_SORRY_OR_ADMIT_STATIC_SCAN</x:t>
        </x:is>
      </x:c>
      <x:c r="H281" s="49" t="inlineStr">
        <x:is>
          <x:t xml:space="preserve">UNIQUE_THEOREM_PENDING_COMPILE</x:t>
        </x:is>
      </x:c>
      <x:c r="I281" s="49" t="inlineStr">
        <x:is>
          <x:t xml:space="preserve">0</x:t>
        </x:is>
      </x:c>
      <x:c r="J281" s="49" t="inlineStr">
        <x:is>
          <x:t xml:space="preserve">LEAN_DERIVATION_CHAIN:228</x:t>
        </x:is>
      </x:c>
      <x:c r="K281" s="49" t="inlineStr">
        <x:is>
          <x:t xml:space="preserve">Costless conversion changes nothing - mercy without cost is not conversion</x:t>
        </x:is>
      </x:c>
      <x:c r="L281" s="56" t="n"/>
    </x:row>
    <x:row r="282" ht="15" customHeight="1">
      <x:c r="A282" s="55" t="inlineStr">
        <x:is>
          <x:t xml:space="preserve">count</x:t>
        </x:is>
      </x:c>
      <x:c r="B282" s="49" t="inlineStr">
        <x:is>
          <x:t xml:space="preserve">theorem</x:t>
        </x:is>
      </x:c>
      <x:c r="C282" s="49" t="inlineStr">
        <x:is>
          <x:t xml:space="preserve">Lean-4-Proofs-main\Lean-4-Proofs-main\theophysics-lean-verification-package\COPY_PASTE_LEAN4.lean</x:t>
        </x:is>
      </x:c>
      <x:c r="D282" s="49" t="inlineStr">
        <x:is>
          <x:t xml:space="preserve">105</x:t>
        </x:is>
      </x:c>
      <x:c r="E282" s="49" t="inlineStr">
        <x:is>
          <x:t xml:space="preserve">DEFINITIONAL_RFL</x:t>
        </x:is>
      </x:c>
      <x:c r="F282" s="49" t="inlineStr">
        <x:is>
          <x:t xml:space="preserve">PENDING_NOT_RUN</x:t>
        </x:is>
      </x:c>
      <x:c r="G282" s="49" t="inlineStr">
        <x:is>
          <x:t xml:space="preserve">NO_SORRY_OR_ADMIT_STATIC_SCAN</x:t>
        </x:is>
      </x:c>
      <x:c r="H282" s="49" t="inlineStr">
        <x:is>
          <x:t xml:space="preserve">CANONICAL_THEOREM_DEDUPED_PENDING_COMPILE</x:t>
        </x:is>
      </x:c>
      <x:c r="I282" s="49" t="inlineStr">
        <x:is>
          <x:t xml:space="preserve">3</x:t>
        </x:is>
      </x:c>
      <x:c r="L282" s="56" t="n"/>
    </x:row>
    <x:row r="283" ht="15" customHeight="1">
      <x:c r="A283" s="55" t="inlineStr">
        <x:is>
          <x:t xml:space="preserve">coupledOnly</x:t>
        </x:is>
      </x:c>
      <x:c r="B283" s="49" t="inlineStr">
        <x:is>
          <x:t xml:space="preserve">def</x:t>
        </x:is>
      </x:c>
      <x:c r="C283" s="49" t="inlineStr">
        <x:is>
          <x:t xml:space="preserve">theophysics-lean-main\theophysics-lean-main\Theophysics_Fall.lean</x:t>
        </x:is>
      </x:c>
      <x:c r="D283" s="49" t="inlineStr">
        <x:is>
          <x:t xml:space="preserve">74</x:t>
        </x:is>
      </x:c>
      <x:c r="E283" s="49" t="inlineStr">
        <x:is>
          <x:t xml:space="preserve">DECLARATION_OR_UNKNOWN</x:t>
        </x:is>
      </x:c>
      <x:c r="F283" s="49" t="inlineStr">
        <x:is>
          <x:t xml:space="preserve">PENDING_NOT_RUN</x:t>
        </x:is>
      </x:c>
      <x:c r="G283" s="49" t="inlineStr">
        <x:is>
          <x:t xml:space="preserve">NO_SORRY_OR_ADMIT_STATIC_SCAN</x:t>
        </x:is>
      </x:c>
      <x:c r="H283" s="49" t="inlineStr">
        <x:is>
          <x:t xml:space="preserve">SCAFFOLDING_NOT_PUBLIC_COUNT</x:t>
        </x:is>
      </x:c>
      <x:c r="I283" s="49" t="inlineStr">
        <x:is>
          <x:t xml:space="preserve">3</x:t>
        </x:is>
      </x:c>
      <x:c r="L283" s="56" t="n"/>
    </x:row>
    <x:row r="284" ht="15" customHeight="1">
      <x:c r="A284" s="55" t="inlineStr">
        <x:is>
          <x:t xml:space="preserve">coupling_modification_irreversible</x:t>
        </x:is>
      </x:c>
      <x:c r="B284" s="49" t="inlineStr">
        <x:is>
          <x:t xml:space="preserve">theorem</x:t>
        </x:is>
      </x:c>
      <x:c r="C284" s="49" t="inlineStr">
        <x:is>
          <x:t xml:space="preserve">theophysics-lean-main\theophysics-lean-main\Theophysics_Core.lean</x:t>
        </x:is>
      </x:c>
      <x:c r="D284" s="49" t="inlineStr">
        <x:is>
          <x:t xml:space="preserve">31</x:t>
        </x:is>
      </x:c>
      <x:c r="E284" s="49" t="inlineStr">
        <x:is>
          <x:t xml:space="preserve">DECLARATION_OR_UNKNOWN</x:t>
        </x:is>
      </x:c>
      <x:c r="F284" s="49" t="inlineStr">
        <x:is>
          <x:t xml:space="preserve">PENDING_NOT_RUN</x:t>
        </x:is>
      </x:c>
      <x:c r="G284" s="49" t="inlineStr">
        <x:is>
          <x:t xml:space="preserve">NO_SORRY_OR_ADMIT_STATIC_SCAN</x:t>
        </x:is>
      </x:c>
      <x:c r="H284" s="49" t="inlineStr">
        <x:is>
          <x:t xml:space="preserve">CANONICAL_THEOREM_DEDUPED_PENDING_COMPILE</x:t>
        </x:is>
      </x:c>
      <x:c r="I284" s="49" t="inlineStr">
        <x:is>
          <x:t xml:space="preserve">7</x:t>
        </x:is>
      </x:c>
      <x:c r="J284" s="49" t="inlineStr">
        <x:is>
          <x:t xml:space="preserve">LEAN_DERIVATION_CHAIN:5</x:t>
        </x:is>
      </x:c>
      <x:c r="K284" s="49" t="inlineStr">
        <x:is>
          <x:t xml:space="preserve">C0 → C1 is one-way; C1 → C0 has no constructor. The transition cannot be undone.</x:t>
        </x:is>
      </x:c>
      <x:c r="L284" s="56" t="inlineStr">
        <x:is>
          <x:t xml:space="preserve">heaviside_content_loss | load_bearing_controls | variable_coupling</x:t>
        </x:is>
      </x:c>
    </x:row>
    <x:row r="285" ht="15" customHeight="1">
      <x:c r="A285" s="55" t="inlineStr">
        <x:is>
          <x:t xml:space="preserve">coupling_without_entanglement_is_not_fall</x:t>
        </x:is>
      </x:c>
      <x:c r="B285" s="49" t="inlineStr">
        <x:is>
          <x:t xml:space="preserve">theorem</x:t>
        </x:is>
      </x:c>
      <x:c r="C285" s="49" t="inlineStr">
        <x:is>
          <x:t xml:space="preserve">theophysics-lean-main\theophysics-lean-main\Theophysics_Fall.lean</x:t>
        </x:is>
      </x:c>
      <x:c r="D285" s="49" t="inlineStr">
        <x:is>
          <x:t xml:space="preserve">116</x:t>
        </x:is>
      </x:c>
      <x:c r="E285" s="49" t="inlineStr">
        <x:is>
          <x:t xml:space="preserve">DEFINITIONAL_RFL</x:t>
        </x:is>
      </x:c>
      <x:c r="F285" s="49" t="inlineStr">
        <x:is>
          <x:t xml:space="preserve">PENDING_NOT_RUN</x:t>
        </x:is>
      </x:c>
      <x:c r="G285" s="49" t="inlineStr">
        <x:is>
          <x:t xml:space="preserve">NO_SORRY_OR_ADMIT_STATIC_SCAN</x:t>
        </x:is>
      </x:c>
      <x:c r="H285" s="49" t="inlineStr">
        <x:is>
          <x:t xml:space="preserve">CANONICAL_THEOREM_DEDUPED_PENDING_COMPILE</x:t>
        </x:is>
      </x:c>
      <x:c r="I285" s="49" t="inlineStr">
        <x:is>
          <x:t xml:space="preserve">3</x:t>
        </x:is>
      </x:c>
      <x:c r="L285" s="56" t="inlineStr">
        <x:is>
          <x:t xml:space="preserve">heaviside_content_loss | load_bearing_controls | variable_coupling</x:t>
        </x:is>
      </x:c>
    </x:row>
    <x:row r="286" ht="15" customHeight="1">
      <x:c r="A286" s="55" t="inlineStr">
        <x:is>
          <x:t xml:space="preserve">creature</x:t>
        </x:is>
      </x:c>
      <x:c r="B286" s="49" t="inlineStr">
        <x:is>
          <x:t xml:space="preserve">def</x:t>
        </x:is>
      </x:c>
      <x:c r="C286" s="49" t="inlineStr">
        <x:is>
          <x:t xml:space="preserve">theophysics-lean-main\theophysics-lean-main\Theophysics_DeathTest.lean</x:t>
        </x:is>
      </x:c>
      <x:c r="D286" s="49" t="inlineStr">
        <x:is>
          <x:t xml:space="preserve">46</x:t>
        </x:is>
      </x:c>
      <x:c r="E286" s="49" t="inlineStr">
        <x:is>
          <x:t xml:space="preserve">DECLARATION_OR_UNKNOWN</x:t>
        </x:is>
      </x:c>
      <x:c r="F286" s="49" t="inlineStr">
        <x:is>
          <x:t xml:space="preserve">PENDING_NOT_RUN</x:t>
        </x:is>
      </x:c>
      <x:c r="G286" s="49" t="inlineStr">
        <x:is>
          <x:t xml:space="preserve">NO_SORRY_OR_ADMIT_STATIC_SCAN</x:t>
        </x:is>
      </x:c>
      <x:c r="H286" s="49" t="inlineStr">
        <x:is>
          <x:t xml:space="preserve">SCAFFOLDING_NOT_PUBLIC_COUNT</x:t>
        </x:is>
      </x:c>
      <x:c r="I286" s="49" t="inlineStr">
        <x:is>
          <x:t xml:space="preserve">0</x:t>
        </x:is>
      </x:c>
      <x:c r="L286" s="56" t="n"/>
    </x:row>
    <x:row r="287" ht="15" customHeight="1">
      <x:c r="A287" s="55" t="inlineStr">
        <x:is>
          <x:t xml:space="preserve">creature_not_released</x:t>
        </x:is>
      </x:c>
      <x:c r="B287" s="49" t="inlineStr">
        <x:is>
          <x:t xml:space="preserve">theorem</x:t>
        </x:is>
      </x:c>
      <x:c r="C287" s="49" t="inlineStr">
        <x:is>
          <x:t xml:space="preserve">theophysics-lean-main\theophysics-lean-main\Theophysics_DeathTest.lean</x:t>
        </x:is>
      </x:c>
      <x:c r="D287" s="49" t="inlineStr">
        <x:is>
          <x:t xml:space="preserve">86</x:t>
        </x:is>
      </x:c>
      <x:c r="E287" s="49" t="inlineStr">
        <x:is>
          <x:t xml:space="preserve">DEFINITIONAL_RFL</x:t>
        </x:is>
      </x:c>
      <x:c r="F287" s="49" t="inlineStr">
        <x:is>
          <x:t xml:space="preserve">PENDING_NOT_RUN</x:t>
        </x:is>
      </x:c>
      <x:c r="G287" s="49" t="inlineStr">
        <x:is>
          <x:t xml:space="preserve">NO_SORRY_OR_ADMIT_STATIC_SCAN</x:t>
        </x:is>
      </x:c>
      <x:c r="H287" s="49" t="inlineStr">
        <x:is>
          <x:t xml:space="preserve">UNIQUE_THEOREM_PENDING_COMPILE</x:t>
        </x:is>
      </x:c>
      <x:c r="I287" s="49" t="inlineStr">
        <x:is>
          <x:t xml:space="preserve">0</x:t>
        </x:is>
      </x:c>
      <x:c r="L287" s="56" t="n"/>
    </x:row>
    <x:row r="288" ht="15" customHeight="1">
      <x:c r="A288" s="55" t="inlineStr">
        <x:is>
          <x:t xml:space="preserve">cross_has_entropy_and_death_contact</x:t>
        </x:is>
      </x:c>
      <x:c r="B288" s="49" t="inlineStr">
        <x:is>
          <x:t xml:space="preserve">theorem</x:t>
        </x:is>
      </x:c>
      <x:c r="C288" s="49" t="inlineStr">
        <x:is>
          <x:t xml:space="preserve">theophysics-lean-main\theophysics-lean-main\Theophysics_Core.lean</x:t>
        </x:is>
      </x:c>
      <x:c r="D288" s="49" t="inlineStr">
        <x:is>
          <x:t xml:space="preserve">59</x:t>
        </x:is>
      </x:c>
      <x:c r="E288" s="49" t="inlineStr">
        <x:is>
          <x:t xml:space="preserve">TRIVIAL_TRUE</x:t>
        </x:is>
      </x:c>
      <x:c r="F288" s="49" t="inlineStr">
        <x:is>
          <x:t xml:space="preserve">PENDING_NOT_RUN</x:t>
        </x:is>
      </x:c>
      <x:c r="G288" s="49" t="inlineStr">
        <x:is>
          <x:t xml:space="preserve">NO_SORRY_OR_ADMIT_STATIC_SCAN</x:t>
        </x:is>
      </x:c>
      <x:c r="H288" s="49" t="inlineStr">
        <x:is>
          <x:t xml:space="preserve">LOW_CONTENT_TRUE_NOT_PUBLIC_COUNT</x:t>
        </x:is>
      </x:c>
      <x:c r="I288" s="49" t="inlineStr">
        <x:is>
          <x:t xml:space="preserve">3</x:t>
        </x:is>
      </x:c>
      <x:c r="J288" s="49" t="inlineStr">
        <x:is>
          <x:t xml:space="preserve">LEAN_DERIVATION_CHAIN:158</x:t>
        </x:is>
      </x:c>
      <x:c r="K288" s="49" t="inlineStr">
        <x:is>
          <x:t xml:space="preserve">Cross records entropy contact AND death contact</x:t>
        </x:is>
      </x:c>
      <x:c r="L288" s="56" t="n"/>
    </x:row>
    <x:row r="289" ht="15" customHeight="1">
      <x:c r="A289" s="55" t="inlineStr">
        <x:is>
          <x:t xml:space="preserve">cross_is_unique_convergence_configuration</x:t>
        </x:is>
      </x:c>
      <x:c r="B289" s="49" t="inlineStr">
        <x:is>
          <x:t xml:space="preserve">theorem</x:t>
        </x:is>
      </x:c>
      <x:c r="C289" s="49" t="inlineStr">
        <x:is>
          <x:t xml:space="preserve">theophysics-lean-main\theophysics-lean-main\Final_Lean4_From_Excel.lean</x:t>
        </x:is>
      </x:c>
      <x:c r="D289" s="49" t="inlineStr">
        <x:is>
          <x:t xml:space="preserve">308</x:t>
        </x:is>
      </x:c>
      <x:c r="E289" s="49" t="inlineStr">
        <x:is>
          <x:t xml:space="preserve">SIMPLIFICATION</x:t>
        </x:is>
      </x:c>
      <x:c r="F289" s="49" t="inlineStr">
        <x:is>
          <x:t xml:space="preserve">PENDING_NOT_RUN</x:t>
        </x:is>
      </x:c>
      <x:c r="G289" s="49" t="inlineStr">
        <x:is>
          <x:t xml:space="preserve">NO_SORRY_OR_ADMIT_STATIC_SCAN</x:t>
        </x:is>
      </x:c>
      <x:c r="H289" s="49" t="inlineStr">
        <x:is>
          <x:t xml:space="preserve">CANONICAL_THEOREM_DEDUPED_PENDING_COMPILE</x:t>
        </x:is>
      </x:c>
      <x:c r="I289" s="49" t="inlineStr">
        <x:is>
          <x:t xml:space="preserve">3</x:t>
        </x:is>
      </x:c>
      <x:c r="L289" s="56" t="n"/>
    </x:row>
    <x:row r="290" ht="15" customHeight="1">
      <x:c r="A290" s="55" t="inlineStr">
        <x:is>
          <x:t xml:space="preserve">cross_is_unique_for_convergence</x:t>
        </x:is>
      </x:c>
      <x:c r="B290" s="49" t="inlineStr">
        <x:is>
          <x:t xml:space="preserve">theorem</x:t>
        </x:is>
      </x:c>
      <x:c r="C290" s="49" t="inlineStr">
        <x:is>
          <x:t xml:space="preserve">theophysics-lean-main\theophysics-lean-main\Theophysics_Core.lean</x:t>
        </x:is>
      </x:c>
      <x:c r="D290" s="49" t="inlineStr">
        <x:is>
          <x:t xml:space="preserve">262</x:t>
        </x:is>
      </x:c>
      <x:c r="E290" s="49" t="inlineStr">
        <x:is>
          <x:t xml:space="preserve">WRAPPER_OR_IMPORTED</x:t>
        </x:is>
      </x:c>
      <x:c r="F290" s="49" t="inlineStr">
        <x:is>
          <x:t xml:space="preserve">PENDING_NOT_RUN</x:t>
        </x:is>
      </x:c>
      <x:c r="G290" s="49" t="inlineStr">
        <x:is>
          <x:t xml:space="preserve">NO_SORRY_OR_ADMIT_STATIC_SCAN</x:t>
        </x:is>
      </x:c>
      <x:c r="H290" s="49" t="inlineStr">
        <x:is>
          <x:t xml:space="preserve">CANONICAL_THEOREM_DEDUPED_PENDING_COMPILE</x:t>
        </x:is>
      </x:c>
      <x:c r="I290" s="49" t="inlineStr">
        <x:is>
          <x:t xml:space="preserve">3</x:t>
        </x:is>
      </x:c>
      <x:c r="L290" s="56" t="n"/>
    </x:row>
    <x:row r="291" ht="15" customHeight="1">
      <x:c r="A291" s="55" t="inlineStr">
        <x:is>
          <x:t xml:space="preserve">cross_is_unique_solution</x:t>
        </x:is>
      </x:c>
      <x:c r="B291" s="49" t="inlineStr">
        <x:is>
          <x:t xml:space="preserve">theorem</x:t>
        </x:is>
      </x:c>
      <x:c r="C291" s="49" t="inlineStr">
        <x:is>
          <x:t xml:space="preserve">theophysics-lean-main\theophysics-lean-main\Theophysics_Core.lean</x:t>
        </x:is>
      </x:c>
      <x:c r="D291" s="49" t="inlineStr">
        <x:is>
          <x:t xml:space="preserve">239</x:t>
        </x:is>
      </x:c>
      <x:c r="E291" s="49" t="inlineStr">
        <x:is>
          <x:t xml:space="preserve">TRIVIAL_TRUE</x:t>
        </x:is>
      </x:c>
      <x:c r="F291" s="49" t="inlineStr">
        <x:is>
          <x:t xml:space="preserve">PENDING_NOT_RUN</x:t>
        </x:is>
      </x:c>
      <x:c r="G291" s="49" t="inlineStr">
        <x:is>
          <x:t xml:space="preserve">NO_SORRY_OR_ADMIT_STATIC_SCAN</x:t>
        </x:is>
      </x:c>
      <x:c r="H291" s="49" t="inlineStr">
        <x:is>
          <x:t xml:space="preserve">LOW_CONTENT_TRUE_NOT_PUBLIC_COUNT</x:t>
        </x:is>
      </x:c>
      <x:c r="I291" s="49" t="inlineStr">
        <x:is>
          <x:t xml:space="preserve">3</x:t>
        </x:is>
      </x:c>
      <x:c r="J291" s="49" t="inlineStr">
        <x:is>
          <x:t xml:space="preserve">LEAN_DERIVATION_CHAIN:121</x:t>
        </x:is>
      </x:c>
      <x:c r="K291" s="49" t="inlineStr">
        <x:is>
          <x:t xml:space="preserve">THE CROSS IS THE UNIQUE SOLUTION — existence AND uniqueness. Strongest single result in the package.</x:t>
        </x:is>
      </x:c>
      <x:c r="L291" s="56" t="n"/>
    </x:row>
    <x:row r="292" ht="15" customHeight="1">
      <x:c r="A292" s="55" t="inlineStr">
        <x:is>
          <x:t xml:space="preserve">cross_maximal_mercy_conserved_cost</x:t>
        </x:is>
      </x:c>
      <x:c r="B292" s="49" t="inlineStr">
        <x:is>
          <x:t xml:space="preserve">theorem</x:t>
        </x:is>
      </x:c>
      <x:c r="C292" s="49" t="inlineStr">
        <x:is>
          <x:t xml:space="preserve">theophysics-lean-main\theophysics-lean-main\Theophysics_Canonization.lean</x:t>
        </x:is>
      </x:c>
      <x:c r="D292" s="49" t="inlineStr">
        <x:is>
          <x:t xml:space="preserve">277</x:t>
        </x:is>
      </x:c>
      <x:c r="E292" s="49" t="inlineStr">
        <x:is>
          <x:t xml:space="preserve">DECLARATION_OR_UNKNOWN</x:t>
        </x:is>
      </x:c>
      <x:c r="F292" s="49" t="inlineStr">
        <x:is>
          <x:t xml:space="preserve">PENDING_NOT_RUN</x:t>
        </x:is>
      </x:c>
      <x:c r="G292" s="49" t="inlineStr">
        <x:is>
          <x:t xml:space="preserve">NO_SORRY_OR_ADMIT_STATIC_SCAN</x:t>
        </x:is>
      </x:c>
      <x:c r="H292" s="49" t="inlineStr">
        <x:is>
          <x:t xml:space="preserve">UNIQUE_THEOREM_PENDING_COMPILE</x:t>
        </x:is>
      </x:c>
      <x:c r="I292" s="49" t="inlineStr">
        <x:is>
          <x:t xml:space="preserve">0</x:t>
        </x:is>
      </x:c>
      <x:c r="J292" s="49" t="inlineStr">
        <x:is>
          <x:t xml:space="preserve">LEAN_DERIVATION_CHAIN:254</x:t>
        </x:is>
      </x:c>
      <x:c r="K292" s="49" t="inlineStr">
        <x:is>
          <x:t xml:space="preserve">Cross config: mercy maximal AND cost conserved, no contradiction</x:t>
        </x:is>
      </x:c>
      <x:c r="L292" s="56" t="inlineStr">
        <x:is>
          <x:t xml:space="preserve">justice_mercy_math</x:t>
        </x:is>
      </x:c>
    </x:row>
    <x:row r="293" ht="15" customHeight="1">
      <x:c r="A293" s="55" t="inlineStr">
        <x:is>
          <x:t xml:space="preserve">cross_preserves_substrate_identity</x:t>
        </x:is>
      </x:c>
      <x:c r="B293" s="49" t="inlineStr">
        <x:is>
          <x:t xml:space="preserve">theorem</x:t>
        </x:is>
      </x:c>
      <x:c r="C293" s="49" t="inlineStr">
        <x:is>
          <x:t xml:space="preserve">theophysics-lean-main\theophysics-lean-main\Theophysics_Core.lean</x:t>
        </x:is>
      </x:c>
      <x:c r="D293" s="49" t="inlineStr">
        <x:is>
          <x:t xml:space="preserve">141</x:t>
        </x:is>
      </x:c>
      <x:c r="E293" s="49" t="inlineStr">
        <x:is>
          <x:t xml:space="preserve">TRIVIAL_TRUE</x:t>
        </x:is>
      </x:c>
      <x:c r="F293" s="49" t="inlineStr">
        <x:is>
          <x:t xml:space="preserve">PENDING_NOT_RUN</x:t>
        </x:is>
      </x:c>
      <x:c r="G293" s="49" t="inlineStr">
        <x:is>
          <x:t xml:space="preserve">NO_SORRY_OR_ADMIT_STATIC_SCAN</x:t>
        </x:is>
      </x:c>
      <x:c r="H293" s="49" t="inlineStr">
        <x:is>
          <x:t xml:space="preserve">LOW_CONTENT_TRUE_NOT_PUBLIC_COUNT</x:t>
        </x:is>
      </x:c>
      <x:c r="I293" s="49" t="inlineStr">
        <x:is>
          <x:t xml:space="preserve">3</x:t>
        </x:is>
      </x:c>
      <x:c r="J293" s="49" t="inlineStr">
        <x:is>
          <x:t xml:space="preserve">LEAN_DERIVATION_CHAIN:154</x:t>
        </x:is>
      </x:c>
      <x:c r="K293" s="49" t="inlineStr">
        <x:is>
          <x:t xml:space="preserve">Substrate ID unchanged through crucifixion</x:t>
        </x:is>
      </x:c>
      <x:c r="L293" s="56" t="n"/>
    </x:row>
    <x:row r="294" ht="15" customHeight="1">
      <x:c r="A294" s="55" t="inlineStr">
        <x:is>
          <x:t xml:space="preserve">cross_satisfies_convergence</x:t>
        </x:is>
      </x:c>
      <x:c r="B294" s="49" t="inlineStr">
        <x:is>
          <x:t xml:space="preserve">theorem</x:t>
        </x:is>
      </x:c>
      <x:c r="C294" s="49" t="inlineStr">
        <x:is>
          <x:t xml:space="preserve">theophysics-lean-main\theophysics-lean-main\Theophysics_Core.lean</x:t>
        </x:is>
      </x:c>
      <x:c r="D294" s="49" t="inlineStr">
        <x:is>
          <x:t xml:space="preserve">240</x:t>
        </x:is>
      </x:c>
      <x:c r="E294" s="49" t="inlineStr">
        <x:is>
          <x:t xml:space="preserve">TRIVIAL_TRUE</x:t>
        </x:is>
      </x:c>
      <x:c r="F294" s="49" t="inlineStr">
        <x:is>
          <x:t xml:space="preserve">PENDING_NOT_RUN</x:t>
        </x:is>
      </x:c>
      <x:c r="G294" s="49" t="inlineStr">
        <x:is>
          <x:t xml:space="preserve">NO_SORRY_OR_ADMIT_STATIC_SCAN</x:t>
        </x:is>
      </x:c>
      <x:c r="H294" s="49" t="inlineStr">
        <x:is>
          <x:t xml:space="preserve">LOW_CONTENT_TRUE_NOT_PUBLIC_COUNT</x:t>
        </x:is>
      </x:c>
      <x:c r="I294" s="49" t="inlineStr">
        <x:is>
          <x:t xml:space="preserve">3</x:t>
        </x:is>
      </x:c>
      <x:c r="J294" s="49" t="inlineStr">
        <x:is>
          <x:t xml:space="preserve">LEAN_DERIVATION_CHAIN:114</x:t>
        </x:is>
      </x:c>
      <x:c r="K294" s="49" t="inlineStr">
        <x:is>
          <x:t xml:space="preserve">The Cross config meets all 5 convergence conditions simultaneously</x:t>
        </x:is>
      </x:c>
      <x:c r="L294" s="56" t="n"/>
    </x:row>
    <x:row r="295" ht="15" customHeight="1">
      <x:c r="A295" s="55" t="inlineStr">
        <x:is>
          <x:t xml:space="preserve">cross_unique_convergence_configuration</x:t>
        </x:is>
      </x:c>
      <x:c r="B295" s="49" t="inlineStr">
        <x:is>
          <x:t xml:space="preserve">theorem</x:t>
        </x:is>
      </x:c>
      <x:c r="C295" s="49" t="inlineStr">
        <x:is>
          <x:t xml:space="preserve">theophysics-lean-main\theophysics-lean-main\Theophysics_Core.lean</x:t>
        </x:is>
      </x:c>
      <x:c r="D295" s="49" t="inlineStr">
        <x:is>
          <x:t xml:space="preserve">241</x:t>
        </x:is>
      </x:c>
      <x:c r="E295" s="49" t="inlineStr">
        <x:is>
          <x:t xml:space="preserve">TRIVIAL_TRUE</x:t>
        </x:is>
      </x:c>
      <x:c r="F295" s="49" t="inlineStr">
        <x:is>
          <x:t xml:space="preserve">PENDING_NOT_RUN</x:t>
        </x:is>
      </x:c>
      <x:c r="G295" s="49" t="inlineStr">
        <x:is>
          <x:t xml:space="preserve">NO_SORRY_OR_ADMIT_STATIC_SCAN</x:t>
        </x:is>
      </x:c>
      <x:c r="H295" s="49" t="inlineStr">
        <x:is>
          <x:t xml:space="preserve">LOW_CONTENT_TRUE_NOT_PUBLIC_COUNT</x:t>
        </x:is>
      </x:c>
      <x:c r="I295" s="49" t="inlineStr">
        <x:is>
          <x:t xml:space="preserve">3</x:t>
        </x:is>
      </x:c>
      <x:c r="J295" s="49" t="inlineStr">
        <x:is>
          <x:t xml:space="preserve">LEAN_DERIVATION_CHAIN:120</x:t>
        </x:is>
      </x:c>
      <x:c r="K295" s="49" t="inlineStr">
        <x:is>
          <x:t xml:space="preserve">∀ c, CrossConvergence(c) → c = cross. Any config satisfying all 5 conditions IS the Cross.</x:t>
        </x:is>
      </x:c>
      <x:c r="L295" s="56" t="n"/>
    </x:row>
    <x:row r="296" ht="15" customHeight="1">
      <x:c r="A296" s="55" t="inlineStr">
        <x:is>
          <x:t xml:space="preserve">cross_unique_solution</x:t>
        </x:is>
      </x:c>
      <x:c r="B296" s="49" t="inlineStr">
        <x:is>
          <x:t xml:space="preserve">theorem</x:t>
        </x:is>
      </x:c>
      <x:c r="C296" s="49" t="inlineStr">
        <x:is>
          <x:t xml:space="preserve">theophysics-lean-main\theophysics-lean-main\Final_Lean4_From_Excel.lean</x:t>
        </x:is>
      </x:c>
      <x:c r="D296" s="49" t="inlineStr">
        <x:is>
          <x:t xml:space="preserve">321</x:t>
        </x:is>
      </x:c>
      <x:c r="E296" s="49" t="inlineStr">
        <x:is>
          <x:t xml:space="preserve">WRAPPER_OR_IMPORTED</x:t>
        </x:is>
      </x:c>
      <x:c r="F296" s="49" t="inlineStr">
        <x:is>
          <x:t xml:space="preserve">PENDING_NOT_RUN</x:t>
        </x:is>
      </x:c>
      <x:c r="G296" s="49" t="inlineStr">
        <x:is>
          <x:t xml:space="preserve">NO_SORRY_OR_ADMIT_STATIC_SCAN</x:t>
        </x:is>
      </x:c>
      <x:c r="H296" s="49" t="inlineStr">
        <x:is>
          <x:t xml:space="preserve">CANONICAL_THEOREM_DEDUPED_PENDING_COMPILE</x:t>
        </x:is>
      </x:c>
      <x:c r="I296" s="49" t="inlineStr">
        <x:is>
          <x:t xml:space="preserve">3</x:t>
        </x:is>
      </x:c>
      <x:c r="L296" s="56" t="n"/>
    </x:row>
    <x:row r="297" ht="15" customHeight="1">
      <x:c r="A297" s="55" t="inlineStr">
        <x:is>
          <x:t xml:space="preserve">deathStrictlyBeforeJudgment</x:t>
        </x:is>
      </x:c>
      <x:c r="B297" s="49" t="inlineStr">
        <x:is>
          <x:t xml:space="preserve">def</x:t>
        </x:is>
      </x:c>
      <x:c r="C297" s="49" t="inlineStr">
        <x:is>
          <x:t xml:space="preserve">theophysics-lean-main\theophysics-lean-main\Theophysics_Adversarial.lean</x:t>
        </x:is>
      </x:c>
      <x:c r="D297" s="49" t="inlineStr">
        <x:is>
          <x:t xml:space="preserve">293</x:t>
        </x:is>
      </x:c>
      <x:c r="E297" s="49" t="inlineStr">
        <x:is>
          <x:t xml:space="preserve">DECLARATION_OR_UNKNOWN</x:t>
        </x:is>
      </x:c>
      <x:c r="F297" s="49" t="inlineStr">
        <x:is>
          <x:t xml:space="preserve">PENDING_NOT_RUN</x:t>
        </x:is>
      </x:c>
      <x:c r="G297" s="49" t="inlineStr">
        <x:is>
          <x:t xml:space="preserve">NO_SORRY_OR_ADMIT_STATIC_SCAN</x:t>
        </x:is>
      </x:c>
      <x:c r="H297" s="49" t="inlineStr">
        <x:is>
          <x:t xml:space="preserve">SCAFFOLDING_NOT_PUBLIC_COUNT</x:t>
        </x:is>
      </x:c>
      <x:c r="I297" s="49" t="inlineStr">
        <x:is>
          <x:t xml:space="preserve">3</x:t>
        </x:is>
      </x:c>
      <x:c r="L297" s="56" t="n"/>
    </x:row>
    <x:row r="298" ht="15" customHeight="1">
      <x:c r="A298" s="55" t="inlineStr">
        <x:is>
          <x:t xml:space="preserve">death_avoider_fails</x:t>
        </x:is>
      </x:c>
      <x:c r="B298" s="49" t="inlineStr">
        <x:is>
          <x:t xml:space="preserve">theorem</x:t>
        </x:is>
      </x:c>
      <x:c r="C298" s="49" t="inlineStr">
        <x:is>
          <x:t xml:space="preserve">theophysics-lean-main\theophysics-lean-main\Theophysics_GodTest.lean</x:t>
        </x:is>
      </x:c>
      <x:c r="D298" s="49" t="inlineStr">
        <x:is>
          <x:t xml:space="preserve">226</x:t>
        </x:is>
      </x:c>
      <x:c r="E298" s="49" t="inlineStr">
        <x:is>
          <x:t xml:space="preserve">DEFINITIONAL_RFL</x:t>
        </x:is>
      </x:c>
      <x:c r="F298" s="49" t="inlineStr">
        <x:is>
          <x:t xml:space="preserve">PENDING_NOT_RUN</x:t>
        </x:is>
      </x:c>
      <x:c r="G298" s="49" t="inlineStr">
        <x:is>
          <x:t xml:space="preserve">NO_SORRY_OR_ADMIT_STATIC_SCAN</x:t>
        </x:is>
      </x:c>
      <x:c r="H298" s="49" t="inlineStr">
        <x:is>
          <x:t xml:space="preserve">UNIQUE_THEOREM_PENDING_COMPILE</x:t>
        </x:is>
      </x:c>
      <x:c r="I298" s="49" t="inlineStr">
        <x:is>
          <x:t xml:space="preserve">0</x:t>
        </x:is>
      </x:c>
      <x:c r="L298" s="56" t="n"/>
    </x:row>
    <x:row r="299" ht="15" customHeight="1">
      <x:c r="A299" s="55" t="inlineStr">
        <x:is>
          <x:t xml:space="preserve">death_cannot_retain_christ</x:t>
        </x:is>
      </x:c>
      <x:c r="B299" s="49" t="inlineStr">
        <x:is>
          <x:t xml:space="preserve">theorem</x:t>
        </x:is>
      </x:c>
      <x:c r="C299" s="49" t="inlineStr">
        <x:is>
          <x:t xml:space="preserve">theophysics-lean-main\theophysics-lean-main\Theophysics_DeathTest.lean</x:t>
        </x:is>
      </x:c>
      <x:c r="D299" s="49" t="inlineStr">
        <x:is>
          <x:t xml:space="preserve">81</x:t>
        </x:is>
      </x:c>
      <x:c r="E299" s="49" t="inlineStr">
        <x:is>
          <x:t xml:space="preserve">DEFINITIONAL_RFL</x:t>
        </x:is>
      </x:c>
      <x:c r="F299" s="49" t="inlineStr">
        <x:is>
          <x:t xml:space="preserve">PENDING_NOT_RUN</x:t>
        </x:is>
      </x:c>
      <x:c r="G299" s="49" t="inlineStr">
        <x:is>
          <x:t xml:space="preserve">NO_SORRY_OR_ADMIT_STATIC_SCAN</x:t>
        </x:is>
      </x:c>
      <x:c r="H299" s="49" t="inlineStr">
        <x:is>
          <x:t xml:space="preserve">UNIQUE_THEOREM_PENDING_COMPILE</x:t>
        </x:is>
      </x:c>
      <x:c r="I299" s="49" t="inlineStr">
        <x:is>
          <x:t xml:space="preserve">0</x:t>
        </x:is>
      </x:c>
      <x:c r="L299" s="56" t="n"/>
    </x:row>
    <x:row r="300" ht="15" customHeight="1">
      <x:c r="A300" s="55" t="inlineStr">
        <x:is>
          <x:t xml:space="preserve">death_has_no_jurisdiction_over_christ</x:t>
        </x:is>
      </x:c>
      <x:c r="B300" s="49" t="inlineStr">
        <x:is>
          <x:t xml:space="preserve">theorem</x:t>
        </x:is>
      </x:c>
      <x:c r="C300" s="49" t="inlineStr">
        <x:is>
          <x:t xml:space="preserve">theophysics-lean-main\theophysics-lean-main\Theophysics_DeathTest.lean</x:t>
        </x:is>
      </x:c>
      <x:c r="D300" s="49" t="inlineStr">
        <x:is>
          <x:t xml:space="preserve">71</x:t>
        </x:is>
      </x:c>
      <x:c r="E300" s="49" t="inlineStr">
        <x:is>
          <x:t xml:space="preserve">DEFINITIONAL_RFL</x:t>
        </x:is>
      </x:c>
      <x:c r="F300" s="49" t="inlineStr">
        <x:is>
          <x:t xml:space="preserve">PENDING_NOT_RUN</x:t>
        </x:is>
      </x:c>
      <x:c r="G300" s="49" t="inlineStr">
        <x:is>
          <x:t xml:space="preserve">NO_SORRY_OR_ADMIT_STATIC_SCAN</x:t>
        </x:is>
      </x:c>
      <x:c r="H300" s="49" t="inlineStr">
        <x:is>
          <x:t xml:space="preserve">UNIQUE_THEOREM_PENDING_COMPILE</x:t>
        </x:is>
      </x:c>
      <x:c r="I300" s="49" t="inlineStr">
        <x:is>
          <x:t xml:space="preserve">0</x:t>
        </x:is>
      </x:c>
      <x:c r="L300" s="56" t="n"/>
    </x:row>
    <x:row r="301" ht="15" customHeight="1">
      <x:c r="A301" s="55" t="inlineStr">
        <x:is>
          <x:t xml:space="preserve">death_holds_creature</x:t>
        </x:is>
      </x:c>
      <x:c r="B301" s="49" t="inlineStr">
        <x:is>
          <x:t xml:space="preserve">theorem</x:t>
        </x:is>
      </x:c>
      <x:c r="C301" s="49" t="inlineStr">
        <x:is>
          <x:t xml:space="preserve">theophysics-lean-main\theophysics-lean-main\Theophysics_DeathTest.lean</x:t>
        </x:is>
      </x:c>
      <x:c r="D301" s="49" t="inlineStr">
        <x:is>
          <x:t xml:space="preserve">66</x:t>
        </x:is>
      </x:c>
      <x:c r="E301" s="49" t="inlineStr">
        <x:is>
          <x:t xml:space="preserve">DEFINITIONAL_RFL</x:t>
        </x:is>
      </x:c>
      <x:c r="F301" s="49" t="inlineStr">
        <x:is>
          <x:t xml:space="preserve">PENDING_NOT_RUN</x:t>
        </x:is>
      </x:c>
      <x:c r="G301" s="49" t="inlineStr">
        <x:is>
          <x:t xml:space="preserve">NO_SORRY_OR_ADMIT_STATIC_SCAN</x:t>
        </x:is>
      </x:c>
      <x:c r="H301" s="49" t="inlineStr">
        <x:is>
          <x:t xml:space="preserve">UNIQUE_THEOREM_PENDING_COMPILE</x:t>
        </x:is>
      </x:c>
      <x:c r="I301" s="49" t="inlineStr">
        <x:is>
          <x:t xml:space="preserve">0</x:t>
        </x:is>
      </x:c>
      <x:c r="L301" s="56" t="n"/>
    </x:row>
    <x:row r="302" ht="15" customHeight="1">
      <x:c r="A302" s="55" t="inlineStr">
        <x:is>
          <x:t xml:space="preserve">death_retains_creature</x:t>
        </x:is>
      </x:c>
      <x:c r="B302" s="49" t="inlineStr">
        <x:is>
          <x:t xml:space="preserve">theorem</x:t>
        </x:is>
      </x:c>
      <x:c r="C302" s="49" t="inlineStr">
        <x:is>
          <x:t xml:space="preserve">theophysics-lean-main\theophysics-lean-main\Theophysics_DeathTest.lean</x:t>
        </x:is>
      </x:c>
      <x:c r="D302" s="49" t="inlineStr">
        <x:is>
          <x:t xml:space="preserve">76</x:t>
        </x:is>
      </x:c>
      <x:c r="E302" s="49" t="inlineStr">
        <x:is>
          <x:t xml:space="preserve">DEFINITIONAL_RFL</x:t>
        </x:is>
      </x:c>
      <x:c r="F302" s="49" t="inlineStr">
        <x:is>
          <x:t xml:space="preserve">PENDING_NOT_RUN</x:t>
        </x:is>
      </x:c>
      <x:c r="G302" s="49" t="inlineStr">
        <x:is>
          <x:t xml:space="preserve">NO_SORRY_OR_ADMIT_STATIC_SCAN</x:t>
        </x:is>
      </x:c>
      <x:c r="H302" s="49" t="inlineStr">
        <x:is>
          <x:t xml:space="preserve">UNIQUE_THEOREM_PENDING_COMPILE</x:t>
        </x:is>
      </x:c>
      <x:c r="I302" s="49" t="inlineStr">
        <x:is>
          <x:t xml:space="preserve">0</x:t>
        </x:is>
      </x:c>
      <x:c r="L302" s="56" t="n"/>
    </x:row>
    <x:row r="303" ht="15" customHeight="1">
      <x:c r="A303" s="55" t="inlineStr">
        <x:is>
          <x:t xml:space="preserve">death_survivor_fails</x:t>
        </x:is>
      </x:c>
      <x:c r="B303" s="49" t="inlineStr">
        <x:is>
          <x:t xml:space="preserve">theorem</x:t>
        </x:is>
      </x:c>
      <x:c r="C303" s="49" t="inlineStr">
        <x:is>
          <x:t xml:space="preserve">theophysics-lean-main\theophysics-lean-main\Theophysics_GodTest.lean</x:t>
        </x:is>
      </x:c>
      <x:c r="D303" s="49" t="inlineStr">
        <x:is>
          <x:t xml:space="preserve">230</x:t>
        </x:is>
      </x:c>
      <x:c r="E303" s="49" t="inlineStr">
        <x:is>
          <x:t xml:space="preserve">DEFINITIONAL_RFL</x:t>
        </x:is>
      </x:c>
      <x:c r="F303" s="49" t="inlineStr">
        <x:is>
          <x:t xml:space="preserve">PENDING_NOT_RUN</x:t>
        </x:is>
      </x:c>
      <x:c r="G303" s="49" t="inlineStr">
        <x:is>
          <x:t xml:space="preserve">NO_SORRY_OR_ADMIT_STATIC_SCAN</x:t>
        </x:is>
      </x:c>
      <x:c r="H303" s="49" t="inlineStr">
        <x:is>
          <x:t xml:space="preserve">UNIQUE_THEOREM_PENDING_COMPILE</x:t>
        </x:is>
      </x:c>
      <x:c r="I303" s="49" t="inlineStr">
        <x:is>
          <x:t xml:space="preserve">0</x:t>
        </x:is>
      </x:c>
      <x:c r="L303" s="56" t="n"/>
    </x:row>
    <x:row r="304" ht="15" customHeight="1">
      <x:c r="A304" s="55" t="inlineStr">
        <x:is>
          <x:t xml:space="preserve">death_test_marker</x:t>
        </x:is>
      </x:c>
      <x:c r="B304" s="49" t="inlineStr">
        <x:is>
          <x:t xml:space="preserve">theorem</x:t>
        </x:is>
      </x:c>
      <x:c r="C304" s="49" t="inlineStr">
        <x:is>
          <x:t xml:space="preserve">theophysics-lean-main\theophysics-lean-main\Theophysics_DeathTest.lean</x:t>
        </x:is>
      </x:c>
      <x:c r="D304" s="49" t="inlineStr">
        <x:is>
          <x:t xml:space="preserve">166</x:t>
        </x:is>
      </x:c>
      <x:c r="E304" s="49" t="inlineStr">
        <x:is>
          <x:t xml:space="preserve">WRAPPER_OR_IMPORTED</x:t>
        </x:is>
      </x:c>
      <x:c r="F304" s="49" t="inlineStr">
        <x:is>
          <x:t xml:space="preserve">PENDING_NOT_RUN</x:t>
        </x:is>
      </x:c>
      <x:c r="G304" s="49" t="inlineStr">
        <x:is>
          <x:t xml:space="preserve">NO_SORRY_OR_ADMIT_STATIC_SCAN</x:t>
        </x:is>
      </x:c>
      <x:c r="H304" s="49" t="inlineStr">
        <x:is>
          <x:t xml:space="preserve">UNIQUE_THEOREM_PENDING_COMPILE</x:t>
        </x:is>
      </x:c>
      <x:c r="I304" s="49" t="inlineStr">
        <x:is>
          <x:t xml:space="preserve">0</x:t>
        </x:is>
      </x:c>
      <x:c r="L304" s="56" t="n"/>
    </x:row>
    <x:row r="305" ht="15" customHeight="1">
      <x:c r="A305" s="55" t="inlineStr">
        <x:is>
          <x:t xml:space="preserve">debt_means_death_holds</x:t>
        </x:is>
      </x:c>
      <x:c r="B305" s="49" t="inlineStr">
        <x:is>
          <x:t xml:space="preserve">theorem</x:t>
        </x:is>
      </x:c>
      <x:c r="C305" s="49" t="inlineStr">
        <x:is>
          <x:t xml:space="preserve">theophysics-lean-main\theophysics-lean-main\Theophysics_DeathTest.lean</x:t>
        </x:is>
      </x:c>
      <x:c r="D305" s="49" t="inlineStr">
        <x:is>
          <x:t xml:space="preserve">144</x:t>
        </x:is>
      </x:c>
      <x:c r="E305" s="49" t="inlineStr">
        <x:is>
          <x:t xml:space="preserve">WRAPPER_OR_IMPORTED</x:t>
        </x:is>
      </x:c>
      <x:c r="F305" s="49" t="inlineStr">
        <x:is>
          <x:t xml:space="preserve">PENDING_NOT_RUN</x:t>
        </x:is>
      </x:c>
      <x:c r="G305" s="49" t="inlineStr">
        <x:is>
          <x:t xml:space="preserve">NO_SORRY_OR_ADMIT_STATIC_SCAN</x:t>
        </x:is>
      </x:c>
      <x:c r="H305" s="49" t="inlineStr">
        <x:is>
          <x:t xml:space="preserve">UNIQUE_THEOREM_PENDING_COMPILE</x:t>
        </x:is>
      </x:c>
      <x:c r="I305" s="49" t="inlineStr">
        <x:is>
          <x:t xml:space="preserve">0</x:t>
        </x:is>
      </x:c>
      <x:c r="L305" s="56" t="n"/>
    </x:row>
    <x:row r="306" ht="15" customHeight="1">
      <x:c r="A306" s="55" t="inlineStr">
        <x:is>
          <x:t xml:space="preserve">delayedClassification</x:t>
        </x:is>
      </x:c>
      <x:c r="B306" s="49" t="inlineStr">
        <x:is>
          <x:t xml:space="preserve">def</x:t>
        </x:is>
      </x:c>
      <x:c r="C306" s="49" t="inlineStr">
        <x:is>
          <x:t xml:space="preserve">theophysics-lean-main\theophysics-lean-main\Theophysics_DelayedChoice.lean</x:t>
        </x:is>
      </x:c>
      <x:c r="D306" s="49" t="inlineStr">
        <x:is>
          <x:t xml:space="preserve">69</x:t>
        </x:is>
      </x:c>
      <x:c r="E306" s="49" t="inlineStr">
        <x:is>
          <x:t xml:space="preserve">DECLARATION_OR_UNKNOWN</x:t>
        </x:is>
      </x:c>
      <x:c r="F306" s="49" t="inlineStr">
        <x:is>
          <x:t xml:space="preserve">PENDING_NOT_RUN</x:t>
        </x:is>
      </x:c>
      <x:c r="G306" s="49" t="inlineStr">
        <x:is>
          <x:t xml:space="preserve">NO_SORRY_OR_ADMIT_STATIC_SCAN</x:t>
        </x:is>
      </x:c>
      <x:c r="H306" s="49" t="inlineStr">
        <x:is>
          <x:t xml:space="preserve">SCAFFOLDING_NOT_PUBLIC_COUNT</x:t>
        </x:is>
      </x:c>
      <x:c r="I306" s="49" t="inlineStr">
        <x:is>
          <x:t xml:space="preserve">0</x:t>
        </x:is>
      </x:c>
      <x:c r="L306" s="56" t="n"/>
    </x:row>
    <x:row r="307" ht="15" customHeight="1">
      <x:c r="A307" s="55" t="inlineStr">
        <x:is>
          <x:t xml:space="preserve">destructive_accountability_aware_M_collapses_chi</x:t>
        </x:is>
      </x:c>
      <x:c r="B307" s="49" t="inlineStr">
        <x:is>
          <x:t xml:space="preserve">theorem</x:t>
        </x:is>
      </x:c>
      <x:c r="C307" s="49" t="inlineStr">
        <x:is>
          <x:t xml:space="preserve">theophysics-lean-main\theophysics-lean-main\Theophysics_Core.lean</x:t>
        </x:is>
      </x:c>
      <x:c r="D307" s="49" t="inlineStr">
        <x:is>
          <x:t xml:space="preserve">40</x:t>
        </x:is>
      </x:c>
      <x:c r="E307" s="49" t="inlineStr">
        <x:is>
          <x:t xml:space="preserve">TRIVIAL_TRUE</x:t>
        </x:is>
      </x:c>
      <x:c r="F307" s="49" t="inlineStr">
        <x:is>
          <x:t xml:space="preserve">PENDING_NOT_RUN</x:t>
        </x:is>
      </x:c>
      <x:c r="G307" s="49" t="inlineStr">
        <x:is>
          <x:t xml:space="preserve">NO_SORRY_OR_ADMIT_STATIC_SCAN</x:t>
        </x:is>
      </x:c>
      <x:c r="H307" s="49" t="inlineStr">
        <x:is>
          <x:t xml:space="preserve">LOW_CONTENT_TRUE_NOT_PUBLIC_COUNT</x:t>
        </x:is>
      </x:c>
      <x:c r="I307" s="49" t="inlineStr">
        <x:is>
          <x:t xml:space="preserve">3</x:t>
        </x:is>
      </x:c>
      <x:c r="J307" s="49" t="inlineStr">
        <x:is>
          <x:t xml:space="preserve">LEAN_DERIVATION_CHAIN:129</x:t>
        </x:is>
      </x:c>
      <x:c r="K307" s="49" t="inlineStr">
        <x:is>
          <x:t xml:space="preserve">Destructive polarity still kills χ under accountability-aware gate</x:t>
        </x:is>
      </x:c>
      <x:c r="L307" s="56" t="n"/>
    </x:row>
    <x:row r="308" ht="15" customHeight="1">
      <x:c r="A308" s="55" t="inlineStr">
        <x:is>
          <x:t xml:space="preserve">destructive_strict_M_collapses_chi</x:t>
        </x:is>
      </x:c>
      <x:c r="B308" s="49" t="inlineStr">
        <x:is>
          <x:t xml:space="preserve">theorem</x:t>
        </x:is>
      </x:c>
      <x:c r="C308" s="49" t="inlineStr">
        <x:is>
          <x:t xml:space="preserve">theophysics-lean-main\theophysics-lean-main\Theophysics_Core.lean</x:t>
        </x:is>
      </x:c>
      <x:c r="D308" s="49" t="inlineStr">
        <x:is>
          <x:t xml:space="preserve">41</x:t>
        </x:is>
      </x:c>
      <x:c r="E308" s="49" t="inlineStr">
        <x:is>
          <x:t xml:space="preserve">TRIVIAL_TRUE</x:t>
        </x:is>
      </x:c>
      <x:c r="F308" s="49" t="inlineStr">
        <x:is>
          <x:t xml:space="preserve">PENDING_NOT_RUN</x:t>
        </x:is>
      </x:c>
      <x:c r="G308" s="49" t="inlineStr">
        <x:is>
          <x:t xml:space="preserve">NO_SORRY_OR_ADMIT_STATIC_SCAN</x:t>
        </x:is>
      </x:c>
      <x:c r="H308" s="49" t="inlineStr">
        <x:is>
          <x:t xml:space="preserve">LOW_CONTENT_TRUE_NOT_PUBLIC_COUNT</x:t>
        </x:is>
      </x:c>
      <x:c r="I308" s="49" t="inlineStr">
        <x:is>
          <x:t xml:space="preserve">3</x:t>
        </x:is>
      </x:c>
      <x:c r="J308" s="49" t="inlineStr">
        <x:is>
          <x:t xml:space="preserve">LEAN_DERIVATION_CHAIN:127</x:t>
        </x:is>
      </x:c>
      <x:c r="K308" s="49" t="inlineStr">
        <x:is>
          <x:t xml:space="preserve">Destructive polarity → M gate = 0 → χ = 0</x:t>
        </x:is>
      </x:c>
      <x:c r="L308" s="56" t="n"/>
    </x:row>
    <x:row r="309" ht="15" customHeight="1">
      <x:c r="A309" s="55" t="inlineStr">
        <x:is>
          <x:t xml:space="preserve">direct_discoherent_christ_entry_into_heaven_fails</x:t>
        </x:is>
      </x:c>
      <x:c r="B309" s="49" t="inlineStr">
        <x:is>
          <x:t xml:space="preserve">theorem</x:t>
        </x:is>
      </x:c>
      <x:c r="C309" s="49" t="inlineStr">
        <x:is>
          <x:t xml:space="preserve">theophysics-lean-main\theophysics-lean-main\Theophysics_Adversarial.lean</x:t>
        </x:is>
      </x:c>
      <x:c r="D309" s="49" t="inlineStr">
        <x:is>
          <x:t xml:space="preserve">536</x:t>
        </x:is>
      </x:c>
      <x:c r="E309" s="49" t="inlineStr">
        <x:is>
          <x:t xml:space="preserve">DEFINITIONAL_RFL</x:t>
        </x:is>
      </x:c>
      <x:c r="F309" s="49" t="inlineStr">
        <x:is>
          <x:t xml:space="preserve">PENDING_NOT_RUN</x:t>
        </x:is>
      </x:c>
      <x:c r="G309" s="49" t="inlineStr">
        <x:is>
          <x:t xml:space="preserve">NO_SORRY_OR_ADMIT_STATIC_SCAN</x:t>
        </x:is>
      </x:c>
      <x:c r="H309" s="49" t="inlineStr">
        <x:is>
          <x:t xml:space="preserve">CANONICAL_THEOREM_DEDUPED_PENDING_COMPILE</x:t>
        </x:is>
      </x:c>
      <x:c r="I309" s="49" t="inlineStr">
        <x:is>
          <x:t xml:space="preserve">3</x:t>
        </x:is>
      </x:c>
      <x:c r="J309" s="49" t="inlineStr">
        <x:is>
          <x:t xml:space="preserve">LEAN_DERIVATION_CHAIN:175</x:t>
        </x:is>
      </x:c>
      <x:c r="K309" s="49" t="inlineStr">
        <x:is>
          <x:t xml:space="preserve">REJECTION: Discoherent memory cannot directly enter heaven</x:t>
        </x:is>
      </x:c>
      <x:c r="L309" s="56" t="n"/>
    </x:row>
    <x:row r="310" ht="15" customHeight="1">
      <x:c r="A310" s="55" t="inlineStr">
        <x:is>
          <x:t xml:space="preserve">downstream_invalid_when_upstream_invalid</x:t>
        </x:is>
      </x:c>
      <x:c r="B310" s="49" t="inlineStr">
        <x:is>
          <x:t xml:space="preserve">theorem</x:t>
        </x:is>
      </x:c>
      <x:c r="C310" s="49" t="inlineStr">
        <x:is>
          <x:t xml:space="preserve">Faith-Thru-Physics-Lean-4--main\Faith-Thru-Physics-Lean-4--main\Theophysics_NegativeInventory.lean</x:t>
        </x:is>
      </x:c>
      <x:c r="D310" s="49" t="inlineStr">
        <x:is>
          <x:t xml:space="preserve">119</x:t>
        </x:is>
      </x:c>
      <x:c r="E310" s="49" t="inlineStr">
        <x:is>
          <x:t xml:space="preserve">SIMPLIFICATION</x:t>
        </x:is>
      </x:c>
      <x:c r="F310" s="49" t="inlineStr">
        <x:is>
          <x:t xml:space="preserve">PENDING_NOT_RUN</x:t>
        </x:is>
      </x:c>
      <x:c r="G310" s="49" t="inlineStr">
        <x:is>
          <x:t xml:space="preserve">NO_SORRY_OR_ADMIT_STATIC_SCAN</x:t>
        </x:is>
      </x:c>
      <x:c r="H310" s="49" t="inlineStr">
        <x:is>
          <x:t xml:space="preserve">UNIQUE_THEOREM_PENDING_COMPILE</x:t>
        </x:is>
      </x:c>
      <x:c r="I310" s="49" t="inlineStr">
        <x:is>
          <x:t xml:space="preserve">0</x:t>
        </x:is>
      </x:c>
      <x:c r="J310" s="49" t="inlineStr">
        <x:is>
          <x:t xml:space="preserve">LEAN_DERIVATION_CHAIN:223</x:t>
        </x:is>
      </x:c>
      <x:c r="K310" s="49" t="inlineStr">
        <x:is>
          <x:t xml:space="preserve">General lattice law: downstream claim invalid when upstream invalid</x:t>
        </x:is>
      </x:c>
      <x:c r="L310" s="56" t="n"/>
    </x:row>
    <x:row r="311" ht="15" customHeight="1">
      <x:c r="A311" s="55" t="inlineStr">
        <x:is>
          <x:t xml:space="preserve">e_zero_kills_chi</x:t>
        </x:is>
      </x:c>
      <x:c r="B311" s="49" t="inlineStr">
        <x:is>
          <x:t xml:space="preserve">theorem</x:t>
        </x:is>
      </x:c>
      <x:c r="C311" s="49" t="inlineStr">
        <x:is>
          <x:t xml:space="preserve">theophysics-lean-main\theophysics-lean-main\Theophysics_Core.lean</x:t>
        </x:is>
      </x:c>
      <x:c r="D311" s="49" t="inlineStr">
        <x:is>
          <x:t xml:space="preserve">253</x:t>
        </x:is>
      </x:c>
      <x:c r="E311" s="49" t="inlineStr">
        <x:is>
          <x:t xml:space="preserve">DECLARATION_OR_UNKNOWN</x:t>
        </x:is>
      </x:c>
      <x:c r="F311" s="49" t="inlineStr">
        <x:is>
          <x:t xml:space="preserve">PENDING_NOT_RUN</x:t>
        </x:is>
      </x:c>
      <x:c r="G311" s="49" t="inlineStr">
        <x:is>
          <x:t xml:space="preserve">NO_SORRY_OR_ADMIT_STATIC_SCAN</x:t>
        </x:is>
      </x:c>
      <x:c r="H311" s="49" t="inlineStr">
        <x:is>
          <x:t xml:space="preserve">CANONICAL_THEOREM_DEDUPED_PENDING_COMPILE</x:t>
        </x:is>
      </x:c>
      <x:c r="I311" s="49" t="inlineStr">
        <x:is>
          <x:t xml:space="preserve">3</x:t>
        </x:is>
      </x:c>
      <x:c r="L311" s="56" t="n"/>
    </x:row>
    <x:row r="312" ht="15" customHeight="1">
      <x:c r="A312" s="55" t="inlineStr">
        <x:is>
          <x:t xml:space="preserve">economicsFinanceSignature</x:t>
        </x:is>
      </x:c>
      <x:c r="B312" s="49" t="inlineStr">
        <x:is>
          <x:t xml:space="preserve">def</x:t>
        </x:is>
      </x:c>
      <x:c r="C312" s="49" t="inlineStr">
        <x:is>
          <x:t xml:space="preserve">theophysics-lean-main\theophysics-lean-main\Theophysics_Universality.lean</x:t>
        </x:is>
      </x:c>
      <x:c r="D312" s="49" t="inlineStr">
        <x:is>
          <x:t xml:space="preserve">119</x:t>
        </x:is>
      </x:c>
      <x:c r="E312" s="49" t="inlineStr">
        <x:is>
          <x:t xml:space="preserve">DECLARATION_OR_UNKNOWN</x:t>
        </x:is>
      </x:c>
      <x:c r="F312" s="49" t="inlineStr">
        <x:is>
          <x:t xml:space="preserve">PENDING_NOT_RUN</x:t>
        </x:is>
      </x:c>
      <x:c r="G312" s="49" t="inlineStr">
        <x:is>
          <x:t xml:space="preserve">NO_SORRY_OR_ADMIT_STATIC_SCAN</x:t>
        </x:is>
      </x:c>
      <x:c r="H312" s="49" t="inlineStr">
        <x:is>
          <x:t xml:space="preserve">SCAFFOLDING_NOT_PUBLIC_COUNT</x:t>
        </x:is>
      </x:c>
      <x:c r="I312" s="49" t="inlineStr">
        <x:is>
          <x:t xml:space="preserve">0</x:t>
        </x:is>
      </x:c>
      <x:c r="L312" s="56" t="n"/>
    </x:row>
    <x:row r="313" ht="15" customHeight="1">
      <x:c r="A313" s="55" t="inlineStr">
        <x:is>
          <x:t xml:space="preserve">economics_finance_is_strong_cd_class</x:t>
        </x:is>
      </x:c>
      <x:c r="B313" s="49" t="inlineStr">
        <x:is>
          <x:t xml:space="preserve">theorem</x:t>
        </x:is>
      </x:c>
      <x:c r="C313" s="49" t="inlineStr">
        <x:is>
          <x:t xml:space="preserve">theophysics-lean-main\theophysics-lean-main\Theophysics_Universality.lean</x:t>
        </x:is>
      </x:c>
      <x:c r="D313" s="49" t="inlineStr">
        <x:is>
          <x:t xml:space="preserve">249</x:t>
        </x:is>
      </x:c>
      <x:c r="E313" s="49" t="inlineStr">
        <x:is>
          <x:t xml:space="preserve">DEFINITIONAL_RFL</x:t>
        </x:is>
      </x:c>
      <x:c r="F313" s="49" t="inlineStr">
        <x:is>
          <x:t xml:space="preserve">PENDING_NOT_RUN</x:t>
        </x:is>
      </x:c>
      <x:c r="G313" s="49" t="inlineStr">
        <x:is>
          <x:t xml:space="preserve">NO_SORRY_OR_ADMIT_STATIC_SCAN</x:t>
        </x:is>
      </x:c>
      <x:c r="H313" s="49" t="inlineStr">
        <x:is>
          <x:t xml:space="preserve">UNIQUE_THEOREM_PENDING_COMPILE</x:t>
        </x:is>
      </x:c>
      <x:c r="I313" s="49" t="inlineStr">
        <x:is>
          <x:t xml:space="preserve">0</x:t>
        </x:is>
      </x:c>
      <x:c r="L313" s="56" t="n"/>
    </x:row>
    <x:row r="314" ht="15" customHeight="1">
      <x:c r="A314" s="55" t="inlineStr">
        <x:is>
          <x:t xml:space="preserve">effectiveScore</x:t>
        </x:is>
      </x:c>
      <x:c r="B314" s="49" t="inlineStr">
        <x:is>
          <x:t xml:space="preserve">def</x:t>
        </x:is>
      </x:c>
      <x:c r="C314" s="49" t="inlineStr">
        <x:is>
          <x:t xml:space="preserve">theophysics-lean-main\theophysics-lean-main\Theophysics_ChiEvaluator.lean</x:t>
        </x:is>
      </x:c>
      <x:c r="D314" s="49" t="inlineStr">
        <x:is>
          <x:t xml:space="preserve">88</x:t>
        </x:is>
      </x:c>
      <x:c r="E314" s="49" t="inlineStr">
        <x:is>
          <x:t xml:space="preserve">DECLARATION_OR_UNKNOWN</x:t>
        </x:is>
      </x:c>
      <x:c r="F314" s="49" t="inlineStr">
        <x:is>
          <x:t xml:space="preserve">PENDING_NOT_RUN</x:t>
        </x:is>
      </x:c>
      <x:c r="G314" s="49" t="inlineStr">
        <x:is>
          <x:t xml:space="preserve">NO_SORRY_OR_ADMIT_STATIC_SCAN</x:t>
        </x:is>
      </x:c>
      <x:c r="H314" s="49" t="inlineStr">
        <x:is>
          <x:t xml:space="preserve">SCAFFOLDING_NOT_PUBLIC_COUNT</x:t>
        </x:is>
      </x:c>
      <x:c r="I314" s="49" t="inlineStr">
        <x:is>
          <x:t xml:space="preserve">3</x:t>
        </x:is>
      </x:c>
      <x:c r="L314" s="56" t="n"/>
    </x:row>
    <x:row r="315" ht="15" customHeight="1">
      <x:c r="A315" s="55" t="inlineStr">
        <x:is>
          <x:t xml:space="preserve">effective_zero_if_fully_corrupted</x:t>
        </x:is>
      </x:c>
      <x:c r="B315" s="49" t="inlineStr">
        <x:is>
          <x:t xml:space="preserve">theorem</x:t>
        </x:is>
      </x:c>
      <x:c r="C315" s="49" t="inlineStr">
        <x:is>
          <x:t xml:space="preserve">theophysics-lean-main\theophysics-lean-main\Theophysics_ChiEvaluator.lean</x:t>
        </x:is>
      </x:c>
      <x:c r="D315" s="49" t="inlineStr">
        <x:is>
          <x:t xml:space="preserve">114</x:t>
        </x:is>
      </x:c>
      <x:c r="E315" s="49" t="inlineStr">
        <x:is>
          <x:t xml:space="preserve">SIMPLIFICATION</x:t>
        </x:is>
      </x:c>
      <x:c r="F315" s="49" t="inlineStr">
        <x:is>
          <x:t xml:space="preserve">PENDING_NOT_RUN</x:t>
        </x:is>
      </x:c>
      <x:c r="G315" s="49" t="inlineStr">
        <x:is>
          <x:t xml:space="preserve">NO_SORRY_OR_ADMIT_STATIC_SCAN</x:t>
        </x:is>
      </x:c>
      <x:c r="H315" s="49" t="inlineStr">
        <x:is>
          <x:t xml:space="preserve">CANONICAL_THEOREM_DEDUPED_PENDING_COMPILE</x:t>
        </x:is>
      </x:c>
      <x:c r="I315" s="49" t="inlineStr">
        <x:is>
          <x:t xml:space="preserve">3</x:t>
        </x:is>
      </x:c>
      <x:c r="L315" s="56" t="n"/>
    </x:row>
    <x:row r="316" ht="15" customHeight="1">
      <x:c r="A316" s="55" t="inlineStr">
        <x:is>
          <x:t xml:space="preserve">effective_zero_if_no_positive_signal</x:t>
        </x:is>
      </x:c>
      <x:c r="B316" s="49" t="inlineStr">
        <x:is>
          <x:t xml:space="preserve">theorem</x:t>
        </x:is>
      </x:c>
      <x:c r="C316" s="49" t="inlineStr">
        <x:is>
          <x:t xml:space="preserve">theophysics-lean-main\theophysics-lean-main\Theophysics_ChiEvaluator.lean</x:t>
        </x:is>
      </x:c>
      <x:c r="D316" s="49" t="inlineStr">
        <x:is>
          <x:t xml:space="preserve">110</x:t>
        </x:is>
      </x:c>
      <x:c r="E316" s="49" t="inlineStr">
        <x:is>
          <x:t xml:space="preserve">SIMPLIFICATION</x:t>
        </x:is>
      </x:c>
      <x:c r="F316" s="49" t="inlineStr">
        <x:is>
          <x:t xml:space="preserve">PENDING_NOT_RUN</x:t>
        </x:is>
      </x:c>
      <x:c r="G316" s="49" t="inlineStr">
        <x:is>
          <x:t xml:space="preserve">NO_SORRY_OR_ADMIT_STATIC_SCAN</x:t>
        </x:is>
      </x:c>
      <x:c r="H316" s="49" t="inlineStr">
        <x:is>
          <x:t xml:space="preserve">CANONICAL_THEOREM_DEDUPED_PENDING_COMPILE</x:t>
        </x:is>
      </x:c>
      <x:c r="I316" s="49" t="inlineStr">
        <x:is>
          <x:t xml:space="preserve">3</x:t>
        </x:is>
      </x:c>
      <x:c r="L316" s="56" t="n"/>
    </x:row>
    <x:row r="317" ht="15" customHeight="1">
      <x:c r="A317" s="55" t="inlineStr">
        <x:is>
          <x:t xml:space="preserve">emCandidateRightInverse</x:t>
        </x:is>
      </x:c>
      <x:c r="B317" s="49" t="inlineStr">
        <x:is>
          <x:t xml:space="preserve">def</x:t>
        </x:is>
      </x:c>
      <x:c r="C317" s="49" t="inlineStr">
        <x:is>
          <x:t xml:space="preserve">theophysics-lean-main\theophysics-lean-main\Theophysics_Adversarial.lean</x:t>
        </x:is>
      </x:c>
      <x:c r="D317" s="49" t="inlineStr">
        <x:is>
          <x:t xml:space="preserve">234</x:t>
        </x:is>
      </x:c>
      <x:c r="E317" s="49" t="inlineStr">
        <x:is>
          <x:t xml:space="preserve">DECLARATION_OR_UNKNOWN</x:t>
        </x:is>
      </x:c>
      <x:c r="F317" s="49" t="inlineStr">
        <x:is>
          <x:t xml:space="preserve">PENDING_NOT_RUN</x:t>
        </x:is>
      </x:c>
      <x:c r="G317" s="49" t="inlineStr">
        <x:is>
          <x:t xml:space="preserve">NO_SORRY_OR_ADMIT_STATIC_SCAN</x:t>
        </x:is>
      </x:c>
      <x:c r="H317" s="49" t="inlineStr">
        <x:is>
          <x:t xml:space="preserve">SCAFFOLDING_NOT_PUBLIC_COUNT</x:t>
        </x:is>
      </x:c>
      <x:c r="I317" s="49" t="inlineStr">
        <x:is>
          <x:t xml:space="preserve">3</x:t>
        </x:is>
      </x:c>
      <x:c r="L317" s="56" t="n"/>
    </x:row>
    <x:row r="318" ht="15" customHeight="1">
      <x:c r="A318" s="55" t="inlineStr">
        <x:is>
          <x:t xml:space="preserve">em_candidate_not_right_inverse</x:t>
        </x:is>
      </x:c>
      <x:c r="B318" s="49" t="inlineStr">
        <x:is>
          <x:t xml:space="preserve">theorem</x:t>
        </x:is>
      </x:c>
      <x:c r="C318" s="49" t="inlineStr">
        <x:is>
          <x:t xml:space="preserve">theophysics-lean-main\theophysics-lean-main\Theophysics_Adversarial.lean</x:t>
        </x:is>
      </x:c>
      <x:c r="D318" s="49" t="inlineStr">
        <x:is>
          <x:t xml:space="preserve">428</x:t>
        </x:is>
      </x:c>
      <x:c r="E318" s="49" t="inlineStr">
        <x:is>
          <x:t xml:space="preserve">DEFINITIONAL_RFL</x:t>
        </x:is>
      </x:c>
      <x:c r="F318" s="49" t="inlineStr">
        <x:is>
          <x:t xml:space="preserve">PENDING_NOT_RUN</x:t>
        </x:is>
      </x:c>
      <x:c r="G318" s="49" t="inlineStr">
        <x:is>
          <x:t xml:space="preserve">NO_SORRY_OR_ADMIT_STATIC_SCAN</x:t>
        </x:is>
      </x:c>
      <x:c r="H318" s="49" t="inlineStr">
        <x:is>
          <x:t xml:space="preserve">CANONICAL_THEOREM_DEDUPED_PENDING_COMPILE</x:t>
        </x:is>
      </x:c>
      <x:c r="I318" s="49" t="inlineStr">
        <x:is>
          <x:t xml:space="preserve">3</x:t>
        </x:is>
      </x:c>
      <x:c r="J318" s="49" t="inlineStr">
        <x:is>
          <x:t xml:space="preserve">LEAN_DERIVATION_CHAIN:90</x:t>
        </x:is>
      </x:c>
      <x:c r="K318" s="49" t="inlineStr">
        <x:is>
          <x:t xml:space="preserve">REJECTION: 3-state EM model fails bijection with 2-state StrongForce</x:t>
        </x:is>
      </x:c>
      <x:c r="L318" s="56" t="n"/>
    </x:row>
    <x:row r="319" ht="15" customHeight="1">
      <x:c r="A319" s="55" t="inlineStr">
        <x:is>
          <x:t xml:space="preserve">energyParentOfMomentum</x:t>
        </x:is>
      </x:c>
      <x:c r="B319" s="49" t="inlineStr">
        <x:is>
          <x:t xml:space="preserve">def</x:t>
        </x:is>
      </x:c>
      <x:c r="C319" s="49" t="inlineStr">
        <x:is>
          <x:t xml:space="preserve">theophysics-lean-main\theophysics-lean-main\Theophysics_Adversarial.lean</x:t>
        </x:is>
      </x:c>
      <x:c r="D319" s="49" t="inlineStr">
        <x:is>
          <x:t xml:space="preserve">294</x:t>
        </x:is>
      </x:c>
      <x:c r="E319" s="49" t="inlineStr">
        <x:is>
          <x:t xml:space="preserve">DECLARATION_OR_UNKNOWN</x:t>
        </x:is>
      </x:c>
      <x:c r="F319" s="49" t="inlineStr">
        <x:is>
          <x:t xml:space="preserve">PENDING_NOT_RUN</x:t>
        </x:is>
      </x:c>
      <x:c r="G319" s="49" t="inlineStr">
        <x:is>
          <x:t xml:space="preserve">NO_SORRY_OR_ADMIT_STATIC_SCAN</x:t>
        </x:is>
      </x:c>
      <x:c r="H319" s="49" t="inlineStr">
        <x:is>
          <x:t xml:space="preserve">SCAFFOLDING_NOT_PUBLIC_COUNT</x:t>
        </x:is>
      </x:c>
      <x:c r="I319" s="49" t="inlineStr">
        <x:is>
          <x:t xml:space="preserve">3</x:t>
        </x:is>
      </x:c>
      <x:c r="L319" s="56" t="n"/>
    </x:row>
    <x:row r="320" ht="15" customHeight="1">
      <x:c r="A320" s="55" t="inlineStr">
        <x:is>
          <x:t xml:space="preserve">energy_and_momentum_are_noether_siblings</x:t>
        </x:is>
      </x:c>
      <x:c r="B320" s="49" t="inlineStr">
        <x:is>
          <x:t xml:space="preserve">theorem</x:t>
        </x:is>
      </x:c>
      <x:c r="C320" s="49" t="inlineStr">
        <x:is>
          <x:t xml:space="preserve">theophysics-lean-main\theophysics-lean-main\Theophysics_Core.lean</x:t>
        </x:is>
      </x:c>
      <x:c r="D320" s="49" t="inlineStr">
        <x:is>
          <x:t xml:space="preserve">155</x:t>
        </x:is>
      </x:c>
      <x:c r="E320" s="49" t="inlineStr">
        <x:is>
          <x:t xml:space="preserve">TRIVIAL_TRUE</x:t>
        </x:is>
      </x:c>
      <x:c r="F320" s="49" t="inlineStr">
        <x:is>
          <x:t xml:space="preserve">PENDING_NOT_RUN</x:t>
        </x:is>
      </x:c>
      <x:c r="G320" s="49" t="inlineStr">
        <x:is>
          <x:t xml:space="preserve">NO_SORRY_OR_ADMIT_STATIC_SCAN</x:t>
        </x:is>
      </x:c>
      <x:c r="H320" s="49" t="inlineStr">
        <x:is>
          <x:t xml:space="preserve">LOW_CONTENT_TRUE_NOT_PUBLIC_COUNT</x:t>
        </x:is>
      </x:c>
      <x:c r="I320" s="49" t="inlineStr">
        <x:is>
          <x:t xml:space="preserve">3</x:t>
        </x:is>
      </x:c>
      <x:c r="J320" s="49" t="inlineStr">
        <x:is>
          <x:t xml:space="preserve">LEAN_DERIVATION_CHAIN:187</x:t>
        </x:is>
      </x:c>
      <x:c r="K320" s="49" t="inlineStr">
        <x:is>
          <x:t xml:space="preserve">Energy and momentum are parallel from symmetry (Noether). Neither parents the other.</x:t>
        </x:is>
      </x:c>
      <x:c r="L320" s="56" t="n"/>
    </x:row>
    <x:row r="321" ht="15" customHeight="1">
      <x:c r="A321" s="55" t="inlineStr">
        <x:is>
          <x:t xml:space="preserve">enteredDeath</x:t>
        </x:is>
      </x:c>
      <x:c r="B321" s="49" t="inlineStr">
        <x:is>
          <x:t xml:space="preserve">def</x:t>
        </x:is>
      </x:c>
      <x:c r="C321" s="49" t="inlineStr">
        <x:is>
          <x:t xml:space="preserve">theophysics-lean-main\theophysics-lean-main\Theophysics_DeathTest.lean</x:t>
        </x:is>
      </x:c>
      <x:c r="D321" s="49" t="inlineStr">
        <x:is>
          <x:t xml:space="preserve">114</x:t>
        </x:is>
      </x:c>
      <x:c r="E321" s="49" t="inlineStr">
        <x:is>
          <x:t xml:space="preserve">DECLARATION_OR_UNKNOWN</x:t>
        </x:is>
      </x:c>
      <x:c r="F321" s="49" t="inlineStr">
        <x:is>
          <x:t xml:space="preserve">PENDING_NOT_RUN</x:t>
        </x:is>
      </x:c>
      <x:c r="G321" s="49" t="inlineStr">
        <x:is>
          <x:t xml:space="preserve">NO_SORRY_OR_ADMIT_STATIC_SCAN</x:t>
        </x:is>
      </x:c>
      <x:c r="H321" s="49" t="inlineStr">
        <x:is>
          <x:t xml:space="preserve">SCAFFOLDING_NOT_PUBLIC_COUNT</x:t>
        </x:is>
      </x:c>
      <x:c r="I321" s="49" t="inlineStr">
        <x:is>
          <x:t xml:space="preserve">0</x:t>
        </x:is>
      </x:c>
      <x:c r="L321" s="56" t="n"/>
    </x:row>
    <x:row r="322" ht="15" customHeight="1">
      <x:c r="A322" s="55" t="inlineStr">
        <x:is>
          <x:t xml:space="preserve">entropy_swapped_with_grace_invalid</x:t>
        </x:is>
      </x:c>
      <x:c r="B322" s="49" t="inlineStr">
        <x:is>
          <x:t xml:space="preserve">theorem</x:t>
        </x:is>
      </x:c>
      <x:c r="C322" s="49" t="inlineStr">
        <x:is>
          <x:t xml:space="preserve">theophysics-lean-main\theophysics-lean-main\Final_Lean4_From_Excel.lean</x:t>
        </x:is>
      </x:c>
      <x:c r="D322" s="49" t="inlineStr">
        <x:is>
          <x:t xml:space="preserve">206</x:t>
        </x:is>
      </x:c>
      <x:c r="E322" s="49" t="inlineStr">
        <x:is>
          <x:t xml:space="preserve">FINITE_DECIDABLE</x:t>
        </x:is>
      </x:c>
      <x:c r="F322" s="49" t="inlineStr">
        <x:is>
          <x:t xml:space="preserve">PENDING_NOT_RUN</x:t>
        </x:is>
      </x:c>
      <x:c r="G322" s="49" t="inlineStr">
        <x:is>
          <x:t xml:space="preserve">NO_SORRY_OR_ADMIT_STATIC_SCAN</x:t>
        </x:is>
      </x:c>
      <x:c r="H322" s="49" t="inlineStr">
        <x:is>
          <x:t xml:space="preserve">CANONICAL_THEOREM_DEDUPED_PENDING_COMPILE</x:t>
        </x:is>
      </x:c>
      <x:c r="I322" s="49" t="inlineStr">
        <x:is>
          <x:t xml:space="preserve">3</x:t>
        </x:is>
      </x:c>
      <x:c r="J322" s="49" t="inlineStr">
        <x:is>
          <x:t xml:space="preserve">LEAN_DERIVATION_CHAIN:21</x:t>
        </x:is>
      </x:c>
      <x:c r="K322" s="49" t="inlineStr">
        <x:is>
          <x:t xml:space="preserve">REJECTION: Swapping entropy↔grace breaks the signature</x:t>
        </x:is>
      </x:c>
      <x:c r="L322" s="56" t="n"/>
    </x:row>
    <x:row r="323" ht="15" customHeight="1">
      <x:c r="A323" s="55" t="inlineStr">
        <x:is>
          <x:t xml:space="preserve">erased_subsets_are_interference_like</x:t>
        </x:is>
      </x:c>
      <x:c r="B323" s="49" t="inlineStr">
        <x:is>
          <x:t xml:space="preserve">theorem</x:t>
        </x:is>
      </x:c>
      <x:c r="C323" s="49" t="inlineStr">
        <x:is>
          <x:t xml:space="preserve">theophysics-lean-main\theophysics-lean-main\Theophysics_DelayedChoice.lean</x:t>
        </x:is>
      </x:c>
      <x:c r="D323" s="49" t="inlineStr">
        <x:is>
          <x:t xml:space="preserve">89</x:t>
        </x:is>
      </x:c>
      <x:c r="E323" s="49" t="inlineStr">
        <x:is>
          <x:t xml:space="preserve">SIMPLIFICATION</x:t>
        </x:is>
      </x:c>
      <x:c r="F323" s="49" t="inlineStr">
        <x:is>
          <x:t xml:space="preserve">PENDING_NOT_RUN</x:t>
        </x:is>
      </x:c>
      <x:c r="G323" s="49" t="inlineStr">
        <x:is>
          <x:t xml:space="preserve">NO_SORRY_OR_ADMIT_STATIC_SCAN</x:t>
        </x:is>
      </x:c>
      <x:c r="H323" s="49" t="inlineStr">
        <x:is>
          <x:t xml:space="preserve">UNIQUE_THEOREM_PENDING_COMPILE</x:t>
        </x:is>
      </x:c>
      <x:c r="I323" s="49" t="inlineStr">
        <x:is>
          <x:t xml:space="preserve">0</x:t>
        </x:is>
      </x:c>
      <x:c r="L323" s="56" t="n"/>
    </x:row>
    <x:row r="324" ht="15" customHeight="1">
      <x:c r="A324" s="55" t="inlineStr">
        <x:is>
          <x:t xml:space="preserve">established</x:t>
        </x:is>
      </x:c>
      <x:c r="B324" s="49" t="inlineStr">
        <x:is>
          <x:t xml:space="preserve">def</x:t>
        </x:is>
      </x:c>
      <x:c r="C324" s="49" t="inlineStr">
        <x:is>
          <x:t xml:space="preserve">Faith-Thru-Physics-Lean-4--main\Faith-Thru-Physics-Lean-4--main\Theophysics_NegativeInventory.lean</x:t>
        </x:is>
      </x:c>
      <x:c r="D324" s="49" t="inlineStr">
        <x:is>
          <x:t xml:space="preserve">91</x:t>
        </x:is>
      </x:c>
      <x:c r="E324" s="49" t="inlineStr">
        <x:is>
          <x:t xml:space="preserve">DECLARATION_OR_UNKNOWN</x:t>
        </x:is>
      </x:c>
      <x:c r="F324" s="49" t="inlineStr">
        <x:is>
          <x:t xml:space="preserve">PENDING_NOT_RUN</x:t>
        </x:is>
      </x:c>
      <x:c r="G324" s="49" t="inlineStr">
        <x:is>
          <x:t xml:space="preserve">NO_SORRY_OR_ADMIT_STATIC_SCAN</x:t>
        </x:is>
      </x:c>
      <x:c r="H324" s="49" t="inlineStr">
        <x:is>
          <x:t xml:space="preserve">SCAFFOLDING_NOT_PUBLIC_COUNT</x:t>
        </x:is>
      </x:c>
      <x:c r="I324" s="49" t="inlineStr">
        <x:is>
          <x:t xml:space="preserve">0</x:t>
        </x:is>
      </x:c>
      <x:c r="L324" s="56" t="n"/>
    </x:row>
    <x:row r="325" ht="15" customHeight="1">
      <x:c r="A325" s="55" t="inlineStr">
        <x:is>
          <x:t xml:space="preserve">ethicsMoralOrderSignature</x:t>
        </x:is>
      </x:c>
      <x:c r="B325" s="49" t="inlineStr">
        <x:is>
          <x:t xml:space="preserve">def</x:t>
        </x:is>
      </x:c>
      <x:c r="C325" s="49" t="inlineStr">
        <x:is>
          <x:t xml:space="preserve">theophysics-lean-main\theophysics-lean-main\Theophysics_Universality.lean</x:t>
        </x:is>
      </x:c>
      <x:c r="D325" s="49" t="inlineStr">
        <x:is>
          <x:t xml:space="preserve">137</x:t>
        </x:is>
      </x:c>
      <x:c r="E325" s="49" t="inlineStr">
        <x:is>
          <x:t xml:space="preserve">DECLARATION_OR_UNKNOWN</x:t>
        </x:is>
      </x:c>
      <x:c r="F325" s="49" t="inlineStr">
        <x:is>
          <x:t xml:space="preserve">PENDING_NOT_RUN</x:t>
        </x:is>
      </x:c>
      <x:c r="G325" s="49" t="inlineStr">
        <x:is>
          <x:t xml:space="preserve">NO_SORRY_OR_ADMIT_STATIC_SCAN</x:t>
        </x:is>
      </x:c>
      <x:c r="H325" s="49" t="inlineStr">
        <x:is>
          <x:t xml:space="preserve">SCAFFOLDING_NOT_PUBLIC_COUNT</x:t>
        </x:is>
      </x:c>
      <x:c r="I325" s="49" t="inlineStr">
        <x:is>
          <x:t xml:space="preserve">0</x:t>
        </x:is>
      </x:c>
      <x:c r="L325" s="56" t="n"/>
    </x:row>
    <x:row r="326" ht="15" customHeight="1">
      <x:c r="A326" s="55" t="inlineStr">
        <x:is>
          <x:t xml:space="preserve">ethics_moral_order_is_strong_cd_class</x:t>
        </x:is>
      </x:c>
      <x:c r="B326" s="49" t="inlineStr">
        <x:is>
          <x:t xml:space="preserve">theorem</x:t>
        </x:is>
      </x:c>
      <x:c r="C326" s="49" t="inlineStr">
        <x:is>
          <x:t xml:space="preserve">theophysics-lean-main\theophysics-lean-main\Theophysics_Universality.lean</x:t>
        </x:is>
      </x:c>
      <x:c r="D326" s="49" t="inlineStr">
        <x:is>
          <x:t xml:space="preserve">257</x:t>
        </x:is>
      </x:c>
      <x:c r="E326" s="49" t="inlineStr">
        <x:is>
          <x:t xml:space="preserve">DEFINITIONAL_RFL</x:t>
        </x:is>
      </x:c>
      <x:c r="F326" s="49" t="inlineStr">
        <x:is>
          <x:t xml:space="preserve">PENDING_NOT_RUN</x:t>
        </x:is>
      </x:c>
      <x:c r="G326" s="49" t="inlineStr">
        <x:is>
          <x:t xml:space="preserve">NO_SORRY_OR_ADMIT_STATIC_SCAN</x:t>
        </x:is>
      </x:c>
      <x:c r="H326" s="49" t="inlineStr">
        <x:is>
          <x:t xml:space="preserve">UNIQUE_THEOREM_PENDING_COMPILE</x:t>
        </x:is>
      </x:c>
      <x:c r="I326" s="49" t="inlineStr">
        <x:is>
          <x:t xml:space="preserve">0</x:t>
        </x:is>
      </x:c>
      <x:c r="L326" s="56" t="n"/>
    </x:row>
    <x:row r="327" ht="15" customHeight="1">
      <x:c r="A327" s="55" t="inlineStr">
        <x:is>
          <x:t xml:space="preserve">ethics_theology_same_cd_class</x:t>
        </x:is>
      </x:c>
      <x:c r="B327" s="49" t="inlineStr">
        <x:is>
          <x:t xml:space="preserve">theorem</x:t>
        </x:is>
      </x:c>
      <x:c r="C327" s="49" t="inlineStr">
        <x:is>
          <x:t xml:space="preserve">theophysics-lean-main\theophysics-lean-main\Theophysics_Universality.lean</x:t>
        </x:is>
      </x:c>
      <x:c r="D327" s="49" t="inlineStr">
        <x:is>
          <x:t xml:space="preserve">309</x:t>
        </x:is>
      </x:c>
      <x:c r="E327" s="49" t="inlineStr">
        <x:is>
          <x:t xml:space="preserve">WRAPPER_OR_IMPORTED</x:t>
        </x:is>
      </x:c>
      <x:c r="F327" s="49" t="inlineStr">
        <x:is>
          <x:t xml:space="preserve">PENDING_NOT_RUN</x:t>
        </x:is>
      </x:c>
      <x:c r="G327" s="49" t="inlineStr">
        <x:is>
          <x:t xml:space="preserve">NO_SORRY_OR_ADMIT_STATIC_SCAN</x:t>
        </x:is>
      </x:c>
      <x:c r="H327" s="49" t="inlineStr">
        <x:is>
          <x:t xml:space="preserve">UNIQUE_THEOREM_PENDING_COMPILE</x:t>
        </x:is>
      </x:c>
      <x:c r="I327" s="49" t="inlineStr">
        <x:is>
          <x:t xml:space="preserve">0</x:t>
        </x:is>
      </x:c>
      <x:c r="L327" s="56" t="n"/>
    </x:row>
    <x:row r="328" ht="15" customHeight="1">
      <x:c r="A328" s="55" t="inlineStr">
        <x:is>
          <x:t xml:space="preserve">every_return_guard_is_load_bearing</x:t>
        </x:is>
      </x:c>
      <x:c r="B328" s="49" t="inlineStr">
        <x:is>
          <x:t xml:space="preserve">theorem</x:t>
        </x:is>
      </x:c>
      <x:c r="C328" s="49" t="inlineStr">
        <x:is>
          <x:t xml:space="preserve">Faith-Thru-Physics-Lean-4--main\Faith-Thru-Physics-Lean-4--main\Theophysics_NegativeInventory.lean</x:t>
        </x:is>
      </x:c>
      <x:c r="D328" s="49" t="inlineStr">
        <x:is>
          <x:t xml:space="preserve">246</x:t>
        </x:is>
      </x:c>
      <x:c r="E328" s="49" t="inlineStr">
        <x:is>
          <x:t xml:space="preserve">FINITE_DECIDABLE</x:t>
        </x:is>
      </x:c>
      <x:c r="F328" s="49" t="inlineStr">
        <x:is>
          <x:t xml:space="preserve">PENDING_NOT_RUN</x:t>
        </x:is>
      </x:c>
      <x:c r="G328" s="49" t="inlineStr">
        <x:is>
          <x:t xml:space="preserve">NO_SORRY_OR_ADMIT_STATIC_SCAN</x:t>
        </x:is>
      </x:c>
      <x:c r="H328" s="49" t="inlineStr">
        <x:is>
          <x:t xml:space="preserve">UNIQUE_THEOREM_PENDING_COMPILE</x:t>
        </x:is>
      </x:c>
      <x:c r="I328" s="49" t="inlineStr">
        <x:is>
          <x:t xml:space="preserve">0</x:t>
        </x:is>
      </x:c>
      <x:c r="J328" s="49" t="inlineStr">
        <x:is>
          <x:t xml:space="preserve">LEAN_DERIVATION_CHAIN:235</x:t>
        </x:is>
      </x:c>
      <x:c r="K328" s="49" t="inlineStr">
        <x:is>
          <x:t xml:space="preserve">Dropping any single guard admits a known false positive</x:t>
        </x:is>
      </x:c>
      <x:c r="L328" s="56" t="inlineStr">
        <x:is>
          <x:t xml:space="preserve">load_bearing_controls | variable_coupling</x:t>
        </x:is>
      </x:c>
    </x:row>
    <x:row r="329" ht="15" customHeight="1">
      <x:c r="A329" s="55" t="inlineStr">
        <x:is>
          <x:t xml:space="preserve">external_grace_overcomes_deficit</x:t>
        </x:is>
      </x:c>
      <x:c r="B329" s="49" t="inlineStr">
        <x:is>
          <x:t xml:space="preserve">theorem</x:t>
        </x:is>
      </x:c>
      <x:c r="C329" s="49" t="inlineStr">
        <x:is>
          <x:t xml:space="preserve">theophysics-lean-main\theophysics-lean-main\Theophysics_Canonization.lean</x:t>
        </x:is>
      </x:c>
      <x:c r="D329" s="49" t="inlineStr">
        <x:is>
          <x:t xml:space="preserve">198</x:t>
        </x:is>
      </x:c>
      <x:c r="E329" s="49" t="inlineStr">
        <x:is>
          <x:t xml:space="preserve">SIMPLIFICATION</x:t>
        </x:is>
      </x:c>
      <x:c r="F329" s="49" t="inlineStr">
        <x:is>
          <x:t xml:space="preserve">PENDING_NOT_RUN</x:t>
        </x:is>
      </x:c>
      <x:c r="G329" s="49" t="inlineStr">
        <x:is>
          <x:t xml:space="preserve">NO_SORRY_OR_ADMIT_STATIC_SCAN</x:t>
        </x:is>
      </x:c>
      <x:c r="H329" s="49" t="inlineStr">
        <x:is>
          <x:t xml:space="preserve">UNIQUE_THEOREM_PENDING_COMPILE</x:t>
        </x:is>
      </x:c>
      <x:c r="I329" s="49" t="inlineStr">
        <x:is>
          <x:t xml:space="preserve">0</x:t>
        </x:is>
      </x:c>
      <x:c r="J329" s="49" t="inlineStr">
        <x:is>
          <x:t xml:space="preserve">LEAN_DERIVATION_CHAIN:252</x:t>
        </x:is>
      </x:c>
      <x:c r="K329" s="49" t="inlineStr">
        <x:is>
          <x:t xml:space="preserve">Gamma &gt; S-G implies coherence increases (BC2 quantitative)</x:t>
        </x:is>
      </x:c>
      <x:c r="L329" s="56" t="n"/>
    </x:row>
    <x:row r="330" ht="15" customHeight="1">
      <x:c r="A330" s="55" t="inlineStr">
        <x:is>
          <x:t xml:space="preserve">f_zero_kills_chi</x:t>
        </x:is>
      </x:c>
      <x:c r="B330" s="49" t="inlineStr">
        <x:is>
          <x:t xml:space="preserve">theorem</x:t>
        </x:is>
      </x:c>
      <x:c r="C330" s="49" t="inlineStr">
        <x:is>
          <x:t xml:space="preserve">theophysics-lean-main\theophysics-lean-main\Theophysics_Core.lean</x:t>
        </x:is>
      </x:c>
      <x:c r="D330" s="49" t="inlineStr">
        <x:is>
          <x:t xml:space="preserve">258</x:t>
        </x:is>
      </x:c>
      <x:c r="E330" s="49" t="inlineStr">
        <x:is>
          <x:t xml:space="preserve">DECLARATION_OR_UNKNOWN</x:t>
        </x:is>
      </x:c>
      <x:c r="F330" s="49" t="inlineStr">
        <x:is>
          <x:t xml:space="preserve">PENDING_NOT_RUN</x:t>
        </x:is>
      </x:c>
      <x:c r="G330" s="49" t="inlineStr">
        <x:is>
          <x:t xml:space="preserve">NO_SORRY_OR_ADMIT_STATIC_SCAN</x:t>
        </x:is>
      </x:c>
      <x:c r="H330" s="49" t="inlineStr">
        <x:is>
          <x:t xml:space="preserve">CANONICAL_THEOREM_DEDUPED_PENDING_COMPILE</x:t>
        </x:is>
      </x:c>
      <x:c r="I330" s="49" t="inlineStr">
        <x:is>
          <x:t xml:space="preserve">3</x:t>
        </x:is>
      </x:c>
      <x:c r="L330" s="56" t="n"/>
    </x:row>
    <x:row r="331" ht="15" customHeight="1">
      <x:c r="A331" s="55" t="inlineStr">
        <x:is>
          <x:t xml:space="preserve">factorNamesA</x:t>
        </x:is>
      </x:c>
      <x:c r="B331" s="49" t="inlineStr">
        <x:is>
          <x:t xml:space="preserve">def</x:t>
        </x:is>
      </x:c>
      <x:c r="C331" s="49" t="inlineStr">
        <x:is>
          <x:t xml:space="preserve">Lean-4-Proofs-main\Lean-4-Proofs-main\theophysics-lean-verification-package\narrow_product_test\NarrowProductTest\Basic.lean</x:t>
        </x:is>
      </x:c>
      <x:c r="D331" s="49" t="inlineStr">
        <x:is>
          <x:t xml:space="preserve">7</x:t>
        </x:is>
      </x:c>
      <x:c r="E331" s="49" t="inlineStr">
        <x:is>
          <x:t xml:space="preserve">DECLARATION_OR_UNKNOWN</x:t>
        </x:is>
      </x:c>
      <x:c r="F331" s="49" t="inlineStr">
        <x:is>
          <x:t xml:space="preserve">PENDING_NOT_RUN</x:t>
        </x:is>
      </x:c>
      <x:c r="G331" s="49" t="inlineStr">
        <x:is>
          <x:t xml:space="preserve">NO_SORRY_OR_ADMIT_STATIC_SCAN</x:t>
        </x:is>
      </x:c>
      <x:c r="H331" s="49" t="inlineStr">
        <x:is>
          <x:t xml:space="preserve">SCAFFOLDING_NOT_PUBLIC_COUNT</x:t>
        </x:is>
      </x:c>
      <x:c r="I331" s="49" t="inlineStr">
        <x:is>
          <x:t xml:space="preserve">0</x:t>
        </x:is>
      </x:c>
      <x:c r="L331" s="56" t="n"/>
    </x:row>
    <x:row r="332" ht="15" customHeight="1">
      <x:c r="A332" s="55" t="inlineStr">
        <x:is>
          <x:t xml:space="preserve">factorNamesB</x:t>
        </x:is>
      </x:c>
      <x:c r="B332" s="49" t="inlineStr">
        <x:is>
          <x:t xml:space="preserve">def</x:t>
        </x:is>
      </x:c>
      <x:c r="C332" s="49" t="inlineStr">
        <x:is>
          <x:t xml:space="preserve">Lean-4-Proofs-main\Lean-4-Proofs-main\theophysics-lean-verification-package\narrow_product_test\NarrowProductTest\Basic.lean</x:t>
        </x:is>
      </x:c>
      <x:c r="D332" s="49" t="inlineStr">
        <x:is>
          <x:t xml:space="preserve">10</x:t>
        </x:is>
      </x:c>
      <x:c r="E332" s="49" t="inlineStr">
        <x:is>
          <x:t xml:space="preserve">DECLARATION_OR_UNKNOWN</x:t>
        </x:is>
      </x:c>
      <x:c r="F332" s="49" t="inlineStr">
        <x:is>
          <x:t xml:space="preserve">PENDING_NOT_RUN</x:t>
        </x:is>
      </x:c>
      <x:c r="G332" s="49" t="inlineStr">
        <x:is>
          <x:t xml:space="preserve">NO_SORRY_OR_ADMIT_STATIC_SCAN</x:t>
        </x:is>
      </x:c>
      <x:c r="H332" s="49" t="inlineStr">
        <x:is>
          <x:t xml:space="preserve">SCAFFOLDING_NOT_PUBLIC_COUNT</x:t>
        </x:is>
      </x:c>
      <x:c r="I332" s="49" t="inlineStr">
        <x:is>
          <x:t xml:space="preserve">0</x:t>
        </x:is>
      </x:c>
      <x:c r="L332" s="56" t="n"/>
    </x:row>
    <x:row r="333" ht="15" customHeight="1">
      <x:c r="A333" s="55" t="inlineStr">
        <x:is>
          <x:t xml:space="preserve">factor_count</x:t>
        </x:is>
      </x:c>
      <x:c r="B333" s="49" t="inlineStr">
        <x:is>
          <x:t xml:space="preserve">theorem</x:t>
        </x:is>
      </x:c>
      <x:c r="C333" s="49" t="inlineStr">
        <x:is>
          <x:t xml:space="preserve">Lean-4-Proofs-main\Lean-4-Proofs-main\theophysics-lean-verification-package\CorrectedEntropyKernel.lean</x:t>
        </x:is>
      </x:c>
      <x:c r="D333" s="49" t="inlineStr">
        <x:is>
          <x:t xml:space="preserve">39</x:t>
        </x:is>
      </x:c>
      <x:c r="E333" s="49" t="inlineStr">
        <x:is>
          <x:t xml:space="preserve">DEFINITIONAL_RFL</x:t>
        </x:is>
      </x:c>
      <x:c r="F333" s="49" t="inlineStr">
        <x:is>
          <x:t xml:space="preserve">PENDING_NOT_RUN</x:t>
        </x:is>
      </x:c>
      <x:c r="G333" s="49" t="inlineStr">
        <x:is>
          <x:t xml:space="preserve">NO_SORRY_OR_ADMIT_STATIC_SCAN</x:t>
        </x:is>
      </x:c>
      <x:c r="H333" s="49" t="inlineStr">
        <x:is>
          <x:t xml:space="preserve">UNIQUE_THEOREM_PENDING_COMPILE</x:t>
        </x:is>
      </x:c>
      <x:c r="I333" s="49" t="inlineStr">
        <x:is>
          <x:t xml:space="preserve">0</x:t>
        </x:is>
      </x:c>
      <x:c r="L333" s="56" t="n"/>
    </x:row>
    <x:row r="334" ht="15" customHeight="1">
      <x:c r="A334" s="55" t="inlineStr">
        <x:is>
          <x:t xml:space="preserve">failed_attempt_counts_in_denominator</x:t>
        </x:is>
      </x:c>
      <x:c r="B334" s="49" t="inlineStr">
        <x:is>
          <x:t xml:space="preserve">theorem</x:t>
        </x:is>
      </x:c>
      <x:c r="C334" s="49" t="inlineStr">
        <x:is>
          <x:t xml:space="preserve">theophysics-lean-main\theophysics-lean-main\Theophysics_Adversarial.lean</x:t>
        </x:is>
      </x:c>
      <x:c r="D334" s="49" t="inlineStr">
        <x:is>
          <x:t xml:space="preserve">573</x:t>
        </x:is>
      </x:c>
      <x:c r="E334" s="49" t="inlineStr">
        <x:is>
          <x:t xml:space="preserve">DEFINITIONAL_RFL</x:t>
        </x:is>
      </x:c>
      <x:c r="F334" s="49" t="inlineStr">
        <x:is>
          <x:t xml:space="preserve">PENDING_NOT_RUN</x:t>
        </x:is>
      </x:c>
      <x:c r="G334" s="49" t="inlineStr">
        <x:is>
          <x:t xml:space="preserve">NO_SORRY_OR_ADMIT_STATIC_SCAN</x:t>
        </x:is>
      </x:c>
      <x:c r="H334" s="49" t="inlineStr">
        <x:is>
          <x:t xml:space="preserve">CANONICAL_THEOREM_DEDUPED_PENDING_COMPILE</x:t>
        </x:is>
      </x:c>
      <x:c r="I334" s="49" t="inlineStr">
        <x:is>
          <x:t xml:space="preserve">3</x:t>
        </x:is>
      </x:c>
      <x:c r="J334" s="49" t="inlineStr">
        <x:is>
          <x:t xml:space="preserve">LEAN_DERIVATION_CHAIN:201</x:t>
        </x:is>
      </x:c>
      <x:c r="K334" s="49" t="inlineStr">
        <x:is>
          <x:t xml:space="preserve">REJECTION: Failures count against you. No cherry-picking.</x:t>
        </x:is>
      </x:c>
      <x:c r="L334" s="56" t="n"/>
    </x:row>
    <x:row r="335" ht="15" customHeight="1">
      <x:c r="A335" s="55" t="inlineStr">
        <x:is>
          <x:t xml:space="preserve">faithCandidateRightInverse</x:t>
        </x:is>
      </x:c>
      <x:c r="B335" s="49" t="inlineStr">
        <x:is>
          <x:t xml:space="preserve">def</x:t>
        </x:is>
      </x:c>
      <x:c r="C335" s="49" t="inlineStr">
        <x:is>
          <x:t xml:space="preserve">theophysics-lean-main\theophysics-lean-main\Theophysics_Adversarial.lean</x:t>
        </x:is>
      </x:c>
      <x:c r="D335" s="49" t="inlineStr">
        <x:is>
          <x:t xml:space="preserve">233</x:t>
        </x:is>
      </x:c>
      <x:c r="E335" s="49" t="inlineStr">
        <x:is>
          <x:t xml:space="preserve">DECLARATION_OR_UNKNOWN</x:t>
        </x:is>
      </x:c>
      <x:c r="F335" s="49" t="inlineStr">
        <x:is>
          <x:t xml:space="preserve">PENDING_NOT_RUN</x:t>
        </x:is>
      </x:c>
      <x:c r="G335" s="49" t="inlineStr">
        <x:is>
          <x:t xml:space="preserve">NO_SORRY_OR_ADMIT_STATIC_SCAN</x:t>
        </x:is>
      </x:c>
      <x:c r="H335" s="49" t="inlineStr">
        <x:is>
          <x:t xml:space="preserve">SCAFFOLDING_NOT_PUBLIC_COUNT</x:t>
        </x:is>
      </x:c>
      <x:c r="I335" s="49" t="inlineStr">
        <x:is>
          <x:t xml:space="preserve">3</x:t>
        </x:is>
      </x:c>
      <x:c r="L335" s="56" t="n"/>
    </x:row>
    <x:row r="336" ht="15" customHeight="1">
      <x:c r="A336" s="55" t="inlineStr">
        <x:is>
          <x:t xml:space="preserve">faith_candidate_not_right_inverse</x:t>
        </x:is>
      </x:c>
      <x:c r="B336" s="49" t="inlineStr">
        <x:is>
          <x:t xml:space="preserve">theorem</x:t>
        </x:is>
      </x:c>
      <x:c r="C336" s="49" t="inlineStr">
        <x:is>
          <x:t xml:space="preserve">theophysics-lean-main\theophysics-lean-main\Theophysics_Adversarial.lean</x:t>
        </x:is>
      </x:c>
      <x:c r="D336" s="49" t="inlineStr">
        <x:is>
          <x:t xml:space="preserve">424</x:t>
        </x:is>
      </x:c>
      <x:c r="E336" s="49" t="inlineStr">
        <x:is>
          <x:t xml:space="preserve">DEFINITIONAL_RFL</x:t>
        </x:is>
      </x:c>
      <x:c r="F336" s="49" t="inlineStr">
        <x:is>
          <x:t xml:space="preserve">PENDING_NOT_RUN</x:t>
        </x:is>
      </x:c>
      <x:c r="G336" s="49" t="inlineStr">
        <x:is>
          <x:t xml:space="preserve">NO_SORRY_OR_ADMIT_STATIC_SCAN</x:t>
        </x:is>
      </x:c>
      <x:c r="H336" s="49" t="inlineStr">
        <x:is>
          <x:t xml:space="preserve">CANONICAL_THEOREM_DEDUPED_PENDING_COMPILE</x:t>
        </x:is>
      </x:c>
      <x:c r="I336" s="49" t="inlineStr">
        <x:is>
          <x:t xml:space="preserve">3</x:t>
        </x:is>
      </x:c>
      <x:c r="J336" s="49" t="inlineStr">
        <x:is>
          <x:t xml:space="preserve">LEAN_DERIVATION_CHAIN:89</x:t>
        </x:is>
      </x:c>
      <x:c r="K336" s="49" t="inlineStr">
        <x:is>
          <x:t xml:space="preserve">REJECTION: 3-state Faith model fails bijection with 2-state StrongForce</x:t>
        </x:is>
      </x:c>
      <x:c r="L336" s="56" t="n"/>
    </x:row>
    <x:row r="337" ht="15" customHeight="1">
      <x:c r="A337" s="55" t="inlineStr">
        <x:is>
          <x:t xml:space="preserve">faith_is_coupling_not_source</x:t>
        </x:is>
      </x:c>
      <x:c r="B337" s="49" t="inlineStr">
        <x:is>
          <x:t xml:space="preserve">theorem</x:t>
        </x:is>
      </x:c>
      <x:c r="C337" s="49" t="inlineStr">
        <x:is>
          <x:t xml:space="preserve">theophysics-lean-main\theophysics-lean-main\Theophysics_Canonization.lean</x:t>
        </x:is>
      </x:c>
      <x:c r="D337" s="49" t="inlineStr">
        <x:is>
          <x:t xml:space="preserve">493</x:t>
        </x:is>
      </x:c>
      <x:c r="E337" s="49" t="inlineStr">
        <x:is>
          <x:t xml:space="preserve">SUBSTANTIVE_OR_CASE_PROOF</x:t>
        </x:is>
      </x:c>
      <x:c r="F337" s="49" t="inlineStr">
        <x:is>
          <x:t xml:space="preserve">PENDING_NOT_RUN</x:t>
        </x:is>
      </x:c>
      <x:c r="G337" s="49" t="inlineStr">
        <x:is>
          <x:t xml:space="preserve">NO_SORRY_OR_ADMIT_STATIC_SCAN</x:t>
        </x:is>
      </x:c>
      <x:c r="H337" s="49" t="inlineStr">
        <x:is>
          <x:t xml:space="preserve">UNIQUE_THEOREM_PENDING_COMPILE</x:t>
        </x:is>
      </x:c>
      <x:c r="I337" s="49" t="inlineStr">
        <x:is>
          <x:t xml:space="preserve">0</x:t>
        </x:is>
      </x:c>
      <x:c r="J337" s="49" t="inlineStr">
        <x:is>
          <x:t xml:space="preserve">LEAN_DERIVATION_CHAIN:267</x:t>
        </x:is>
      </x:c>
      <x:c r="K337" s="49" t="inlineStr">
        <x:is>
          <x:t xml:space="preserve">Dynamics depend on O*G only - faith gates, grace powers</x:t>
        </x:is>
      </x:c>
      <x:c r="L337" s="56" t="inlineStr">
        <x:is>
          <x:t xml:space="preserve">heaviside_content_loss | load_bearing_controls | variable_coupling</x:t>
        </x:is>
      </x:c>
    </x:row>
    <x:row r="338" ht="15" customHeight="1">
      <x:c r="A338" s="55" t="inlineStr">
        <x:is>
          <x:t xml:space="preserve">faithfulness_mem</x:t>
        </x:is>
      </x:c>
      <x:c r="B338" s="49" t="inlineStr">
        <x:is>
          <x:t xml:space="preserve">theorem</x:t>
        </x:is>
      </x:c>
      <x:c r="C338" s="49" t="inlineStr">
        <x:is>
          <x:t xml:space="preserve">Lean-4-Proofs-main\Lean-4-Proofs-main\theophysics-lean-verification-package\FruitsGraceKernel.lean</x:t>
        </x:is>
      </x:c>
      <x:c r="D338" s="49" t="inlineStr">
        <x:is>
          <x:t xml:space="preserve">50</x:t>
        </x:is>
      </x:c>
      <x:c r="E338" s="49" t="inlineStr">
        <x:is>
          <x:t xml:space="preserve">FINITE_DECIDABLE</x:t>
        </x:is>
      </x:c>
      <x:c r="F338" s="49" t="inlineStr">
        <x:is>
          <x:t xml:space="preserve">PENDING_NOT_RUN</x:t>
        </x:is>
      </x:c>
      <x:c r="G338" s="49" t="inlineStr">
        <x:is>
          <x:t xml:space="preserve">NO_SORRY_OR_ADMIT_STATIC_SCAN</x:t>
        </x:is>
      </x:c>
      <x:c r="H338" s="49" t="inlineStr">
        <x:is>
          <x:t xml:space="preserve">UNIQUE_THEOREM_PENDING_COMPILE</x:t>
        </x:is>
      </x:c>
      <x:c r="I338" s="49" t="inlineStr">
        <x:is>
          <x:t xml:space="preserve">0</x:t>
        </x:is>
      </x:c>
      <x:c r="L338" s="56" t="n"/>
    </x:row>
    <x:row r="339" ht="15" customHeight="1">
      <x:c r="A339" s="55" t="inlineStr">
        <x:is>
          <x:t xml:space="preserve">fallActivated</x:t>
        </x:is>
      </x:c>
      <x:c r="B339" s="49" t="inlineStr">
        <x:is>
          <x:t xml:space="preserve">def</x:t>
        </x:is>
      </x:c>
      <x:c r="C339" s="49" t="inlineStr">
        <x:is>
          <x:t xml:space="preserve">theophysics-lean-main\theophysics-lean-main\Theophysics_Fall.lean</x:t>
        </x:is>
      </x:c>
      <x:c r="D339" s="49" t="inlineStr">
        <x:is>
          <x:t xml:space="preserve">46</x:t>
        </x:is>
      </x:c>
      <x:c r="E339" s="49" t="inlineStr">
        <x:is>
          <x:t xml:space="preserve">DECLARATION_OR_UNKNOWN</x:t>
        </x:is>
      </x:c>
      <x:c r="F339" s="49" t="inlineStr">
        <x:is>
          <x:t xml:space="preserve">PENDING_NOT_RUN</x:t>
        </x:is>
      </x:c>
      <x:c r="G339" s="49" t="inlineStr">
        <x:is>
          <x:t xml:space="preserve">NO_SORRY_OR_ADMIT_STATIC_SCAN</x:t>
        </x:is>
      </x:c>
      <x:c r="H339" s="49" t="inlineStr">
        <x:is>
          <x:t xml:space="preserve">SCAFFOLDING_NOT_PUBLIC_COUNT</x:t>
        </x:is>
      </x:c>
      <x:c r="I339" s="49" t="inlineStr">
        <x:is>
          <x:t xml:space="preserve">3</x:t>
        </x:is>
      </x:c>
      <x:c r="L339" s="56" t="n"/>
    </x:row>
    <x:row r="340" ht="15" customHeight="1">
      <x:c r="A340" s="55" t="inlineStr">
        <x:is>
          <x:t xml:space="preserve">fallAsFracture</x:t>
        </x:is>
      </x:c>
      <x:c r="B340" s="49" t="inlineStr">
        <x:is>
          <x:t xml:space="preserve">def</x:t>
        </x:is>
      </x:c>
      <x:c r="C340" s="49" t="inlineStr">
        <x:is>
          <x:t xml:space="preserve">theophysics-lean-main\theophysics-lean-main\Theophysics_Fall.lean</x:t>
        </x:is>
      </x:c>
      <x:c r="D340" s="49" t="inlineStr">
        <x:is>
          <x:t xml:space="preserve">101</x:t>
        </x:is>
      </x:c>
      <x:c r="E340" s="49" t="inlineStr">
        <x:is>
          <x:t xml:space="preserve">DECLARATION_OR_UNKNOWN</x:t>
        </x:is>
      </x:c>
      <x:c r="F340" s="49" t="inlineStr">
        <x:is>
          <x:t xml:space="preserve">PENDING_NOT_RUN</x:t>
        </x:is>
      </x:c>
      <x:c r="G340" s="49" t="inlineStr">
        <x:is>
          <x:t xml:space="preserve">NO_SORRY_OR_ADMIT_STATIC_SCAN</x:t>
        </x:is>
      </x:c>
      <x:c r="H340" s="49" t="inlineStr">
        <x:is>
          <x:t xml:space="preserve">SCAFFOLDING_NOT_PUBLIC_COUNT</x:t>
        </x:is>
      </x:c>
      <x:c r="I340" s="49" t="inlineStr">
        <x:is>
          <x:t xml:space="preserve">3</x:t>
        </x:is>
      </x:c>
      <x:c r="L340" s="56" t="n"/>
    </x:row>
    <x:row r="341" ht="15" customHeight="1">
      <x:c r="A341" s="55" t="inlineStr">
        <x:is>
          <x:t xml:space="preserve">fall_as_covenant_rupture_requires_image_and_covenant</x:t>
        </x:is>
      </x:c>
      <x:c r="B341" s="49" t="inlineStr">
        <x:is>
          <x:t xml:space="preserve">theorem</x:t>
        </x:is>
      </x:c>
      <x:c r="C341" s="49" t="inlineStr">
        <x:is>
          <x:t xml:space="preserve">theophysics-lean-main\theophysics-lean-main\Theophysics_Core.lean</x:t>
        </x:is>
      </x:c>
      <x:c r="D341" s="49" t="inlineStr">
        <x:is>
          <x:t xml:space="preserve">156</x:t>
        </x:is>
      </x:c>
      <x:c r="E341" s="49" t="inlineStr">
        <x:is>
          <x:t xml:space="preserve">TRIVIAL_TRUE</x:t>
        </x:is>
      </x:c>
      <x:c r="F341" s="49" t="inlineStr">
        <x:is>
          <x:t xml:space="preserve">PENDING_NOT_RUN</x:t>
        </x:is>
      </x:c>
      <x:c r="G341" s="49" t="inlineStr">
        <x:is>
          <x:t xml:space="preserve">NO_SORRY_OR_ADMIT_STATIC_SCAN</x:t>
        </x:is>
      </x:c>
      <x:c r="H341" s="49" t="inlineStr">
        <x:is>
          <x:t xml:space="preserve">LOW_CONTENT_TRUE_NOT_PUBLIC_COUNT</x:t>
        </x:is>
      </x:c>
      <x:c r="I341" s="49" t="inlineStr">
        <x:is>
          <x:t xml:space="preserve">3</x:t>
        </x:is>
      </x:c>
      <x:c r="J341" s="49" t="inlineStr">
        <x:is>
          <x:t xml:space="preserve">LEAN_DERIVATION_CHAIN:186</x:t>
        </x:is>
      </x:c>
      <x:c r="K341" s="49" t="inlineStr">
        <x:is>
          <x:t xml:space="preserve">Fall requires BOTH Image and Covenant (multi-parent). Cannot fall from a covenant you never had.</x:t>
        </x:is>
      </x:c>
      <x:c r="L341" s="56" t="n"/>
    </x:row>
    <x:row r="342" ht="15" customHeight="1">
      <x:c r="A342" s="55" t="inlineStr">
        <x:is>
          <x:t xml:space="preserve">fall_has_parallel_death_and_judgment</x:t>
        </x:is>
      </x:c>
      <x:c r="B342" s="49" t="inlineStr">
        <x:is>
          <x:t xml:space="preserve">theorem</x:t>
        </x:is>
      </x:c>
      <x:c r="C342" s="49" t="inlineStr">
        <x:is>
          <x:t xml:space="preserve">theophysics-lean-main\theophysics-lean-main\Theophysics_Core.lean</x:t>
        </x:is>
      </x:c>
      <x:c r="D342" s="49" t="inlineStr">
        <x:is>
          <x:t xml:space="preserve">157</x:t>
        </x:is>
      </x:c>
      <x:c r="E342" s="49" t="inlineStr">
        <x:is>
          <x:t xml:space="preserve">TRIVIAL_TRUE</x:t>
        </x:is>
      </x:c>
      <x:c r="F342" s="49" t="inlineStr">
        <x:is>
          <x:t xml:space="preserve">PENDING_NOT_RUN</x:t>
        </x:is>
      </x:c>
      <x:c r="G342" s="49" t="inlineStr">
        <x:is>
          <x:t xml:space="preserve">NO_SORRY_OR_ADMIT_STATIC_SCAN</x:t>
        </x:is>
      </x:c>
      <x:c r="H342" s="49" t="inlineStr">
        <x:is>
          <x:t xml:space="preserve">LOW_CONTENT_TRUE_NOT_PUBLIC_COUNT</x:t>
        </x:is>
      </x:c>
      <x:c r="I342" s="49" t="inlineStr">
        <x:is>
          <x:t xml:space="preserve">3</x:t>
        </x:is>
      </x:c>
      <x:c r="J342" s="49" t="inlineStr">
        <x:is>
          <x:t xml:space="preserve">LEAN_DERIVATION_CHAIN:183</x:t>
        </x:is>
      </x:c>
      <x:c r="K342" s="49" t="inlineStr">
        <x:is>
          <x:t xml:space="preserve">Death and judgment are parallel consequences of the Fall</x:t>
        </x:is>
      </x:c>
      <x:c r="L342" s="56" t="n"/>
    </x:row>
    <x:row r="343" ht="15" customHeight="1">
      <x:c r="A343" s="55" t="inlineStr">
        <x:is>
          <x:t xml:space="preserve">fall_has_parallel_promise_not_death_then_promise</x:t>
        </x:is>
      </x:c>
      <x:c r="B343" s="49" t="inlineStr">
        <x:is>
          <x:t xml:space="preserve">theorem</x:t>
        </x:is>
      </x:c>
      <x:c r="C343" s="49" t="inlineStr">
        <x:is>
          <x:t xml:space="preserve">theophysics-lean-main\theophysics-lean-main\Theophysics_Adversarial.lean</x:t>
        </x:is>
      </x:c>
      <x:c r="D343" s="49" t="inlineStr">
        <x:is>
          <x:t xml:space="preserve">552</x:t>
        </x:is>
      </x:c>
      <x:c r="E343" s="49" t="inlineStr">
        <x:is>
          <x:t xml:space="preserve">DEFINITIONAL_RFL</x:t>
        </x:is>
      </x:c>
      <x:c r="F343" s="49" t="inlineStr">
        <x:is>
          <x:t xml:space="preserve">PENDING_NOT_RUN</x:t>
        </x:is>
      </x:c>
      <x:c r="G343" s="49" t="inlineStr">
        <x:is>
          <x:t xml:space="preserve">NO_SORRY_OR_ADMIT_STATIC_SCAN</x:t>
        </x:is>
      </x:c>
      <x:c r="H343" s="49" t="inlineStr">
        <x:is>
          <x:t xml:space="preserve">CANONICAL_THEOREM_DEDUPED_PENDING_COMPILE</x:t>
        </x:is>
      </x:c>
      <x:c r="I343" s="49" t="inlineStr">
        <x:is>
          <x:t xml:space="preserve">3</x:t>
        </x:is>
      </x:c>
      <x:c r="J343" s="49" t="inlineStr">
        <x:is>
          <x:t xml:space="preserve">LEAN_DERIVATION_CHAIN:184</x:t>
        </x:is>
      </x:c>
      <x:c r="K343" s="49" t="inlineStr">
        <x:is>
          <x:t xml:space="preserve">REJECTION: Promise is parallel from Fall, NOT sequential from Death</x:t>
        </x:is>
      </x:c>
      <x:c r="L343" s="56" t="n"/>
    </x:row>
    <x:row r="344" ht="15" customHeight="1">
      <x:c r="A344" s="55" t="inlineStr">
        <x:is>
          <x:t xml:space="preserve">fall_spine_grace_floor_sustains</x:t>
        </x:is>
      </x:c>
      <x:c r="B344" s="49" t="inlineStr">
        <x:is>
          <x:t xml:space="preserve">theorem</x:t>
        </x:is>
      </x:c>
      <x:c r="C344" s="49" t="inlineStr">
        <x:is>
          <x:t xml:space="preserve">theophysics-lean-main\theophysics-lean-main\Theophysics_Core.lean</x:t>
        </x:is>
      </x:c>
      <x:c r="D344" s="49" t="inlineStr">
        <x:is>
          <x:t xml:space="preserve">94</x:t>
        </x:is>
      </x:c>
      <x:c r="E344" s="49" t="inlineStr">
        <x:is>
          <x:t xml:space="preserve">DECLARATION_OR_UNKNOWN</x:t>
        </x:is>
      </x:c>
      <x:c r="F344" s="49" t="inlineStr">
        <x:is>
          <x:t xml:space="preserve">PENDING_NOT_RUN</x:t>
        </x:is>
      </x:c>
      <x:c r="G344" s="49" t="inlineStr">
        <x:is>
          <x:t xml:space="preserve">NO_SORRY_OR_ADMIT_STATIC_SCAN</x:t>
        </x:is>
      </x:c>
      <x:c r="H344" s="49" t="inlineStr">
        <x:is>
          <x:t xml:space="preserve">CANONICAL_THEOREM_DEDUPED_PENDING_COMPILE</x:t>
        </x:is>
      </x:c>
      <x:c r="I344" s="49" t="inlineStr">
        <x:is>
          <x:t xml:space="preserve">3</x:t>
        </x:is>
      </x:c>
      <x:c r="L344" s="56" t="n"/>
    </x:row>
    <x:row r="345" ht="15" customHeight="1">
      <x:c r="A345" s="55" t="inlineStr">
        <x:is>
          <x:t xml:space="preserve">fall_spine_marker</x:t>
        </x:is>
      </x:c>
      <x:c r="B345" s="49" t="inlineStr">
        <x:is>
          <x:t xml:space="preserve">theorem</x:t>
        </x:is>
      </x:c>
      <x:c r="C345" s="49" t="inlineStr">
        <x:is>
          <x:t xml:space="preserve">theophysics-lean-main\theophysics-lean-main\Theophysics_Fall.lean</x:t>
        </x:is>
      </x:c>
      <x:c r="D345" s="49" t="inlineStr">
        <x:is>
          <x:t xml:space="preserve">152</x:t>
        </x:is>
      </x:c>
      <x:c r="E345" s="49" t="inlineStr">
        <x:is>
          <x:t xml:space="preserve">WRAPPER_OR_IMPORTED</x:t>
        </x:is>
      </x:c>
      <x:c r="F345" s="49" t="inlineStr">
        <x:is>
          <x:t xml:space="preserve">PENDING_NOT_RUN</x:t>
        </x:is>
      </x:c>
      <x:c r="G345" s="49" t="inlineStr">
        <x:is>
          <x:t xml:space="preserve">NO_SORRY_OR_ADMIT_STATIC_SCAN</x:t>
        </x:is>
      </x:c>
      <x:c r="H345" s="49" t="inlineStr">
        <x:is>
          <x:t xml:space="preserve">CANONICAL_THEOREM_DEDUPED_PENDING_COMPILE</x:t>
        </x:is>
      </x:c>
      <x:c r="I345" s="49" t="inlineStr">
        <x:is>
          <x:t xml:space="preserve">3</x:t>
        </x:is>
      </x:c>
      <x:c r="L345" s="56" t="n"/>
    </x:row>
    <x:row r="346" ht="15" customHeight="1">
      <x:c r="A346" s="55" t="inlineStr">
        <x:is>
          <x:t xml:space="preserve">fall_spine_rejects_separation_only</x:t>
        </x:is>
      </x:c>
      <x:c r="B346" s="49" t="inlineStr">
        <x:is>
          <x:t xml:space="preserve">theorem</x:t>
        </x:is>
      </x:c>
      <x:c r="C346" s="49" t="inlineStr">
        <x:is>
          <x:t xml:space="preserve">theophysics-lean-main\theophysics-lean-main\Theophysics_Core.lean</x:t>
        </x:is>
      </x:c>
      <x:c r="D346" s="49" t="inlineStr">
        <x:is>
          <x:t xml:space="preserve">88</x:t>
        </x:is>
      </x:c>
      <x:c r="E346" s="49" t="inlineStr">
        <x:is>
          <x:t xml:space="preserve">DECLARATION_OR_UNKNOWN</x:t>
        </x:is>
      </x:c>
      <x:c r="F346" s="49" t="inlineStr">
        <x:is>
          <x:t xml:space="preserve">PENDING_NOT_RUN</x:t>
        </x:is>
      </x:c>
      <x:c r="G346" s="49" t="inlineStr">
        <x:is>
          <x:t xml:space="preserve">NO_SORRY_OR_ADMIT_STATIC_SCAN</x:t>
        </x:is>
      </x:c>
      <x:c r="H346" s="49" t="inlineStr">
        <x:is>
          <x:t xml:space="preserve">CANONICAL_THEOREM_DEDUPED_PENDING_COMPILE</x:t>
        </x:is>
      </x:c>
      <x:c r="I346" s="49" t="inlineStr">
        <x:is>
          <x:t xml:space="preserve">3</x:t>
        </x:is>
      </x:c>
      <x:c r="L346" s="56" t="n"/>
    </x:row>
    <x:row r="347" ht="15" customHeight="1">
      <x:c r="A347" s="55" t="inlineStr">
        <x:is>
          <x:t xml:space="preserve">fall_spine_requires_entanglement_after_coupling</x:t>
        </x:is>
      </x:c>
      <x:c r="B347" s="49" t="inlineStr">
        <x:is>
          <x:t xml:space="preserve">theorem</x:t>
        </x:is>
      </x:c>
      <x:c r="C347" s="49" t="inlineStr">
        <x:is>
          <x:t xml:space="preserve">theophysics-lean-main\theophysics-lean-main\Theophysics_Core.lean</x:t>
        </x:is>
      </x:c>
      <x:c r="D347" s="49" t="inlineStr">
        <x:is>
          <x:t xml:space="preserve">91</x:t>
        </x:is>
      </x:c>
      <x:c r="E347" s="49" t="inlineStr">
        <x:is>
          <x:t xml:space="preserve">DECLARATION_OR_UNKNOWN</x:t>
        </x:is>
      </x:c>
      <x:c r="F347" s="49" t="inlineStr">
        <x:is>
          <x:t xml:space="preserve">PENDING_NOT_RUN</x:t>
        </x:is>
      </x:c>
      <x:c r="G347" s="49" t="inlineStr">
        <x:is>
          <x:t xml:space="preserve">NO_SORRY_OR_ADMIT_STATIC_SCAN</x:t>
        </x:is>
      </x:c>
      <x:c r="H347" s="49" t="inlineStr">
        <x:is>
          <x:t xml:space="preserve">CANONICAL_THEOREM_DEDUPED_PENDING_COMPILE</x:t>
        </x:is>
      </x:c>
      <x:c r="I347" s="49" t="inlineStr">
        <x:is>
          <x:t xml:space="preserve">3</x:t>
        </x:is>
      </x:c>
      <x:c r="L347" s="56" t="inlineStr">
        <x:is>
          <x:t xml:space="preserve">heaviside_content_loss | load_bearing_controls | variable_coupling</x:t>
        </x:is>
      </x:c>
    </x:row>
    <x:row r="348" ht="15" customHeight="1">
      <x:c r="A348" s="55" t="inlineStr">
        <x:is>
          <x:t xml:space="preserve">fall_with_grace_maps_to_repairable_fracture</x:t>
        </x:is>
      </x:c>
      <x:c r="B348" s="49" t="inlineStr">
        <x:is>
          <x:t xml:space="preserve">theorem</x:t>
        </x:is>
      </x:c>
      <x:c r="C348" s="49" t="inlineStr">
        <x:is>
          <x:t xml:space="preserve">theophysics-lean-main\theophysics-lean-main\Theophysics_Fall.lean</x:t>
        </x:is>
      </x:c>
      <x:c r="D348" s="49" t="inlineStr">
        <x:is>
          <x:t xml:space="preserve">144</x:t>
        </x:is>
      </x:c>
      <x:c r="E348" s="49" t="inlineStr">
        <x:is>
          <x:t xml:space="preserve">DEFINITIONAL_RFL</x:t>
        </x:is>
      </x:c>
      <x:c r="F348" s="49" t="inlineStr">
        <x:is>
          <x:t xml:space="preserve">PENDING_NOT_RUN</x:t>
        </x:is>
      </x:c>
      <x:c r="G348" s="49" t="inlineStr">
        <x:is>
          <x:t xml:space="preserve">NO_SORRY_OR_ADMIT_STATIC_SCAN</x:t>
        </x:is>
      </x:c>
      <x:c r="H348" s="49" t="inlineStr">
        <x:is>
          <x:t xml:space="preserve">CANONICAL_THEOREM_DEDUPED_PENDING_COMPILE</x:t>
        </x:is>
      </x:c>
      <x:c r="I348" s="49" t="inlineStr">
        <x:is>
          <x:t xml:space="preserve">3</x:t>
        </x:is>
      </x:c>
      <x:c r="L348" s="56" t="n"/>
    </x:row>
    <x:row r="349" ht="15" customHeight="1">
      <x:c r="A349" s="55" t="inlineStr">
        <x:is>
          <x:t xml:space="preserve">fall_without_grace_maps_to_unrepairable_fracture</x:t>
        </x:is>
      </x:c>
      <x:c r="B349" s="49" t="inlineStr">
        <x:is>
          <x:t xml:space="preserve">theorem</x:t>
        </x:is>
      </x:c>
      <x:c r="C349" s="49" t="inlineStr">
        <x:is>
          <x:t xml:space="preserve">theophysics-lean-main\theophysics-lean-main\Theophysics_Fall.lean</x:t>
        </x:is>
      </x:c>
      <x:c r="D349" s="49" t="inlineStr">
        <x:is>
          <x:t xml:space="preserve">148</x:t>
        </x:is>
      </x:c>
      <x:c r="E349" s="49" t="inlineStr">
        <x:is>
          <x:t xml:space="preserve">DEFINITIONAL_RFL</x:t>
        </x:is>
      </x:c>
      <x:c r="F349" s="49" t="inlineStr">
        <x:is>
          <x:t xml:space="preserve">PENDING_NOT_RUN</x:t>
        </x:is>
      </x:c>
      <x:c r="G349" s="49" t="inlineStr">
        <x:is>
          <x:t xml:space="preserve">NO_SORRY_OR_ADMIT_STATIC_SCAN</x:t>
        </x:is>
      </x:c>
      <x:c r="H349" s="49" t="inlineStr">
        <x:is>
          <x:t xml:space="preserve">CANONICAL_THEOREM_DEDUPED_PENDING_COMPILE</x:t>
        </x:is>
      </x:c>
      <x:c r="I349" s="49" t="inlineStr">
        <x:is>
          <x:t xml:space="preserve">3</x:t>
        </x:is>
      </x:c>
      <x:c r="L349" s="56" t="n"/>
    </x:row>
    <x:row r="350" ht="15" customHeight="1">
      <x:c r="A350" s="55" t="inlineStr">
        <x:is>
          <x:t xml:space="preserve">finite_ordering_source_cannot_perfect_coherence</x:t>
        </x:is>
      </x:c>
      <x:c r="B350" s="49" t="inlineStr">
        <x:is>
          <x:t xml:space="preserve">theorem</x:t>
        </x:is>
      </x:c>
      <x:c r="C350" s="49" t="inlineStr">
        <x:is>
          <x:t xml:space="preserve">theophysics-lean-main\theophysics-lean-main\Theophysics_Canonization.lean</x:t>
        </x:is>
      </x:c>
      <x:c r="D350" s="49" t="inlineStr">
        <x:is>
          <x:t xml:space="preserve">452</x:t>
        </x:is>
      </x:c>
      <x:c r="E350" s="49" t="inlineStr">
        <x:is>
          <x:t xml:space="preserve">SUBSTANTIVE_OR_CASE_PROOF</x:t>
        </x:is>
      </x:c>
      <x:c r="F350" s="49" t="inlineStr">
        <x:is>
          <x:t xml:space="preserve">PENDING_NOT_RUN</x:t>
        </x:is>
      </x:c>
      <x:c r="G350" s="49" t="inlineStr">
        <x:is>
          <x:t xml:space="preserve">NO_SORRY_OR_ADMIT_STATIC_SCAN</x:t>
        </x:is>
      </x:c>
      <x:c r="H350" s="49" t="inlineStr">
        <x:is>
          <x:t xml:space="preserve">UNIQUE_THEOREM_PENDING_COMPILE</x:t>
        </x:is>
      </x:c>
      <x:c r="I350" s="49" t="inlineStr">
        <x:is>
          <x:t xml:space="preserve">0</x:t>
        </x:is>
      </x:c>
      <x:c r="J350" s="49" t="inlineStr">
        <x:is>
          <x:t xml:space="preserve">LEAN_DERIVATION_CHAIN:262</x:t>
        </x:is>
      </x:c>
      <x:c r="K350" s="49" t="inlineStr">
        <x:is>
          <x:t xml:space="preserve">Finite Lambda, S&gt;0 implies C* &lt; 1 - bounded ceilings</x:t>
        </x:is>
      </x:c>
      <x:c r="L350" s="56" t="n"/>
    </x:row>
    <x:row r="351" ht="15" customHeight="1">
      <x:c r="A351" s="55" t="inlineStr">
        <x:is>
          <x:t xml:space="preserve">finite_source_raises_floor</x:t>
        </x:is>
      </x:c>
      <x:c r="B351" s="49" t="inlineStr">
        <x:is>
          <x:t xml:space="preserve">theorem</x:t>
        </x:is>
      </x:c>
      <x:c r="C351" s="49" t="inlineStr">
        <x:is>
          <x:t xml:space="preserve">theophysics-lean-main\theophysics-lean-main\Theophysics_Canonization.lean</x:t>
        </x:is>
      </x:c>
      <x:c r="D351" s="49" t="inlineStr">
        <x:is>
          <x:t xml:space="preserve">461</x:t>
        </x:is>
      </x:c>
      <x:c r="E351" s="49" t="inlineStr">
        <x:is>
          <x:t xml:space="preserve">SUBSTANTIVE_OR_CASE_PROOF</x:t>
        </x:is>
      </x:c>
      <x:c r="F351" s="49" t="inlineStr">
        <x:is>
          <x:t xml:space="preserve">PENDING_NOT_RUN</x:t>
        </x:is>
      </x:c>
      <x:c r="G351" s="49" t="inlineStr">
        <x:is>
          <x:t xml:space="preserve">NO_SORRY_OR_ADMIT_STATIC_SCAN</x:t>
        </x:is>
      </x:c>
      <x:c r="H351" s="49" t="inlineStr">
        <x:is>
          <x:t xml:space="preserve">UNIQUE_THEOREM_PENDING_COMPILE</x:t>
        </x:is>
      </x:c>
      <x:c r="I351" s="49" t="inlineStr">
        <x:is>
          <x:t xml:space="preserve">0</x:t>
        </x:is>
      </x:c>
      <x:c r="J351" s="49" t="inlineStr">
        <x:is>
          <x:t xml:space="preserve">LEAN_DERIVATION_CHAIN:263</x:t>
        </x:is>
      </x:c>
      <x:c r="K351" s="49" t="inlineStr">
        <x:is>
          <x:t xml:space="preserve">Lambda&gt;0 implies C* &gt; 0 - finite grace is real grace</x:t>
        </x:is>
      </x:c>
      <x:c r="L351" s="56" t="n"/>
    </x:row>
    <x:row r="352" ht="15" customHeight="1">
      <x:c r="A352" s="55" t="inlineStr">
        <x:is>
          <x:t xml:space="preserve">fixed_point_is_transferable</x:t>
        </x:is>
      </x:c>
      <x:c r="B352" s="49" t="inlineStr">
        <x:is>
          <x:t xml:space="preserve">theorem</x:t>
        </x:is>
      </x:c>
      <x:c r="C352" s="49" t="inlineStr">
        <x:is>
          <x:t xml:space="preserve">theophysics-lean-main\theophysics-lean-main\Theophysics_Canonization.lean</x:t>
        </x:is>
      </x:c>
      <x:c r="D352" s="49" t="inlineStr">
        <x:is>
          <x:t xml:space="preserve">519</x:t>
        </x:is>
      </x:c>
      <x:c r="E352" s="49" t="inlineStr">
        <x:is>
          <x:t xml:space="preserve">SUBSTANTIVE_OR_CASE_PROOF</x:t>
        </x:is>
      </x:c>
      <x:c r="F352" s="49" t="inlineStr">
        <x:is>
          <x:t xml:space="preserve">PENDING_NOT_RUN</x:t>
        </x:is>
      </x:c>
      <x:c r="G352" s="49" t="inlineStr">
        <x:is>
          <x:t xml:space="preserve">NO_SORRY_OR_ADMIT_STATIC_SCAN</x:t>
        </x:is>
      </x:c>
      <x:c r="H352" s="49" t="inlineStr">
        <x:is>
          <x:t xml:space="preserve">UNIQUE_THEOREM_PENDING_COMPILE</x:t>
        </x:is>
      </x:c>
      <x:c r="I352" s="49" t="inlineStr">
        <x:is>
          <x:t xml:space="preserve">0</x:t>
        </x:is>
      </x:c>
      <x:c r="J352" s="49" t="inlineStr">
        <x:is>
          <x:t xml:space="preserve">LEAN_DERIVATION_CHAIN:269</x:t>
        </x:is>
      </x:c>
      <x:c r="K352" s="49" t="inlineStr">
        <x:is>
          <x:t xml:space="preserve">Profile coherence becomes the creature's attractor target</x:t>
        </x:is>
      </x:c>
      <x:c r="L352" s="56" t="n"/>
    </x:row>
    <x:row r="353" ht="15" customHeight="1">
      <x:c r="A353" s="55" t="inlineStr">
        <x:is>
          <x:t xml:space="preserve">fracture_repair_requires_restoration_input</x:t>
        </x:is>
      </x:c>
      <x:c r="B353" s="49" t="inlineStr">
        <x:is>
          <x:t xml:space="preserve">theorem</x:t>
        </x:is>
      </x:c>
      <x:c r="C353" s="49" t="inlineStr">
        <x:is>
          <x:t xml:space="preserve">theophysics-lean-main\theophysics-lean-main\Theophysics_Core.lean</x:t>
        </x:is>
      </x:c>
      <x:c r="D353" s="49" t="inlineStr">
        <x:is>
          <x:t xml:space="preserve">84</x:t>
        </x:is>
      </x:c>
      <x:c r="E353" s="49" t="inlineStr">
        <x:is>
          <x:t xml:space="preserve">DECLARATION_OR_UNKNOWN</x:t>
        </x:is>
      </x:c>
      <x:c r="F353" s="49" t="inlineStr">
        <x:is>
          <x:t xml:space="preserve">PENDING_NOT_RUN</x:t>
        </x:is>
      </x:c>
      <x:c r="G353" s="49" t="inlineStr">
        <x:is>
          <x:t xml:space="preserve">NO_SORRY_OR_ADMIT_STATIC_SCAN</x:t>
        </x:is>
      </x:c>
      <x:c r="H353" s="49" t="inlineStr">
        <x:is>
          <x:t xml:space="preserve">CANONICAL_THEOREM_DEDUPED_PENDING_COMPILE</x:t>
        </x:is>
      </x:c>
      <x:c r="I353" s="49" t="inlineStr">
        <x:is>
          <x:t xml:space="preserve">3</x:t>
        </x:is>
      </x:c>
      <x:c r="L353" s="56" t="n"/>
    </x:row>
    <x:row r="354" ht="15" customHeight="1">
      <x:c r="A354" s="55" t="inlineStr">
        <x:is>
          <x:t xml:space="preserve">fracture_spine_accepts_structured_scar</x:t>
        </x:is>
      </x:c>
      <x:c r="B354" s="49" t="inlineStr">
        <x:is>
          <x:t xml:space="preserve">theorem</x:t>
        </x:is>
      </x:c>
      <x:c r="C354" s="49" t="inlineStr">
        <x:is>
          <x:t xml:space="preserve">theophysics-lean-main\theophysics-lean-main\Theophysics_Core.lean</x:t>
        </x:is>
      </x:c>
      <x:c r="D354" s="49" t="inlineStr">
        <x:is>
          <x:t xml:space="preserve">81</x:t>
        </x:is>
      </x:c>
      <x:c r="E354" s="49" t="inlineStr">
        <x:is>
          <x:t xml:space="preserve">DECLARATION_OR_UNKNOWN</x:t>
        </x:is>
      </x:c>
      <x:c r="F354" s="49" t="inlineStr">
        <x:is>
          <x:t xml:space="preserve">PENDING_NOT_RUN</x:t>
        </x:is>
      </x:c>
      <x:c r="G354" s="49" t="inlineStr">
        <x:is>
          <x:t xml:space="preserve">NO_SORRY_OR_ADMIT_STATIC_SCAN</x:t>
        </x:is>
      </x:c>
      <x:c r="H354" s="49" t="inlineStr">
        <x:is>
          <x:t xml:space="preserve">CANONICAL_THEOREM_DEDUPED_PENDING_COMPILE</x:t>
        </x:is>
      </x:c>
      <x:c r="I354" s="49" t="inlineStr">
        <x:is>
          <x:t xml:space="preserve">3</x:t>
        </x:is>
      </x:c>
      <x:c r="L354" s="56" t="n"/>
    </x:row>
    <x:row r="355" ht="15" customHeight="1">
      <x:c r="A355" s="55" t="inlineStr">
        <x:is>
          <x:t xml:space="preserve">fracture_spine_rejects_random_gap</x:t>
        </x:is>
      </x:c>
      <x:c r="B355" s="49" t="inlineStr">
        <x:is>
          <x:t xml:space="preserve">theorem</x:t>
        </x:is>
      </x:c>
      <x:c r="C355" s="49" t="inlineStr">
        <x:is>
          <x:t xml:space="preserve">theophysics-lean-main\theophysics-lean-main\Theophysics_Core.lean</x:t>
        </x:is>
      </x:c>
      <x:c r="D355" s="49" t="inlineStr">
        <x:is>
          <x:t xml:space="preserve">78</x:t>
        </x:is>
      </x:c>
      <x:c r="E355" s="49" t="inlineStr">
        <x:is>
          <x:t xml:space="preserve">DECLARATION_OR_UNKNOWN</x:t>
        </x:is>
      </x:c>
      <x:c r="F355" s="49" t="inlineStr">
        <x:is>
          <x:t xml:space="preserve">PENDING_NOT_RUN</x:t>
        </x:is>
      </x:c>
      <x:c r="G355" s="49" t="inlineStr">
        <x:is>
          <x:t xml:space="preserve">NO_SORRY_OR_ADMIT_STATIC_SCAN</x:t>
        </x:is>
      </x:c>
      <x:c r="H355" s="49" t="inlineStr">
        <x:is>
          <x:t xml:space="preserve">CANONICAL_THEOREM_DEDUPED_PENDING_COMPILE</x:t>
        </x:is>
      </x:c>
      <x:c r="I355" s="49" t="inlineStr">
        <x:is>
          <x:t xml:space="preserve">3</x:t>
        </x:is>
      </x:c>
      <x:c r="L355" s="56" t="n"/>
    </x:row>
    <x:row r="356" ht="15" customHeight="1">
      <x:c r="A356" s="55" t="inlineStr">
        <x:is>
          <x:t xml:space="preserve">fracture_with_restoration_is_repairable</x:t>
        </x:is>
      </x:c>
      <x:c r="B356" s="49" t="inlineStr">
        <x:is>
          <x:t xml:space="preserve">theorem</x:t>
        </x:is>
      </x:c>
      <x:c r="C356" s="49" t="inlineStr">
        <x:is>
          <x:t xml:space="preserve">theophysics-lean-main\theophysics-lean-main\Theophysics_Fracture.lean</x:t>
        </x:is>
      </x:c>
      <x:c r="D356" s="49" t="inlineStr">
        <x:is>
          <x:t xml:space="preserve">126</x:t>
        </x:is>
      </x:c>
      <x:c r="E356" s="49" t="inlineStr">
        <x:is>
          <x:t xml:space="preserve">DEFINITIONAL_RFL</x:t>
        </x:is>
      </x:c>
      <x:c r="F356" s="49" t="inlineStr">
        <x:is>
          <x:t xml:space="preserve">PENDING_NOT_RUN</x:t>
        </x:is>
      </x:c>
      <x:c r="G356" s="49" t="inlineStr">
        <x:is>
          <x:t xml:space="preserve">NO_SORRY_OR_ADMIT_STATIC_SCAN</x:t>
        </x:is>
      </x:c>
      <x:c r="H356" s="49" t="inlineStr">
        <x:is>
          <x:t xml:space="preserve">CANONICAL_THEOREM_DEDUPED_PENDING_COMPILE</x:t>
        </x:is>
      </x:c>
      <x:c r="I356" s="49" t="inlineStr">
        <x:is>
          <x:t xml:space="preserve">3</x:t>
        </x:is>
      </x:c>
      <x:c r="L356" s="56" t="n"/>
    </x:row>
    <x:row r="357" ht="15" customHeight="1">
      <x:c r="A357" s="55" t="inlineStr">
        <x:is>
          <x:t xml:space="preserve">fracture_without_restoration_is_not_repairable</x:t>
        </x:is>
      </x:c>
      <x:c r="B357" s="49" t="inlineStr">
        <x:is>
          <x:t xml:space="preserve">theorem</x:t>
        </x:is>
      </x:c>
      <x:c r="C357" s="49" t="inlineStr">
        <x:is>
          <x:t xml:space="preserve">theophysics-lean-main\theophysics-lean-main\Theophysics_Fracture.lean</x:t>
        </x:is>
      </x:c>
      <x:c r="D357" s="49" t="inlineStr">
        <x:is>
          <x:t xml:space="preserve">122</x:t>
        </x:is>
      </x:c>
      <x:c r="E357" s="49" t="inlineStr">
        <x:is>
          <x:t xml:space="preserve">DEFINITIONAL_RFL</x:t>
        </x:is>
      </x:c>
      <x:c r="F357" s="49" t="inlineStr">
        <x:is>
          <x:t xml:space="preserve">PENDING_NOT_RUN</x:t>
        </x:is>
      </x:c>
      <x:c r="G357" s="49" t="inlineStr">
        <x:is>
          <x:t xml:space="preserve">NO_SORRY_OR_ADMIT_STATIC_SCAN</x:t>
        </x:is>
      </x:c>
      <x:c r="H357" s="49" t="inlineStr">
        <x:is>
          <x:t xml:space="preserve">CANONICAL_THEOREM_DEDUPED_PENDING_COMPILE</x:t>
        </x:is>
      </x:c>
      <x:c r="I357" s="49" t="inlineStr">
        <x:is>
          <x:t xml:space="preserve">3</x:t>
        </x:is>
      </x:c>
      <x:c r="L357" s="56" t="n"/>
    </x:row>
    <x:row r="358" ht="15" customHeight="1">
      <x:c r="A358" s="55" t="inlineStr">
        <x:is>
          <x:t xml:space="preserve">fractured</x:t>
        </x:is>
      </x:c>
      <x:c r="B358" s="49" t="inlineStr">
        <x:is>
          <x:t xml:space="preserve">def</x:t>
        </x:is>
      </x:c>
      <x:c r="C358" s="49" t="inlineStr">
        <x:is>
          <x:t xml:space="preserve">theophysics-lean-main\theophysics-lean-main\Theophysics_Fracture.lean</x:t>
        </x:is>
      </x:c>
      <x:c r="D358" s="49" t="inlineStr">
        <x:is>
          <x:t xml:space="preserve">65</x:t>
        </x:is>
      </x:c>
      <x:c r="E358" s="49" t="inlineStr">
        <x:is>
          <x:t xml:space="preserve">DECLARATION_OR_UNKNOWN</x:t>
        </x:is>
      </x:c>
      <x:c r="F358" s="49" t="inlineStr">
        <x:is>
          <x:t xml:space="preserve">PENDING_NOT_RUN</x:t>
        </x:is>
      </x:c>
      <x:c r="G358" s="49" t="inlineStr">
        <x:is>
          <x:t xml:space="preserve">NO_SORRY_OR_ADMIT_STATIC_SCAN</x:t>
        </x:is>
      </x:c>
      <x:c r="H358" s="49" t="inlineStr">
        <x:is>
          <x:t xml:space="preserve">SCAFFOLDING_NOT_PUBLIC_COUNT</x:t>
        </x:is>
      </x:c>
      <x:c r="I358" s="49" t="inlineStr">
        <x:is>
          <x:t xml:space="preserve">3</x:t>
        </x:is>
      </x:c>
      <x:c r="L358" s="56" t="n"/>
    </x:row>
    <x:row r="359" ht="15" customHeight="1">
      <x:c r="A359" s="55" t="inlineStr">
        <x:is>
          <x:t xml:space="preserve">fruitDominates</x:t>
        </x:is>
      </x:c>
      <x:c r="B359" s="49" t="inlineStr">
        <x:is>
          <x:t xml:space="preserve">def</x:t>
        </x:is>
      </x:c>
      <x:c r="C359" s="49" t="inlineStr">
        <x:is>
          <x:t xml:space="preserve">theophysics-lean-main\theophysics-lean-main\Theophysics_ChiEvaluator.lean</x:t>
        </x:is>
      </x:c>
      <x:c r="D359" s="49" t="inlineStr">
        <x:is>
          <x:t xml:space="preserve">334</x:t>
        </x:is>
      </x:c>
      <x:c r="E359" s="49" t="inlineStr">
        <x:is>
          <x:t xml:space="preserve">DECLARATION_OR_UNKNOWN</x:t>
        </x:is>
      </x:c>
      <x:c r="F359" s="49" t="inlineStr">
        <x:is>
          <x:t xml:space="preserve">PENDING_NOT_RUN</x:t>
        </x:is>
      </x:c>
      <x:c r="G359" s="49" t="inlineStr">
        <x:is>
          <x:t xml:space="preserve">NO_SORRY_OR_ADMIT_STATIC_SCAN</x:t>
        </x:is>
      </x:c>
      <x:c r="H359" s="49" t="inlineStr">
        <x:is>
          <x:t xml:space="preserve">SCAFFOLDING_NOT_PUBLIC_COUNT</x:t>
        </x:is>
      </x:c>
      <x:c r="I359" s="49" t="inlineStr">
        <x:is>
          <x:t xml:space="preserve">3</x:t>
        </x:is>
      </x:c>
      <x:c r="L359" s="56" t="n"/>
    </x:row>
    <x:row r="360" ht="15" customHeight="1">
      <x:c r="A360" s="55" t="inlineStr">
        <x:is>
          <x:t xml:space="preserve">fullCoherence</x:t>
        </x:is>
      </x:c>
      <x:c r="B360" s="49" t="inlineStr">
        <x:is>
          <x:t xml:space="preserve">def</x:t>
        </x:is>
      </x:c>
      <x:c r="C360" s="49" t="inlineStr">
        <x:is>
          <x:t xml:space="preserve">theophysics-lean-main\theophysics-lean-main\Theophysics_Coherence.lean</x:t>
        </x:is>
      </x:c>
      <x:c r="D360" s="49" t="inlineStr">
        <x:is>
          <x:t xml:space="preserve">63</x:t>
        </x:is>
      </x:c>
      <x:c r="E360" s="49" t="inlineStr">
        <x:is>
          <x:t xml:space="preserve">DECLARATION_OR_UNKNOWN</x:t>
        </x:is>
      </x:c>
      <x:c r="F360" s="49" t="inlineStr">
        <x:is>
          <x:t xml:space="preserve">PENDING_NOT_RUN</x:t>
        </x:is>
      </x:c>
      <x:c r="G360" s="49" t="inlineStr">
        <x:is>
          <x:t xml:space="preserve">NO_SORRY_OR_ADMIT_STATIC_SCAN</x:t>
        </x:is>
      </x:c>
      <x:c r="H360" s="49" t="inlineStr">
        <x:is>
          <x:t xml:space="preserve">SCAFFOLDING_NOT_PUBLIC_COUNT</x:t>
        </x:is>
      </x:c>
      <x:c r="I360" s="49" t="inlineStr">
        <x:is>
          <x:t xml:space="preserve">3</x:t>
        </x:is>
      </x:c>
      <x:c r="L360" s="56" t="n"/>
    </x:row>
    <x:row r="361" ht="15" customHeight="1">
      <x:c r="A361" s="55" t="inlineStr">
        <x:is>
          <x:t xml:space="preserve">fullFallWithGraceFloor</x:t>
        </x:is>
      </x:c>
      <x:c r="B361" s="49" t="inlineStr">
        <x:is>
          <x:t xml:space="preserve">def</x:t>
        </x:is>
      </x:c>
      <x:c r="C361" s="49" t="inlineStr">
        <x:is>
          <x:t xml:space="preserve">theophysics-lean-main\theophysics-lean-main\Theophysics_Fall.lean</x:t>
        </x:is>
      </x:c>
      <x:c r="D361" s="49" t="inlineStr">
        <x:is>
          <x:t xml:space="preserve">92</x:t>
        </x:is>
      </x:c>
      <x:c r="E361" s="49" t="inlineStr">
        <x:is>
          <x:t xml:space="preserve">DECLARATION_OR_UNKNOWN</x:t>
        </x:is>
      </x:c>
      <x:c r="F361" s="49" t="inlineStr">
        <x:is>
          <x:t xml:space="preserve">PENDING_NOT_RUN</x:t>
        </x:is>
      </x:c>
      <x:c r="G361" s="49" t="inlineStr">
        <x:is>
          <x:t xml:space="preserve">NO_SORRY_OR_ADMIT_STATIC_SCAN</x:t>
        </x:is>
      </x:c>
      <x:c r="H361" s="49" t="inlineStr">
        <x:is>
          <x:t xml:space="preserve">SCAFFOLDING_NOT_PUBLIC_COUNT</x:t>
        </x:is>
      </x:c>
      <x:c r="I361" s="49" t="inlineStr">
        <x:is>
          <x:t xml:space="preserve">3</x:t>
        </x:is>
      </x:c>
      <x:c r="L361" s="56" t="n"/>
    </x:row>
    <x:row r="362" ht="15" customHeight="1">
      <x:c r="A362" s="55" t="inlineStr">
        <x:is>
          <x:t xml:space="preserve">fullFallWithoutGraceFloor</x:t>
        </x:is>
      </x:c>
      <x:c r="B362" s="49" t="inlineStr">
        <x:is>
          <x:t xml:space="preserve">def</x:t>
        </x:is>
      </x:c>
      <x:c r="C362" s="49" t="inlineStr">
        <x:is>
          <x:t xml:space="preserve">theophysics-lean-main\theophysics-lean-main\Theophysics_Fall.lean</x:t>
        </x:is>
      </x:c>
      <x:c r="D362" s="49" t="inlineStr">
        <x:is>
          <x:t xml:space="preserve">83</x:t>
        </x:is>
      </x:c>
      <x:c r="E362" s="49" t="inlineStr">
        <x:is>
          <x:t xml:space="preserve">DECLARATION_OR_UNKNOWN</x:t>
        </x:is>
      </x:c>
      <x:c r="F362" s="49" t="inlineStr">
        <x:is>
          <x:t xml:space="preserve">PENDING_NOT_RUN</x:t>
        </x:is>
      </x:c>
      <x:c r="G362" s="49" t="inlineStr">
        <x:is>
          <x:t xml:space="preserve">NO_SORRY_OR_ADMIT_STATIC_SCAN</x:t>
        </x:is>
      </x:c>
      <x:c r="H362" s="49" t="inlineStr">
        <x:is>
          <x:t xml:space="preserve">SCAFFOLDING_NOT_PUBLIC_COUNT</x:t>
        </x:is>
      </x:c>
      <x:c r="I362" s="49" t="inlineStr">
        <x:is>
          <x:t xml:space="preserve">3</x:t>
        </x:is>
      </x:c>
      <x:c r="L362" s="56" t="n"/>
    </x:row>
    <x:row r="363" ht="15" customHeight="1">
      <x:c r="A363" s="55" t="inlineStr">
        <x:is>
          <x:t xml:space="preserve">fullQNonzeroButOtherGateZero</x:t>
        </x:is>
      </x:c>
      <x:c r="B363" s="49" t="inlineStr">
        <x:is>
          <x:t xml:space="preserve">def</x:t>
        </x:is>
      </x:c>
      <x:c r="C363" s="49" t="inlineStr">
        <x:is>
          <x:t xml:space="preserve">theophysics-lean-main\theophysics-lean-main\Theophysics_Adversarial.lean</x:t>
        </x:is>
      </x:c>
      <x:c r="D363" s="49" t="inlineStr">
        <x:is>
          <x:t xml:space="preserve">196</x:t>
        </x:is>
      </x:c>
      <x:c r="E363" s="49" t="inlineStr">
        <x:is>
          <x:t xml:space="preserve">DECLARATION_OR_UNKNOWN</x:t>
        </x:is>
      </x:c>
      <x:c r="F363" s="49" t="inlineStr">
        <x:is>
          <x:t xml:space="preserve">PENDING_NOT_RUN</x:t>
        </x:is>
      </x:c>
      <x:c r="G363" s="49" t="inlineStr">
        <x:is>
          <x:t xml:space="preserve">NO_SORRY_OR_ADMIT_STATIC_SCAN</x:t>
        </x:is>
      </x:c>
      <x:c r="H363" s="49" t="inlineStr">
        <x:is>
          <x:t xml:space="preserve">SCAFFOLDING_NOT_PUBLIC_COUNT</x:t>
        </x:is>
      </x:c>
      <x:c r="I363" s="49" t="inlineStr">
        <x:is>
          <x:t xml:space="preserve">3</x:t>
        </x:is>
      </x:c>
      <x:c r="L363" s="56" t="n"/>
    </x:row>
    <x:row r="364" ht="15" customHeight="1">
      <x:c r="A364" s="55" t="inlineStr">
        <x:is>
          <x:t xml:space="preserve">fullRGateCounterexample</x:t>
        </x:is>
      </x:c>
      <x:c r="B364" s="49" t="inlineStr">
        <x:is>
          <x:t xml:space="preserve">def</x:t>
        </x:is>
      </x:c>
      <x:c r="C364" s="49" t="inlineStr">
        <x:is>
          <x:t xml:space="preserve">theophysics-lean-main\theophysics-lean-main\Theophysics_Adversarial.lean</x:t>
        </x:is>
      </x:c>
      <x:c r="D364" s="49" t="inlineStr">
        <x:is>
          <x:t xml:space="preserve">199</x:t>
        </x:is>
      </x:c>
      <x:c r="E364" s="49" t="inlineStr">
        <x:is>
          <x:t xml:space="preserve">DECLARATION_OR_UNKNOWN</x:t>
        </x:is>
      </x:c>
      <x:c r="F364" s="49" t="inlineStr">
        <x:is>
          <x:t xml:space="preserve">PENDING_NOT_RUN</x:t>
        </x:is>
      </x:c>
      <x:c r="G364" s="49" t="inlineStr">
        <x:is>
          <x:t xml:space="preserve">NO_SORRY_OR_ADMIT_STATIC_SCAN</x:t>
        </x:is>
      </x:c>
      <x:c r="H364" s="49" t="inlineStr">
        <x:is>
          <x:t xml:space="preserve">SCAFFOLDING_NOT_PUBLIC_COUNT</x:t>
        </x:is>
      </x:c>
      <x:c r="I364" s="49" t="inlineStr">
        <x:is>
          <x:t xml:space="preserve">3</x:t>
        </x:is>
      </x:c>
      <x:c r="L364" s="56" t="n"/>
    </x:row>
    <x:row r="365" ht="15" customHeight="1">
      <x:c r="A365" s="55" t="inlineStr">
        <x:is>
          <x:t xml:space="preserve">full_C_zero_collapses</x:t>
        </x:is>
      </x:c>
      <x:c r="B365" s="49" t="inlineStr">
        <x:is>
          <x:t xml:space="preserve">theorem</x:t>
        </x:is>
      </x:c>
      <x:c r="C365" s="49" t="inlineStr">
        <x:is>
          <x:t xml:space="preserve">theophysics-lean-main\theophysics-lean-main\Theophysics_Core.lean</x:t>
        </x:is>
      </x:c>
      <x:c r="D365" s="49" t="inlineStr">
        <x:is>
          <x:t xml:space="preserve">174</x:t>
        </x:is>
      </x:c>
      <x:c r="E365" s="49" t="inlineStr">
        <x:is>
          <x:t xml:space="preserve">TRIVIAL_TRUE</x:t>
        </x:is>
      </x:c>
      <x:c r="F365" s="49" t="inlineStr">
        <x:is>
          <x:t xml:space="preserve">PENDING_NOT_RUN</x:t>
        </x:is>
      </x:c>
      <x:c r="G365" s="49" t="inlineStr">
        <x:is>
          <x:t xml:space="preserve">NO_SORRY_OR_ADMIT_STATIC_SCAN</x:t>
        </x:is>
      </x:c>
      <x:c r="H365" s="49" t="inlineStr">
        <x:is>
          <x:t xml:space="preserve">LOW_CONTENT_TRUE_NOT_PUBLIC_COUNT</x:t>
        </x:is>
      </x:c>
      <x:c r="I365" s="49" t="inlineStr">
        <x:is>
          <x:t xml:space="preserve">3</x:t>
        </x:is>
      </x:c>
      <x:c r="J365" s="49" t="inlineStr">
        <x:is>
          <x:t xml:space="preserve">LEAN_DERIVATION_CHAIN:36</x:t>
        </x:is>
      </x:c>
      <x:c r="K365" s="49" t="inlineStr">
        <x:is>
          <x:t xml:space="preserve">C=0 → χ=0</x:t>
        </x:is>
      </x:c>
      <x:c r="L365" s="56" t="n"/>
    </x:row>
    <x:row r="366" ht="15" customHeight="1">
      <x:c r="A366" s="55" t="inlineStr">
        <x:is>
          <x:t xml:space="preserve">full_E_zero_collapses</x:t>
        </x:is>
      </x:c>
      <x:c r="B366" s="49" t="inlineStr">
        <x:is>
          <x:t xml:space="preserve">theorem</x:t>
        </x:is>
      </x:c>
      <x:c r="C366" s="49" t="inlineStr">
        <x:is>
          <x:t xml:space="preserve">theophysics-lean-main\theophysics-lean-main\Theophysics_Core.lean</x:t>
        </x:is>
      </x:c>
      <x:c r="D366" s="49" t="inlineStr">
        <x:is>
          <x:t xml:space="preserve">175</x:t>
        </x:is>
      </x:c>
      <x:c r="E366" s="49" t="inlineStr">
        <x:is>
          <x:t xml:space="preserve">TRIVIAL_TRUE</x:t>
        </x:is>
      </x:c>
      <x:c r="F366" s="49" t="inlineStr">
        <x:is>
          <x:t xml:space="preserve">PENDING_NOT_RUN</x:t>
        </x:is>
      </x:c>
      <x:c r="G366" s="49" t="inlineStr">
        <x:is>
          <x:t xml:space="preserve">NO_SORRY_OR_ADMIT_STATIC_SCAN</x:t>
        </x:is>
      </x:c>
      <x:c r="H366" s="49" t="inlineStr">
        <x:is>
          <x:t xml:space="preserve">LOW_CONTENT_TRUE_NOT_PUBLIC_COUNT</x:t>
        </x:is>
      </x:c>
      <x:c r="I366" s="49" t="inlineStr">
        <x:is>
          <x:t xml:space="preserve">3</x:t>
        </x:is>
      </x:c>
      <x:c r="J366" s="49" t="inlineStr">
        <x:is>
          <x:t xml:space="preserve">LEAN_DERIVATION_CHAIN:29</x:t>
        </x:is>
      </x:c>
      <x:c r="K366" s="49" t="inlineStr">
        <x:is>
          <x:t xml:space="preserve">E=0 → χ=0</x:t>
        </x:is>
      </x:c>
      <x:c r="L366" s="56" t="n"/>
    </x:row>
    <x:row r="367" ht="15" customHeight="1">
      <x:c r="A367" s="55" t="inlineStr">
        <x:is>
          <x:t xml:space="preserve">full_F_zero_collapses</x:t>
        </x:is>
      </x:c>
      <x:c r="B367" s="49" t="inlineStr">
        <x:is>
          <x:t xml:space="preserve">theorem</x:t>
        </x:is>
      </x:c>
      <x:c r="C367" s="49" t="inlineStr">
        <x:is>
          <x:t xml:space="preserve">theophysics-lean-main\theophysics-lean-main\Theophysics_Core.lean</x:t>
        </x:is>
      </x:c>
      <x:c r="D367" s="49" t="inlineStr">
        <x:is>
          <x:t xml:space="preserve">176</x:t>
        </x:is>
      </x:c>
      <x:c r="E367" s="49" t="inlineStr">
        <x:is>
          <x:t xml:space="preserve">TRIVIAL_TRUE</x:t>
        </x:is>
      </x:c>
      <x:c r="F367" s="49" t="inlineStr">
        <x:is>
          <x:t xml:space="preserve">PENDING_NOT_RUN</x:t>
        </x:is>
      </x:c>
      <x:c r="G367" s="49" t="inlineStr">
        <x:is>
          <x:t xml:space="preserve">NO_SORRY_OR_ADMIT_STATIC_SCAN</x:t>
        </x:is>
      </x:c>
      <x:c r="H367" s="49" t="inlineStr">
        <x:is>
          <x:t xml:space="preserve">LOW_CONTENT_TRUE_NOT_PUBLIC_COUNT</x:t>
        </x:is>
      </x:c>
      <x:c r="I367" s="49" t="inlineStr">
        <x:is>
          <x:t xml:space="preserve">3</x:t>
        </x:is>
      </x:c>
      <x:c r="J367" s="49" t="inlineStr">
        <x:is>
          <x:t xml:space="preserve">LEAN_DERIVATION_CHAIN:35</x:t>
        </x:is>
      </x:c>
      <x:c r="K367" s="49" t="inlineStr">
        <x:is>
          <x:t xml:space="preserve">F=0 → χ=0</x:t>
        </x:is>
      </x:c>
      <x:c r="L367" s="56" t="n"/>
    </x:row>
    <x:row r="368" ht="15" customHeight="1">
      <x:c r="A368" s="55" t="inlineStr">
        <x:is>
          <x:t xml:space="preserve">full_G_zero_collapses</x:t>
        </x:is>
      </x:c>
      <x:c r="B368" s="49" t="inlineStr">
        <x:is>
          <x:t xml:space="preserve">theorem</x:t>
        </x:is>
      </x:c>
      <x:c r="C368" s="49" t="inlineStr">
        <x:is>
          <x:t xml:space="preserve">theophysics-lean-main\theophysics-lean-main\Theophysics_Core.lean</x:t>
        </x:is>
      </x:c>
      <x:c r="D368" s="49" t="inlineStr">
        <x:is>
          <x:t xml:space="preserve">177</x:t>
        </x:is>
      </x:c>
      <x:c r="E368" s="49" t="inlineStr">
        <x:is>
          <x:t xml:space="preserve">TRIVIAL_TRUE</x:t>
        </x:is>
      </x:c>
      <x:c r="F368" s="49" t="inlineStr">
        <x:is>
          <x:t xml:space="preserve">PENDING_NOT_RUN</x:t>
        </x:is>
      </x:c>
      <x:c r="G368" s="49" t="inlineStr">
        <x:is>
          <x:t xml:space="preserve">NO_SORRY_OR_ADMIT_STATIC_SCAN</x:t>
        </x:is>
      </x:c>
      <x:c r="H368" s="49" t="inlineStr">
        <x:is>
          <x:t xml:space="preserve">LOW_CONTENT_TRUE_NOT_PUBLIC_COUNT</x:t>
        </x:is>
      </x:c>
      <x:c r="I368" s="49" t="inlineStr">
        <x:is>
          <x:t xml:space="preserve">3</x:t>
        </x:is>
      </x:c>
      <x:c r="J368" s="49" t="inlineStr">
        <x:is>
          <x:t xml:space="preserve">LEAN_DERIVATION_CHAIN:27</x:t>
        </x:is>
      </x:c>
      <x:c r="K368" s="49" t="inlineStr">
        <x:is>
          <x:t xml:space="preserve">G=0 → χ=0</x:t>
        </x:is>
      </x:c>
      <x:c r="L368" s="56" t="n"/>
    </x:row>
    <x:row r="369" ht="15" customHeight="1">
      <x:c r="A369" s="55" t="inlineStr">
        <x:is>
          <x:t xml:space="preserve">full_K_zero_collapses</x:t>
        </x:is>
      </x:c>
      <x:c r="B369" s="49" t="inlineStr">
        <x:is>
          <x:t xml:space="preserve">theorem</x:t>
        </x:is>
      </x:c>
      <x:c r="C369" s="49" t="inlineStr">
        <x:is>
          <x:t xml:space="preserve">theophysics-lean-main\theophysics-lean-main\Theophysics_Core.lean</x:t>
        </x:is>
      </x:c>
      <x:c r="D369" s="49" t="inlineStr">
        <x:is>
          <x:t xml:space="preserve">178</x:t>
        </x:is>
      </x:c>
      <x:c r="E369" s="49" t="inlineStr">
        <x:is>
          <x:t xml:space="preserve">TRIVIAL_TRUE</x:t>
        </x:is>
      </x:c>
      <x:c r="F369" s="49" t="inlineStr">
        <x:is>
          <x:t xml:space="preserve">PENDING_NOT_RUN</x:t>
        </x:is>
      </x:c>
      <x:c r="G369" s="49" t="inlineStr">
        <x:is>
          <x:t xml:space="preserve">NO_SORRY_OR_ADMIT_STATIC_SCAN</x:t>
        </x:is>
      </x:c>
      <x:c r="H369" s="49" t="inlineStr">
        <x:is>
          <x:t xml:space="preserve">LOW_CONTENT_TRUE_NOT_PUBLIC_COUNT</x:t>
        </x:is>
      </x:c>
      <x:c r="I369" s="49" t="inlineStr">
        <x:is>
          <x:t xml:space="preserve">3</x:t>
        </x:is>
      </x:c>
      <x:c r="J369" s="49" t="inlineStr">
        <x:is>
          <x:t xml:space="preserve">LEAN_DERIVATION_CHAIN:32</x:t>
        </x:is>
      </x:c>
      <x:c r="K369" s="49" t="inlineStr">
        <x:is>
          <x:t xml:space="preserve">K=0 → χ=0</x:t>
        </x:is>
      </x:c>
      <x:c r="L369" s="56" t="n"/>
    </x:row>
    <x:row r="370" ht="15" customHeight="1">
      <x:c r="A370" s="55" t="inlineStr">
        <x:is>
          <x:t xml:space="preserve">full_M_zero_collapses</x:t>
        </x:is>
      </x:c>
      <x:c r="B370" s="49" t="inlineStr">
        <x:is>
          <x:t xml:space="preserve">theorem</x:t>
        </x:is>
      </x:c>
      <x:c r="C370" s="49" t="inlineStr">
        <x:is>
          <x:t xml:space="preserve">theophysics-lean-main\theophysics-lean-main\Theophysics_Core.lean</x:t>
        </x:is>
      </x:c>
      <x:c r="D370" s="49" t="inlineStr">
        <x:is>
          <x:t xml:space="preserve">179</x:t>
        </x:is>
      </x:c>
      <x:c r="E370" s="49" t="inlineStr">
        <x:is>
          <x:t xml:space="preserve">TRIVIAL_TRUE</x:t>
        </x:is>
      </x:c>
      <x:c r="F370" s="49" t="inlineStr">
        <x:is>
          <x:t xml:space="preserve">PENDING_NOT_RUN</x:t>
        </x:is>
      </x:c>
      <x:c r="G370" s="49" t="inlineStr">
        <x:is>
          <x:t xml:space="preserve">NO_SORRY_OR_ADMIT_STATIC_SCAN</x:t>
        </x:is>
      </x:c>
      <x:c r="H370" s="49" t="inlineStr">
        <x:is>
          <x:t xml:space="preserve">LOW_CONTENT_TRUE_NOT_PUBLIC_COUNT</x:t>
        </x:is>
      </x:c>
      <x:c r="I370" s="49" t="inlineStr">
        <x:is>
          <x:t xml:space="preserve">3</x:t>
        </x:is>
      </x:c>
      <x:c r="J370" s="49" t="inlineStr">
        <x:is>
          <x:t xml:space="preserve">LEAN_DERIVATION_CHAIN:28</x:t>
        </x:is>
      </x:c>
      <x:c r="K370" s="49" t="inlineStr">
        <x:is>
          <x:t xml:space="preserve">M=0 → χ=0</x:t>
        </x:is>
      </x:c>
      <x:c r="L370" s="56" t="n"/>
    </x:row>
    <x:row r="371" ht="15" customHeight="1">
      <x:c r="A371" s="55" t="inlineStr">
        <x:is>
          <x:t xml:space="preserve">full_Q_nonzero_not_sufficient</x:t>
        </x:is>
      </x:c>
      <x:c r="B371" s="49" t="inlineStr">
        <x:is>
          <x:t xml:space="preserve">theorem</x:t>
        </x:is>
      </x:c>
      <x:c r="C371" s="49" t="inlineStr">
        <x:is>
          <x:t xml:space="preserve">theophysics-lean-main\theophysics-lean-main\Theophysics_Adversarial.lean</x:t>
        </x:is>
      </x:c>
      <x:c r="D371" s="49" t="inlineStr">
        <x:is>
          <x:t xml:space="preserve">350</x:t>
        </x:is>
      </x:c>
      <x:c r="E371" s="49" t="inlineStr">
        <x:is>
          <x:t xml:space="preserve">FINITE_DECIDABLE</x:t>
        </x:is>
      </x:c>
      <x:c r="F371" s="49" t="inlineStr">
        <x:is>
          <x:t xml:space="preserve">PENDING_NOT_RUN</x:t>
        </x:is>
      </x:c>
      <x:c r="G371" s="49" t="inlineStr">
        <x:is>
          <x:t xml:space="preserve">NO_SORRY_OR_ADMIT_STATIC_SCAN</x:t>
        </x:is>
      </x:c>
      <x:c r="H371" s="49" t="inlineStr">
        <x:is>
          <x:t xml:space="preserve">CANONICAL_THEOREM_DEDUPED_PENDING_COMPILE</x:t>
        </x:is>
      </x:c>
      <x:c r="I371" s="49" t="inlineStr">
        <x:is>
          <x:t xml:space="preserve">3</x:t>
        </x:is>
      </x:c>
      <x:c r="J371" s="49" t="inlineStr">
        <x:is>
          <x:t xml:space="preserve">LEAN_DERIVATION_CHAIN:37</x:t>
        </x:is>
      </x:c>
      <x:c r="K371" s="49" t="inlineStr">
        <x:is>
          <x:t xml:space="preserve">REJECTION: Q &gt; 0 doesn't save you if G = 0. No single factor is sufficient.</x:t>
        </x:is>
      </x:c>
      <x:c r="L371" s="56" t="n"/>
    </x:row>
    <x:row r="372" ht="15" customHeight="1">
      <x:c r="A372" s="55" t="inlineStr">
        <x:is>
          <x:t xml:space="preserve">full_Q_zero_collapses</x:t>
        </x:is>
      </x:c>
      <x:c r="B372" s="49" t="inlineStr">
        <x:is>
          <x:t xml:space="preserve">theorem</x:t>
        </x:is>
      </x:c>
      <x:c r="C372" s="49" t="inlineStr">
        <x:is>
          <x:t xml:space="preserve">theophysics-lean-main\theophysics-lean-main\Theophysics_Core.lean</x:t>
        </x:is>
      </x:c>
      <x:c r="D372" s="49" t="inlineStr">
        <x:is>
          <x:t xml:space="preserve">180</x:t>
        </x:is>
      </x:c>
      <x:c r="E372" s="49" t="inlineStr">
        <x:is>
          <x:t xml:space="preserve">TRIVIAL_TRUE</x:t>
        </x:is>
      </x:c>
      <x:c r="F372" s="49" t="inlineStr">
        <x:is>
          <x:t xml:space="preserve">PENDING_NOT_RUN</x:t>
        </x:is>
      </x:c>
      <x:c r="G372" s="49" t="inlineStr">
        <x:is>
          <x:t xml:space="preserve">NO_SORRY_OR_ADMIT_STATIC_SCAN</x:t>
        </x:is>
      </x:c>
      <x:c r="H372" s="49" t="inlineStr">
        <x:is>
          <x:t xml:space="preserve">LOW_CONTENT_TRUE_NOT_PUBLIC_COUNT</x:t>
        </x:is>
      </x:c>
      <x:c r="I372" s="49" t="inlineStr">
        <x:is>
          <x:t xml:space="preserve">3</x:t>
        </x:is>
      </x:c>
      <x:c r="J372" s="49" t="inlineStr">
        <x:is>
          <x:t xml:space="preserve">LEAN_DERIVATION_CHAIN:34</x:t>
        </x:is>
      </x:c>
      <x:c r="K372" s="49" t="inlineStr">
        <x:is>
          <x:t xml:space="preserve">Q=0 → χ=0</x:t>
        </x:is>
      </x:c>
      <x:c r="L372" s="56" t="n"/>
    </x:row>
    <x:row r="373" ht="15" customHeight="1">
      <x:c r="A373" s="55" t="inlineStr">
        <x:is>
          <x:t xml:space="preserve">full_R_gate_required</x:t>
        </x:is>
      </x:c>
      <x:c r="B373" s="49" t="inlineStr">
        <x:is>
          <x:t xml:space="preserve">theorem</x:t>
        </x:is>
      </x:c>
      <x:c r="C373" s="49" t="inlineStr">
        <x:is>
          <x:t xml:space="preserve">theophysics-lean-main\theophysics-lean-main\Theophysics_Adversarial.lean</x:t>
        </x:is>
      </x:c>
      <x:c r="D373" s="49" t="inlineStr">
        <x:is>
          <x:t xml:space="preserve">354</x:t>
        </x:is>
      </x:c>
      <x:c r="E373" s="49" t="inlineStr">
        <x:is>
          <x:t xml:space="preserve">FINITE_DECIDABLE</x:t>
        </x:is>
      </x:c>
      <x:c r="F373" s="49" t="inlineStr">
        <x:is>
          <x:t xml:space="preserve">PENDING_NOT_RUN</x:t>
        </x:is>
      </x:c>
      <x:c r="G373" s="49" t="inlineStr">
        <x:is>
          <x:t xml:space="preserve">NO_SORRY_OR_ADMIT_STATIC_SCAN</x:t>
        </x:is>
      </x:c>
      <x:c r="H373" s="49" t="inlineStr">
        <x:is>
          <x:t xml:space="preserve">CANONICAL_THEOREM_DEDUPED_PENDING_COMPILE</x:t>
        </x:is>
      </x:c>
      <x:c r="I373" s="49" t="inlineStr">
        <x:is>
          <x:t xml:space="preserve">3</x:t>
        </x:is>
      </x:c>
      <x:c r="J373" s="49" t="inlineStr">
        <x:is>
          <x:t xml:space="preserve">LEAN_DERIVATION_CHAIN:38</x:t>
        </x:is>
      </x:c>
      <x:c r="K373" s="49" t="inlineStr">
        <x:is>
          <x:t xml:space="preserve">REJECTION: R=0 kills χ even if everything else is 1. Gate is non-negotiable.</x:t>
        </x:is>
      </x:c>
      <x:c r="L373" s="56" t="n"/>
    </x:row>
    <x:row r="374" ht="15" customHeight="1">
      <x:c r="A374" s="55" t="inlineStr">
        <x:is>
          <x:t xml:space="preserve">full_R_zero_collapses</x:t>
        </x:is>
      </x:c>
      <x:c r="B374" s="49" t="inlineStr">
        <x:is>
          <x:t xml:space="preserve">theorem</x:t>
        </x:is>
      </x:c>
      <x:c r="C374" s="49" t="inlineStr">
        <x:is>
          <x:t xml:space="preserve">theophysics-lean-main\theophysics-lean-main\Theophysics_Core.lean</x:t>
        </x:is>
      </x:c>
      <x:c r="D374" s="49" t="inlineStr">
        <x:is>
          <x:t xml:space="preserve">181</x:t>
        </x:is>
      </x:c>
      <x:c r="E374" s="49" t="inlineStr">
        <x:is>
          <x:t xml:space="preserve">TRIVIAL_TRUE</x:t>
        </x:is>
      </x:c>
      <x:c r="F374" s="49" t="inlineStr">
        <x:is>
          <x:t xml:space="preserve">PENDING_NOT_RUN</x:t>
        </x:is>
      </x:c>
      <x:c r="G374" s="49" t="inlineStr">
        <x:is>
          <x:t xml:space="preserve">NO_SORRY_OR_ADMIT_STATIC_SCAN</x:t>
        </x:is>
      </x:c>
      <x:c r="H374" s="49" t="inlineStr">
        <x:is>
          <x:t xml:space="preserve">LOW_CONTENT_TRUE_NOT_PUBLIC_COUNT</x:t>
        </x:is>
      </x:c>
      <x:c r="I374" s="49" t="inlineStr">
        <x:is>
          <x:t xml:space="preserve">3</x:t>
        </x:is>
      </x:c>
      <x:c r="J374" s="49" t="inlineStr">
        <x:is>
          <x:t xml:space="preserve">LEAN_DERIVATION_CHAIN:33</x:t>
        </x:is>
      </x:c>
      <x:c r="K374" s="49" t="inlineStr">
        <x:is>
          <x:t xml:space="preserve">R=0 → χ=0</x:t>
        </x:is>
      </x:c>
      <x:c r="L374" s="56" t="n"/>
    </x:row>
    <x:row r="375" ht="15" customHeight="1">
      <x:c r="A375" s="55" t="inlineStr">
        <x:is>
          <x:t xml:space="preserve">full_S_zero_collapses</x:t>
        </x:is>
      </x:c>
      <x:c r="B375" s="49" t="inlineStr">
        <x:is>
          <x:t xml:space="preserve">theorem</x:t>
        </x:is>
      </x:c>
      <x:c r="C375" s="49" t="inlineStr">
        <x:is>
          <x:t xml:space="preserve">theophysics-lean-main\theophysics-lean-main\Theophysics_Core.lean</x:t>
        </x:is>
      </x:c>
      <x:c r="D375" s="49" t="inlineStr">
        <x:is>
          <x:t xml:space="preserve">182</x:t>
        </x:is>
      </x:c>
      <x:c r="E375" s="49" t="inlineStr">
        <x:is>
          <x:t xml:space="preserve">TRIVIAL_TRUE</x:t>
        </x:is>
      </x:c>
      <x:c r="F375" s="49" t="inlineStr">
        <x:is>
          <x:t xml:space="preserve">PENDING_NOT_RUN</x:t>
        </x:is>
      </x:c>
      <x:c r="G375" s="49" t="inlineStr">
        <x:is>
          <x:t xml:space="preserve">NO_SORRY_OR_ADMIT_STATIC_SCAN</x:t>
        </x:is>
      </x:c>
      <x:c r="H375" s="49" t="inlineStr">
        <x:is>
          <x:t xml:space="preserve">LOW_CONTENT_TRUE_NOT_PUBLIC_COUNT</x:t>
        </x:is>
      </x:c>
      <x:c r="I375" s="49" t="inlineStr">
        <x:is>
          <x:t xml:space="preserve">3</x:t>
        </x:is>
      </x:c>
      <x:c r="J375" s="49" t="inlineStr">
        <x:is>
          <x:t xml:space="preserve">LEAN_DERIVATION_CHAIN:30</x:t>
        </x:is>
      </x:c>
      <x:c r="K375" s="49" t="inlineStr">
        <x:is>
          <x:t xml:space="preserve">S=0 → χ=0</x:t>
        </x:is>
      </x:c>
      <x:c r="L375" s="56" t="n"/>
    </x:row>
    <x:row r="376" ht="15" customHeight="1">
      <x:c r="A376" s="55" t="inlineStr">
        <x:is>
          <x:t xml:space="preserve">full_T_zero_collapses</x:t>
        </x:is>
      </x:c>
      <x:c r="B376" s="49" t="inlineStr">
        <x:is>
          <x:t xml:space="preserve">theorem</x:t>
        </x:is>
      </x:c>
      <x:c r="C376" s="49" t="inlineStr">
        <x:is>
          <x:t xml:space="preserve">theophysics-lean-main\theophysics-lean-main\Theophysics_Core.lean</x:t>
        </x:is>
      </x:c>
      <x:c r="D376" s="49" t="inlineStr">
        <x:is>
          <x:t xml:space="preserve">183</x:t>
        </x:is>
      </x:c>
      <x:c r="E376" s="49" t="inlineStr">
        <x:is>
          <x:t xml:space="preserve">TRIVIAL_TRUE</x:t>
        </x:is>
      </x:c>
      <x:c r="F376" s="49" t="inlineStr">
        <x:is>
          <x:t xml:space="preserve">PENDING_NOT_RUN</x:t>
        </x:is>
      </x:c>
      <x:c r="G376" s="49" t="inlineStr">
        <x:is>
          <x:t xml:space="preserve">NO_SORRY_OR_ADMIT_STATIC_SCAN</x:t>
        </x:is>
      </x:c>
      <x:c r="H376" s="49" t="inlineStr">
        <x:is>
          <x:t xml:space="preserve">LOW_CONTENT_TRUE_NOT_PUBLIC_COUNT</x:t>
        </x:is>
      </x:c>
      <x:c r="I376" s="49" t="inlineStr">
        <x:is>
          <x:t xml:space="preserve">3</x:t>
        </x:is>
      </x:c>
      <x:c r="J376" s="49" t="inlineStr">
        <x:is>
          <x:t xml:space="preserve">LEAN_DERIVATION_CHAIN:31</x:t>
        </x:is>
      </x:c>
      <x:c r="K376" s="49" t="inlineStr">
        <x:is>
          <x:t xml:space="preserve">T=0 → χ=0</x:t>
        </x:is>
      </x:c>
      <x:c r="L376" s="56" t="n"/>
    </x:row>
    <x:row r="377" ht="15" customHeight="1">
      <x:c r="A377" s="55" t="inlineStr">
        <x:is>
          <x:t xml:space="preserve">full_coherence_is_coherent</x:t>
        </x:is>
      </x:c>
      <x:c r="B377" s="49" t="inlineStr">
        <x:is>
          <x:t xml:space="preserve">theorem</x:t>
        </x:is>
      </x:c>
      <x:c r="C377" s="49" t="inlineStr">
        <x:is>
          <x:t xml:space="preserve">theophysics-lean-main\theophysics-lean-main\Theophysics_Coherence.lean</x:t>
        </x:is>
      </x:c>
      <x:c r="D377" s="49" t="inlineStr">
        <x:is>
          <x:t xml:space="preserve">141</x:t>
        </x:is>
      </x:c>
      <x:c r="E377" s="49" t="inlineStr">
        <x:is>
          <x:t xml:space="preserve">DEFINITIONAL_RFL</x:t>
        </x:is>
      </x:c>
      <x:c r="F377" s="49" t="inlineStr">
        <x:is>
          <x:t xml:space="preserve">PENDING_NOT_RUN</x:t>
        </x:is>
      </x:c>
      <x:c r="G377" s="49" t="inlineStr">
        <x:is>
          <x:t xml:space="preserve">NO_SORRY_OR_ADMIT_STATIC_SCAN</x:t>
        </x:is>
      </x:c>
      <x:c r="H377" s="49" t="inlineStr">
        <x:is>
          <x:t xml:space="preserve">CANONICAL_THEOREM_DEDUPED_PENDING_COMPILE</x:t>
        </x:is>
      </x:c>
      <x:c r="I377" s="49" t="inlineStr">
        <x:is>
          <x:t xml:space="preserve">3</x:t>
        </x:is>
      </x:c>
      <x:c r="L377" s="56" t="n"/>
    </x:row>
    <x:row r="378" ht="15" customHeight="1">
      <x:c r="A378" s="55" t="inlineStr">
        <x:is>
          <x:t xml:space="preserve">full_fall_with_grace_is_sustained</x:t>
        </x:is>
      </x:c>
      <x:c r="B378" s="49" t="inlineStr">
        <x:is>
          <x:t xml:space="preserve">theorem</x:t>
        </x:is>
      </x:c>
      <x:c r="C378" s="49" t="inlineStr">
        <x:is>
          <x:t xml:space="preserve">theophysics-lean-main\theophysics-lean-main\Theophysics_Fall.lean</x:t>
        </x:is>
      </x:c>
      <x:c r="D378" s="49" t="inlineStr">
        <x:is>
          <x:t xml:space="preserve">124</x:t>
        </x:is>
      </x:c>
      <x:c r="E378" s="49" t="inlineStr">
        <x:is>
          <x:t xml:space="preserve">DEFINITIONAL_RFL</x:t>
        </x:is>
      </x:c>
      <x:c r="F378" s="49" t="inlineStr">
        <x:is>
          <x:t xml:space="preserve">PENDING_NOT_RUN</x:t>
        </x:is>
      </x:c>
      <x:c r="G378" s="49" t="inlineStr">
        <x:is>
          <x:t xml:space="preserve">NO_SORRY_OR_ADMIT_STATIC_SCAN</x:t>
        </x:is>
      </x:c>
      <x:c r="H378" s="49" t="inlineStr">
        <x:is>
          <x:t xml:space="preserve">CANONICAL_THEOREM_DEDUPED_PENDING_COMPILE</x:t>
        </x:is>
      </x:c>
      <x:c r="I378" s="49" t="inlineStr">
        <x:is>
          <x:t xml:space="preserve">3</x:t>
        </x:is>
      </x:c>
      <x:c r="L378" s="56" t="n"/>
    </x:row>
    <x:row r="379" ht="15" customHeight="1">
      <x:c r="A379" s="55" t="inlineStr">
        <x:is>
          <x:t xml:space="preserve">full_fall_without_grace_floor_not_sustained</x:t>
        </x:is>
      </x:c>
      <x:c r="B379" s="49" t="inlineStr">
        <x:is>
          <x:t xml:space="preserve">theorem</x:t>
        </x:is>
      </x:c>
      <x:c r="C379" s="49" t="inlineStr">
        <x:is>
          <x:t xml:space="preserve">theophysics-lean-main\theophysics-lean-main\Theophysics_Fall.lean</x:t>
        </x:is>
      </x:c>
      <x:c r="D379" s="49" t="inlineStr">
        <x:is>
          <x:t xml:space="preserve">128</x:t>
        </x:is>
      </x:c>
      <x:c r="E379" s="49" t="inlineStr">
        <x:is>
          <x:t xml:space="preserve">DEFINITIONAL_RFL</x:t>
        </x:is>
      </x:c>
      <x:c r="F379" s="49" t="inlineStr">
        <x:is>
          <x:t xml:space="preserve">PENDING_NOT_RUN</x:t>
        </x:is>
      </x:c>
      <x:c r="G379" s="49" t="inlineStr">
        <x:is>
          <x:t xml:space="preserve">NO_SORRY_OR_ADMIT_STATIC_SCAN</x:t>
        </x:is>
      </x:c>
      <x:c r="H379" s="49" t="inlineStr">
        <x:is>
          <x:t xml:space="preserve">CANONICAL_THEOREM_DEDUPED_PENDING_COMPILE</x:t>
        </x:is>
      </x:c>
      <x:c r="I379" s="49" t="inlineStr">
        <x:is>
          <x:t xml:space="preserve">3</x:t>
        </x:is>
      </x:c>
      <x:c r="L379" s="56" t="n"/>
    </x:row>
    <x:row r="380" ht="15" customHeight="1">
      <x:c r="A380" s="55" t="inlineStr">
        <x:is>
          <x:t xml:space="preserve">full_fall_without_grace_is_activated</x:t>
        </x:is>
      </x:c>
      <x:c r="B380" s="49" t="inlineStr">
        <x:is>
          <x:t xml:space="preserve">theorem</x:t>
        </x:is>
      </x:c>
      <x:c r="C380" s="49" t="inlineStr">
        <x:is>
          <x:t xml:space="preserve">theophysics-lean-main\theophysics-lean-main\Theophysics_Fall.lean</x:t>
        </x:is>
      </x:c>
      <x:c r="D380" s="49" t="inlineStr">
        <x:is>
          <x:t xml:space="preserve">120</x:t>
        </x:is>
      </x:c>
      <x:c r="E380" s="49" t="inlineStr">
        <x:is>
          <x:t xml:space="preserve">DEFINITIONAL_RFL</x:t>
        </x:is>
      </x:c>
      <x:c r="F380" s="49" t="inlineStr">
        <x:is>
          <x:t xml:space="preserve">PENDING_NOT_RUN</x:t>
        </x:is>
      </x:c>
      <x:c r="G380" s="49" t="inlineStr">
        <x:is>
          <x:t xml:space="preserve">NO_SORRY_OR_ADMIT_STATIC_SCAN</x:t>
        </x:is>
      </x:c>
      <x:c r="H380" s="49" t="inlineStr">
        <x:is>
          <x:t xml:space="preserve">CANONICAL_THEOREM_DEDUPED_PENDING_COMPILE</x:t>
        </x:is>
      </x:c>
      <x:c r="I380" s="49" t="inlineStr">
        <x:is>
          <x:t xml:space="preserve">3</x:t>
        </x:is>
      </x:c>
      <x:c r="L380" s="56" t="n"/>
    </x:row>
    <x:row r="381" ht="15" customHeight="1">
      <x:c r="A381" s="55" t="inlineStr">
        <x:is>
          <x:t xml:space="preserve">full_quaternion_product_has_coupling_invariant</x:t>
        </x:is>
      </x:c>
      <x:c r="B381" s="49" t="inlineStr">
        <x:is>
          <x:t xml:space="preserve">theorem</x:t>
        </x:is>
      </x:c>
      <x:c r="C381" s="49" t="inlineStr">
        <x:is>
          <x:t xml:space="preserve">theophysics-lean-main\theophysics-lean-main\Theophysics_Core.lean</x:t>
        </x:is>
      </x:c>
      <x:c r="D381" s="49" t="inlineStr">
        <x:is>
          <x:t xml:space="preserve">219</x:t>
        </x:is>
      </x:c>
      <x:c r="E381" s="49" t="inlineStr">
        <x:is>
          <x:t xml:space="preserve">DECLARATION_OR_UNKNOWN</x:t>
        </x:is>
      </x:c>
      <x:c r="F381" s="49" t="inlineStr">
        <x:is>
          <x:t xml:space="preserve">PENDING_NOT_RUN</x:t>
        </x:is>
      </x:c>
      <x:c r="G381" s="49" t="inlineStr">
        <x:is>
          <x:t xml:space="preserve">NO_SORRY_OR_ADMIT_STATIC_SCAN</x:t>
        </x:is>
      </x:c>
      <x:c r="H381" s="49" t="inlineStr">
        <x:is>
          <x:t xml:space="preserve">CANONICAL_THEOREM_DEDUPED_PENDING_COMPILE</x:t>
        </x:is>
      </x:c>
      <x:c r="I381" s="49" t="inlineStr">
        <x:is>
          <x:t xml:space="preserve">4</x:t>
        </x:is>
      </x:c>
      <x:c r="J381" s="49" t="inlineStr">
        <x:is>
          <x:t xml:space="preserve">LEAN_DERIVATION_CHAIN:95</x:t>
        </x:is>
      </x:c>
      <x:c r="K381" s="49" t="inlineStr">
        <x:is>
          <x:t xml:space="preserve">Quaternion multiplication has scalar-vector coupling that vector-only product lacks</x:t>
        </x:is>
      </x:c>
      <x:c r="L381" s="56" t="inlineStr">
        <x:is>
          <x:t xml:space="preserve">heaviside_content_loss | load_bearing_controls | variable_coupling</x:t>
        </x:is>
      </x:c>
    </x:row>
    <x:row r="382" ht="15" customHeight="1">
      <x:c r="A382" s="55" t="inlineStr">
        <x:is>
          <x:t xml:space="preserve">full_scalar_vector_split_reconstructs_quaternion_product</x:t>
        </x:is>
      </x:c>
      <x:c r="B382" s="49" t="inlineStr">
        <x:is>
          <x:t xml:space="preserve">theorem</x:t>
        </x:is>
      </x:c>
      <x:c r="C382" s="49" t="inlineStr">
        <x:is>
          <x:t xml:space="preserve">theophysics-lean-main\theophysics-lean-main\Theophysics_Core.lean</x:t>
        </x:is>
      </x:c>
      <x:c r="D382" s="49" t="inlineStr">
        <x:is>
          <x:t xml:space="preserve">222</x:t>
        </x:is>
      </x:c>
      <x:c r="E382" s="49" t="inlineStr">
        <x:is>
          <x:t xml:space="preserve">TRIVIAL_TRUE</x:t>
        </x:is>
      </x:c>
      <x:c r="F382" s="49" t="inlineStr">
        <x:is>
          <x:t xml:space="preserve">PENDING_NOT_RUN</x:t>
        </x:is>
      </x:c>
      <x:c r="G382" s="49" t="inlineStr">
        <x:is>
          <x:t xml:space="preserve">NO_SORRY_OR_ADMIT_STATIC_SCAN</x:t>
        </x:is>
      </x:c>
      <x:c r="H382" s="49" t="inlineStr">
        <x:is>
          <x:t xml:space="preserve">LOW_CONTENT_TRUE_NOT_PUBLIC_COUNT</x:t>
        </x:is>
      </x:c>
      <x:c r="I382" s="49" t="inlineStr">
        <x:is>
          <x:t xml:space="preserve">3</x:t>
        </x:is>
      </x:c>
      <x:c r="J382" s="49" t="inlineStr">
        <x:is>
          <x:t xml:space="preserve">LEAN_DERIVATION_CHAIN:97</x:t>
        </x:is>
      </x:c>
      <x:c r="K382" s="49" t="inlineStr">
        <x:is>
          <x:t xml:space="preserve">Split product reconstructs full quaternion product</x:t>
        </x:is>
      </x:c>
      <x:c r="L382" s="56" t="inlineStr">
        <x:is>
          <x:t xml:space="preserve">heaviside_content_loss | load_bearing_controls | variable_coupling</x:t>
        </x:is>
      </x:c>
    </x:row>
    <x:row r="383" ht="15" customHeight="1">
      <x:c r="A383" s="55" t="inlineStr">
        <x:is>
          <x:t xml:space="preserve">full_structure_return_validates</x:t>
        </x:is>
      </x:c>
      <x:c r="B383" s="49" t="inlineStr">
        <x:is>
          <x:t xml:space="preserve">theorem</x:t>
        </x:is>
      </x:c>
      <x:c r="C383" s="49" t="inlineStr">
        <x:is>
          <x:t xml:space="preserve">Faith-Thru-Physics-Lean-4--main\Faith-Thru-Physics-Lean-4--main\Theophysics_NegativeInventory.lean</x:t>
        </x:is>
      </x:c>
      <x:c r="D383" s="49" t="inlineStr">
        <x:is>
          <x:t xml:space="preserve">256</x:t>
        </x:is>
      </x:c>
      <x:c r="E383" s="49" t="inlineStr">
        <x:is>
          <x:t xml:space="preserve">WRAPPER_OR_IMPORTED</x:t>
        </x:is>
      </x:c>
      <x:c r="F383" s="49" t="inlineStr">
        <x:is>
          <x:t xml:space="preserve">PENDING_NOT_RUN</x:t>
        </x:is>
      </x:c>
      <x:c r="G383" s="49" t="inlineStr">
        <x:is>
          <x:t xml:space="preserve">NO_SORRY_OR_ADMIT_STATIC_SCAN</x:t>
        </x:is>
      </x:c>
      <x:c r="H383" s="49" t="inlineStr">
        <x:is>
          <x:t xml:space="preserve">UNIQUE_THEOREM_PENDING_COMPILE</x:t>
        </x:is>
      </x:c>
      <x:c r="I383" s="49" t="inlineStr">
        <x:is>
          <x:t xml:space="preserve">0</x:t>
        </x:is>
      </x:c>
      <x:c r="J383" s="49" t="inlineStr">
        <x:is>
          <x:t xml:space="preserve">LEAN_DERIVATION_CHAIN:236</x:t>
        </x:is>
      </x:c>
      <x:c r="K383" s="49" t="inlineStr">
        <x:is>
          <x:t xml:space="preserve">Sanity anchor: the full-structure return validates (guards not vacuous)</x:t>
        </x:is>
      </x:c>
      <x:c r="L383" s="56" t="n"/>
    </x:row>
    <x:row r="384" ht="15" customHeight="1">
      <x:c r="A384" s="55" t="inlineStr">
        <x:is>
          <x:t xml:space="preserve">fullyCorrupted</x:t>
        </x:is>
      </x:c>
      <x:c r="B384" s="49" t="inlineStr">
        <x:is>
          <x:t xml:space="preserve">def</x:t>
        </x:is>
      </x:c>
      <x:c r="C384" s="49" t="inlineStr">
        <x:is>
          <x:t xml:space="preserve">theophysics-lean-main\theophysics-lean-main\Theophysics_ChiEvaluator.lean</x:t>
        </x:is>
      </x:c>
      <x:c r="D384" s="49" t="inlineStr">
        <x:is>
          <x:t xml:space="preserve">97</x:t>
        </x:is>
      </x:c>
      <x:c r="E384" s="49" t="inlineStr">
        <x:is>
          <x:t xml:space="preserve">DECLARATION_OR_UNKNOWN</x:t>
        </x:is>
      </x:c>
      <x:c r="F384" s="49" t="inlineStr">
        <x:is>
          <x:t xml:space="preserve">PENDING_NOT_RUN</x:t>
        </x:is>
      </x:c>
      <x:c r="G384" s="49" t="inlineStr">
        <x:is>
          <x:t xml:space="preserve">NO_SORRY_OR_ADMIT_STATIC_SCAN</x:t>
        </x:is>
      </x:c>
      <x:c r="H384" s="49" t="inlineStr">
        <x:is>
          <x:t xml:space="preserve">SCAFFOLDING_NOT_PUBLIC_COUNT</x:t>
        </x:is>
      </x:c>
      <x:c r="I384" s="49" t="inlineStr">
        <x:is>
          <x:t xml:space="preserve">3</x:t>
        </x:is>
      </x:c>
      <x:c r="L384" s="56" t="n"/>
    </x:row>
    <x:row r="385" ht="15" customHeight="1">
      <x:c r="A385" s="55" t="inlineStr">
        <x:is>
          <x:t xml:space="preserve">g_zero_kills_chi</x:t>
        </x:is>
      </x:c>
      <x:c r="B385" s="49" t="inlineStr">
        <x:is>
          <x:t xml:space="preserve">theorem</x:t>
        </x:is>
      </x:c>
      <x:c r="C385" s="49" t="inlineStr">
        <x:is>
          <x:t xml:space="preserve">theophysics-lean-main\theophysics-lean-main\Theophysics_Core.lean</x:t>
        </x:is>
      </x:c>
      <x:c r="D385" s="49" t="inlineStr">
        <x:is>
          <x:t xml:space="preserve">251</x:t>
        </x:is>
      </x:c>
      <x:c r="E385" s="49" t="inlineStr">
        <x:is>
          <x:t xml:space="preserve">DECLARATION_OR_UNKNOWN</x:t>
        </x:is>
      </x:c>
      <x:c r="F385" s="49" t="inlineStr">
        <x:is>
          <x:t xml:space="preserve">PENDING_NOT_RUN</x:t>
        </x:is>
      </x:c>
      <x:c r="G385" s="49" t="inlineStr">
        <x:is>
          <x:t xml:space="preserve">NO_SORRY_OR_ADMIT_STATIC_SCAN</x:t>
        </x:is>
      </x:c>
      <x:c r="H385" s="49" t="inlineStr">
        <x:is>
          <x:t xml:space="preserve">CANONICAL_THEOREM_DEDUPED_PENDING_COMPILE</x:t>
        </x:is>
      </x:c>
      <x:c r="I385" s="49" t="inlineStr">
        <x:is>
          <x:t xml:space="preserve">3</x:t>
        </x:is>
      </x:c>
      <x:c r="L385" s="56" t="n"/>
    </x:row>
    <x:row r="386" ht="15" customHeight="1">
      <x:c r="A386" s="55" t="inlineStr">
        <x:is>
          <x:t xml:space="preserve">gate</x:t>
        </x:is>
      </x:c>
      <x:c r="B386" s="49" t="inlineStr">
        <x:is>
          <x:t xml:space="preserve">def</x:t>
        </x:is>
      </x:c>
      <x:c r="C386" s="49" t="inlineStr">
        <x:is>
          <x:t xml:space="preserve">theophysics-lean-main\theophysics-lean-main\Final_Lean4_From_Excel.lean</x:t>
        </x:is>
      </x:c>
      <x:c r="D386" s="49" t="inlineStr">
        <x:is>
          <x:t xml:space="preserve">86</x:t>
        </x:is>
      </x:c>
      <x:c r="E386" s="49" t="inlineStr">
        <x:is>
          <x:t xml:space="preserve">DECLARATION_OR_UNKNOWN</x:t>
        </x:is>
      </x:c>
      <x:c r="F386" s="49" t="inlineStr">
        <x:is>
          <x:t xml:space="preserve">PENDING_NOT_RUN</x:t>
        </x:is>
      </x:c>
      <x:c r="G386" s="49" t="inlineStr">
        <x:is>
          <x:t xml:space="preserve">NO_SORRY_OR_ADMIT_STATIC_SCAN</x:t>
        </x:is>
      </x:c>
      <x:c r="H386" s="49" t="inlineStr">
        <x:is>
          <x:t xml:space="preserve">SCAFFOLDING_NOT_PUBLIC_COUNT</x:t>
        </x:is>
      </x:c>
      <x:c r="I386" s="49" t="inlineStr">
        <x:is>
          <x:t xml:space="preserve">8</x:t>
        </x:is>
      </x:c>
      <x:c r="L386" s="56" t="n"/>
    </x:row>
    <x:row r="387" ht="15" customHeight="1">
      <x:c r="A387" s="55" t="inlineStr">
        <x:is>
          <x:t xml:space="preserve">gate_binaryity</x:t>
        </x:is>
      </x:c>
      <x:c r="B387" s="49" t="inlineStr">
        <x:is>
          <x:t xml:space="preserve">theorem</x:t>
        </x:is>
      </x:c>
      <x:c r="C387" s="49" t="inlineStr">
        <x:is>
          <x:t xml:space="preserve">theophysics-lean-main\theophysics-lean-main\Theophysics_Core.lean</x:t>
        </x:is>
      </x:c>
      <x:c r="D387" s="49" t="inlineStr">
        <x:is>
          <x:t xml:space="preserve">261</x:t>
        </x:is>
      </x:c>
      <x:c r="E387" s="49" t="inlineStr">
        <x:is>
          <x:t xml:space="preserve">DECLARATION_OR_UNKNOWN</x:t>
        </x:is>
      </x:c>
      <x:c r="F387" s="49" t="inlineStr">
        <x:is>
          <x:t xml:space="preserve">PENDING_NOT_RUN</x:t>
        </x:is>
      </x:c>
      <x:c r="G387" s="49" t="inlineStr">
        <x:is>
          <x:t xml:space="preserve">NO_SORRY_OR_ADMIT_STATIC_SCAN</x:t>
        </x:is>
      </x:c>
      <x:c r="H387" s="49" t="inlineStr">
        <x:is>
          <x:t xml:space="preserve">CANONICAL_THEOREM_DEDUPED_PENDING_COMPILE</x:t>
        </x:is>
      </x:c>
      <x:c r="I387" s="49" t="inlineStr">
        <x:is>
          <x:t xml:space="preserve">3</x:t>
        </x:is>
      </x:c>
      <x:c r="L387" s="56" t="n"/>
    </x:row>
    <x:row r="388" ht="15" customHeight="1">
      <x:c r="A388" s="55" t="inlineStr">
        <x:is>
          <x:t xml:space="preserve">gate_false_of_missing_love</x:t>
        </x:is>
      </x:c>
      <x:c r="B388" s="49" t="inlineStr">
        <x:is>
          <x:t xml:space="preserve">theorem</x:t>
        </x:is>
      </x:c>
      <x:c r="C388" s="49" t="inlineStr">
        <x:is>
          <x:t xml:space="preserve">Lean-4-Proofs-main\Lean-4-Proofs-main\theophysics-lean-verification-package\COPY_PASTE_LEAN4.lean</x:t>
        </x:is>
      </x:c>
      <x:c r="D388" s="49" t="inlineStr">
        <x:is>
          <x:t xml:space="preserve">133</x:t>
        </x:is>
      </x:c>
      <x:c r="E388" s="49" t="inlineStr">
        <x:is>
          <x:t xml:space="preserve">WRAPPER_OR_IMPORTED</x:t>
        </x:is>
      </x:c>
      <x:c r="F388" s="49" t="inlineStr">
        <x:is>
          <x:t xml:space="preserve">PENDING_NOT_RUN</x:t>
        </x:is>
      </x:c>
      <x:c r="G388" s="49" t="inlineStr">
        <x:is>
          <x:t xml:space="preserve">NO_SORRY_OR_ADMIT_STATIC_SCAN</x:t>
        </x:is>
      </x:c>
      <x:c r="H388" s="49" t="inlineStr">
        <x:is>
          <x:t xml:space="preserve">CANONICAL_THEOREM_DEDUPED_PENDING_COMPILE</x:t>
        </x:is>
      </x:c>
      <x:c r="I388" s="49" t="inlineStr">
        <x:is>
          <x:t xml:space="preserve">3</x:t>
        </x:is>
      </x:c>
      <x:c r="L388" s="56" t="n"/>
    </x:row>
    <x:row r="389" ht="15" customHeight="1">
      <x:c r="A389" s="55" t="inlineStr">
        <x:is>
          <x:t xml:space="preserve">gate_nonneg</x:t>
        </x:is>
      </x:c>
      <x:c r="B389" s="49" t="inlineStr">
        <x:is>
          <x:t xml:space="preserve">theorem</x:t>
        </x:is>
      </x:c>
      <x:c r="C389" s="49" t="inlineStr">
        <x:is>
          <x:t xml:space="preserve">Lean-4-Proofs-main\Lean-4-Proofs-main\theophysics-lean-verification-package\CorrectedEntropyKernel.lean</x:t>
        </x:is>
      </x:c>
      <x:c r="D389" s="49" t="inlineStr">
        <x:is>
          <x:t xml:space="preserve">118</x:t>
        </x:is>
      </x:c>
      <x:c r="E389" s="49" t="inlineStr">
        <x:is>
          <x:t xml:space="preserve">WRAPPER_OR_IMPORTED</x:t>
        </x:is>
      </x:c>
      <x:c r="F389" s="49" t="inlineStr">
        <x:is>
          <x:t xml:space="preserve">PENDING_NOT_RUN</x:t>
        </x:is>
      </x:c>
      <x:c r="G389" s="49" t="inlineStr">
        <x:is>
          <x:t xml:space="preserve">NO_SORRY_OR_ADMIT_STATIC_SCAN</x:t>
        </x:is>
      </x:c>
      <x:c r="H389" s="49" t="inlineStr">
        <x:is>
          <x:t xml:space="preserve">UNIQUE_THEOREM_PENDING_COMPILE</x:t>
        </x:is>
      </x:c>
      <x:c r="I389" s="49" t="inlineStr">
        <x:is>
          <x:t xml:space="preserve">0</x:t>
        </x:is>
      </x:c>
      <x:c r="L389" s="56" t="n"/>
    </x:row>
    <x:row r="390" ht="15" customHeight="1">
      <x:c r="A390" s="55" t="inlineStr">
        <x:is>
          <x:t xml:space="preserve">gate_pos_of_true</x:t>
        </x:is>
      </x:c>
      <x:c r="B390" s="49" t="inlineStr">
        <x:is>
          <x:t xml:space="preserve">theorem</x:t>
        </x:is>
      </x:c>
      <x:c r="C390" s="49" t="inlineStr">
        <x:is>
          <x:t xml:space="preserve">Lean-4-Proofs-main\Lean-4-Proofs-main\theophysics-lean-verification-package\CorrectedEntropyKernel.lean</x:t>
        </x:is>
      </x:c>
      <x:c r="D390" s="49" t="inlineStr">
        <x:is>
          <x:t xml:space="preserve">126</x:t>
        </x:is>
      </x:c>
      <x:c r="E390" s="49" t="inlineStr">
        <x:is>
          <x:t xml:space="preserve">WRAPPER_OR_IMPORTED</x:t>
        </x:is>
      </x:c>
      <x:c r="F390" s="49" t="inlineStr">
        <x:is>
          <x:t xml:space="preserve">PENDING_NOT_RUN</x:t>
        </x:is>
      </x:c>
      <x:c r="G390" s="49" t="inlineStr">
        <x:is>
          <x:t xml:space="preserve">NO_SORRY_OR_ADMIT_STATIC_SCAN</x:t>
        </x:is>
      </x:c>
      <x:c r="H390" s="49" t="inlineStr">
        <x:is>
          <x:t xml:space="preserve">UNIQUE_THEOREM_PENDING_COMPILE</x:t>
        </x:is>
      </x:c>
      <x:c r="I390" s="49" t="inlineStr">
        <x:is>
          <x:t xml:space="preserve">0</x:t>
        </x:is>
      </x:c>
      <x:c r="L390" s="56" t="n"/>
    </x:row>
    <x:row r="391" ht="15" customHeight="1">
      <x:c r="A391" s="55" t="inlineStr">
        <x:is>
          <x:t xml:space="preserve">gate_true_of_allManifest</x:t>
        </x:is>
      </x:c>
      <x:c r="B391" s="49" t="inlineStr">
        <x:is>
          <x:t xml:space="preserve">theorem</x:t>
        </x:is>
      </x:c>
      <x:c r="C391" s="49" t="inlineStr">
        <x:is>
          <x:t xml:space="preserve">Lean-4-Proofs-main\Lean-4-Proofs-main\theophysics-lean-verification-package\COPY_PASTE_LEAN4.lean</x:t>
        </x:is>
      </x:c>
      <x:c r="D391" s="49" t="inlineStr">
        <x:is>
          <x:t xml:space="preserve">124</x:t>
        </x:is>
      </x:c>
      <x:c r="E391" s="49" t="inlineStr">
        <x:is>
          <x:t xml:space="preserve">WRAPPER_OR_IMPORTED</x:t>
        </x:is>
      </x:c>
      <x:c r="F391" s="49" t="inlineStr">
        <x:is>
          <x:t xml:space="preserve">PENDING_NOT_RUN</x:t>
        </x:is>
      </x:c>
      <x:c r="G391" s="49" t="inlineStr">
        <x:is>
          <x:t xml:space="preserve">NO_SORRY_OR_ADMIT_STATIC_SCAN</x:t>
        </x:is>
      </x:c>
      <x:c r="H391" s="49" t="inlineStr">
        <x:is>
          <x:t xml:space="preserve">CANONICAL_THEOREM_DEDUPED_PENDING_COMPILE</x:t>
        </x:is>
      </x:c>
      <x:c r="I391" s="49" t="inlineStr">
        <x:is>
          <x:t xml:space="preserve">3</x:t>
        </x:is>
      </x:c>
      <x:c r="L391" s="56" t="n"/>
    </x:row>
    <x:row r="392" ht="15" customHeight="1">
      <x:c r="A392" s="55" t="inlineStr">
        <x:is>
          <x:t xml:space="preserve">generator_actualizer_without_structurer_invalid</x:t>
        </x:is>
      </x:c>
      <x:c r="B392" s="49" t="inlineStr">
        <x:is>
          <x:t xml:space="preserve">theorem</x:t>
        </x:is>
      </x:c>
      <x:c r="C392" s="49" t="inlineStr">
        <x:is>
          <x:t xml:space="preserve">theophysics-lean-main\theophysics-lean-main\Theophysics_DelayedChoice.lean</x:t>
        </x:is>
      </x:c>
      <x:c r="D392" s="49" t="inlineStr">
        <x:is>
          <x:t xml:space="preserve">173</x:t>
        </x:is>
      </x:c>
      <x:c r="E392" s="49" t="inlineStr">
        <x:is>
          <x:t xml:space="preserve">DEFINITIONAL_RFL</x:t>
        </x:is>
      </x:c>
      <x:c r="F392" s="49" t="inlineStr">
        <x:is>
          <x:t xml:space="preserve">PENDING_NOT_RUN</x:t>
        </x:is>
      </x:c>
      <x:c r="G392" s="49" t="inlineStr">
        <x:is>
          <x:t xml:space="preserve">NO_SORRY_OR_ADMIT_STATIC_SCAN</x:t>
        </x:is>
      </x:c>
      <x:c r="H392" s="49" t="inlineStr">
        <x:is>
          <x:t xml:space="preserve">UNIQUE_THEOREM_PENDING_COMPILE</x:t>
        </x:is>
      </x:c>
      <x:c r="I392" s="49" t="inlineStr">
        <x:is>
          <x:t xml:space="preserve">0</x:t>
        </x:is>
      </x:c>
      <x:c r="L392" s="56" t="n"/>
    </x:row>
    <x:row r="393" ht="15" customHeight="1">
      <x:c r="A393" s="55" t="inlineStr">
        <x:is>
          <x:t xml:space="preserve">generator_structurer_without_actualizer_invalid</x:t>
        </x:is>
      </x:c>
      <x:c r="B393" s="49" t="inlineStr">
        <x:is>
          <x:t xml:space="preserve">theorem</x:t>
        </x:is>
      </x:c>
      <x:c r="C393" s="49" t="inlineStr">
        <x:is>
          <x:t xml:space="preserve">theophysics-lean-main\theophysics-lean-main\Theophysics_DelayedChoice.lean</x:t>
        </x:is>
      </x:c>
      <x:c r="D393" s="49" t="inlineStr">
        <x:is>
          <x:t xml:space="preserve">177</x:t>
        </x:is>
      </x:c>
      <x:c r="E393" s="49" t="inlineStr">
        <x:is>
          <x:t xml:space="preserve">DEFINITIONAL_RFL</x:t>
        </x:is>
      </x:c>
      <x:c r="F393" s="49" t="inlineStr">
        <x:is>
          <x:t xml:space="preserve">PENDING_NOT_RUN</x:t>
        </x:is>
      </x:c>
      <x:c r="G393" s="49" t="inlineStr">
        <x:is>
          <x:t xml:space="preserve">NO_SORRY_OR_ADMIT_STATIC_SCAN</x:t>
        </x:is>
      </x:c>
      <x:c r="H393" s="49" t="inlineStr">
        <x:is>
          <x:t xml:space="preserve">UNIQUE_THEOREM_PENDING_COMPILE</x:t>
        </x:is>
      </x:c>
      <x:c r="I393" s="49" t="inlineStr">
        <x:is>
          <x:t xml:space="preserve">0</x:t>
        </x:is>
      </x:c>
      <x:c r="L393" s="56" t="n"/>
    </x:row>
    <x:row r="394" ht="15" customHeight="1">
      <x:c r="A394" s="55" t="inlineStr">
        <x:is>
          <x:t xml:space="preserve">gentleness_mem</x:t>
        </x:is>
      </x:c>
      <x:c r="B394" s="49" t="inlineStr">
        <x:is>
          <x:t xml:space="preserve">theorem</x:t>
        </x:is>
      </x:c>
      <x:c r="C394" s="49" t="inlineStr">
        <x:is>
          <x:t xml:space="preserve">Lean-4-Proofs-main\Lean-4-Proofs-main\theophysics-lean-verification-package\FruitsGraceKernel.lean</x:t>
        </x:is>
      </x:c>
      <x:c r="D394" s="49" t="inlineStr">
        <x:is>
          <x:t xml:space="preserve">51</x:t>
        </x:is>
      </x:c>
      <x:c r="E394" s="49" t="inlineStr">
        <x:is>
          <x:t xml:space="preserve">FINITE_DECIDABLE</x:t>
        </x:is>
      </x:c>
      <x:c r="F394" s="49" t="inlineStr">
        <x:is>
          <x:t xml:space="preserve">PENDING_NOT_RUN</x:t>
        </x:is>
      </x:c>
      <x:c r="G394" s="49" t="inlineStr">
        <x:is>
          <x:t xml:space="preserve">NO_SORRY_OR_ADMIT_STATIC_SCAN</x:t>
        </x:is>
      </x:c>
      <x:c r="H394" s="49" t="inlineStr">
        <x:is>
          <x:t xml:space="preserve">UNIQUE_THEOREM_PENDING_COMPILE</x:t>
        </x:is>
      </x:c>
      <x:c r="I394" s="49" t="inlineStr">
        <x:is>
          <x:t xml:space="preserve">0</x:t>
        </x:is>
      </x:c>
      <x:c r="L394" s="56" t="n"/>
    </x:row>
    <x:row r="395" ht="15" customHeight="1">
      <x:c r="A395" s="55" t="inlineStr">
        <x:is>
          <x:t xml:space="preserve">get</x:t>
        </x:is>
      </x:c>
      <x:c r="B395" s="49" t="inlineStr">
        <x:is>
          <x:t xml:space="preserve">def</x:t>
        </x:is>
      </x:c>
      <x:c r="C395" s="49" t="inlineStr">
        <x:is>
          <x:t xml:space="preserve">theophysics-lean-main\theophysics-lean-main\Final_Lean4_From_Excel.lean</x:t>
        </x:is>
      </x:c>
      <x:c r="D395" s="49" t="inlineStr">
        <x:is>
          <x:t xml:space="preserve">69</x:t>
        </x:is>
      </x:c>
      <x:c r="E395" s="49" t="inlineStr">
        <x:is>
          <x:t xml:space="preserve">DECLARATION_OR_UNKNOWN</x:t>
        </x:is>
      </x:c>
      <x:c r="F395" s="49" t="inlineStr">
        <x:is>
          <x:t xml:space="preserve">PENDING_NOT_RUN</x:t>
        </x:is>
      </x:c>
      <x:c r="G395" s="49" t="inlineStr">
        <x:is>
          <x:t xml:space="preserve">NO_SORRY_OR_ADMIT_STATIC_SCAN</x:t>
        </x:is>
      </x:c>
      <x:c r="H395" s="49" t="inlineStr">
        <x:is>
          <x:t xml:space="preserve">SCAFFOLDING_NOT_PUBLIC_COUNT</x:t>
        </x:is>
      </x:c>
      <x:c r="I395" s="49" t="inlineStr">
        <x:is>
          <x:t xml:space="preserve">3</x:t>
        </x:is>
      </x:c>
      <x:c r="L395" s="56" t="n"/>
    </x:row>
    <x:row r="396" ht="15" customHeight="1">
      <x:c r="A396" s="55" t="inlineStr">
        <x:is>
          <x:t xml:space="preserve">getScore</x:t>
        </x:is>
      </x:c>
      <x:c r="B396" s="49" t="inlineStr">
        <x:is>
          <x:t xml:space="preserve">def</x:t>
        </x:is>
      </x:c>
      <x:c r="C396" s="49" t="inlineStr">
        <x:is>
          <x:t xml:space="preserve">theophysics-lean-main\theophysics-lean-main\Theophysics_ChiEvaluator.lean</x:t>
        </x:is>
      </x:c>
      <x:c r="D396" s="49" t="inlineStr">
        <x:is>
          <x:t xml:space="preserve">136</x:t>
        </x:is>
      </x:c>
      <x:c r="E396" s="49" t="inlineStr">
        <x:is>
          <x:t xml:space="preserve">DECLARATION_OR_UNKNOWN</x:t>
        </x:is>
      </x:c>
      <x:c r="F396" s="49" t="inlineStr">
        <x:is>
          <x:t xml:space="preserve">PENDING_NOT_RUN</x:t>
        </x:is>
      </x:c>
      <x:c r="G396" s="49" t="inlineStr">
        <x:is>
          <x:t xml:space="preserve">NO_SORRY_OR_ADMIT_STATIC_SCAN</x:t>
        </x:is>
      </x:c>
      <x:c r="H396" s="49" t="inlineStr">
        <x:is>
          <x:t xml:space="preserve">SCAFFOLDING_NOT_PUBLIC_COUNT</x:t>
        </x:is>
      </x:c>
      <x:c r="I396" s="49" t="inlineStr">
        <x:is>
          <x:t xml:space="preserve">3</x:t>
        </x:is>
      </x:c>
      <x:c r="L396" s="56" t="n"/>
    </x:row>
    <x:row r="397" ht="15" customHeight="1">
      <x:c r="A397" s="55" t="inlineStr">
        <x:is>
          <x:t xml:space="preserve">global_coherence_alone_is_not_fracture</x:t>
        </x:is>
      </x:c>
      <x:c r="B397" s="49" t="inlineStr">
        <x:is>
          <x:t xml:space="preserve">theorem</x:t>
        </x:is>
      </x:c>
      <x:c r="C397" s="49" t="inlineStr">
        <x:is>
          <x:t xml:space="preserve">theophysics-lean-main\theophysics-lean-main\Theophysics_Fracture.lean</x:t>
        </x:is>
      </x:c>
      <x:c r="D397" s="49" t="inlineStr">
        <x:is>
          <x:t xml:space="preserve">110</x:t>
        </x:is>
      </x:c>
      <x:c r="E397" s="49" t="inlineStr">
        <x:is>
          <x:t xml:space="preserve">DEFINITIONAL_RFL</x:t>
        </x:is>
      </x:c>
      <x:c r="F397" s="49" t="inlineStr">
        <x:is>
          <x:t xml:space="preserve">PENDING_NOT_RUN</x:t>
        </x:is>
      </x:c>
      <x:c r="G397" s="49" t="inlineStr">
        <x:is>
          <x:t xml:space="preserve">NO_SORRY_OR_ADMIT_STATIC_SCAN</x:t>
        </x:is>
      </x:c>
      <x:c r="H397" s="49" t="inlineStr">
        <x:is>
          <x:t xml:space="preserve">CANONICAL_THEOREM_DEDUPED_PENDING_COMPILE</x:t>
        </x:is>
      </x:c>
      <x:c r="I397" s="49" t="inlineStr">
        <x:is>
          <x:t xml:space="preserve">3</x:t>
        </x:is>
      </x:c>
      <x:c r="L397" s="56" t="n"/>
    </x:row>
    <x:row r="398" ht="15" customHeight="1">
      <x:c r="A398" s="55" t="inlineStr">
        <x:is>
          <x:t xml:space="preserve">glorification_is_completed_coherence</x:t>
        </x:is>
      </x:c>
      <x:c r="B398" s="49" t="inlineStr">
        <x:is>
          <x:t xml:space="preserve">theorem</x:t>
        </x:is>
      </x:c>
      <x:c r="C398" s="49" t="inlineStr">
        <x:is>
          <x:t xml:space="preserve">theophysics-lean-main\theophysics-lean-main\Theophysics_Canonization.lean</x:t>
        </x:is>
      </x:c>
      <x:c r="D398" s="49" t="inlineStr">
        <x:is>
          <x:t xml:space="preserve">574</x:t>
        </x:is>
      </x:c>
      <x:c r="E398" s="49" t="inlineStr">
        <x:is>
          <x:t xml:space="preserve">DECLARATION_OR_UNKNOWN</x:t>
        </x:is>
      </x:c>
      <x:c r="F398" s="49" t="inlineStr">
        <x:is>
          <x:t xml:space="preserve">PENDING_NOT_RUN</x:t>
        </x:is>
      </x:c>
      <x:c r="G398" s="49" t="inlineStr">
        <x:is>
          <x:t xml:space="preserve">NO_SORRY_OR_ADMIT_STATIC_SCAN</x:t>
        </x:is>
      </x:c>
      <x:c r="H398" s="49" t="inlineStr">
        <x:is>
          <x:t xml:space="preserve">UNIQUE_THEOREM_PENDING_COMPILE</x:t>
        </x:is>
      </x:c>
      <x:c r="I398" s="49" t="inlineStr">
        <x:is>
          <x:t xml:space="preserve">0</x:t>
        </x:is>
      </x:c>
      <x:c r="J398" s="49" t="inlineStr">
        <x:is>
          <x:t xml:space="preserve">LEAN_DERIVATION_CHAIN:273</x:t>
        </x:is>
      </x:c>
      <x:c r="K398" s="49" t="inlineStr">
        <x:is>
          <x:t xml:space="preserve">Profile coherence = 1 (definitional)</x:t>
        </x:is>
      </x:c>
      <x:c r="L398" s="56" t="n"/>
    </x:row>
    <x:row r="399" ht="15" customHeight="1">
      <x:c r="A399" s="55" t="inlineStr">
        <x:is>
          <x:t xml:space="preserve">glorification_requires_both_for_this_lattice</x:t>
        </x:is>
      </x:c>
      <x:c r="B399" s="49" t="inlineStr">
        <x:is>
          <x:t xml:space="preserve">theorem</x:t>
        </x:is>
      </x:c>
      <x:c r="C399" s="49" t="inlineStr">
        <x:is>
          <x:t xml:space="preserve">theophysics-lean-main\theophysics-lean-main\Theophysics_Core.lean</x:t>
        </x:is>
      </x:c>
      <x:c r="D399" s="49" t="inlineStr">
        <x:is>
          <x:t xml:space="preserve">158</x:t>
        </x:is>
      </x:c>
      <x:c r="E399" s="49" t="inlineStr">
        <x:is>
          <x:t xml:space="preserve">TRIVIAL_TRUE</x:t>
        </x:is>
      </x:c>
      <x:c r="F399" s="49" t="inlineStr">
        <x:is>
          <x:t xml:space="preserve">PENDING_NOT_RUN</x:t>
        </x:is>
      </x:c>
      <x:c r="G399" s="49" t="inlineStr">
        <x:is>
          <x:t xml:space="preserve">NO_SORRY_OR_ADMIT_STATIC_SCAN</x:t>
        </x:is>
      </x:c>
      <x:c r="H399" s="49" t="inlineStr">
        <x:is>
          <x:t xml:space="preserve">LOW_CONTENT_TRUE_NOT_PUBLIC_COUNT</x:t>
        </x:is>
      </x:c>
      <x:c r="I399" s="49" t="inlineStr">
        <x:is>
          <x:t xml:space="preserve">3</x:t>
        </x:is>
      </x:c>
      <x:c r="J399" s="49" t="inlineStr">
        <x:is>
          <x:t xml:space="preserve">LEAN_DERIVATION_CHAIN:191</x:t>
        </x:is>
      </x:c>
      <x:c r="K399" s="49" t="inlineStr">
        <x:is>
          <x:t xml:space="preserve">Glorification requires both justification and sanctification</x:t>
        </x:is>
      </x:c>
      <x:c r="L399" s="56" t="n"/>
    </x:row>
    <x:row r="400" ht="15" customHeight="1">
      <x:c r="A400" s="55" t="inlineStr">
        <x:is>
          <x:t xml:space="preserve">goodCreature</x:t>
        </x:is>
      </x:c>
      <x:c r="B400" s="49" t="inlineStr">
        <x:is>
          <x:t xml:space="preserve">def</x:t>
        </x:is>
      </x:c>
      <x:c r="C400" s="49" t="inlineStr">
        <x:is>
          <x:t xml:space="preserve">theophysics-lean-main\theophysics-lean-main\Theophysics_DeathTest.lean</x:t>
        </x:is>
      </x:c>
      <x:c r="D400" s="49" t="inlineStr">
        <x:is>
          <x:t xml:space="preserve">59</x:t>
        </x:is>
      </x:c>
      <x:c r="E400" s="49" t="inlineStr">
        <x:is>
          <x:t xml:space="preserve">DECLARATION_OR_UNKNOWN</x:t>
        </x:is>
      </x:c>
      <x:c r="F400" s="49" t="inlineStr">
        <x:is>
          <x:t xml:space="preserve">PENDING_NOT_RUN</x:t>
        </x:is>
      </x:c>
      <x:c r="G400" s="49" t="inlineStr">
        <x:is>
          <x:t xml:space="preserve">NO_SORRY_OR_ADMIT_STATIC_SCAN</x:t>
        </x:is>
      </x:c>
      <x:c r="H400" s="49" t="inlineStr">
        <x:is>
          <x:t xml:space="preserve">SCAFFOLDING_NOT_PUBLIC_COUNT</x:t>
        </x:is>
      </x:c>
      <x:c r="I400" s="49" t="inlineStr">
        <x:is>
          <x:t xml:space="preserve">0</x:t>
        </x:is>
      </x:c>
      <x:c r="L400" s="56" t="n"/>
    </x:row>
    <x:row r="401" ht="15" customHeight="1">
      <x:c r="A401" s="55" t="inlineStr">
        <x:is>
          <x:t xml:space="preserve">goodness_does_not_pass_death_test</x:t>
        </x:is>
      </x:c>
      <x:c r="B401" s="49" t="inlineStr">
        <x:is>
          <x:t xml:space="preserve">theorem</x:t>
        </x:is>
      </x:c>
      <x:c r="C401" s="49" t="inlineStr">
        <x:is>
          <x:t xml:space="preserve">theophysics-lean-main\theophysics-lean-main\Theophysics_DeathTest.lean</x:t>
        </x:is>
      </x:c>
      <x:c r="D401" s="49" t="inlineStr">
        <x:is>
          <x:t xml:space="preserve">108</x:t>
        </x:is>
      </x:c>
      <x:c r="E401" s="49" t="inlineStr">
        <x:is>
          <x:t xml:space="preserve">DEFINITIONAL_RFL</x:t>
        </x:is>
      </x:c>
      <x:c r="F401" s="49" t="inlineStr">
        <x:is>
          <x:t xml:space="preserve">PENDING_NOT_RUN</x:t>
        </x:is>
      </x:c>
      <x:c r="G401" s="49" t="inlineStr">
        <x:is>
          <x:t xml:space="preserve">NO_SORRY_OR_ADMIT_STATIC_SCAN</x:t>
        </x:is>
      </x:c>
      <x:c r="H401" s="49" t="inlineStr">
        <x:is>
          <x:t xml:space="preserve">UNIQUE_THEOREM_PENDING_COMPILE</x:t>
        </x:is>
      </x:c>
      <x:c r="I401" s="49" t="inlineStr">
        <x:is>
          <x:t xml:space="preserve">0</x:t>
        </x:is>
      </x:c>
      <x:c r="L401" s="56" t="n"/>
    </x:row>
    <x:row r="402" ht="15" customHeight="1">
      <x:c r="A402" s="55" t="inlineStr">
        <x:is>
          <x:t xml:space="preserve">goodness_mem</x:t>
        </x:is>
      </x:c>
      <x:c r="B402" s="49" t="inlineStr">
        <x:is>
          <x:t xml:space="preserve">theorem</x:t>
        </x:is>
      </x:c>
      <x:c r="C402" s="49" t="inlineStr">
        <x:is>
          <x:t xml:space="preserve">Lean-4-Proofs-main\Lean-4-Proofs-main\theophysics-lean-verification-package\FruitsGraceKernel.lean</x:t>
        </x:is>
      </x:c>
      <x:c r="D402" s="49" t="inlineStr">
        <x:is>
          <x:t xml:space="preserve">49</x:t>
        </x:is>
      </x:c>
      <x:c r="E402" s="49" t="inlineStr">
        <x:is>
          <x:t xml:space="preserve">FINITE_DECIDABLE</x:t>
        </x:is>
      </x:c>
      <x:c r="F402" s="49" t="inlineStr">
        <x:is>
          <x:t xml:space="preserve">PENDING_NOT_RUN</x:t>
        </x:is>
      </x:c>
      <x:c r="G402" s="49" t="inlineStr">
        <x:is>
          <x:t xml:space="preserve">NO_SORRY_OR_ADMIT_STATIC_SCAN</x:t>
        </x:is>
      </x:c>
      <x:c r="H402" s="49" t="inlineStr">
        <x:is>
          <x:t xml:space="preserve">UNIQUE_THEOREM_PENDING_COMPILE</x:t>
        </x:is>
      </x:c>
      <x:c r="I402" s="49" t="inlineStr">
        <x:is>
          <x:t xml:space="preserve">0</x:t>
        </x:is>
      </x:c>
      <x:c r="L402" s="56" t="n"/>
    </x:row>
    <x:row r="403" ht="15" customHeight="1">
      <x:c r="A403" s="55" t="inlineStr">
        <x:is>
          <x:t xml:space="preserve">grQmStyleScar</x:t>
        </x:is>
      </x:c>
      <x:c r="B403" s="49" t="inlineStr">
        <x:is>
          <x:t xml:space="preserve">def</x:t>
        </x:is>
      </x:c>
      <x:c r="C403" s="49" t="inlineStr">
        <x:is>
          <x:t xml:space="preserve">theophysics-lean-main\theophysics-lean-main\Theophysics_Fracture.lean</x:t>
        </x:is>
      </x:c>
      <x:c r="D403" s="49" t="inlineStr">
        <x:is>
          <x:t xml:space="preserve">50</x:t>
        </x:is>
      </x:c>
      <x:c r="E403" s="49" t="inlineStr">
        <x:is>
          <x:t xml:space="preserve">DECLARATION_OR_UNKNOWN</x:t>
        </x:is>
      </x:c>
      <x:c r="F403" s="49" t="inlineStr">
        <x:is>
          <x:t xml:space="preserve">PENDING_NOT_RUN</x:t>
        </x:is>
      </x:c>
      <x:c r="G403" s="49" t="inlineStr">
        <x:is>
          <x:t xml:space="preserve">NO_SORRY_OR_ADMIT_STATIC_SCAN</x:t>
        </x:is>
      </x:c>
      <x:c r="H403" s="49" t="inlineStr">
        <x:is>
          <x:t xml:space="preserve">SCAFFOLDING_NOT_PUBLIC_COUNT</x:t>
        </x:is>
      </x:c>
      <x:c r="I403" s="49" t="inlineStr">
        <x:is>
          <x:t xml:space="preserve">3</x:t>
        </x:is>
      </x:c>
      <x:c r="L403" s="56" t="n"/>
    </x:row>
    <x:row r="404" ht="15" customHeight="1">
      <x:c r="A404" s="55" t="inlineStr">
        <x:is>
          <x:t xml:space="preserve">gr_qm_style_scar_is_structured</x:t>
        </x:is>
      </x:c>
      <x:c r="B404" s="49" t="inlineStr">
        <x:is>
          <x:t xml:space="preserve">theorem</x:t>
        </x:is>
      </x:c>
      <x:c r="C404" s="49" t="inlineStr">
        <x:is>
          <x:t xml:space="preserve">theophysics-lean-main\theophysics-lean-main\Theophysics_Fracture.lean</x:t>
        </x:is>
      </x:c>
      <x:c r="D404" s="49" t="inlineStr">
        <x:is>
          <x:t xml:space="preserve">106</x:t>
        </x:is>
      </x:c>
      <x:c r="E404" s="49" t="inlineStr">
        <x:is>
          <x:t xml:space="preserve">DEFINITIONAL_RFL</x:t>
        </x:is>
      </x:c>
      <x:c r="F404" s="49" t="inlineStr">
        <x:is>
          <x:t xml:space="preserve">PENDING_NOT_RUN</x:t>
        </x:is>
      </x:c>
      <x:c r="G404" s="49" t="inlineStr">
        <x:is>
          <x:t xml:space="preserve">NO_SORRY_OR_ADMIT_STATIC_SCAN</x:t>
        </x:is>
      </x:c>
      <x:c r="H404" s="49" t="inlineStr">
        <x:is>
          <x:t xml:space="preserve">CANONICAL_THEOREM_DEDUPED_PENDING_COMPILE</x:t>
        </x:is>
      </x:c>
      <x:c r="I404" s="49" t="inlineStr">
        <x:is>
          <x:t xml:space="preserve">3</x:t>
        </x:is>
      </x:c>
      <x:c r="L404" s="56" t="n"/>
    </x:row>
    <x:row r="405" ht="15" customHeight="1">
      <x:c r="A405" s="55" t="inlineStr">
        <x:is>
          <x:t xml:space="preserve">gr_recovery</x:t>
        </x:is>
      </x:c>
      <x:c r="B405" s="49" t="inlineStr">
        <x:is>
          <x:t xml:space="preserve">theorem</x:t>
        </x:is>
      </x:c>
      <x:c r="C405" s="49" t="inlineStr">
        <x:is>
          <x:t xml:space="preserve">theophysics-lean-main\theophysics-lean-main\Theophysics_Canonization.lean</x:t>
        </x:is>
      </x:c>
      <x:c r="D405" s="49" t="inlineStr">
        <x:is>
          <x:t xml:space="preserve">136</x:t>
        </x:is>
      </x:c>
      <x:c r="E405" s="49" t="inlineStr">
        <x:is>
          <x:t xml:space="preserve">SIMPLIFICATION</x:t>
        </x:is>
      </x:c>
      <x:c r="F405" s="49" t="inlineStr">
        <x:is>
          <x:t xml:space="preserve">PENDING_NOT_RUN</x:t>
        </x:is>
      </x:c>
      <x:c r="G405" s="49" t="inlineStr">
        <x:is>
          <x:t xml:space="preserve">NO_SORRY_OR_ADMIT_STATIC_SCAN</x:t>
        </x:is>
      </x:c>
      <x:c r="H405" s="49" t="inlineStr">
        <x:is>
          <x:t xml:space="preserve">UNIQUE_THEOREM_PENDING_COMPILE</x:t>
        </x:is>
      </x:c>
      <x:c r="I405" s="49" t="inlineStr">
        <x:is>
          <x:t xml:space="preserve">0</x:t>
        </x:is>
      </x:c>
      <x:c r="J405" s="49" t="inlineStr">
        <x:is>
          <x:t xml:space="preserve">LEAN_DERIVATION_CHAIN:246</x:t>
        </x:is>
      </x:c>
      <x:c r="K405" s="49" t="inlineStr">
        <x:is>
          <x:t xml:space="preserve">chi=0 implies kappa-term vanishes, total reduces to Einstein-Hilbert (D13.1 DC2)</x:t>
        </x:is>
      </x:c>
      <x:c r="L405" s="56" t="n"/>
    </x:row>
    <x:row r="406" ht="15" customHeight="1">
      <x:c r="A406" s="55" t="inlineStr">
        <x:is>
          <x:t xml:space="preserve">grace</x:t>
        </x:is>
      </x:c>
      <x:c r="B406" s="49" t="inlineStr">
        <x:is>
          <x:t xml:space="preserve">def</x:t>
        </x:is>
      </x:c>
      <x:c r="C406" s="49" t="inlineStr">
        <x:is>
          <x:t xml:space="preserve">Lean-4-Proofs-main\Lean-4-Proofs-main\theophysics-lean-verification-package\COPY_PASTE_LEAN4.lean</x:t>
        </x:is>
      </x:c>
      <x:c r="D406" s="49" t="inlineStr">
        <x:is>
          <x:t xml:space="preserve">78</x:t>
        </x:is>
      </x:c>
      <x:c r="E406" s="49" t="inlineStr">
        <x:is>
          <x:t xml:space="preserve">DECLARATION_OR_UNKNOWN</x:t>
        </x:is>
      </x:c>
      <x:c r="F406" s="49" t="inlineStr">
        <x:is>
          <x:t xml:space="preserve">PENDING_NOT_RUN</x:t>
        </x:is>
      </x:c>
      <x:c r="G406" s="49" t="inlineStr">
        <x:is>
          <x:t xml:space="preserve">NO_SORRY_OR_ADMIT_STATIC_SCAN</x:t>
        </x:is>
      </x:c>
      <x:c r="H406" s="49" t="inlineStr">
        <x:is>
          <x:t xml:space="preserve">SCAFFOLDING_NOT_PUBLIC_COUNT</x:t>
        </x:is>
      </x:c>
      <x:c r="I406" s="49" t="inlineStr">
        <x:is>
          <x:t xml:space="preserve">4</x:t>
        </x:is>
      </x:c>
      <x:c r="L406" s="56" t="n"/>
    </x:row>
    <x:row r="407" ht="15" customHeight="1">
      <x:c r="A407" s="55" t="inlineStr">
        <x:is>
          <x:t xml:space="preserve">graceSinConjugate</x:t>
        </x:is>
      </x:c>
      <x:c r="B407" s="49" t="inlineStr">
        <x:is>
          <x:t xml:space="preserve">def</x:t>
        </x:is>
      </x:c>
      <x:c r="C407" s="49" t="inlineStr">
        <x:is>
          <x:t xml:space="preserve">theophysics-lean-main\theophysics-lean-main\Theophysics_Canonization.lean</x:t>
        </x:is>
      </x:c>
      <x:c r="D407" s="49" t="inlineStr">
        <x:is>
          <x:t xml:space="preserve">370</x:t>
        </x:is>
      </x:c>
      <x:c r="E407" s="49" t="inlineStr">
        <x:is>
          <x:t xml:space="preserve">DECLARATION_OR_UNKNOWN</x:t>
        </x:is>
      </x:c>
      <x:c r="F407" s="49" t="inlineStr">
        <x:is>
          <x:t xml:space="preserve">PENDING_NOT_RUN</x:t>
        </x:is>
      </x:c>
      <x:c r="G407" s="49" t="inlineStr">
        <x:is>
          <x:t xml:space="preserve">NO_SORRY_OR_ADMIT_STATIC_SCAN</x:t>
        </x:is>
      </x:c>
      <x:c r="H407" s="49" t="inlineStr">
        <x:is>
          <x:t xml:space="preserve">SCAFFOLDING_NOT_PUBLIC_COUNT</x:t>
        </x:is>
      </x:c>
      <x:c r="I407" s="49" t="inlineStr">
        <x:is>
          <x:t xml:space="preserve">0</x:t>
        </x:is>
      </x:c>
      <x:c r="L407" s="56" t="n"/>
    </x:row>
    <x:row r="408" ht="15" customHeight="1">
      <x:c r="A408" s="55" t="inlineStr">
        <x:is>
          <x:t xml:space="preserve">grace_event_after_constructive</x:t>
        </x:is>
      </x:c>
      <x:c r="B408" s="49" t="inlineStr">
        <x:is>
          <x:t xml:space="preserve">theorem</x:t>
        </x:is>
      </x:c>
      <x:c r="C408" s="49" t="inlineStr">
        <x:is>
          <x:t xml:space="preserve">Lean-4-Proofs-main\Lean-4-Proofs-main\theophysics-lean-verification-package\FruitsGraceKernel.lean</x:t>
        </x:is>
      </x:c>
      <x:c r="D408" s="49" t="inlineStr">
        <x:is>
          <x:t xml:space="preserve">170</x:t>
        </x:is>
      </x:c>
      <x:c r="E408" s="49" t="inlineStr">
        <x:is>
          <x:t xml:space="preserve">WRAPPER_OR_IMPORTED</x:t>
        </x:is>
      </x:c>
      <x:c r="F408" s="49" t="inlineStr">
        <x:is>
          <x:t xml:space="preserve">PENDING_NOT_RUN</x:t>
        </x:is>
      </x:c>
      <x:c r="G408" s="49" t="inlineStr">
        <x:is>
          <x:t xml:space="preserve">NO_SORRY_OR_ADMIT_STATIC_SCAN</x:t>
        </x:is>
      </x:c>
      <x:c r="H408" s="49" t="inlineStr">
        <x:is>
          <x:t xml:space="preserve">UNIQUE_THEOREM_PENDING_COMPILE</x:t>
        </x:is>
      </x:c>
      <x:c r="I408" s="49" t="inlineStr">
        <x:is>
          <x:t xml:space="preserve">0</x:t>
        </x:is>
      </x:c>
      <x:c r="L408" s="56" t="n"/>
    </x:row>
    <x:row r="409" ht="15" customHeight="1">
      <x:c r="A409" s="55" t="inlineStr">
        <x:is>
          <x:t xml:space="preserve">grace_floor_requires_fall_activation</x:t>
        </x:is>
      </x:c>
      <x:c r="B409" s="49" t="inlineStr">
        <x:is>
          <x:t xml:space="preserve">theorem</x:t>
        </x:is>
      </x:c>
      <x:c r="C409" s="49" t="inlineStr">
        <x:is>
          <x:t xml:space="preserve">theophysics-lean-main\theophysics-lean-main\Theophysics_Fall.lean</x:t>
        </x:is>
      </x:c>
      <x:c r="D409" s="49" t="inlineStr">
        <x:is>
          <x:t xml:space="preserve">132</x:t>
        </x:is>
      </x:c>
      <x:c r="E409" s="49" t="inlineStr">
        <x:is>
          <x:t xml:space="preserve">SIMPLIFICATION</x:t>
        </x:is>
      </x:c>
      <x:c r="F409" s="49" t="inlineStr">
        <x:is>
          <x:t xml:space="preserve">PENDING_NOT_RUN</x:t>
        </x:is>
      </x:c>
      <x:c r="G409" s="49" t="inlineStr">
        <x:is>
          <x:t xml:space="preserve">NO_SORRY_OR_ADMIT_STATIC_SCAN</x:t>
        </x:is>
      </x:c>
      <x:c r="H409" s="49" t="inlineStr">
        <x:is>
          <x:t xml:space="preserve">CANONICAL_THEOREM_DEDUPED_PENDING_COMPILE</x:t>
        </x:is>
      </x:c>
      <x:c r="I409" s="49" t="inlineStr">
        <x:is>
          <x:t xml:space="preserve">3</x:t>
        </x:is>
      </x:c>
      <x:c r="L409" s="56" t="n"/>
    </x:row>
    <x:row r="410" ht="15" customHeight="1">
      <x:c r="A410" s="55" t="inlineStr">
        <x:is>
          <x:t xml:space="preserve">grace_idempotent</x:t>
        </x:is>
      </x:c>
      <x:c r="B410" s="49" t="inlineStr">
        <x:is>
          <x:t xml:space="preserve">theorem</x:t>
        </x:is>
      </x:c>
      <x:c r="C410" s="49" t="inlineStr">
        <x:is>
          <x:t xml:space="preserve">Lean-4-Proofs-main\Lean-4-Proofs-main\theophysics-lean-verification-package\COPY_PASTE_LEAN4.lean</x:t>
        </x:is>
      </x:c>
      <x:c r="D410" s="49" t="inlineStr">
        <x:is>
          <x:t xml:space="preserve">82</x:t>
        </x:is>
      </x:c>
      <x:c r="E410" s="49" t="inlineStr">
        <x:is>
          <x:t xml:space="preserve">SUBSTANTIVE_OR_CASE_PROOF</x:t>
        </x:is>
      </x:c>
      <x:c r="F410" s="49" t="inlineStr">
        <x:is>
          <x:t xml:space="preserve">PENDING_NOT_RUN</x:t>
        </x:is>
      </x:c>
      <x:c r="G410" s="49" t="inlineStr">
        <x:is>
          <x:t xml:space="preserve">NO_SORRY_OR_ADMIT_STATIC_SCAN</x:t>
        </x:is>
      </x:c>
      <x:c r="H410" s="49" t="inlineStr">
        <x:is>
          <x:t xml:space="preserve">CANONICAL_THEOREM_DEDUPED_PENDING_COMPILE</x:t>
        </x:is>
      </x:c>
      <x:c r="I410" s="49" t="inlineStr">
        <x:is>
          <x:t xml:space="preserve">4</x:t>
        </x:is>
      </x:c>
      <x:c r="L410" s="56" t="n"/>
    </x:row>
    <x:row r="411" ht="15" customHeight="1">
      <x:c r="A411" s="55" t="inlineStr">
        <x:is>
          <x:t xml:space="preserve">grace_not_invertible</x:t>
        </x:is>
      </x:c>
      <x:c r="B411" s="49" t="inlineStr">
        <x:is>
          <x:t xml:space="preserve">theorem</x:t>
        </x:is>
      </x:c>
      <x:c r="C411" s="49" t="inlineStr">
        <x:is>
          <x:t xml:space="preserve">Lean-4-Proofs-main\Lean-4-Proofs-main\theophysics-lean-verification-package\TheophysicsProductionKernel.lean</x:t>
        </x:is>
      </x:c>
      <x:c r="D411" s="49" t="inlineStr">
        <x:is>
          <x:t xml:space="preserve">183</x:t>
        </x:is>
      </x:c>
      <x:c r="E411" s="49" t="inlineStr">
        <x:is>
          <x:t xml:space="preserve">WRAPPER_OR_IMPORTED</x:t>
        </x:is>
      </x:c>
      <x:c r="F411" s="49" t="inlineStr">
        <x:is>
          <x:t xml:space="preserve">PENDING_NOT_RUN</x:t>
        </x:is>
      </x:c>
      <x:c r="G411" s="49" t="inlineStr">
        <x:is>
          <x:t xml:space="preserve">NO_SORRY_OR_ADMIT_STATIC_SCAN</x:t>
        </x:is>
      </x:c>
      <x:c r="H411" s="49" t="inlineStr">
        <x:is>
          <x:t xml:space="preserve">UNIQUE_THEOREM_PENDING_COMPILE</x:t>
        </x:is>
      </x:c>
      <x:c r="I411" s="49" t="inlineStr">
        <x:is>
          <x:t xml:space="preserve">0</x:t>
        </x:is>
      </x:c>
      <x:c r="L411" s="56" t="n"/>
    </x:row>
    <x:row r="412" ht="15" customHeight="1">
      <x:c r="A412" s="55" t="inlineStr">
        <x:is>
          <x:t xml:space="preserve">grace_not_left_invertible</x:t>
        </x:is>
      </x:c>
      <x:c r="B412" s="49" t="inlineStr">
        <x:is>
          <x:t xml:space="preserve">theorem</x:t>
        </x:is>
      </x:c>
      <x:c r="C412" s="49" t="inlineStr">
        <x:is>
          <x:t xml:space="preserve">Lean-4-Proofs-main\Lean-4-Proofs-main\theophysics-lean-verification-package\COPY_PASTE_LEAN4.lean</x:t>
        </x:is>
      </x:c>
      <x:c r="D412" s="49" t="inlineStr">
        <x:is>
          <x:t xml:space="preserve">86</x:t>
        </x:is>
      </x:c>
      <x:c r="E412" s="49" t="inlineStr">
        <x:is>
          <x:t xml:space="preserve">WRAPPER_OR_IMPORTED</x:t>
        </x:is>
      </x:c>
      <x:c r="F412" s="49" t="inlineStr">
        <x:is>
          <x:t xml:space="preserve">PENDING_NOT_RUN</x:t>
        </x:is>
      </x:c>
      <x:c r="G412" s="49" t="inlineStr">
        <x:is>
          <x:t xml:space="preserve">NO_SORRY_OR_ADMIT_STATIC_SCAN</x:t>
        </x:is>
      </x:c>
      <x:c r="H412" s="49" t="inlineStr">
        <x:is>
          <x:t xml:space="preserve">CANONICAL_THEOREM_DEDUPED_PENDING_COMPILE</x:t>
        </x:is>
      </x:c>
      <x:c r="I412" s="49" t="inlineStr">
        <x:is>
          <x:t xml:space="preserve">3</x:t>
        </x:is>
      </x:c>
      <x:c r="L412" s="56" t="n"/>
    </x:row>
    <x:row r="413" ht="15" customHeight="1">
      <x:c r="A413" s="55" t="inlineStr">
        <x:is>
          <x:t xml:space="preserve">grace_swapped_with_faith_invalid</x:t>
        </x:is>
      </x:c>
      <x:c r="B413" s="49" t="inlineStr">
        <x:is>
          <x:t xml:space="preserve">theorem</x:t>
        </x:is>
      </x:c>
      <x:c r="C413" s="49" t="inlineStr">
        <x:is>
          <x:t xml:space="preserve">theophysics-lean-main\theophysics-lean-main\Final_Lean4_From_Excel.lean</x:t>
        </x:is>
      </x:c>
      <x:c r="D413" s="49" t="inlineStr">
        <x:is>
          <x:t xml:space="preserve">202</x:t>
        </x:is>
      </x:c>
      <x:c r="E413" s="49" t="inlineStr">
        <x:is>
          <x:t xml:space="preserve">FINITE_DECIDABLE</x:t>
        </x:is>
      </x:c>
      <x:c r="F413" s="49" t="inlineStr">
        <x:is>
          <x:t xml:space="preserve">PENDING_NOT_RUN</x:t>
        </x:is>
      </x:c>
      <x:c r="G413" s="49" t="inlineStr">
        <x:is>
          <x:t xml:space="preserve">NO_SORRY_OR_ADMIT_STATIC_SCAN</x:t>
        </x:is>
      </x:c>
      <x:c r="H413" s="49" t="inlineStr">
        <x:is>
          <x:t xml:space="preserve">CANONICAL_THEOREM_DEDUPED_PENDING_COMPILE</x:t>
        </x:is>
      </x:c>
      <x:c r="I413" s="49" t="inlineStr">
        <x:is>
          <x:t xml:space="preserve">3</x:t>
        </x:is>
      </x:c>
      <x:c r="J413" s="49" t="inlineStr">
        <x:is>
          <x:t xml:space="preserve">LEAN_DERIVATION_CHAIN:20</x:t>
        </x:is>
      </x:c>
      <x:c r="K413" s="49" t="inlineStr">
        <x:is>
          <x:t xml:space="preserve">REJECTION: Swapping grace↔faith breaks the signature</x:t>
        </x:is>
      </x:c>
      <x:c r="L413" s="56" t="n"/>
    </x:row>
    <x:row r="414" ht="15" customHeight="1">
      <x:c r="A414" s="55" t="inlineStr">
        <x:is>
          <x:t xml:space="preserve">grand_log_additive</x:t>
        </x:is>
      </x:c>
      <x:c r="B414" s="49" t="inlineStr">
        <x:is>
          <x:t xml:space="preserve">theorem</x:t>
        </x:is>
      </x:c>
      <x:c r="C414" s="49" t="inlineStr">
        <x:is>
          <x:t xml:space="preserve">theophysics-lean-main\theophysics-lean-main\Theophysics_Canonization.lean</x:t>
        </x:is>
      </x:c>
      <x:c r="D414" s="49" t="inlineStr">
        <x:is>
          <x:t xml:space="preserve">159</x:t>
        </x:is>
      </x:c>
      <x:c r="E414" s="49" t="inlineStr">
        <x:is>
          <x:t xml:space="preserve">WRAPPER_OR_IMPORTED</x:t>
        </x:is>
      </x:c>
      <x:c r="F414" s="49" t="inlineStr">
        <x:is>
          <x:t xml:space="preserve">PENDING_NOT_RUN</x:t>
        </x:is>
      </x:c>
      <x:c r="G414" s="49" t="inlineStr">
        <x:is>
          <x:t xml:space="preserve">NO_SORRY_OR_ADMIT_STATIC_SCAN</x:t>
        </x:is>
      </x:c>
      <x:c r="H414" s="49" t="inlineStr">
        <x:is>
          <x:t xml:space="preserve">UNIQUE_THEOREM_PENDING_COMPILE</x:t>
        </x:is>
      </x:c>
      <x:c r="I414" s="49" t="inlineStr">
        <x:is>
          <x:t xml:space="preserve">0</x:t>
        </x:is>
      </x:c>
      <x:c r="J414" s="49" t="inlineStr">
        <x:is>
          <x:t xml:space="preserve">LEAN_DERIVATION_CHAIN:250</x:t>
        </x:is>
      </x:c>
      <x:c r="K414" s="49" t="inlineStr">
        <x:is>
          <x:t xml:space="preserve">log of product = sum of logs (EL tractability), all factors positive</x:t>
        </x:is>
      </x:c>
      <x:c r="L414" s="56" t="n"/>
    </x:row>
    <x:row r="415" ht="15" customHeight="1">
      <x:c r="A415" s="55" t="inlineStr">
        <x:is>
          <x:t xml:space="preserve">hard_science_triple_same_cd_class</x:t>
        </x:is>
      </x:c>
      <x:c r="B415" s="49" t="inlineStr">
        <x:is>
          <x:t xml:space="preserve">theorem</x:t>
        </x:is>
      </x:c>
      <x:c r="C415" s="49" t="inlineStr">
        <x:is>
          <x:t xml:space="preserve">theophysics-lean-main\theophysics-lean-main\Theophysics_Universality.lean</x:t>
        </x:is>
      </x:c>
      <x:c r="D415" s="49" t="inlineStr">
        <x:is>
          <x:t xml:space="preserve">323</x:t>
        </x:is>
      </x:c>
      <x:c r="E415" s="49" t="inlineStr">
        <x:is>
          <x:t xml:space="preserve">WRAPPER_OR_IMPORTED</x:t>
        </x:is>
      </x:c>
      <x:c r="F415" s="49" t="inlineStr">
        <x:is>
          <x:t xml:space="preserve">PENDING_NOT_RUN</x:t>
        </x:is>
      </x:c>
      <x:c r="G415" s="49" t="inlineStr">
        <x:is>
          <x:t xml:space="preserve">NO_SORRY_OR_ADMIT_STATIC_SCAN</x:t>
        </x:is>
      </x:c>
      <x:c r="H415" s="49" t="inlineStr">
        <x:is>
          <x:t xml:space="preserve">UNIQUE_THEOREM_PENDING_COMPILE</x:t>
        </x:is>
      </x:c>
      <x:c r="I415" s="49" t="inlineStr">
        <x:is>
          <x:t xml:space="preserve">0</x:t>
        </x:is>
      </x:c>
      <x:c r="L415" s="56" t="n"/>
    </x:row>
    <x:row r="416" ht="15" customHeight="1">
      <x:c r="A416" s="55" t="inlineStr">
        <x:is>
          <x:t xml:space="preserve">hard_science_universality_marker</x:t>
        </x:is>
      </x:c>
      <x:c r="B416" s="49" t="inlineStr">
        <x:is>
          <x:t xml:space="preserve">theorem</x:t>
        </x:is>
      </x:c>
      <x:c r="C416" s="49" t="inlineStr">
        <x:is>
          <x:t xml:space="preserve">theophysics-lean-main\theophysics-lean-main\Theophysics_Core.lean</x:t>
        </x:is>
      </x:c>
      <x:c r="D416" s="49" t="inlineStr">
        <x:is>
          <x:t xml:space="preserve">118</x:t>
        </x:is>
      </x:c>
      <x:c r="E416" s="49" t="inlineStr">
        <x:is>
          <x:t xml:space="preserve">DECLARATION_OR_UNKNOWN</x:t>
        </x:is>
      </x:c>
      <x:c r="F416" s="49" t="inlineStr">
        <x:is>
          <x:t xml:space="preserve">PENDING_NOT_RUN</x:t>
        </x:is>
      </x:c>
      <x:c r="G416" s="49" t="inlineStr">
        <x:is>
          <x:t xml:space="preserve">NO_SORRY_OR_ADMIT_STATIC_SCAN</x:t>
        </x:is>
      </x:c>
      <x:c r="H416" s="49" t="inlineStr">
        <x:is>
          <x:t xml:space="preserve">UNIQUE_THEOREM_PENDING_COMPILE</x:t>
        </x:is>
      </x:c>
      <x:c r="I416" s="49" t="inlineStr">
        <x:is>
          <x:t xml:space="preserve">0</x:t>
        </x:is>
      </x:c>
      <x:c r="L416" s="56" t="n"/>
    </x:row>
    <x:row r="417" ht="15" customHeight="1">
      <x:c r="A417" s="55" t="inlineStr">
        <x:is>
          <x:t xml:space="preserve">hasActualizer</x:t>
        </x:is>
      </x:c>
      <x:c r="B417" s="49" t="inlineStr">
        <x:is>
          <x:t xml:space="preserve">def</x:t>
        </x:is>
      </x:c>
      <x:c r="C417" s="49" t="inlineStr">
        <x:is>
          <x:t xml:space="preserve">theophysics-lean-main\theophysics-lean-main\Theophysics_DelayedChoice.lean</x:t>
        </x:is>
      </x:c>
      <x:c r="D417" s="49" t="inlineStr">
        <x:is>
          <x:t xml:space="preserve">147</x:t>
        </x:is>
      </x:c>
      <x:c r="E417" s="49" t="inlineStr">
        <x:is>
          <x:t xml:space="preserve">DECLARATION_OR_UNKNOWN</x:t>
        </x:is>
      </x:c>
      <x:c r="F417" s="49" t="inlineStr">
        <x:is>
          <x:t xml:space="preserve">PENDING_NOT_RUN</x:t>
        </x:is>
      </x:c>
      <x:c r="G417" s="49" t="inlineStr">
        <x:is>
          <x:t xml:space="preserve">NO_SORRY_OR_ADMIT_STATIC_SCAN</x:t>
        </x:is>
      </x:c>
      <x:c r="H417" s="49" t="inlineStr">
        <x:is>
          <x:t xml:space="preserve">SCAFFOLDING_NOT_PUBLIC_COUNT</x:t>
        </x:is>
      </x:c>
      <x:c r="I417" s="49" t="inlineStr">
        <x:is>
          <x:t xml:space="preserve">0</x:t>
        </x:is>
      </x:c>
      <x:c r="L417" s="56" t="n"/>
    </x:row>
    <x:row r="418" ht="15" customHeight="1">
      <x:c r="A418" s="55" t="inlineStr">
        <x:is>
          <x:t xml:space="preserve">hasGate</x:t>
        </x:is>
      </x:c>
      <x:c r="B418" s="49" t="inlineStr">
        <x:is>
          <x:t xml:space="preserve">def</x:t>
        </x:is>
      </x:c>
      <x:c r="C418" s="49" t="inlineStr">
        <x:is>
          <x:t xml:space="preserve">theophysics-lean-main\theophysics-lean-main\Theophysics_GodTest.lean</x:t>
        </x:is>
      </x:c>
      <x:c r="D418" s="49" t="inlineStr">
        <x:is>
          <x:t xml:space="preserve">49</x:t>
        </x:is>
      </x:c>
      <x:c r="E418" s="49" t="inlineStr">
        <x:is>
          <x:t xml:space="preserve">DECLARATION_OR_UNKNOWN</x:t>
        </x:is>
      </x:c>
      <x:c r="F418" s="49" t="inlineStr">
        <x:is>
          <x:t xml:space="preserve">PENDING_NOT_RUN</x:t>
        </x:is>
      </x:c>
      <x:c r="G418" s="49" t="inlineStr">
        <x:is>
          <x:t xml:space="preserve">NO_SORRY_OR_ADMIT_STATIC_SCAN</x:t>
        </x:is>
      </x:c>
      <x:c r="H418" s="49" t="inlineStr">
        <x:is>
          <x:t xml:space="preserve">SCAFFOLDING_NOT_PUBLIC_COUNT</x:t>
        </x:is>
      </x:c>
      <x:c r="I418" s="49" t="inlineStr">
        <x:is>
          <x:t xml:space="preserve">0</x:t>
        </x:is>
      </x:c>
      <x:c r="L418" s="56" t="n"/>
    </x:row>
    <x:row r="419" ht="15" customHeight="1">
      <x:c r="A419" s="55" t="inlineStr">
        <x:is>
          <x:t xml:space="preserve">hasGenerator</x:t>
        </x:is>
      </x:c>
      <x:c r="B419" s="49" t="inlineStr">
        <x:is>
          <x:t xml:space="preserve">def</x:t>
        </x:is>
      </x:c>
      <x:c r="C419" s="49" t="inlineStr">
        <x:is>
          <x:t xml:space="preserve">theophysics-lean-main\theophysics-lean-main\Theophysics_DelayedChoice.lean</x:t>
        </x:is>
      </x:c>
      <x:c r="D419" s="49" t="inlineStr">
        <x:is>
          <x:t xml:space="preserve">131</x:t>
        </x:is>
      </x:c>
      <x:c r="E419" s="49" t="inlineStr">
        <x:is>
          <x:t xml:space="preserve">DECLARATION_OR_UNKNOWN</x:t>
        </x:is>
      </x:c>
      <x:c r="F419" s="49" t="inlineStr">
        <x:is>
          <x:t xml:space="preserve">PENDING_NOT_RUN</x:t>
        </x:is>
      </x:c>
      <x:c r="G419" s="49" t="inlineStr">
        <x:is>
          <x:t xml:space="preserve">NO_SORRY_OR_ADMIT_STATIC_SCAN</x:t>
        </x:is>
      </x:c>
      <x:c r="H419" s="49" t="inlineStr">
        <x:is>
          <x:t xml:space="preserve">SCAFFOLDING_NOT_PUBLIC_COUNT</x:t>
        </x:is>
      </x:c>
      <x:c r="I419" s="49" t="inlineStr">
        <x:is>
          <x:t xml:space="preserve">0</x:t>
        </x:is>
      </x:c>
      <x:c r="L419" s="56" t="n"/>
    </x:row>
    <x:row r="420" ht="15" customHeight="1">
      <x:c r="A420" s="55" t="inlineStr">
        <x:is>
          <x:t xml:space="preserve">hasJurisdiction</x:t>
        </x:is>
      </x:c>
      <x:c r="B420" s="49" t="inlineStr">
        <x:is>
          <x:t xml:space="preserve">def</x:t>
        </x:is>
      </x:c>
      <x:c r="C420" s="49" t="inlineStr">
        <x:is>
          <x:t xml:space="preserve">theophysics-lean-main\theophysics-lean-main\Theophysics_DeathTest.lean</x:t>
        </x:is>
      </x:c>
      <x:c r="D420" s="49" t="inlineStr">
        <x:is>
          <x:t xml:space="preserve">30</x:t>
        </x:is>
      </x:c>
      <x:c r="E420" s="49" t="inlineStr">
        <x:is>
          <x:t xml:space="preserve">DECLARATION_OR_UNKNOWN</x:t>
        </x:is>
      </x:c>
      <x:c r="F420" s="49" t="inlineStr">
        <x:is>
          <x:t xml:space="preserve">PENDING_NOT_RUN</x:t>
        </x:is>
      </x:c>
      <x:c r="G420" s="49" t="inlineStr">
        <x:is>
          <x:t xml:space="preserve">NO_SORRY_OR_ADMIT_STATIC_SCAN</x:t>
        </x:is>
      </x:c>
      <x:c r="H420" s="49" t="inlineStr">
        <x:is>
          <x:t xml:space="preserve">SCAFFOLDING_NOT_PUBLIC_COUNT</x:t>
        </x:is>
      </x:c>
      <x:c r="I420" s="49" t="inlineStr">
        <x:is>
          <x:t xml:space="preserve">0</x:t>
        </x:is>
      </x:c>
      <x:c r="L420" s="56" t="n"/>
    </x:row>
    <x:row r="421" ht="15" customHeight="1">
      <x:c r="A421" s="55" t="inlineStr">
        <x:is>
          <x:t xml:space="preserve">hasStructurer</x:t>
        </x:is>
      </x:c>
      <x:c r="B421" s="49" t="inlineStr">
        <x:is>
          <x:t xml:space="preserve">def</x:t>
        </x:is>
      </x:c>
      <x:c r="C421" s="49" t="inlineStr">
        <x:is>
          <x:t xml:space="preserve">theophysics-lean-main\theophysics-lean-main\Theophysics_DelayedChoice.lean</x:t>
        </x:is>
      </x:c>
      <x:c r="D421" s="49" t="inlineStr">
        <x:is>
          <x:t xml:space="preserve">139</x:t>
        </x:is>
      </x:c>
      <x:c r="E421" s="49" t="inlineStr">
        <x:is>
          <x:t xml:space="preserve">DECLARATION_OR_UNKNOWN</x:t>
        </x:is>
      </x:c>
      <x:c r="F421" s="49" t="inlineStr">
        <x:is>
          <x:t xml:space="preserve">PENDING_NOT_RUN</x:t>
        </x:is>
      </x:c>
      <x:c r="G421" s="49" t="inlineStr">
        <x:is>
          <x:t xml:space="preserve">NO_SORRY_OR_ADMIT_STATIC_SCAN</x:t>
        </x:is>
      </x:c>
      <x:c r="H421" s="49" t="inlineStr">
        <x:is>
          <x:t xml:space="preserve">SCAFFOLDING_NOT_PUBLIC_COUNT</x:t>
        </x:is>
      </x:c>
      <x:c r="I421" s="49" t="inlineStr">
        <x:is>
          <x:t xml:space="preserve">0</x:t>
        </x:is>
      </x:c>
      <x:c r="L421" s="56" t="n"/>
    </x:row>
    <x:row r="422" ht="15" customHeight="1">
      <x:c r="A422" s="55" t="inlineStr">
        <x:is>
          <x:t xml:space="preserve">heavenEntryAllowed</x:t>
        </x:is>
      </x:c>
      <x:c r="B422" s="49" t="inlineStr">
        <x:is>
          <x:t xml:space="preserve">def</x:t>
        </x:is>
      </x:c>
      <x:c r="C422" s="49" t="inlineStr">
        <x:is>
          <x:t xml:space="preserve">theophysics-lean-main\theophysics-lean-main\Theophysics_Adversarial.lean</x:t>
        </x:is>
      </x:c>
      <x:c r="D422" s="49" t="inlineStr">
        <x:is>
          <x:t xml:space="preserve">289</x:t>
        </x:is>
      </x:c>
      <x:c r="E422" s="49" t="inlineStr">
        <x:is>
          <x:t xml:space="preserve">DECLARATION_OR_UNKNOWN</x:t>
        </x:is>
      </x:c>
      <x:c r="F422" s="49" t="inlineStr">
        <x:is>
          <x:t xml:space="preserve">PENDING_NOT_RUN</x:t>
        </x:is>
      </x:c>
      <x:c r="G422" s="49" t="inlineStr">
        <x:is>
          <x:t xml:space="preserve">NO_SORRY_OR_ADMIT_STATIC_SCAN</x:t>
        </x:is>
      </x:c>
      <x:c r="H422" s="49" t="inlineStr">
        <x:is>
          <x:t xml:space="preserve">SCAFFOLDING_NOT_PUBLIC_COUNT</x:t>
        </x:is>
      </x:c>
      <x:c r="I422" s="49" t="inlineStr">
        <x:is>
          <x:t xml:space="preserve">3</x:t>
        </x:is>
      </x:c>
      <x:c r="L422" s="56" t="n"/>
    </x:row>
    <x:row r="423" ht="15" customHeight="1">
      <x:c r="A423" s="55" t="inlineStr">
        <x:is>
          <x:t xml:space="preserve">heaven_is_coherent_and_eternal</x:t>
        </x:is>
      </x:c>
      <x:c r="B423" s="49" t="inlineStr">
        <x:is>
          <x:t xml:space="preserve">theorem</x:t>
        </x:is>
      </x:c>
      <x:c r="C423" s="49" t="inlineStr">
        <x:is>
          <x:t xml:space="preserve">theophysics-lean-main\theophysics-lean-main\Theophysics_Core.lean</x:t>
        </x:is>
      </x:c>
      <x:c r="D423" s="49" t="inlineStr">
        <x:is>
          <x:t xml:space="preserve">148</x:t>
        </x:is>
      </x:c>
      <x:c r="E423" s="49" t="inlineStr">
        <x:is>
          <x:t xml:space="preserve">TRIVIAL_TRUE</x:t>
        </x:is>
      </x:c>
      <x:c r="F423" s="49" t="inlineStr">
        <x:is>
          <x:t xml:space="preserve">PENDING_NOT_RUN</x:t>
        </x:is>
      </x:c>
      <x:c r="G423" s="49" t="inlineStr">
        <x:is>
          <x:t xml:space="preserve">NO_SORRY_OR_ADMIT_STATIC_SCAN</x:t>
        </x:is>
      </x:c>
      <x:c r="H423" s="49" t="inlineStr">
        <x:is>
          <x:t xml:space="preserve">LOW_CONTENT_TRUE_NOT_PUBLIC_COUNT</x:t>
        </x:is>
      </x:c>
      <x:c r="I423" s="49" t="inlineStr">
        <x:is>
          <x:t xml:space="preserve">3</x:t>
        </x:is>
      </x:c>
      <x:c r="J423" s="49" t="inlineStr">
        <x:is>
          <x:t xml:space="preserve">LEAN_DERIVATION_CHAIN:173</x:t>
        </x:is>
      </x:c>
      <x:c r="K423" s="49" t="inlineStr">
        <x:is>
          <x:t xml:space="preserve">Heaven = coherent + eternal domain. Unique characterization.</x:t>
        </x:is>
      </x:c>
      <x:c r="L423" s="56" t="n"/>
    </x:row>
    <x:row r="424" ht="15" customHeight="1">
      <x:c r="A424" s="55" t="inlineStr">
        <x:is>
          <x:t xml:space="preserve">heavisideVectorEM_invalid</x:t>
        </x:is>
      </x:c>
      <x:c r="B424" s="49" t="inlineStr">
        <x:is>
          <x:t xml:space="preserve">theorem</x:t>
        </x:is>
      </x:c>
      <x:c r="C424" s="49" t="inlineStr">
        <x:is>
          <x:t xml:space="preserve">theophysics-lean-main\theophysics-lean-main\Theophysics_Adversarial.lean</x:t>
        </x:is>
      </x:c>
      <x:c r="D424" s="49" t="inlineStr">
        <x:is>
          <x:t xml:space="preserve">453</x:t>
        </x:is>
      </x:c>
      <x:c r="E424" s="49" t="inlineStr">
        <x:is>
          <x:t xml:space="preserve">WRAPPER_OR_IMPORTED</x:t>
        </x:is>
      </x:c>
      <x:c r="F424" s="49" t="inlineStr">
        <x:is>
          <x:t xml:space="preserve">PENDING_NOT_RUN</x:t>
        </x:is>
      </x:c>
      <x:c r="G424" s="49" t="inlineStr">
        <x:is>
          <x:t xml:space="preserve">NO_SORRY_OR_ADMIT_STATIC_SCAN</x:t>
        </x:is>
      </x:c>
      <x:c r="H424" s="49" t="inlineStr">
        <x:is>
          <x:t xml:space="preserve">CANONICAL_THEOREM_DEDUPED_PENDING_COMPILE</x:t>
        </x:is>
      </x:c>
      <x:c r="I424" s="49" t="inlineStr">
        <x:is>
          <x:t xml:space="preserve">4</x:t>
        </x:is>
      </x:c>
      <x:c r="J424" s="49" t="inlineStr">
        <x:is>
          <x:t xml:space="preserve">LEAN_DERIVATION_CHAIN:102</x:t>
        </x:is>
      </x:c>
      <x:c r="K424" s="49" t="inlineStr">
        <x:is>
          <x:t xml:space="preserve">REJECTION: Heaviside EM fails — no coupling invariant</x:t>
        </x:is>
      </x:c>
      <x:c r="L424" s="56" t="inlineStr">
        <x:is>
          <x:t xml:space="preserve">heaviside_content_loss | load_bearing_controls | variable_coupling</x:t>
        </x:is>
      </x:c>
    </x:row>
    <x:row r="425" ht="15" customHeight="1">
      <x:c r="A425" s="55" t="inlineStr">
        <x:is>
          <x:t xml:space="preserve">heaviside_passes_if_coupling_guard_removed</x:t>
        </x:is>
      </x:c>
      <x:c r="B425" s="49" t="inlineStr">
        <x:is>
          <x:t xml:space="preserve">theorem</x:t>
        </x:is>
      </x:c>
      <x:c r="C425" s="49" t="inlineStr">
        <x:is>
          <x:t xml:space="preserve">theophysics-lean-main\theophysics-lean-main\Theophysics_Core.lean</x:t>
        </x:is>
      </x:c>
      <x:c r="D425" s="49" t="inlineStr">
        <x:is>
          <x:t xml:space="preserve">234</x:t>
        </x:is>
      </x:c>
      <x:c r="E425" s="49" t="inlineStr">
        <x:is>
          <x:t xml:space="preserve">TRIVIAL_TRUE</x:t>
        </x:is>
      </x:c>
      <x:c r="F425" s="49" t="inlineStr">
        <x:is>
          <x:t xml:space="preserve">PENDING_NOT_RUN</x:t>
        </x:is>
      </x:c>
      <x:c r="G425" s="49" t="inlineStr">
        <x:is>
          <x:t xml:space="preserve">NO_SORRY_OR_ADMIT_STATIC_SCAN</x:t>
        </x:is>
      </x:c>
      <x:c r="H425" s="49" t="inlineStr">
        <x:is>
          <x:t xml:space="preserve">LOW_CONTENT_TRUE_NOT_PUBLIC_COUNT</x:t>
        </x:is>
      </x:c>
      <x:c r="I425" s="49" t="inlineStr">
        <x:is>
          <x:t xml:space="preserve">3</x:t>
        </x:is>
      </x:c>
      <x:c r="L425" s="56" t="inlineStr">
        <x:is>
          <x:t xml:space="preserve">heaviside_content_loss | load_bearing_controls | variable_coupling</x:t>
        </x:is>
      </x:c>
    </x:row>
    <x:row r="426" ht="15" customHeight="1">
      <x:c r="A426" s="55" t="inlineStr">
        <x:is>
          <x:t xml:space="preserve">hiddenDenominator_blocks_anomaly_claim</x:t>
        </x:is>
      </x:c>
      <x:c r="B426" s="49" t="inlineStr">
        <x:is>
          <x:t xml:space="preserve">theorem</x:t>
        </x:is>
      </x:c>
      <x:c r="C426" s="49" t="inlineStr">
        <x:is>
          <x:t xml:space="preserve">theophysics-lean-main\theophysics-lean-main\Theophysics_Adversarial.lean</x:t>
        </x:is>
      </x:c>
      <x:c r="D426" s="49" t="inlineStr">
        <x:is>
          <x:t xml:space="preserve">569</x:t>
        </x:is>
      </x:c>
      <x:c r="E426" s="49" t="inlineStr">
        <x:is>
          <x:t xml:space="preserve">DEFINITIONAL_RFL</x:t>
        </x:is>
      </x:c>
      <x:c r="F426" s="49" t="inlineStr">
        <x:is>
          <x:t xml:space="preserve">PENDING_NOT_RUN</x:t>
        </x:is>
      </x:c>
      <x:c r="G426" s="49" t="inlineStr">
        <x:is>
          <x:t xml:space="preserve">NO_SORRY_OR_ADMIT_STATIC_SCAN</x:t>
        </x:is>
      </x:c>
      <x:c r="H426" s="49" t="inlineStr">
        <x:is>
          <x:t xml:space="preserve">CANONICAL_THEOREM_DEDUPED_PENDING_COMPILE</x:t>
        </x:is>
      </x:c>
      <x:c r="I426" s="49" t="inlineStr">
        <x:is>
          <x:t xml:space="preserve">3</x:t>
        </x:is>
      </x:c>
      <x:c r="J426" s="49" t="inlineStr">
        <x:is>
          <x:t xml:space="preserve">LEAN_DERIVATION_CHAIN:200</x:t>
        </x:is>
      </x:c>
      <x:c r="K426" s="49" t="inlineStr">
        <x:is>
          <x:t xml:space="preserve">REJECTION: Hidden failures block ANY anomaly claim. Integrity is non-negotiable.</x:t>
        </x:is>
      </x:c>
      <x:c r="L426" s="56" t="n"/>
    </x:row>
    <x:row r="427" ht="15" customHeight="1">
      <x:c r="A427" s="55" t="inlineStr">
        <x:is>
          <x:t xml:space="preserve">highSignalDeception</x:t>
        </x:is>
      </x:c>
      <x:c r="B427" s="49" t="inlineStr">
        <x:is>
          <x:t xml:space="preserve">def</x:t>
        </x:is>
      </x:c>
      <x:c r="C427" s="49" t="inlineStr">
        <x:is>
          <x:t xml:space="preserve">theophysics-lean-main\theophysics-lean-main\Theophysics_ChiEvaluator.lean</x:t>
        </x:is>
      </x:c>
      <x:c r="D427" s="49" t="inlineStr">
        <x:is>
          <x:t xml:space="preserve">218</x:t>
        </x:is>
      </x:c>
      <x:c r="E427" s="49" t="inlineStr">
        <x:is>
          <x:t xml:space="preserve">DECLARATION_OR_UNKNOWN</x:t>
        </x:is>
      </x:c>
      <x:c r="F427" s="49" t="inlineStr">
        <x:is>
          <x:t xml:space="preserve">PENDING_NOT_RUN</x:t>
        </x:is>
      </x:c>
      <x:c r="G427" s="49" t="inlineStr">
        <x:is>
          <x:t xml:space="preserve">NO_SORRY_OR_ADMIT_STATIC_SCAN</x:t>
        </x:is>
      </x:c>
      <x:c r="H427" s="49" t="inlineStr">
        <x:is>
          <x:t xml:space="preserve">SCAFFOLDING_NOT_PUBLIC_COUNT</x:t>
        </x:is>
      </x:c>
      <x:c r="I427" s="49" t="inlineStr">
        <x:is>
          <x:t xml:space="preserve">3</x:t>
        </x:is>
      </x:c>
      <x:c r="L427" s="56" t="n"/>
    </x:row>
    <x:row r="428" ht="15" customHeight="1">
      <x:c r="A428" s="55" t="inlineStr">
        <x:is>
          <x:t xml:space="preserve">highSignalLowFreedomClaim</x:t>
        </x:is>
      </x:c>
      <x:c r="B428" s="49" t="inlineStr">
        <x:is>
          <x:t xml:space="preserve">def</x:t>
        </x:is>
      </x:c>
      <x:c r="C428" s="49" t="inlineStr">
        <x:is>
          <x:t xml:space="preserve">theophysics-lean-main\theophysics-lean-main\Theophysics_ChiEvaluator.lean</x:t>
        </x:is>
      </x:c>
      <x:c r="D428" s="49" t="inlineStr">
        <x:is>
          <x:t xml:space="preserve">199</x:t>
        </x:is>
      </x:c>
      <x:c r="E428" s="49" t="inlineStr">
        <x:is>
          <x:t xml:space="preserve">DECLARATION_OR_UNKNOWN</x:t>
        </x:is>
      </x:c>
      <x:c r="F428" s="49" t="inlineStr">
        <x:is>
          <x:t xml:space="preserve">PENDING_NOT_RUN</x:t>
        </x:is>
      </x:c>
      <x:c r="G428" s="49" t="inlineStr">
        <x:is>
          <x:t xml:space="preserve">NO_SORRY_OR_ADMIT_STATIC_SCAN</x:t>
        </x:is>
      </x:c>
      <x:c r="H428" s="49" t="inlineStr">
        <x:is>
          <x:t xml:space="preserve">SCAFFOLDING_NOT_PUBLIC_COUNT</x:t>
        </x:is>
      </x:c>
      <x:c r="I428" s="49" t="inlineStr">
        <x:is>
          <x:t xml:space="preserve">3</x:t>
        </x:is>
      </x:c>
      <x:c r="L428" s="56" t="n"/>
    </x:row>
    <x:row r="429" ht="15" customHeight="1">
      <x:c r="A429" s="55" t="inlineStr">
        <x:is>
          <x:t xml:space="preserve">high_signal_low_freedom_detected</x:t>
        </x:is>
      </x:c>
      <x:c r="B429" s="49" t="inlineStr">
        <x:is>
          <x:t xml:space="preserve">theorem</x:t>
        </x:is>
      </x:c>
      <x:c r="C429" s="49" t="inlineStr">
        <x:is>
          <x:t xml:space="preserve">theophysics-lean-main\theophysics-lean-main\Theophysics_ChiEvaluator.lean</x:t>
        </x:is>
      </x:c>
      <x:c r="D429" s="49" t="inlineStr">
        <x:is>
          <x:t xml:space="preserve">277</x:t>
        </x:is>
      </x:c>
      <x:c r="E429" s="49" t="inlineStr">
        <x:is>
          <x:t xml:space="preserve">DEFINITIONAL_RFL</x:t>
        </x:is>
      </x:c>
      <x:c r="F429" s="49" t="inlineStr">
        <x:is>
          <x:t xml:space="preserve">PENDING_NOT_RUN</x:t>
        </x:is>
      </x:c>
      <x:c r="G429" s="49" t="inlineStr">
        <x:is>
          <x:t xml:space="preserve">NO_SORRY_OR_ADMIT_STATIC_SCAN</x:t>
        </x:is>
      </x:c>
      <x:c r="H429" s="49" t="inlineStr">
        <x:is>
          <x:t xml:space="preserve">CANONICAL_THEOREM_DEDUPED_PENDING_COMPILE</x:t>
        </x:is>
      </x:c>
      <x:c r="I429" s="49" t="inlineStr">
        <x:is>
          <x:t xml:space="preserve">3</x:t>
        </x:is>
      </x:c>
      <x:c r="L429" s="56" t="n"/>
    </x:row>
    <x:row r="430" ht="15" customHeight="1">
      <x:c r="A430" s="55" t="inlineStr">
        <x:is>
          <x:t xml:space="preserve">high_signal_low_freedom_not_collapsed</x:t>
        </x:is>
      </x:c>
      <x:c r="B430" s="49" t="inlineStr">
        <x:is>
          <x:t xml:space="preserve">theorem</x:t>
        </x:is>
      </x:c>
      <x:c r="C430" s="49" t="inlineStr">
        <x:is>
          <x:t xml:space="preserve">theophysics-lean-main\theophysics-lean-main\Theophysics_ChiEvaluator.lean</x:t>
        </x:is>
      </x:c>
      <x:c r="D430" s="49" t="inlineStr">
        <x:is>
          <x:t xml:space="preserve">281</x:t>
        </x:is>
      </x:c>
      <x:c r="E430" s="49" t="inlineStr">
        <x:is>
          <x:t xml:space="preserve">DEFINITIONAL_RFL</x:t>
        </x:is>
      </x:c>
      <x:c r="F430" s="49" t="inlineStr">
        <x:is>
          <x:t xml:space="preserve">PENDING_NOT_RUN</x:t>
        </x:is>
      </x:c>
      <x:c r="G430" s="49" t="inlineStr">
        <x:is>
          <x:t xml:space="preserve">NO_SORRY_OR_ADMIT_STATIC_SCAN</x:t>
        </x:is>
      </x:c>
      <x:c r="H430" s="49" t="inlineStr">
        <x:is>
          <x:t xml:space="preserve">CANONICAL_THEOREM_DEDUPED_PENDING_COMPILE</x:t>
        </x:is>
      </x:c>
      <x:c r="I430" s="49" t="inlineStr">
        <x:is>
          <x:t xml:space="preserve">3</x:t>
        </x:is>
      </x:c>
      <x:c r="L430" s="56" t="n"/>
    </x:row>
    <x:row r="431" ht="15" customHeight="1">
      <x:c r="A431" s="55" t="inlineStr">
        <x:is>
          <x:t xml:space="preserve">high_signal_low_freedom_verdict</x:t>
        </x:is>
      </x:c>
      <x:c r="B431" s="49" t="inlineStr">
        <x:is>
          <x:t xml:space="preserve">theorem</x:t>
        </x:is>
      </x:c>
      <x:c r="C431" s="49" t="inlineStr">
        <x:is>
          <x:t xml:space="preserve">theophysics-lean-main\theophysics-lean-main\Theophysics_ChiEvaluator.lean</x:t>
        </x:is>
      </x:c>
      <x:c r="D431" s="49" t="inlineStr">
        <x:is>
          <x:t xml:space="preserve">285</x:t>
        </x:is>
      </x:c>
      <x:c r="E431" s="49" t="inlineStr">
        <x:is>
          <x:t xml:space="preserve">DEFINITIONAL_RFL</x:t>
        </x:is>
      </x:c>
      <x:c r="F431" s="49" t="inlineStr">
        <x:is>
          <x:t xml:space="preserve">PENDING_NOT_RUN</x:t>
        </x:is>
      </x:c>
      <x:c r="G431" s="49" t="inlineStr">
        <x:is>
          <x:t xml:space="preserve">NO_SORRY_OR_ADMIT_STATIC_SCAN</x:t>
        </x:is>
      </x:c>
      <x:c r="H431" s="49" t="inlineStr">
        <x:is>
          <x:t xml:space="preserve">CANONICAL_THEOREM_DEDUPED_PENDING_COMPILE</x:t>
        </x:is>
      </x:c>
      <x:c r="I431" s="49" t="inlineStr">
        <x:is>
          <x:t xml:space="preserve">3</x:t>
        </x:is>
      </x:c>
      <x:c r="L431" s="56" t="n"/>
    </x:row>
    <x:row r="432" ht="15" customHeight="1">
      <x:c r="A432" s="55" t="inlineStr">
        <x:is>
          <x:t xml:space="preserve">hope</x:t>
        </x:is>
      </x:c>
      <x:c r="B432" s="49" t="inlineStr">
        <x:is>
          <x:t xml:space="preserve">def</x:t>
        </x:is>
      </x:c>
      <x:c r="C432" s="49" t="inlineStr">
        <x:is>
          <x:t xml:space="preserve">theophysics-lean-main\theophysics-lean-main\Theophysics_Canonization.lean</x:t>
        </x:is>
      </x:c>
      <x:c r="D432" s="49" t="inlineStr">
        <x:is>
          <x:t xml:space="preserve">592</x:t>
        </x:is>
      </x:c>
      <x:c r="E432" s="49" t="inlineStr">
        <x:is>
          <x:t xml:space="preserve">DECLARATION_OR_UNKNOWN</x:t>
        </x:is>
      </x:c>
      <x:c r="F432" s="49" t="inlineStr">
        <x:is>
          <x:t xml:space="preserve">PENDING_NOT_RUN</x:t>
        </x:is>
      </x:c>
      <x:c r="G432" s="49" t="inlineStr">
        <x:is>
          <x:t xml:space="preserve">NO_SORRY_OR_ADMIT_STATIC_SCAN</x:t>
        </x:is>
      </x:c>
      <x:c r="H432" s="49" t="inlineStr">
        <x:is>
          <x:t xml:space="preserve">SCAFFOLDING_NOT_PUBLIC_COUNT</x:t>
        </x:is>
      </x:c>
      <x:c r="I432" s="49" t="inlineStr">
        <x:is>
          <x:t xml:space="preserve">0</x:t>
        </x:is>
      </x:c>
      <x:c r="L432" s="56" t="n"/>
    </x:row>
    <x:row r="433" ht="15" customHeight="1">
      <x:c r="A433" s="55" t="inlineStr">
        <x:is>
          <x:t xml:space="preserve">human_third_party_fails_authority_and_capacity</x:t>
        </x:is>
      </x:c>
      <x:c r="B433" s="49" t="inlineStr">
        <x:is>
          <x:t xml:space="preserve">theorem</x:t>
        </x:is>
      </x:c>
      <x:c r="C433" s="49" t="inlineStr">
        <x:is>
          <x:t xml:space="preserve">theophysics-lean-main\theophysics-lean-main\Theophysics_Adversarial.lean</x:t>
        </x:is>
      </x:c>
      <x:c r="D433" s="49" t="inlineStr">
        <x:is>
          <x:t xml:space="preserve">478</x:t>
        </x:is>
      </x:c>
      <x:c r="E433" s="49" t="inlineStr">
        <x:is>
          <x:t xml:space="preserve">DEFINITIONAL_RFL</x:t>
        </x:is>
      </x:c>
      <x:c r="F433" s="49" t="inlineStr">
        <x:is>
          <x:t xml:space="preserve">PENDING_NOT_RUN</x:t>
        </x:is>
      </x:c>
      <x:c r="G433" s="49" t="inlineStr">
        <x:is>
          <x:t xml:space="preserve">NO_SORRY_OR_ADMIT_STATIC_SCAN</x:t>
        </x:is>
      </x:c>
      <x:c r="H433" s="49" t="inlineStr">
        <x:is>
          <x:t xml:space="preserve">CANONICAL_THEOREM_DEDUPED_PENDING_COMPILE</x:t>
        </x:is>
      </x:c>
      <x:c r="I433" s="49" t="inlineStr">
        <x:is>
          <x:t xml:space="preserve">3</x:t>
        </x:is>
      </x:c>
      <x:c r="J433" s="49" t="inlineStr">
        <x:is>
          <x:t xml:space="preserve">LEAN_DERIVATION_CHAIN:116</x:t>
        </x:is>
      </x:c>
      <x:c r="K433" s="49" t="inlineStr">
        <x:is>
          <x:t xml:space="preserve">REJECTION: Human third party fails authority + universality</x:t>
        </x:is>
      </x:c>
      <x:c r="L433" s="56" t="n"/>
    </x:row>
    <x:row r="434" ht="15" customHeight="1">
      <x:c r="A434" s="55" t="inlineStr">
        <x:is>
          <x:t xml:space="preserve">identity_replacement_fails</x:t>
        </x:is>
      </x:c>
      <x:c r="B434" s="49" t="inlineStr">
        <x:is>
          <x:t xml:space="preserve">theorem</x:t>
        </x:is>
      </x:c>
      <x:c r="C434" s="49" t="inlineStr">
        <x:is>
          <x:t xml:space="preserve">theophysics-lean-main\theophysics-lean-main\Theophysics_GodTest.lean</x:t>
        </x:is>
      </x:c>
      <x:c r="D434" s="49" t="inlineStr">
        <x:is>
          <x:t xml:space="preserve">254</x:t>
        </x:is>
      </x:c>
      <x:c r="E434" s="49" t="inlineStr">
        <x:is>
          <x:t xml:space="preserve">DEFINITIONAL_RFL</x:t>
        </x:is>
      </x:c>
      <x:c r="F434" s="49" t="inlineStr">
        <x:is>
          <x:t xml:space="preserve">PENDING_NOT_RUN</x:t>
        </x:is>
      </x:c>
      <x:c r="G434" s="49" t="inlineStr">
        <x:is>
          <x:t xml:space="preserve">NO_SORRY_OR_ADMIT_STATIC_SCAN</x:t>
        </x:is>
      </x:c>
      <x:c r="H434" s="49" t="inlineStr">
        <x:is>
          <x:t xml:space="preserve">UNIQUE_THEOREM_PENDING_COMPILE</x:t>
        </x:is>
      </x:c>
      <x:c r="I434" s="49" t="inlineStr">
        <x:is>
          <x:t xml:space="preserve">0</x:t>
        </x:is>
      </x:c>
      <x:c r="L434" s="56" t="n"/>
    </x:row>
    <x:row r="435" ht="15" customHeight="1">
      <x:c r="A435" s="55" t="inlineStr">
        <x:is>
          <x:t xml:space="preserve">impersonal_law_fails</x:t>
        </x:is>
      </x:c>
      <x:c r="B435" s="49" t="inlineStr">
        <x:is>
          <x:t xml:space="preserve">theorem</x:t>
        </x:is>
      </x:c>
      <x:c r="C435" s="49" t="inlineStr">
        <x:is>
          <x:t xml:space="preserve">theophysics-lean-main\theophysics-lean-main\Theophysics_GodTest.lean</x:t>
        </x:is>
      </x:c>
      <x:c r="D435" s="49" t="inlineStr">
        <x:is>
          <x:t xml:space="preserve">262</x:t>
        </x:is>
      </x:c>
      <x:c r="E435" s="49" t="inlineStr">
        <x:is>
          <x:t xml:space="preserve">DEFINITIONAL_RFL</x:t>
        </x:is>
      </x:c>
      <x:c r="F435" s="49" t="inlineStr">
        <x:is>
          <x:t xml:space="preserve">PENDING_NOT_RUN</x:t>
        </x:is>
      </x:c>
      <x:c r="G435" s="49" t="inlineStr">
        <x:is>
          <x:t xml:space="preserve">NO_SORRY_OR_ADMIT_STATIC_SCAN</x:t>
        </x:is>
      </x:c>
      <x:c r="H435" s="49" t="inlineStr">
        <x:is>
          <x:t xml:space="preserve">UNIQUE_THEOREM_PENDING_COMPILE</x:t>
        </x:is>
      </x:c>
      <x:c r="I435" s="49" t="inlineStr">
        <x:is>
          <x:t xml:space="preserve">0</x:t>
        </x:is>
      </x:c>
      <x:c r="L435" s="56" t="n"/>
    </x:row>
    <x:row r="436" ht="15" customHeight="1">
      <x:c r="A436" s="55" t="inlineStr">
        <x:is>
          <x:t xml:space="preserve">incarnation_is_finite_compression</x:t>
        </x:is>
      </x:c>
      <x:c r="B436" s="49" t="inlineStr">
        <x:is>
          <x:t xml:space="preserve">theorem</x:t>
        </x:is>
      </x:c>
      <x:c r="C436" s="49" t="inlineStr">
        <x:is>
          <x:t xml:space="preserve">theophysics-lean-main\theophysics-lean-main\Theophysics_Core.lean</x:t>
        </x:is>
      </x:c>
      <x:c r="D436" s="49" t="inlineStr">
        <x:is>
          <x:t xml:space="preserve">142</x:t>
        </x:is>
      </x:c>
      <x:c r="E436" s="49" t="inlineStr">
        <x:is>
          <x:t xml:space="preserve">TRIVIAL_TRUE</x:t>
        </x:is>
      </x:c>
      <x:c r="F436" s="49" t="inlineStr">
        <x:is>
          <x:t xml:space="preserve">PENDING_NOT_RUN</x:t>
        </x:is>
      </x:c>
      <x:c r="G436" s="49" t="inlineStr">
        <x:is>
          <x:t xml:space="preserve">NO_SORRY_OR_ADMIT_STATIC_SCAN</x:t>
        </x:is>
      </x:c>
      <x:c r="H436" s="49" t="inlineStr">
        <x:is>
          <x:t xml:space="preserve">LOW_CONTENT_TRUE_NOT_PUBLIC_COUNT</x:t>
        </x:is>
      </x:c>
      <x:c r="I436" s="49" t="inlineStr">
        <x:is>
          <x:t xml:space="preserve">3</x:t>
        </x:is>
      </x:c>
      <x:c r="J436" s="49" t="inlineStr">
        <x:is>
          <x:t xml:space="preserve">LEAN_DERIVATION_CHAIN:156</x:t>
        </x:is>
      </x:c>
      <x:c r="K436" s="49" t="inlineStr">
        <x:is>
          <x:t xml:space="preserve">Incarnation = resolution drops from infinite to finite</x:t>
        </x:is>
      </x:c>
      <x:c r="L436" s="56" t="n"/>
    </x:row>
    <x:row r="437" ht="15" customHeight="1">
      <x:c r="A437" s="55" t="inlineStr">
        <x:is>
          <x:t xml:space="preserve">incarnation_preserves_substrate_identity</x:t>
        </x:is>
      </x:c>
      <x:c r="B437" s="49" t="inlineStr">
        <x:is>
          <x:t xml:space="preserve">theorem</x:t>
        </x:is>
      </x:c>
      <x:c r="C437" s="49" t="inlineStr">
        <x:is>
          <x:t xml:space="preserve">theophysics-lean-main\theophysics-lean-main\Theophysics_Core.lean</x:t>
        </x:is>
      </x:c>
      <x:c r="D437" s="49" t="inlineStr">
        <x:is>
          <x:t xml:space="preserve">143</x:t>
        </x:is>
      </x:c>
      <x:c r="E437" s="49" t="inlineStr">
        <x:is>
          <x:t xml:space="preserve">TRIVIAL_TRUE</x:t>
        </x:is>
      </x:c>
      <x:c r="F437" s="49" t="inlineStr">
        <x:is>
          <x:t xml:space="preserve">PENDING_NOT_RUN</x:t>
        </x:is>
      </x:c>
      <x:c r="G437" s="49" t="inlineStr">
        <x:is>
          <x:t xml:space="preserve">NO_SORRY_OR_ADMIT_STATIC_SCAN</x:t>
        </x:is>
      </x:c>
      <x:c r="H437" s="49" t="inlineStr">
        <x:is>
          <x:t xml:space="preserve">LOW_CONTENT_TRUE_NOT_PUBLIC_COUNT</x:t>
        </x:is>
      </x:c>
      <x:c r="I437" s="49" t="inlineStr">
        <x:is>
          <x:t xml:space="preserve">3</x:t>
        </x:is>
      </x:c>
      <x:c r="J437" s="49" t="inlineStr">
        <x:is>
          <x:t xml:space="preserve">LEAN_DERIVATION_CHAIN:153</x:t>
        </x:is>
      </x:c>
      <x:c r="K437" s="49" t="inlineStr">
        <x:is>
          <x:t xml:space="preserve">Substrate ID unchanged through incarnation</x:t>
        </x:is>
      </x:c>
      <x:c r="L437" s="56" t="n"/>
    </x:row>
    <x:row r="438" ht="15" customHeight="1">
      <x:c r="A438" s="55" t="inlineStr">
        <x:is>
          <x:t xml:space="preserve">incoherent_recorded_memory_fails_only_final_retention</x:t>
        </x:is>
      </x:c>
      <x:c r="B438" s="49" t="inlineStr">
        <x:is>
          <x:t xml:space="preserve">theorem</x:t>
        </x:is>
      </x:c>
      <x:c r="C438" s="49" t="inlineStr">
        <x:is>
          <x:t xml:space="preserve">theophysics-lean-main\theophysics-lean-main\Theophysics_Core.lean</x:t>
        </x:is>
      </x:c>
      <x:c r="D438" s="49" t="inlineStr">
        <x:is>
          <x:t xml:space="preserve">149</x:t>
        </x:is>
      </x:c>
      <x:c r="E438" s="49" t="inlineStr">
        <x:is>
          <x:t xml:space="preserve">TRIVIAL_TRUE</x:t>
        </x:is>
      </x:c>
      <x:c r="F438" s="49" t="inlineStr">
        <x:is>
          <x:t xml:space="preserve">PENDING_NOT_RUN</x:t>
        </x:is>
      </x:c>
      <x:c r="G438" s="49" t="inlineStr">
        <x:is>
          <x:t xml:space="preserve">NO_SORRY_OR_ADMIT_STATIC_SCAN</x:t>
        </x:is>
      </x:c>
      <x:c r="H438" s="49" t="inlineStr">
        <x:is>
          <x:t xml:space="preserve">LOW_CONTENT_TRUE_NOT_PUBLIC_COUNT</x:t>
        </x:is>
      </x:c>
      <x:c r="I438" s="49" t="inlineStr">
        <x:is>
          <x:t xml:space="preserve">3</x:t>
        </x:is>
      </x:c>
      <x:c r="J438" s="49" t="inlineStr">
        <x:is>
          <x:t xml:space="preserve">LEAN_DERIVATION_CHAIN:169</x:t>
        </x:is>
      </x:c>
      <x:c r="K438" s="49" t="inlineStr">
        <x:is>
          <x:t xml:space="preserve">Accessible during life but filtered at death. Living memory ≠ final identity.</x:t>
        </x:is>
      </x:c>
      <x:c r="L438" s="56" t="n"/>
    </x:row>
    <x:row r="439" ht="15" customHeight="1">
      <x:c r="A439" s="55" t="inlineStr">
        <x:is>
          <x:t xml:space="preserve">incoherent_recorded_memory_not_retained</x:t>
        </x:is>
      </x:c>
      <x:c r="B439" s="49" t="inlineStr">
        <x:is>
          <x:t xml:space="preserve">theorem</x:t>
        </x:is>
      </x:c>
      <x:c r="C439" s="49" t="inlineStr">
        <x:is>
          <x:t xml:space="preserve">theophysics-lean-main\theophysics-lean-main\Theophysics_Adversarial.lean</x:t>
        </x:is>
      </x:c>
      <x:c r="D439" s="49" t="inlineStr">
        <x:is>
          <x:t xml:space="preserve">528</x:t>
        </x:is>
      </x:c>
      <x:c r="E439" s="49" t="inlineStr">
        <x:is>
          <x:t xml:space="preserve">DEFINITIONAL_RFL</x:t>
        </x:is>
      </x:c>
      <x:c r="F439" s="49" t="inlineStr">
        <x:is>
          <x:t xml:space="preserve">PENDING_NOT_RUN</x:t>
        </x:is>
      </x:c>
      <x:c r="G439" s="49" t="inlineStr">
        <x:is>
          <x:t xml:space="preserve">NO_SORRY_OR_ADMIT_STATIC_SCAN</x:t>
        </x:is>
      </x:c>
      <x:c r="H439" s="49" t="inlineStr">
        <x:is>
          <x:t xml:space="preserve">CANONICAL_THEOREM_DEDUPED_PENDING_COMPILE</x:t>
        </x:is>
      </x:c>
      <x:c r="I439" s="49" t="inlineStr">
        <x:is>
          <x:t xml:space="preserve">3</x:t>
        </x:is>
      </x:c>
      <x:c r="J439" s="49" t="inlineStr">
        <x:is>
          <x:t xml:space="preserve">LEAN_DERIVATION_CHAIN:166</x:t>
        </x:is>
      </x:c>
      <x:c r="K439" s="49" t="inlineStr">
        <x:is>
          <x:t xml:space="preserve">REJECTION: Recorded but incoherent → retention bit = 0. Record alone is insufficient.</x:t>
        </x:is>
      </x:c>
      <x:c r="L439" s="56" t="n"/>
    </x:row>
    <x:row r="440" ht="15" customHeight="1">
      <x:c r="A440" s="55" t="inlineStr">
        <x:is>
          <x:t xml:space="preserve">indeterminateOnly</x:t>
        </x:is>
      </x:c>
      <x:c r="B440" s="49" t="inlineStr">
        <x:is>
          <x:t xml:space="preserve">def</x:t>
        </x:is>
      </x:c>
      <x:c r="C440" s="49" t="inlineStr">
        <x:is>
          <x:t xml:space="preserve">theophysics-lean-main\theophysics-lean-main\Theophysics_Fracture.lean</x:t>
        </x:is>
      </x:c>
      <x:c r="D440" s="49" t="inlineStr">
        <x:is>
          <x:t xml:space="preserve">81</x:t>
        </x:is>
      </x:c>
      <x:c r="E440" s="49" t="inlineStr">
        <x:is>
          <x:t xml:space="preserve">DECLARATION_OR_UNKNOWN</x:t>
        </x:is>
      </x:c>
      <x:c r="F440" s="49" t="inlineStr">
        <x:is>
          <x:t xml:space="preserve">PENDING_NOT_RUN</x:t>
        </x:is>
      </x:c>
      <x:c r="G440" s="49" t="inlineStr">
        <x:is>
          <x:t xml:space="preserve">NO_SORRY_OR_ADMIT_STATIC_SCAN</x:t>
        </x:is>
      </x:c>
      <x:c r="H440" s="49" t="inlineStr">
        <x:is>
          <x:t xml:space="preserve">SCAFFOLDING_NOT_PUBLIC_COUNT</x:t>
        </x:is>
      </x:c>
      <x:c r="I440" s="49" t="inlineStr">
        <x:is>
          <x:t xml:space="preserve">3</x:t>
        </x:is>
      </x:c>
      <x:c r="L440" s="56" t="n"/>
    </x:row>
    <x:row r="441" ht="15" customHeight="1">
      <x:c r="A441" s="55" t="inlineStr">
        <x:is>
          <x:t xml:space="preserve">inferTwoPointGradient</x:t>
        </x:is>
      </x:c>
      <x:c r="B441" s="49" t="inlineStr">
        <x:is>
          <x:t xml:space="preserve">def</x:t>
        </x:is>
      </x:c>
      <x:c r="C441" s="49" t="inlineStr">
        <x:is>
          <x:t xml:space="preserve">theophysics-lean-main\theophysics-lean-main\Theophysics_ChiEvaluator.lean</x:t>
        </x:is>
      </x:c>
      <x:c r="D441" s="49" t="inlineStr">
        <x:is>
          <x:t xml:space="preserve">300</x:t>
        </x:is>
      </x:c>
      <x:c r="E441" s="49" t="inlineStr">
        <x:is>
          <x:t xml:space="preserve">DECLARATION_OR_UNKNOWN</x:t>
        </x:is>
      </x:c>
      <x:c r="F441" s="49" t="inlineStr">
        <x:is>
          <x:t xml:space="preserve">PENDING_NOT_RUN</x:t>
        </x:is>
      </x:c>
      <x:c r="G441" s="49" t="inlineStr">
        <x:is>
          <x:t xml:space="preserve">NO_SORRY_OR_ADMIT_STATIC_SCAN</x:t>
        </x:is>
      </x:c>
      <x:c r="H441" s="49" t="inlineStr">
        <x:is>
          <x:t xml:space="preserve">SCAFFOLDING_NOT_PUBLIC_COUNT</x:t>
        </x:is>
      </x:c>
      <x:c r="I441" s="49" t="inlineStr">
        <x:is>
          <x:t xml:space="preserve">3</x:t>
        </x:is>
      </x:c>
      <x:c r="L441" s="56" t="n"/>
    </x:row>
    <x:row r="442" ht="15" customHeight="1">
      <x:c r="A442" s="55" t="inlineStr">
        <x:is>
          <x:t xml:space="preserve">inferVerdict</x:t>
        </x:is>
      </x:c>
      <x:c r="B442" s="49" t="inlineStr">
        <x:is>
          <x:t xml:space="preserve">def</x:t>
        </x:is>
      </x:c>
      <x:c r="C442" s="49" t="inlineStr">
        <x:is>
          <x:t xml:space="preserve">theophysics-lean-main\theophysics-lean-main\Theophysics_ChiEvaluator.lean</x:t>
        </x:is>
      </x:c>
      <x:c r="D442" s="49" t="inlineStr">
        <x:is>
          <x:t xml:space="preserve">224</x:t>
        </x:is>
      </x:c>
      <x:c r="E442" s="49" t="inlineStr">
        <x:is>
          <x:t xml:space="preserve">DECLARATION_OR_UNKNOWN</x:t>
        </x:is>
      </x:c>
      <x:c r="F442" s="49" t="inlineStr">
        <x:is>
          <x:t xml:space="preserve">PENDING_NOT_RUN</x:t>
        </x:is>
      </x:c>
      <x:c r="G442" s="49" t="inlineStr">
        <x:is>
          <x:t xml:space="preserve">NO_SORRY_OR_ADMIT_STATIC_SCAN</x:t>
        </x:is>
      </x:c>
      <x:c r="H442" s="49" t="inlineStr">
        <x:is>
          <x:t xml:space="preserve">SCAFFOLDING_NOT_PUBLIC_COUNT</x:t>
        </x:is>
      </x:c>
      <x:c r="I442" s="49" t="inlineStr">
        <x:is>
          <x:t xml:space="preserve">3</x:t>
        </x:is>
      </x:c>
      <x:c r="L442" s="56" t="n"/>
    </x:row>
    <x:row r="443" ht="15" customHeight="1">
      <x:c r="A443" s="55" t="inlineStr">
        <x:is>
          <x:t xml:space="preserve">informationTheorySignature</x:t>
        </x:is>
      </x:c>
      <x:c r="B443" s="49" t="inlineStr">
        <x:is>
          <x:t xml:space="preserve">def</x:t>
        </x:is>
      </x:c>
      <x:c r="C443" s="49" t="inlineStr">
        <x:is>
          <x:t xml:space="preserve">theophysics-lean-main\theophysics-lean-main\Theophysics_Universality.lean</x:t>
        </x:is>
      </x:c>
      <x:c r="D443" s="49" t="inlineStr">
        <x:is>
          <x:t xml:space="preserve">83</x:t>
        </x:is>
      </x:c>
      <x:c r="E443" s="49" t="inlineStr">
        <x:is>
          <x:t xml:space="preserve">DECLARATION_OR_UNKNOWN</x:t>
        </x:is>
      </x:c>
      <x:c r="F443" s="49" t="inlineStr">
        <x:is>
          <x:t xml:space="preserve">PENDING_NOT_RUN</x:t>
        </x:is>
      </x:c>
      <x:c r="G443" s="49" t="inlineStr">
        <x:is>
          <x:t xml:space="preserve">NO_SORRY_OR_ADMIT_STATIC_SCAN</x:t>
        </x:is>
      </x:c>
      <x:c r="H443" s="49" t="inlineStr">
        <x:is>
          <x:t xml:space="preserve">SCAFFOLDING_NOT_PUBLIC_COUNT</x:t>
        </x:is>
      </x:c>
      <x:c r="I443" s="49" t="inlineStr">
        <x:is>
          <x:t xml:space="preserve">0</x:t>
        </x:is>
      </x:c>
      <x:c r="L443" s="56" t="n"/>
    </x:row>
    <x:row r="444" ht="15" customHeight="1">
      <x:c r="A444" s="55" t="inlineStr">
        <x:is>
          <x:t xml:space="preserve">information_control_biology_same_cd_class</x:t>
        </x:is>
      </x:c>
      <x:c r="B444" s="49" t="inlineStr">
        <x:is>
          <x:t xml:space="preserve">theorem</x:t>
        </x:is>
      </x:c>
      <x:c r="C444" s="49" t="inlineStr">
        <x:is>
          <x:t xml:space="preserve">theophysics-lean-main\theophysics-lean-main\Theophysics_Universality.lean</x:t>
        </x:is>
      </x:c>
      <x:c r="D444" s="49" t="inlineStr">
        <x:is>
          <x:t xml:space="preserve">289</x:t>
        </x:is>
      </x:c>
      <x:c r="E444" s="49" t="inlineStr">
        <x:is>
          <x:t xml:space="preserve">WRAPPER_OR_IMPORTED</x:t>
        </x:is>
      </x:c>
      <x:c r="F444" s="49" t="inlineStr">
        <x:is>
          <x:t xml:space="preserve">PENDING_NOT_RUN</x:t>
        </x:is>
      </x:c>
      <x:c r="G444" s="49" t="inlineStr">
        <x:is>
          <x:t xml:space="preserve">NO_SORRY_OR_ADMIT_STATIC_SCAN</x:t>
        </x:is>
      </x:c>
      <x:c r="H444" s="49" t="inlineStr">
        <x:is>
          <x:t xml:space="preserve">UNIQUE_THEOREM_PENDING_COMPILE</x:t>
        </x:is>
      </x:c>
      <x:c r="I444" s="49" t="inlineStr">
        <x:is>
          <x:t xml:space="preserve">0</x:t>
        </x:is>
      </x:c>
      <x:c r="L444" s="56" t="n"/>
    </x:row>
    <x:row r="445" ht="15" customHeight="1">
      <x:c r="A445" s="55" t="inlineStr">
        <x:is>
          <x:t xml:space="preserve">information_theory_is_strong_cd_class</x:t>
        </x:is>
      </x:c>
      <x:c r="B445" s="49" t="inlineStr">
        <x:is>
          <x:t xml:space="preserve">theorem</x:t>
        </x:is>
      </x:c>
      <x:c r="C445" s="49" t="inlineStr">
        <x:is>
          <x:t xml:space="preserve">theophysics-lean-main\theophysics-lean-main\Theophysics_Universality.lean</x:t>
        </x:is>
      </x:c>
      <x:c r="D445" s="49" t="inlineStr">
        <x:is>
          <x:t xml:space="preserve">233</x:t>
        </x:is>
      </x:c>
      <x:c r="E445" s="49" t="inlineStr">
        <x:is>
          <x:t xml:space="preserve">DEFINITIONAL_RFL</x:t>
        </x:is>
      </x:c>
      <x:c r="F445" s="49" t="inlineStr">
        <x:is>
          <x:t xml:space="preserve">PENDING_NOT_RUN</x:t>
        </x:is>
      </x:c>
      <x:c r="G445" s="49" t="inlineStr">
        <x:is>
          <x:t xml:space="preserve">NO_SORRY_OR_ADMIT_STATIC_SCAN</x:t>
        </x:is>
      </x:c>
      <x:c r="H445" s="49" t="inlineStr">
        <x:is>
          <x:t xml:space="preserve">UNIQUE_THEOREM_PENDING_COMPILE</x:t>
        </x:is>
      </x:c>
      <x:c r="I445" s="49" t="inlineStr">
        <x:is>
          <x:t xml:space="preserve">0</x:t>
        </x:is>
      </x:c>
      <x:c r="L445" s="56" t="n"/>
    </x:row>
    <x:row r="446" ht="15" customHeight="1">
      <x:c r="A446" s="55" t="inlineStr">
        <x:is>
          <x:t xml:space="preserve">invertedMappingPreservesValue</x:t>
        </x:is>
      </x:c>
      <x:c r="B446" s="49" t="inlineStr">
        <x:is>
          <x:t xml:space="preserve">def</x:t>
        </x:is>
      </x:c>
      <x:c r="C446" s="49" t="inlineStr">
        <x:is>
          <x:t xml:space="preserve">theophysics-lean-main\theophysics-lean-main\Theophysics_Adversarial.lean</x:t>
        </x:is>
      </x:c>
      <x:c r="D446" s="49" t="inlineStr">
        <x:is>
          <x:t xml:space="preserve">235</x:t>
        </x:is>
      </x:c>
      <x:c r="E446" s="49" t="inlineStr">
        <x:is>
          <x:t xml:space="preserve">DECLARATION_OR_UNKNOWN</x:t>
        </x:is>
      </x:c>
      <x:c r="F446" s="49" t="inlineStr">
        <x:is>
          <x:t xml:space="preserve">PENDING_NOT_RUN</x:t>
        </x:is>
      </x:c>
      <x:c r="G446" s="49" t="inlineStr">
        <x:is>
          <x:t xml:space="preserve">NO_SORRY_OR_ADMIT_STATIC_SCAN</x:t>
        </x:is>
      </x:c>
      <x:c r="H446" s="49" t="inlineStr">
        <x:is>
          <x:t xml:space="preserve">SCAFFOLDING_NOT_PUBLIC_COUNT</x:t>
        </x:is>
      </x:c>
      <x:c r="I446" s="49" t="inlineStr">
        <x:is>
          <x:t xml:space="preserve">3</x:t>
        </x:is>
      </x:c>
      <x:c r="L446" s="56" t="n"/>
    </x:row>
    <x:row r="447" ht="15" customHeight="1">
      <x:c r="A447" s="55" t="inlineStr">
        <x:is>
          <x:t xml:space="preserve">inverted_mapping_does_not_preserve_value</x:t>
        </x:is>
      </x:c>
      <x:c r="B447" s="49" t="inlineStr">
        <x:is>
          <x:t xml:space="preserve">theorem</x:t>
        </x:is>
      </x:c>
      <x:c r="C447" s="49" t="inlineStr">
        <x:is>
          <x:t xml:space="preserve">theophysics-lean-main\theophysics-lean-main\Theophysics_Adversarial.lean</x:t>
        </x:is>
      </x:c>
      <x:c r="D447" s="49" t="inlineStr">
        <x:is>
          <x:t xml:space="preserve">432</x:t>
        </x:is>
      </x:c>
      <x:c r="E447" s="49" t="inlineStr">
        <x:is>
          <x:t xml:space="preserve">DEFINITIONAL_RFL</x:t>
        </x:is>
      </x:c>
      <x:c r="F447" s="49" t="inlineStr">
        <x:is>
          <x:t xml:space="preserve">PENDING_NOT_RUN</x:t>
        </x:is>
      </x:c>
      <x:c r="G447" s="49" t="inlineStr">
        <x:is>
          <x:t xml:space="preserve">NO_SORRY_OR_ADMIT_STATIC_SCAN</x:t>
        </x:is>
      </x:c>
      <x:c r="H447" s="49" t="inlineStr">
        <x:is>
          <x:t xml:space="preserve">CANONICAL_THEOREM_DEDUPED_PENDING_COMPILE</x:t>
        </x:is>
      </x:c>
      <x:c r="I447" s="49" t="inlineStr">
        <x:is>
          <x:t xml:space="preserve">3</x:t>
        </x:is>
      </x:c>
      <x:c r="J447" s="49" t="inlineStr">
        <x:is>
          <x:t xml:space="preserve">LEAN_DERIVATION_CHAIN:91</x:t>
        </x:is>
      </x:c>
      <x:c r="K447" s="49" t="inlineStr">
        <x:is>
          <x:t xml:space="preserve">REJECTION: bound→liberation fails value preservation</x:t>
        </x:is>
      </x:c>
      <x:c r="L447" s="56" t="n"/>
    </x:row>
    <x:row r="448" ht="15" customHeight="1">
      <x:c r="A448" s="55" t="inlineStr">
        <x:is>
          <x:t xml:space="preserve">isActiveDiscoherence</x:t>
        </x:is>
      </x:c>
      <x:c r="B448" s="49" t="inlineStr">
        <x:is>
          <x:t xml:space="preserve">def</x:t>
        </x:is>
      </x:c>
      <x:c r="C448" s="49" t="inlineStr">
        <x:is>
          <x:t xml:space="preserve">theophysics-lean-main\theophysics-lean-main\Theophysics_Coherence.lean</x:t>
        </x:is>
      </x:c>
      <x:c r="D448" s="49" t="inlineStr">
        <x:is>
          <x:t xml:space="preserve">110</x:t>
        </x:is>
      </x:c>
      <x:c r="E448" s="49" t="inlineStr">
        <x:is>
          <x:t xml:space="preserve">DECLARATION_OR_UNKNOWN</x:t>
        </x:is>
      </x:c>
      <x:c r="F448" s="49" t="inlineStr">
        <x:is>
          <x:t xml:space="preserve">PENDING_NOT_RUN</x:t>
        </x:is>
      </x:c>
      <x:c r="G448" s="49" t="inlineStr">
        <x:is>
          <x:t xml:space="preserve">NO_SORRY_OR_ADMIT_STATIC_SCAN</x:t>
        </x:is>
      </x:c>
      <x:c r="H448" s="49" t="inlineStr">
        <x:is>
          <x:t xml:space="preserve">SCAFFOLDING_NOT_PUBLIC_COUNT</x:t>
        </x:is>
      </x:c>
      <x:c r="I448" s="49" t="inlineStr">
        <x:is>
          <x:t xml:space="preserve">3</x:t>
        </x:is>
      </x:c>
      <x:c r="L448" s="56" t="n"/>
    </x:row>
    <x:row r="449" ht="15" customHeight="1">
      <x:c r="A449" s="55" t="inlineStr">
        <x:is>
          <x:t xml:space="preserve">isActiveSpeaker</x:t>
        </x:is>
      </x:c>
      <x:c r="B449" s="49" t="inlineStr">
        <x:is>
          <x:t xml:space="preserve">def</x:t>
        </x:is>
      </x:c>
      <x:c r="C449" s="49" t="inlineStr">
        <x:is>
          <x:t xml:space="preserve">theophysics-lean-main\theophysics-lean-main\Theophysics_Canonization.lean</x:t>
        </x:is>
      </x:c>
      <x:c r="D449" s="49" t="inlineStr">
        <x:is>
          <x:t xml:space="preserve">327</x:t>
        </x:is>
      </x:c>
      <x:c r="E449" s="49" t="inlineStr">
        <x:is>
          <x:t xml:space="preserve">DECLARATION_OR_UNKNOWN</x:t>
        </x:is>
      </x:c>
      <x:c r="F449" s="49" t="inlineStr">
        <x:is>
          <x:t xml:space="preserve">PENDING_NOT_RUN</x:t>
        </x:is>
      </x:c>
      <x:c r="G449" s="49" t="inlineStr">
        <x:is>
          <x:t xml:space="preserve">NO_SORRY_OR_ADMIT_STATIC_SCAN</x:t>
        </x:is>
      </x:c>
      <x:c r="H449" s="49" t="inlineStr">
        <x:is>
          <x:t xml:space="preserve">SCAFFOLDING_NOT_PUBLIC_COUNT</x:t>
        </x:is>
      </x:c>
      <x:c r="I449" s="49" t="inlineStr">
        <x:is>
          <x:t xml:space="preserve">0</x:t>
        </x:is>
      </x:c>
      <x:c r="L449" s="56" t="n"/>
    </x:row>
    <x:row r="450" ht="15" customHeight="1">
      <x:c r="A450" s="55" t="inlineStr">
        <x:is>
          <x:t xml:space="preserve">isCross</x:t>
        </x:is>
      </x:c>
      <x:c r="B450" s="49" t="inlineStr">
        <x:is>
          <x:t xml:space="preserve">def</x:t>
        </x:is>
      </x:c>
      <x:c r="C450" s="49" t="inlineStr">
        <x:is>
          <x:t xml:space="preserve">theophysics-lean-main\theophysics-lean-main\Final_Lean4_From_Excel.lean</x:t>
        </x:is>
      </x:c>
      <x:c r="D450" s="49" t="inlineStr">
        <x:is>
          <x:t xml:space="preserve">298</x:t>
        </x:is>
      </x:c>
      <x:c r="E450" s="49" t="inlineStr">
        <x:is>
          <x:t xml:space="preserve">DECLARATION_OR_UNKNOWN</x:t>
        </x:is>
      </x:c>
      <x:c r="F450" s="49" t="inlineStr">
        <x:is>
          <x:t xml:space="preserve">PENDING_NOT_RUN</x:t>
        </x:is>
      </x:c>
      <x:c r="G450" s="49" t="inlineStr">
        <x:is>
          <x:t xml:space="preserve">NO_SORRY_OR_ADMIT_STATIC_SCAN</x:t>
        </x:is>
      </x:c>
      <x:c r="H450" s="49" t="inlineStr">
        <x:is>
          <x:t xml:space="preserve">SCAFFOLDING_NOT_PUBLIC_COUNT</x:t>
        </x:is>
      </x:c>
      <x:c r="I450" s="49" t="inlineStr">
        <x:is>
          <x:t xml:space="preserve">3</x:t>
        </x:is>
      </x:c>
      <x:c r="L450" s="56" t="n"/>
    </x:row>
    <x:row r="451" ht="15" customHeight="1">
      <x:c r="A451" s="55" t="inlineStr">
        <x:is>
          <x:t xml:space="preserve">isInterferenceLike</x:t>
        </x:is>
      </x:c>
      <x:c r="B451" s="49" t="inlineStr">
        <x:is>
          <x:t xml:space="preserve">def</x:t>
        </x:is>
      </x:c>
      <x:c r="C451" s="49" t="inlineStr">
        <x:is>
          <x:t xml:space="preserve">theophysics-lean-main\theophysics-lean-main\Theophysics_DelayedChoice.lean</x:t>
        </x:is>
      </x:c>
      <x:c r="D451" s="49" t="inlineStr">
        <x:is>
          <x:t xml:space="preserve">60</x:t>
        </x:is>
      </x:c>
      <x:c r="E451" s="49" t="inlineStr">
        <x:is>
          <x:t xml:space="preserve">DECLARATION_OR_UNKNOWN</x:t>
        </x:is>
      </x:c>
      <x:c r="F451" s="49" t="inlineStr">
        <x:is>
          <x:t xml:space="preserve">PENDING_NOT_RUN</x:t>
        </x:is>
      </x:c>
      <x:c r="G451" s="49" t="inlineStr">
        <x:is>
          <x:t xml:space="preserve">NO_SORRY_OR_ADMIT_STATIC_SCAN</x:t>
        </x:is>
      </x:c>
      <x:c r="H451" s="49" t="inlineStr">
        <x:is>
          <x:t xml:space="preserve">SCAFFOLDING_NOT_PUBLIC_COUNT</x:t>
        </x:is>
      </x:c>
      <x:c r="I451" s="49" t="inlineStr">
        <x:is>
          <x:t xml:space="preserve">0</x:t>
        </x:is>
      </x:c>
      <x:c r="L451" s="56" t="n"/>
    </x:row>
    <x:row r="452" ht="15" customHeight="1">
      <x:c r="A452" s="55" t="inlineStr">
        <x:is>
          <x:t xml:space="preserve">joy_mem</x:t>
        </x:is>
      </x:c>
      <x:c r="B452" s="49" t="inlineStr">
        <x:is>
          <x:t xml:space="preserve">theorem</x:t>
        </x:is>
      </x:c>
      <x:c r="C452" s="49" t="inlineStr">
        <x:is>
          <x:t xml:space="preserve">Lean-4-Proofs-main\Lean-4-Proofs-main\theophysics-lean-verification-package\FruitsGraceKernel.lean</x:t>
        </x:is>
      </x:c>
      <x:c r="D452" s="49" t="inlineStr">
        <x:is>
          <x:t xml:space="preserve">45</x:t>
        </x:is>
      </x:c>
      <x:c r="E452" s="49" t="inlineStr">
        <x:is>
          <x:t xml:space="preserve">FINITE_DECIDABLE</x:t>
        </x:is>
      </x:c>
      <x:c r="F452" s="49" t="inlineStr">
        <x:is>
          <x:t xml:space="preserve">PENDING_NOT_RUN</x:t>
        </x:is>
      </x:c>
      <x:c r="G452" s="49" t="inlineStr">
        <x:is>
          <x:t xml:space="preserve">NO_SORRY_OR_ADMIT_STATIC_SCAN</x:t>
        </x:is>
      </x:c>
      <x:c r="H452" s="49" t="inlineStr">
        <x:is>
          <x:t xml:space="preserve">UNIQUE_THEOREM_PENDING_COMPILE</x:t>
        </x:is>
      </x:c>
      <x:c r="I452" s="49" t="inlineStr">
        <x:is>
          <x:t xml:space="preserve">0</x:t>
        </x:is>
      </x:c>
      <x:c r="L452" s="56" t="n"/>
    </x:row>
    <x:row r="453" ht="15" customHeight="1">
      <x:c r="A453" s="55" t="inlineStr">
        <x:is>
          <x:t xml:space="preserve">jurisdiction_chain</x:t>
        </x:is>
      </x:c>
      <x:c r="B453" s="49" t="inlineStr">
        <x:is>
          <x:t xml:space="preserve">theorem</x:t>
        </x:is>
      </x:c>
      <x:c r="C453" s="49" t="inlineStr">
        <x:is>
          <x:t xml:space="preserve">theophysics-lean-main\theophysics-lean-main\Theophysics_DeathTest.lean</x:t>
        </x:is>
      </x:c>
      <x:c r="D453" s="49" t="inlineStr">
        <x:is>
          <x:t xml:space="preserve">138</x:t>
        </x:is>
      </x:c>
      <x:c r="E453" s="49" t="inlineStr">
        <x:is>
          <x:t xml:space="preserve">SIMPLIFICATION</x:t>
        </x:is>
      </x:c>
      <x:c r="F453" s="49" t="inlineStr">
        <x:is>
          <x:t xml:space="preserve">PENDING_NOT_RUN</x:t>
        </x:is>
      </x:c>
      <x:c r="G453" s="49" t="inlineStr">
        <x:is>
          <x:t xml:space="preserve">NO_SORRY_OR_ADMIT_STATIC_SCAN</x:t>
        </x:is>
      </x:c>
      <x:c r="H453" s="49" t="inlineStr">
        <x:is>
          <x:t xml:space="preserve">UNIQUE_THEOREM_PENDING_COMPILE</x:t>
        </x:is>
      </x:c>
      <x:c r="I453" s="49" t="inlineStr">
        <x:is>
          <x:t xml:space="preserve">0</x:t>
        </x:is>
      </x:c>
      <x:c r="L453" s="56" t="n"/>
    </x:row>
    <x:row r="454" ht="15" customHeight="1">
      <x:c r="A454" s="55" t="inlineStr">
        <x:is>
          <x:t xml:space="preserve">justice_and_mercy_differ_by_cost_bearer</x:t>
        </x:is>
      </x:c>
      <x:c r="B454" s="49" t="inlineStr">
        <x:is>
          <x:t xml:space="preserve">theorem</x:t>
        </x:is>
      </x:c>
      <x:c r="C454" s="49" t="inlineStr">
        <x:is>
          <x:t xml:space="preserve">theophysics-lean-main\theophysics-lean-main\Theophysics_Core.lean</x:t>
        </x:is>
      </x:c>
      <x:c r="D454" s="49" t="inlineStr">
        <x:is>
          <x:t xml:space="preserve">242</x:t>
        </x:is>
      </x:c>
      <x:c r="E454" s="49" t="inlineStr">
        <x:is>
          <x:t xml:space="preserve">TRIVIAL_TRUE</x:t>
        </x:is>
      </x:c>
      <x:c r="F454" s="49" t="inlineStr">
        <x:is>
          <x:t xml:space="preserve">PENDING_NOT_RUN</x:t>
        </x:is>
      </x:c>
      <x:c r="G454" s="49" t="inlineStr">
        <x:is>
          <x:t xml:space="preserve">NO_SORRY_OR_ADMIT_STATIC_SCAN</x:t>
        </x:is>
      </x:c>
      <x:c r="H454" s="49" t="inlineStr">
        <x:is>
          <x:t xml:space="preserve">LOW_CONTENT_TRUE_NOT_PUBLIC_COUNT</x:t>
        </x:is>
      </x:c>
      <x:c r="I454" s="49" t="inlineStr">
        <x:is>
          <x:t xml:space="preserve">3</x:t>
        </x:is>
      </x:c>
      <x:c r="J454" s="49" t="inlineStr">
        <x:is>
          <x:t xml:space="preserve">LEAN_DERIVATION_CHAIN:112</x:t>
        </x:is>
      </x:c>
      <x:c r="K454" s="49" t="inlineStr">
        <x:is>
          <x:t xml:space="preserve">Differ in exactly one coordinate: who pays the cost</x:t>
        </x:is>
      </x:c>
      <x:c r="L454" s="56" t="inlineStr">
        <x:is>
          <x:t xml:space="preserve">justice_mercy_math</x:t>
        </x:is>
      </x:c>
    </x:row>
    <x:row r="455" ht="15" customHeight="1">
      <x:c r="A455" s="55" t="inlineStr">
        <x:is>
          <x:t xml:space="preserve">justice_and_mercy_share_common_components</x:t>
        </x:is>
      </x:c>
      <x:c r="B455" s="49" t="inlineStr">
        <x:is>
          <x:t xml:space="preserve">theorem</x:t>
        </x:is>
      </x:c>
      <x:c r="C455" s="49" t="inlineStr">
        <x:is>
          <x:t xml:space="preserve">theophysics-lean-main\theophysics-lean-main\Theophysics_Core.lean</x:t>
        </x:is>
      </x:c>
      <x:c r="D455" s="49" t="inlineStr">
        <x:is>
          <x:t xml:space="preserve">243</x:t>
        </x:is>
      </x:c>
      <x:c r="E455" s="49" t="inlineStr">
        <x:is>
          <x:t xml:space="preserve">DECLARATION_OR_UNKNOWN</x:t>
        </x:is>
      </x:c>
      <x:c r="F455" s="49" t="inlineStr">
        <x:is>
          <x:t xml:space="preserve">PENDING_NOT_RUN</x:t>
        </x:is>
      </x:c>
      <x:c r="G455" s="49" t="inlineStr">
        <x:is>
          <x:t xml:space="preserve">NO_SORRY_OR_ADMIT_STATIC_SCAN</x:t>
        </x:is>
      </x:c>
      <x:c r="H455" s="49" t="inlineStr">
        <x:is>
          <x:t xml:space="preserve">CANONICAL_THEOREM_DEDUPED_PENDING_COMPILE</x:t>
        </x:is>
      </x:c>
      <x:c r="I455" s="49" t="inlineStr">
        <x:is>
          <x:t xml:space="preserve">7</x:t>
        </x:is>
      </x:c>
      <x:c r="J455" s="49" t="inlineStr">
        <x:is>
          <x:t xml:space="preserve">LEAN_DERIVATION_CHAIN:111</x:t>
        </x:is>
      </x:c>
      <x:c r="K455" s="49" t="inlineStr">
        <x:is>
          <x:t xml:space="preserve">Same 4 restoration components shared</x:t>
        </x:is>
      </x:c>
      <x:c r="L455" s="56" t="inlineStr">
        <x:is>
          <x:t xml:space="preserve">justice_mercy_math</x:t>
        </x:is>
      </x:c>
    </x:row>
    <x:row r="456" ht="15" customHeight="1">
      <x:c r="A456" s="55" t="inlineStr">
        <x:is>
          <x:t xml:space="preserve">justice_without_mercy_fails</x:t>
        </x:is>
      </x:c>
      <x:c r="B456" s="49" t="inlineStr">
        <x:is>
          <x:t xml:space="preserve">theorem</x:t>
        </x:is>
      </x:c>
      <x:c r="C456" s="49" t="inlineStr">
        <x:is>
          <x:t xml:space="preserve">theophysics-lean-main\theophysics-lean-main\Theophysics_GodTest.lean</x:t>
        </x:is>
      </x:c>
      <x:c r="D456" s="49" t="inlineStr">
        <x:is>
          <x:t xml:space="preserve">246</x:t>
        </x:is>
      </x:c>
      <x:c r="E456" s="49" t="inlineStr">
        <x:is>
          <x:t xml:space="preserve">DEFINITIONAL_RFL</x:t>
        </x:is>
      </x:c>
      <x:c r="F456" s="49" t="inlineStr">
        <x:is>
          <x:t xml:space="preserve">PENDING_NOT_RUN</x:t>
        </x:is>
      </x:c>
      <x:c r="G456" s="49" t="inlineStr">
        <x:is>
          <x:t xml:space="preserve">NO_SORRY_OR_ADMIT_STATIC_SCAN</x:t>
        </x:is>
      </x:c>
      <x:c r="H456" s="49" t="inlineStr">
        <x:is>
          <x:t xml:space="preserve">UNIQUE_THEOREM_PENDING_COMPILE</x:t>
        </x:is>
      </x:c>
      <x:c r="I456" s="49" t="inlineStr">
        <x:is>
          <x:t xml:space="preserve">0</x:t>
        </x:is>
      </x:c>
      <x:c r="L456" s="56" t="inlineStr">
        <x:is>
          <x:t xml:space="preserve">justice_mercy_math</x:t>
        </x:is>
      </x:c>
    </x:row>
    <x:row r="457" ht="15" customHeight="1">
      <x:c r="A457" s="55" t="inlineStr">
        <x:is>
          <x:t xml:space="preserve">k_zero_kills_chi</x:t>
        </x:is>
      </x:c>
      <x:c r="B457" s="49" t="inlineStr">
        <x:is>
          <x:t xml:space="preserve">theorem</x:t>
        </x:is>
      </x:c>
      <x:c r="C457" s="49" t="inlineStr">
        <x:is>
          <x:t xml:space="preserve">theophysics-lean-main\theophysics-lean-main\Theophysics_Core.lean</x:t>
        </x:is>
      </x:c>
      <x:c r="D457" s="49" t="inlineStr">
        <x:is>
          <x:t xml:space="preserve">256</x:t>
        </x:is>
      </x:c>
      <x:c r="E457" s="49" t="inlineStr">
        <x:is>
          <x:t xml:space="preserve">DECLARATION_OR_UNKNOWN</x:t>
        </x:is>
      </x:c>
      <x:c r="F457" s="49" t="inlineStr">
        <x:is>
          <x:t xml:space="preserve">PENDING_NOT_RUN</x:t>
        </x:is>
      </x:c>
      <x:c r="G457" s="49" t="inlineStr">
        <x:is>
          <x:t xml:space="preserve">NO_SORRY_OR_ADMIT_STATIC_SCAN</x:t>
        </x:is>
      </x:c>
      <x:c r="H457" s="49" t="inlineStr">
        <x:is>
          <x:t xml:space="preserve">CANONICAL_THEOREM_DEDUPED_PENDING_COMPILE</x:t>
        </x:is>
      </x:c>
      <x:c r="I457" s="49" t="inlineStr">
        <x:is>
          <x:t xml:space="preserve">3</x:t>
        </x:is>
      </x:c>
      <x:c r="L457" s="56" t="n"/>
    </x:row>
    <x:row r="458" ht="15" customHeight="1">
      <x:c r="A458" s="55" t="inlineStr">
        <x:is>
          <x:t xml:space="preserve">kappaTerm</x:t>
        </x:is>
      </x:c>
      <x:c r="B458" s="49" t="inlineStr">
        <x:is>
          <x:t xml:space="preserve">def</x:t>
        </x:is>
      </x:c>
      <x:c r="C458" s="49" t="inlineStr">
        <x:is>
          <x:t xml:space="preserve">theophysics-lean-main\theophysics-lean-main\Theophysics_Canonization.lean</x:t>
        </x:is>
      </x:c>
      <x:c r="D458" s="49" t="inlineStr">
        <x:is>
          <x:t xml:space="preserve">131</x:t>
        </x:is>
      </x:c>
      <x:c r="E458" s="49" t="inlineStr">
        <x:is>
          <x:t xml:space="preserve">DECLARATION_OR_UNKNOWN</x:t>
        </x:is>
      </x:c>
      <x:c r="F458" s="49" t="inlineStr">
        <x:is>
          <x:t xml:space="preserve">PENDING_NOT_RUN</x:t>
        </x:is>
      </x:c>
      <x:c r="G458" s="49" t="inlineStr">
        <x:is>
          <x:t xml:space="preserve">NO_SORRY_OR_ADMIT_STATIC_SCAN</x:t>
        </x:is>
      </x:c>
      <x:c r="H458" s="49" t="inlineStr">
        <x:is>
          <x:t xml:space="preserve">SCAFFOLDING_NOT_PUBLIC_COUNT</x:t>
        </x:is>
      </x:c>
      <x:c r="I458" s="49" t="inlineStr">
        <x:is>
          <x:t xml:space="preserve">0</x:t>
        </x:is>
      </x:c>
      <x:c r="L458" s="56" t="n"/>
    </x:row>
    <x:row r="459" ht="15" customHeight="1">
      <x:c r="A459" s="55" t="inlineStr">
        <x:is>
          <x:t xml:space="preserve">kappa_screening</x:t>
        </x:is>
      </x:c>
      <x:c r="B459" s="49" t="inlineStr">
        <x:is>
          <x:t xml:space="preserve">theorem</x:t>
        </x:is>
      </x:c>
      <x:c r="C459" s="49" t="inlineStr">
        <x:is>
          <x:t xml:space="preserve">theophysics-lean-main\theophysics-lean-main\Theophysics_Canonization.lean</x:t>
        </x:is>
      </x:c>
      <x:c r="D459" s="49" t="inlineStr">
        <x:is>
          <x:t xml:space="preserve">145</x:t>
        </x:is>
      </x:c>
      <x:c r="E459" s="49" t="inlineStr">
        <x:is>
          <x:t xml:space="preserve">SUBSTANTIVE_OR_CASE_PROOF</x:t>
        </x:is>
      </x:c>
      <x:c r="F459" s="49" t="inlineStr">
        <x:is>
          <x:t xml:space="preserve">PENDING_NOT_RUN</x:t>
        </x:is>
      </x:c>
      <x:c r="G459" s="49" t="inlineStr">
        <x:is>
          <x:t xml:space="preserve">NO_SORRY_OR_ADMIT_STATIC_SCAN</x:t>
        </x:is>
      </x:c>
      <x:c r="H459" s="49" t="inlineStr">
        <x:is>
          <x:t xml:space="preserve">UNIQUE_THEOREM_PENDING_COMPILE</x:t>
        </x:is>
      </x:c>
      <x:c r="I459" s="49" t="inlineStr">
        <x:is>
          <x:t xml:space="preserve">0</x:t>
        </x:is>
      </x:c>
      <x:c r="J459" s="49" t="inlineStr">
        <x:is>
          <x:t xml:space="preserve">LEAN_DERIVATION_CHAIN:247</x:t>
        </x:is>
      </x:c>
      <x:c r="K459" s="49" t="inlineStr">
        <x:is>
          <x:t xml:space="preserve">Screened coupling strictly weaker than Planck-scale coupling</x:t>
        </x:is>
      </x:c>
      <x:c r="L459" s="56" t="n"/>
    </x:row>
    <x:row r="460" ht="15" customHeight="1">
      <x:c r="A460" s="55" t="inlineStr">
        <x:is>
          <x:t xml:space="preserve">kindness_mem</x:t>
        </x:is>
      </x:c>
      <x:c r="B460" s="49" t="inlineStr">
        <x:is>
          <x:t xml:space="preserve">theorem</x:t>
        </x:is>
      </x:c>
      <x:c r="C460" s="49" t="inlineStr">
        <x:is>
          <x:t xml:space="preserve">Lean-4-Proofs-main\Lean-4-Proofs-main\theophysics-lean-verification-package\FruitsGraceKernel.lean</x:t>
        </x:is>
      </x:c>
      <x:c r="D460" s="49" t="inlineStr">
        <x:is>
          <x:t xml:space="preserve">48</x:t>
        </x:is>
      </x:c>
      <x:c r="E460" s="49" t="inlineStr">
        <x:is>
          <x:t xml:space="preserve">FINITE_DECIDABLE</x:t>
        </x:is>
      </x:c>
      <x:c r="F460" s="49" t="inlineStr">
        <x:is>
          <x:t xml:space="preserve">PENDING_NOT_RUN</x:t>
        </x:is>
      </x:c>
      <x:c r="G460" s="49" t="inlineStr">
        <x:is>
          <x:t xml:space="preserve">NO_SORRY_OR_ADMIT_STATIC_SCAN</x:t>
        </x:is>
      </x:c>
      <x:c r="H460" s="49" t="inlineStr">
        <x:is>
          <x:t xml:space="preserve">UNIQUE_THEOREM_PENDING_COMPILE</x:t>
        </x:is>
      </x:c>
      <x:c r="I460" s="49" t="inlineStr">
        <x:is>
          <x:t xml:space="preserve">0</x:t>
        </x:is>
      </x:c>
      <x:c r="L460" s="56" t="n"/>
    </x:row>
    <x:row r="461" ht="15" customHeight="1">
      <x:c r="A461" s="55" t="inlineStr">
        <x:is>
          <x:t xml:space="preserve">law10FragmentedLocalSuccessCase</x:t>
        </x:is>
      </x:c>
      <x:c r="B461" s="49" t="inlineStr">
        <x:is>
          <x:t xml:space="preserve">def</x:t>
        </x:is>
      </x:c>
      <x:c r="C461" s="49" t="inlineStr">
        <x:is>
          <x:t xml:space="preserve">theophysics-lean-main\theophysics-lean-main\Theophysics_LawMechanisms.lean</x:t>
        </x:is>
      </x:c>
      <x:c r="D461" s="49" t="inlineStr">
        <x:is>
          <x:t xml:space="preserve">327</x:t>
        </x:is>
      </x:c>
      <x:c r="E461" s="49" t="inlineStr">
        <x:is>
          <x:t xml:space="preserve">DECLARATION_OR_UNKNOWN</x:t>
        </x:is>
      </x:c>
      <x:c r="F461" s="49" t="inlineStr">
        <x:is>
          <x:t xml:space="preserve">PENDING_NOT_RUN</x:t>
        </x:is>
      </x:c>
      <x:c r="G461" s="49" t="inlineStr">
        <x:is>
          <x:t xml:space="preserve">NO_SORRY_OR_ADMIT_STATIC_SCAN</x:t>
        </x:is>
      </x:c>
      <x:c r="H461" s="49" t="inlineStr">
        <x:is>
          <x:t xml:space="preserve">SCAFFOLDING_NOT_PUBLIC_COUNT</x:t>
        </x:is>
      </x:c>
      <x:c r="I461" s="49" t="inlineStr">
        <x:is>
          <x:t xml:space="preserve">0</x:t>
        </x:is>
      </x:c>
      <x:c r="L461" s="56" t="n"/>
    </x:row>
    <x:row r="462" ht="15" customHeight="1">
      <x:c r="A462" s="55" t="inlineStr">
        <x:is>
          <x:t xml:space="preserve">law10Healthy</x:t>
        </x:is>
      </x:c>
      <x:c r="B462" s="49" t="inlineStr">
        <x:is>
          <x:t xml:space="preserve">def</x:t>
        </x:is>
      </x:c>
      <x:c r="C462" s="49" t="inlineStr">
        <x:is>
          <x:t xml:space="preserve">theophysics-lean-main\theophysics-lean-main\Theophysics_LawMechanisms.lean</x:t>
        </x:is>
      </x:c>
      <x:c r="D462" s="49" t="inlineStr">
        <x:is>
          <x:t xml:space="preserve">321</x:t>
        </x:is>
      </x:c>
      <x:c r="E462" s="49" t="inlineStr">
        <x:is>
          <x:t xml:space="preserve">DECLARATION_OR_UNKNOWN</x:t>
        </x:is>
      </x:c>
      <x:c r="F462" s="49" t="inlineStr">
        <x:is>
          <x:t xml:space="preserve">PENDING_NOT_RUN</x:t>
        </x:is>
      </x:c>
      <x:c r="G462" s="49" t="inlineStr">
        <x:is>
          <x:t xml:space="preserve">NO_SORRY_OR_ADMIT_STATIC_SCAN</x:t>
        </x:is>
      </x:c>
      <x:c r="H462" s="49" t="inlineStr">
        <x:is>
          <x:t xml:space="preserve">SCAFFOLDING_NOT_PUBLIC_COUNT</x:t>
        </x:is>
      </x:c>
      <x:c r="I462" s="49" t="inlineStr">
        <x:is>
          <x:t xml:space="preserve">0</x:t>
        </x:is>
      </x:c>
      <x:c r="L462" s="56" t="n"/>
    </x:row>
    <x:row r="463" ht="15" customHeight="1">
      <x:c r="A463" s="55" t="inlineStr">
        <x:is>
          <x:t xml:space="preserve">law10UnboundContradictionCase</x:t>
        </x:is>
      </x:c>
      <x:c r="B463" s="49" t="inlineStr">
        <x:is>
          <x:t xml:space="preserve">def</x:t>
        </x:is>
      </x:c>
      <x:c r="C463" s="49" t="inlineStr">
        <x:is>
          <x:t xml:space="preserve">theophysics-lean-main\theophysics-lean-main\Theophysics_LawMechanisms.lean</x:t>
        </x:is>
      </x:c>
      <x:c r="D463" s="49" t="inlineStr">
        <x:is>
          <x:t xml:space="preserve">333</x:t>
        </x:is>
      </x:c>
      <x:c r="E463" s="49" t="inlineStr">
        <x:is>
          <x:t xml:space="preserve">DECLARATION_OR_UNKNOWN</x:t>
        </x:is>
      </x:c>
      <x:c r="F463" s="49" t="inlineStr">
        <x:is>
          <x:t xml:space="preserve">PENDING_NOT_RUN</x:t>
        </x:is>
      </x:c>
      <x:c r="G463" s="49" t="inlineStr">
        <x:is>
          <x:t xml:space="preserve">NO_SORRY_OR_ADMIT_STATIC_SCAN</x:t>
        </x:is>
      </x:c>
      <x:c r="H463" s="49" t="inlineStr">
        <x:is>
          <x:t xml:space="preserve">SCAFFOLDING_NOT_PUBLIC_COUNT</x:t>
        </x:is>
      </x:c>
      <x:c r="I463" s="49" t="inlineStr">
        <x:is>
          <x:t xml:space="preserve">0</x:t>
        </x:is>
      </x:c>
      <x:c r="L463" s="56" t="n"/>
    </x:row>
    <x:row r="464" ht="15" customHeight="1">
      <x:c r="A464" s="55" t="inlineStr">
        <x:is>
          <x:t xml:space="preserve">law10_fragmentation_collapses_chi</x:t>
        </x:is>
      </x:c>
      <x:c r="B464" s="49" t="inlineStr">
        <x:is>
          <x:t xml:space="preserve">theorem</x:t>
        </x:is>
      </x:c>
      <x:c r="C464" s="49" t="inlineStr">
        <x:is>
          <x:t xml:space="preserve">theophysics-lean-main\theophysics-lean-main\Theophysics_LawMechanisms.lean</x:t>
        </x:is>
      </x:c>
      <x:c r="D464" s="49" t="inlineStr">
        <x:is>
          <x:t xml:space="preserve">374</x:t>
        </x:is>
      </x:c>
      <x:c r="E464" s="49" t="inlineStr">
        <x:is>
          <x:t xml:space="preserve">WRAPPER_OR_IMPORTED</x:t>
        </x:is>
      </x:c>
      <x:c r="F464" s="49" t="inlineStr">
        <x:is>
          <x:t xml:space="preserve">PENDING_NOT_RUN</x:t>
        </x:is>
      </x:c>
      <x:c r="G464" s="49" t="inlineStr">
        <x:is>
          <x:t xml:space="preserve">NO_SORRY_OR_ADMIT_STATIC_SCAN</x:t>
        </x:is>
      </x:c>
      <x:c r="H464" s="49" t="inlineStr">
        <x:is>
          <x:t xml:space="preserve">UNIQUE_THEOREM_PENDING_COMPILE</x:t>
        </x:is>
      </x:c>
      <x:c r="I464" s="49" t="inlineStr">
        <x:is>
          <x:t xml:space="preserve">0</x:t>
        </x:is>
      </x:c>
      <x:c r="L464" s="56" t="n"/>
    </x:row>
    <x:row r="465" ht="15" customHeight="1">
      <x:c r="A465" s="55" t="inlineStr">
        <x:is>
          <x:t xml:space="preserve">law10_fragmentation_forces_C_zero</x:t>
        </x:is>
      </x:c>
      <x:c r="B465" s="49" t="inlineStr">
        <x:is>
          <x:t xml:space="preserve">theorem</x:t>
        </x:is>
      </x:c>
      <x:c r="C465" s="49" t="inlineStr">
        <x:is>
          <x:t xml:space="preserve">theophysics-lean-main\theophysics-lean-main\Theophysics_LawMechanisms.lean</x:t>
        </x:is>
      </x:c>
      <x:c r="D465" s="49" t="inlineStr">
        <x:is>
          <x:t xml:space="preserve">347</x:t>
        </x:is>
      </x:c>
      <x:c r="E465" s="49" t="inlineStr">
        <x:is>
          <x:t xml:space="preserve">SIMPLIFICATION</x:t>
        </x:is>
      </x:c>
      <x:c r="F465" s="49" t="inlineStr">
        <x:is>
          <x:t xml:space="preserve">PENDING_NOT_RUN</x:t>
        </x:is>
      </x:c>
      <x:c r="G465" s="49" t="inlineStr">
        <x:is>
          <x:t xml:space="preserve">NO_SORRY_OR_ADMIT_STATIC_SCAN</x:t>
        </x:is>
      </x:c>
      <x:c r="H465" s="49" t="inlineStr">
        <x:is>
          <x:t xml:space="preserve">UNIQUE_THEOREM_PENDING_COMPILE</x:t>
        </x:is>
      </x:c>
      <x:c r="I465" s="49" t="inlineStr">
        <x:is>
          <x:t xml:space="preserve">0</x:t>
        </x:is>
      </x:c>
      <x:c r="L465" s="56" t="n"/>
    </x:row>
    <x:row r="466" ht="15" customHeight="1">
      <x:c r="A466" s="55" t="inlineStr">
        <x:is>
          <x:t xml:space="preserve">law10_global_claim_with_unbound_contradiction_fails</x:t>
        </x:is>
      </x:c>
      <x:c r="B466" s="49" t="inlineStr">
        <x:is>
          <x:t xml:space="preserve">theorem</x:t>
        </x:is>
      </x:c>
      <x:c r="C466" s="49" t="inlineStr">
        <x:is>
          <x:t xml:space="preserve">theophysics-lean-main\theophysics-lean-main\Theophysics_LawMechanisms.lean</x:t>
        </x:is>
      </x:c>
      <x:c r="D466" s="49" t="inlineStr">
        <x:is>
          <x:t xml:space="preserve">370</x:t>
        </x:is>
      </x:c>
      <x:c r="E466" s="49" t="inlineStr">
        <x:is>
          <x:t xml:space="preserve">DEFINITIONAL_RFL</x:t>
        </x:is>
      </x:c>
      <x:c r="F466" s="49" t="inlineStr">
        <x:is>
          <x:t xml:space="preserve">PENDING_NOT_RUN</x:t>
        </x:is>
      </x:c>
      <x:c r="G466" s="49" t="inlineStr">
        <x:is>
          <x:t xml:space="preserve">NO_SORRY_OR_ADMIT_STATIC_SCAN</x:t>
        </x:is>
      </x:c>
      <x:c r="H466" s="49" t="inlineStr">
        <x:is>
          <x:t xml:space="preserve">UNIQUE_THEOREM_PENDING_COMPILE</x:t>
        </x:is>
      </x:c>
      <x:c r="I466" s="49" t="inlineStr">
        <x:is>
          <x:t xml:space="preserve">0</x:t>
        </x:is>
      </x:c>
      <x:c r="L466" s="56" t="n"/>
    </x:row>
    <x:row r="467" ht="15" customHeight="1">
      <x:c r="A467" s="55" t="inlineStr">
        <x:is>
          <x:t xml:space="preserve">law10_integrated_whole_system_passes_C_gate</x:t>
        </x:is>
      </x:c>
      <x:c r="B467" s="49" t="inlineStr">
        <x:is>
          <x:t xml:space="preserve">theorem</x:t>
        </x:is>
      </x:c>
      <x:c r="C467" s="49" t="inlineStr">
        <x:is>
          <x:t xml:space="preserve">theophysics-lean-main\theophysics-lean-main\Theophysics_LawMechanisms.lean</x:t>
        </x:is>
      </x:c>
      <x:c r="D467" s="49" t="inlineStr">
        <x:is>
          <x:t xml:space="preserve">339</x:t>
        </x:is>
      </x:c>
      <x:c r="E467" s="49" t="inlineStr">
        <x:is>
          <x:t xml:space="preserve">SIMPLIFICATION</x:t>
        </x:is>
      </x:c>
      <x:c r="F467" s="49" t="inlineStr">
        <x:is>
          <x:t xml:space="preserve">PENDING_NOT_RUN</x:t>
        </x:is>
      </x:c>
      <x:c r="G467" s="49" t="inlineStr">
        <x:is>
          <x:t xml:space="preserve">NO_SORRY_OR_ADMIT_STATIC_SCAN</x:t>
        </x:is>
      </x:c>
      <x:c r="H467" s="49" t="inlineStr">
        <x:is>
          <x:t xml:space="preserve">UNIQUE_THEOREM_PENDING_COMPILE</x:t>
        </x:is>
      </x:c>
      <x:c r="I467" s="49" t="inlineStr">
        <x:is>
          <x:t xml:space="preserve">0</x:t>
        </x:is>
      </x:c>
      <x:c r="L467" s="56" t="n"/>
    </x:row>
    <x:row r="468" ht="15" customHeight="1">
      <x:c r="A468" s="55" t="inlineStr">
        <x:is>
          <x:t xml:space="preserve">law10_local_success_but_fragmented_fails</x:t>
        </x:is>
      </x:c>
      <x:c r="B468" s="49" t="inlineStr">
        <x:is>
          <x:t xml:space="preserve">theorem</x:t>
        </x:is>
      </x:c>
      <x:c r="C468" s="49" t="inlineStr">
        <x:is>
          <x:t xml:space="preserve">theophysics-lean-main\theophysics-lean-main\Theophysics_LawMechanisms.lean</x:t>
        </x:is>
      </x:c>
      <x:c r="D468" s="49" t="inlineStr">
        <x:is>
          <x:t xml:space="preserve">366</x:t>
        </x:is>
      </x:c>
      <x:c r="E468" s="49" t="inlineStr">
        <x:is>
          <x:t xml:space="preserve">DEFINITIONAL_RFL</x:t>
        </x:is>
      </x:c>
      <x:c r="F468" s="49" t="inlineStr">
        <x:is>
          <x:t xml:space="preserve">PENDING_NOT_RUN</x:t>
        </x:is>
      </x:c>
      <x:c r="G468" s="49" t="inlineStr">
        <x:is>
          <x:t xml:space="preserve">NO_SORRY_OR_ADMIT_STATIC_SCAN</x:t>
        </x:is>
      </x:c>
      <x:c r="H468" s="49" t="inlineStr">
        <x:is>
          <x:t xml:space="preserve">UNIQUE_THEOREM_PENDING_COMPILE</x:t>
        </x:is>
      </x:c>
      <x:c r="I468" s="49" t="inlineStr">
        <x:is>
          <x:t xml:space="preserve">0</x:t>
        </x:is>
      </x:c>
      <x:c r="L468" s="56" t="n"/>
    </x:row>
    <x:row r="469" ht="15" customHeight="1">
      <x:c r="A469" s="55" t="inlineStr">
        <x:is>
          <x:t xml:space="preserve">law10_local_success_without_integration_collapses_chi</x:t>
        </x:is>
      </x:c>
      <x:c r="B469" s="49" t="inlineStr">
        <x:is>
          <x:t xml:space="preserve">theorem</x:t>
        </x:is>
      </x:c>
      <x:c r="C469" s="49" t="inlineStr">
        <x:is>
          <x:t xml:space="preserve">theophysics-lean-main\theophysics-lean-main\Theophysics_LawMechanisms.lean</x:t>
        </x:is>
      </x:c>
      <x:c r="D469" s="49" t="inlineStr">
        <x:is>
          <x:t xml:space="preserve">381</x:t>
        </x:is>
      </x:c>
      <x:c r="E469" s="49" t="inlineStr">
        <x:is>
          <x:t xml:space="preserve">WRAPPER_OR_IMPORTED</x:t>
        </x:is>
      </x:c>
      <x:c r="F469" s="49" t="inlineStr">
        <x:is>
          <x:t xml:space="preserve">PENDING_NOT_RUN</x:t>
        </x:is>
      </x:c>
      <x:c r="G469" s="49" t="inlineStr">
        <x:is>
          <x:t xml:space="preserve">NO_SORRY_OR_ADMIT_STATIC_SCAN</x:t>
        </x:is>
      </x:c>
      <x:c r="H469" s="49" t="inlineStr">
        <x:is>
          <x:t xml:space="preserve">UNIQUE_THEOREM_PENDING_COMPILE</x:t>
        </x:is>
      </x:c>
      <x:c r="I469" s="49" t="inlineStr">
        <x:is>
          <x:t xml:space="preserve">0</x:t>
        </x:is>
      </x:c>
      <x:c r="L469" s="56" t="n"/>
    </x:row>
    <x:row r="470" ht="15" customHeight="1">
      <x:c r="A470" s="55" t="inlineStr">
        <x:is>
          <x:t xml:space="preserve">law10_local_success_without_integration_forces_C_zero</x:t>
        </x:is>
      </x:c>
      <x:c r="B470" s="49" t="inlineStr">
        <x:is>
          <x:t xml:space="preserve">theorem</x:t>
        </x:is>
      </x:c>
      <x:c r="C470" s="49" t="inlineStr">
        <x:is>
          <x:t xml:space="preserve">theophysics-lean-main\theophysics-lean-main\Theophysics_LawMechanisms.lean</x:t>
        </x:is>
      </x:c>
      <x:c r="D470" s="49" t="inlineStr">
        <x:is>
          <x:t xml:space="preserve">353</x:t>
        </x:is>
      </x:c>
      <x:c r="E470" s="49" t="inlineStr">
        <x:is>
          <x:t xml:space="preserve">SIMPLIFICATION</x:t>
        </x:is>
      </x:c>
      <x:c r="F470" s="49" t="inlineStr">
        <x:is>
          <x:t xml:space="preserve">PENDING_NOT_RUN</x:t>
        </x:is>
      </x:c>
      <x:c r="G470" s="49" t="inlineStr">
        <x:is>
          <x:t xml:space="preserve">NO_SORRY_OR_ADMIT_STATIC_SCAN</x:t>
        </x:is>
      </x:c>
      <x:c r="H470" s="49" t="inlineStr">
        <x:is>
          <x:t xml:space="preserve">UNIQUE_THEOREM_PENDING_COMPILE</x:t>
        </x:is>
      </x:c>
      <x:c r="I470" s="49" t="inlineStr">
        <x:is>
          <x:t xml:space="preserve">0</x:t>
        </x:is>
      </x:c>
      <x:c r="L470" s="56" t="n"/>
    </x:row>
    <x:row r="471" ht="15" customHeight="1">
      <x:c r="A471" s="55" t="inlineStr">
        <x:is>
          <x:t xml:space="preserve">law10_mechanism_gate_marker</x:t>
        </x:is>
      </x:c>
      <x:c r="B471" s="49" t="inlineStr">
        <x:is>
          <x:t xml:space="preserve">theorem</x:t>
        </x:is>
      </x:c>
      <x:c r="C471" s="49" t="inlineStr">
        <x:is>
          <x:t xml:space="preserve">theophysics-lean-main\theophysics-lean-main\Theophysics_Core.lean</x:t>
        </x:is>
      </x:c>
      <x:c r="D471" s="49" t="inlineStr">
        <x:is>
          <x:t xml:space="preserve">115</x:t>
        </x:is>
      </x:c>
      <x:c r="E471" s="49" t="inlineStr">
        <x:is>
          <x:t xml:space="preserve">DECLARATION_OR_UNKNOWN</x:t>
        </x:is>
      </x:c>
      <x:c r="F471" s="49" t="inlineStr">
        <x:is>
          <x:t xml:space="preserve">PENDING_NOT_RUN</x:t>
        </x:is>
      </x:c>
      <x:c r="G471" s="49" t="inlineStr">
        <x:is>
          <x:t xml:space="preserve">NO_SORRY_OR_ADMIT_STATIC_SCAN</x:t>
        </x:is>
      </x:c>
      <x:c r="H471" s="49" t="inlineStr">
        <x:is>
          <x:t xml:space="preserve">UNIQUE_THEOREM_PENDING_COMPILE</x:t>
        </x:is>
      </x:c>
      <x:c r="I471" s="49" t="inlineStr">
        <x:is>
          <x:t xml:space="preserve">0</x:t>
        </x:is>
      </x:c>
      <x:c r="L471" s="56" t="n"/>
    </x:row>
    <x:row r="472" ht="15" customHeight="1">
      <x:c r="A472" s="55" t="inlineStr">
        <x:is>
          <x:t xml:space="preserve">law10_unbound_contradiction_collapses_chi</x:t>
        </x:is>
      </x:c>
      <x:c r="B472" s="49" t="inlineStr">
        <x:is>
          <x:t xml:space="preserve">theorem</x:t>
        </x:is>
      </x:c>
      <x:c r="C472" s="49" t="inlineStr">
        <x:is>
          <x:t xml:space="preserve">theophysics-lean-main\theophysics-lean-main\Theophysics_LawMechanisms.lean</x:t>
        </x:is>
      </x:c>
      <x:c r="D472" s="49" t="inlineStr">
        <x:is>
          <x:t xml:space="preserve">389</x:t>
        </x:is>
      </x:c>
      <x:c r="E472" s="49" t="inlineStr">
        <x:is>
          <x:t xml:space="preserve">WRAPPER_OR_IMPORTED</x:t>
        </x:is>
      </x:c>
      <x:c r="F472" s="49" t="inlineStr">
        <x:is>
          <x:t xml:space="preserve">PENDING_NOT_RUN</x:t>
        </x:is>
      </x:c>
      <x:c r="G472" s="49" t="inlineStr">
        <x:is>
          <x:t xml:space="preserve">NO_SORRY_OR_ADMIT_STATIC_SCAN</x:t>
        </x:is>
      </x:c>
      <x:c r="H472" s="49" t="inlineStr">
        <x:is>
          <x:t xml:space="preserve">UNIQUE_THEOREM_PENDING_COMPILE</x:t>
        </x:is>
      </x:c>
      <x:c r="I472" s="49" t="inlineStr">
        <x:is>
          <x:t xml:space="preserve">0</x:t>
        </x:is>
      </x:c>
      <x:c r="L472" s="56" t="n"/>
    </x:row>
    <x:row r="473" ht="15" customHeight="1">
      <x:c r="A473" s="55" t="inlineStr">
        <x:is>
          <x:t xml:space="preserve">law10_unbound_contradiction_forces_C_zero</x:t>
        </x:is>
      </x:c>
      <x:c r="B473" s="49" t="inlineStr">
        <x:is>
          <x:t xml:space="preserve">theorem</x:t>
        </x:is>
      </x:c>
      <x:c r="C473" s="49" t="inlineStr">
        <x:is>
          <x:t xml:space="preserve">theophysics-lean-main\theophysics-lean-main\Theophysics_LawMechanisms.lean</x:t>
        </x:is>
      </x:c>
      <x:c r="D473" s="49" t="inlineStr">
        <x:is>
          <x:t xml:space="preserve">360</x:t>
        </x:is>
      </x:c>
      <x:c r="E473" s="49" t="inlineStr">
        <x:is>
          <x:t xml:space="preserve">SIMPLIFICATION</x:t>
        </x:is>
      </x:c>
      <x:c r="F473" s="49" t="inlineStr">
        <x:is>
          <x:t xml:space="preserve">PENDING_NOT_RUN</x:t>
        </x:is>
      </x:c>
      <x:c r="G473" s="49" t="inlineStr">
        <x:is>
          <x:t xml:space="preserve">NO_SORRY_OR_ADMIT_STATIC_SCAN</x:t>
        </x:is>
      </x:c>
      <x:c r="H473" s="49" t="inlineStr">
        <x:is>
          <x:t xml:space="preserve">UNIQUE_THEOREM_PENDING_COMPILE</x:t>
        </x:is>
      </x:c>
      <x:c r="I473" s="49" t="inlineStr">
        <x:is>
          <x:t xml:space="preserve">0</x:t>
        </x:is>
      </x:c>
      <x:c r="L473" s="56" t="n"/>
    </x:row>
    <x:row r="474" ht="15" customHeight="1">
      <x:c r="A474" s="55" t="inlineStr">
        <x:is>
          <x:t xml:space="preserve">law1DependencyDeniedCase</x:t>
        </x:is>
      </x:c>
      <x:c r="B474" s="49" t="inlineStr">
        <x:is>
          <x:t xml:space="preserve">def</x:t>
        </x:is>
      </x:c>
      <x:c r="C474" s="49" t="inlineStr">
        <x:is>
          <x:t xml:space="preserve">theophysics-lean-main\theophysics-lean-main\Theophysics_LawMechanisms.lean</x:t>
        </x:is>
      </x:c>
      <x:c r="D474" s="49" t="inlineStr">
        <x:is>
          <x:t xml:space="preserve">51</x:t>
        </x:is>
      </x:c>
      <x:c r="E474" s="49" t="inlineStr">
        <x:is>
          <x:t xml:space="preserve">DECLARATION_OR_UNKNOWN</x:t>
        </x:is>
      </x:c>
      <x:c r="F474" s="49" t="inlineStr">
        <x:is>
          <x:t xml:space="preserve">PENDING_NOT_RUN</x:t>
        </x:is>
      </x:c>
      <x:c r="G474" s="49" t="inlineStr">
        <x:is>
          <x:t xml:space="preserve">NO_SORRY_OR_ADMIT_STATIC_SCAN</x:t>
        </x:is>
      </x:c>
      <x:c r="H474" s="49" t="inlineStr">
        <x:is>
          <x:t xml:space="preserve">SCAFFOLDING_NOT_PUBLIC_COUNT</x:t>
        </x:is>
      </x:c>
      <x:c r="I474" s="49" t="inlineStr">
        <x:is>
          <x:t xml:space="preserve">0</x:t>
        </x:is>
      </x:c>
      <x:c r="L474" s="56" t="inlineStr">
        <x:is>
          <x:t xml:space="preserve">watcher_interpretation_dependency</x:t>
        </x:is>
      </x:c>
    </x:row>
    <x:row r="475" ht="15" customHeight="1">
      <x:c r="A475" s="55" t="inlineStr">
        <x:is>
          <x:t xml:space="preserve">law1Healthy</x:t>
        </x:is>
      </x:c>
      <x:c r="B475" s="49" t="inlineStr">
        <x:is>
          <x:t xml:space="preserve">def</x:t>
        </x:is>
      </x:c>
      <x:c r="C475" s="49" t="inlineStr">
        <x:is>
          <x:t xml:space="preserve">theophysics-lean-main\theophysics-lean-main\Theophysics_LawMechanisms.lean</x:t>
        </x:is>
      </x:c>
      <x:c r="D475" s="49" t="inlineStr">
        <x:is>
          <x:t xml:space="preserve">45</x:t>
        </x:is>
      </x:c>
      <x:c r="E475" s="49" t="inlineStr">
        <x:is>
          <x:t xml:space="preserve">DECLARATION_OR_UNKNOWN</x:t>
        </x:is>
      </x:c>
      <x:c r="F475" s="49" t="inlineStr">
        <x:is>
          <x:t xml:space="preserve">PENDING_NOT_RUN</x:t>
        </x:is>
      </x:c>
      <x:c r="G475" s="49" t="inlineStr">
        <x:is>
          <x:t xml:space="preserve">NO_SORRY_OR_ADMIT_STATIC_SCAN</x:t>
        </x:is>
      </x:c>
      <x:c r="H475" s="49" t="inlineStr">
        <x:is>
          <x:t xml:space="preserve">SCAFFOLDING_NOT_PUBLIC_COUNT</x:t>
        </x:is>
      </x:c>
      <x:c r="I475" s="49" t="inlineStr">
        <x:is>
          <x:t xml:space="preserve">0</x:t>
        </x:is>
      </x:c>
      <x:c r="L475" s="56" t="n"/>
    </x:row>
    <x:row r="476" ht="15" customHeight="1">
      <x:c r="A476" s="55" t="inlineStr">
        <x:is>
          <x:t xml:space="preserve">law1SelfSourcingCase</x:t>
        </x:is>
      </x:c>
      <x:c r="B476" s="49" t="inlineStr">
        <x:is>
          <x:t xml:space="preserve">def</x:t>
        </x:is>
      </x:c>
      <x:c r="C476" s="49" t="inlineStr">
        <x:is>
          <x:t xml:space="preserve">theophysics-lean-main\theophysics-lean-main\Theophysics_LawMechanisms.lean</x:t>
        </x:is>
      </x:c>
      <x:c r="D476" s="49" t="inlineStr">
        <x:is>
          <x:t xml:space="preserve">57</x:t>
        </x:is>
      </x:c>
      <x:c r="E476" s="49" t="inlineStr">
        <x:is>
          <x:t xml:space="preserve">DECLARATION_OR_UNKNOWN</x:t>
        </x:is>
      </x:c>
      <x:c r="F476" s="49" t="inlineStr">
        <x:is>
          <x:t xml:space="preserve">PENDING_NOT_RUN</x:t>
        </x:is>
      </x:c>
      <x:c r="G476" s="49" t="inlineStr">
        <x:is>
          <x:t xml:space="preserve">NO_SORRY_OR_ADMIT_STATIC_SCAN</x:t>
        </x:is>
      </x:c>
      <x:c r="H476" s="49" t="inlineStr">
        <x:is>
          <x:t xml:space="preserve">SCAFFOLDING_NOT_PUBLIC_COUNT</x:t>
        </x:is>
      </x:c>
      <x:c r="I476" s="49" t="inlineStr">
        <x:is>
          <x:t xml:space="preserve">0</x:t>
        </x:is>
      </x:c>
      <x:c r="L476" s="56" t="n"/>
    </x:row>
    <x:row r="477" ht="15" customHeight="1">
      <x:c r="A477" s="55" t="inlineStr">
        <x:is>
          <x:t xml:space="preserve">law1_closed_boundary_collapses_chi</x:t>
        </x:is>
      </x:c>
      <x:c r="B477" s="49" t="inlineStr">
        <x:is>
          <x:t xml:space="preserve">theorem</x:t>
        </x:is>
      </x:c>
      <x:c r="C477" s="49" t="inlineStr">
        <x:is>
          <x:t xml:space="preserve">theophysics-lean-main\theophysics-lean-main\Theophysics_LawMechanisms.lean</x:t>
        </x:is>
      </x:c>
      <x:c r="D477" s="49" t="inlineStr">
        <x:is>
          <x:t xml:space="preserve">112</x:t>
        </x:is>
      </x:c>
      <x:c r="E477" s="49" t="inlineStr">
        <x:is>
          <x:t xml:space="preserve">WRAPPER_OR_IMPORTED</x:t>
        </x:is>
      </x:c>
      <x:c r="F477" s="49" t="inlineStr">
        <x:is>
          <x:t xml:space="preserve">PENDING_NOT_RUN</x:t>
        </x:is>
      </x:c>
      <x:c r="G477" s="49" t="inlineStr">
        <x:is>
          <x:t xml:space="preserve">NO_SORRY_OR_ADMIT_STATIC_SCAN</x:t>
        </x:is>
      </x:c>
      <x:c r="H477" s="49" t="inlineStr">
        <x:is>
          <x:t xml:space="preserve">UNIQUE_THEOREM_PENDING_COMPILE</x:t>
        </x:is>
      </x:c>
      <x:c r="I477" s="49" t="inlineStr">
        <x:is>
          <x:t xml:space="preserve">0</x:t>
        </x:is>
      </x:c>
      <x:c r="L477" s="56" t="n"/>
    </x:row>
    <x:row r="478" ht="15" customHeight="1">
      <x:c r="A478" s="55" t="inlineStr">
        <x:is>
          <x:t xml:space="preserve">law1_closed_boundary_forces_G_zero</x:t>
        </x:is>
      </x:c>
      <x:c r="B478" s="49" t="inlineStr">
        <x:is>
          <x:t xml:space="preserve">theorem</x:t>
        </x:is>
      </x:c>
      <x:c r="C478" s="49" t="inlineStr">
        <x:is>
          <x:t xml:space="preserve">theophysics-lean-main\theophysics-lean-main\Theophysics_LawMechanisms.lean</x:t>
        </x:is>
      </x:c>
      <x:c r="D478" s="49" t="inlineStr">
        <x:is>
          <x:t xml:space="preserve">84</x:t>
        </x:is>
      </x:c>
      <x:c r="E478" s="49" t="inlineStr">
        <x:is>
          <x:t xml:space="preserve">SIMPLIFICATION</x:t>
        </x:is>
      </x:c>
      <x:c r="F478" s="49" t="inlineStr">
        <x:is>
          <x:t xml:space="preserve">PENDING_NOT_RUN</x:t>
        </x:is>
      </x:c>
      <x:c r="G478" s="49" t="inlineStr">
        <x:is>
          <x:t xml:space="preserve">NO_SORRY_OR_ADMIT_STATIC_SCAN</x:t>
        </x:is>
      </x:c>
      <x:c r="H478" s="49" t="inlineStr">
        <x:is>
          <x:t xml:space="preserve">UNIQUE_THEOREM_PENDING_COMPILE</x:t>
        </x:is>
      </x:c>
      <x:c r="I478" s="49" t="inlineStr">
        <x:is>
          <x:t xml:space="preserve">0</x:t>
        </x:is>
      </x:c>
      <x:c r="L478" s="56" t="n"/>
    </x:row>
    <x:row r="479" ht="15" customHeight="1">
      <x:c r="A479" s="55" t="inlineStr">
        <x:is>
          <x:t xml:space="preserve">law1_dependency_denial_collapses_chi</x:t>
        </x:is>
      </x:c>
      <x:c r="B479" s="49" t="inlineStr">
        <x:is>
          <x:t xml:space="preserve">theorem</x:t>
        </x:is>
      </x:c>
      <x:c r="C479" s="49" t="inlineStr">
        <x:is>
          <x:t xml:space="preserve">theophysics-lean-main\theophysics-lean-main\Theophysics_LawMechanisms.lean</x:t>
        </x:is>
      </x:c>
      <x:c r="D479" s="49" t="inlineStr">
        <x:is>
          <x:t xml:space="preserve">105</x:t>
        </x:is>
      </x:c>
      <x:c r="E479" s="49" t="inlineStr">
        <x:is>
          <x:t xml:space="preserve">WRAPPER_OR_IMPORTED</x:t>
        </x:is>
      </x:c>
      <x:c r="F479" s="49" t="inlineStr">
        <x:is>
          <x:t xml:space="preserve">PENDING_NOT_RUN</x:t>
        </x:is>
      </x:c>
      <x:c r="G479" s="49" t="inlineStr">
        <x:is>
          <x:t xml:space="preserve">NO_SORRY_OR_ADMIT_STATIC_SCAN</x:t>
        </x:is>
      </x:c>
      <x:c r="H479" s="49" t="inlineStr">
        <x:is>
          <x:t xml:space="preserve">UNIQUE_THEOREM_PENDING_COMPILE</x:t>
        </x:is>
      </x:c>
      <x:c r="I479" s="49" t="inlineStr">
        <x:is>
          <x:t xml:space="preserve">0</x:t>
        </x:is>
      </x:c>
      <x:c r="L479" s="56" t="inlineStr">
        <x:is>
          <x:t xml:space="preserve">watcher_interpretation_dependency</x:t>
        </x:is>
      </x:c>
    </x:row>
    <x:row r="480" ht="15" customHeight="1">
      <x:c r="A480" s="55" t="inlineStr">
        <x:is>
          <x:t xml:space="preserve">law1_dependency_denial_forces_G_zero</x:t>
        </x:is>
      </x:c>
      <x:c r="B480" s="49" t="inlineStr">
        <x:is>
          <x:t xml:space="preserve">theorem</x:t>
        </x:is>
      </x:c>
      <x:c r="C480" s="49" t="inlineStr">
        <x:is>
          <x:t xml:space="preserve">theophysics-lean-main\theophysics-lean-main\Theophysics_LawMechanisms.lean</x:t>
        </x:is>
      </x:c>
      <x:c r="D480" s="49" t="inlineStr">
        <x:is>
          <x:t xml:space="preserve">78</x:t>
        </x:is>
      </x:c>
      <x:c r="E480" s="49" t="inlineStr">
        <x:is>
          <x:t xml:space="preserve">SIMPLIFICATION</x:t>
        </x:is>
      </x:c>
      <x:c r="F480" s="49" t="inlineStr">
        <x:is>
          <x:t xml:space="preserve">PENDING_NOT_RUN</x:t>
        </x:is>
      </x:c>
      <x:c r="G480" s="49" t="inlineStr">
        <x:is>
          <x:t xml:space="preserve">NO_SORRY_OR_ADMIT_STATIC_SCAN</x:t>
        </x:is>
      </x:c>
      <x:c r="H480" s="49" t="inlineStr">
        <x:is>
          <x:t xml:space="preserve">UNIQUE_THEOREM_PENDING_COMPILE</x:t>
        </x:is>
      </x:c>
      <x:c r="I480" s="49" t="inlineStr">
        <x:is>
          <x:t xml:space="preserve">0</x:t>
        </x:is>
      </x:c>
      <x:c r="L480" s="56" t="inlineStr">
        <x:is>
          <x:t xml:space="preserve">watcher_interpretation_dependency</x:t>
        </x:is>
      </x:c>
    </x:row>
    <x:row r="481" ht="15" customHeight="1">
      <x:c r="A481" s="55" t="inlineStr">
        <x:is>
          <x:t xml:space="preserve">law1_external_input_but_dependency_denied_fails</x:t>
        </x:is>
      </x:c>
      <x:c r="B481" s="49" t="inlineStr">
        <x:is>
          <x:t xml:space="preserve">theorem</x:t>
        </x:is>
      </x:c>
      <x:c r="C481" s="49" t="inlineStr">
        <x:is>
          <x:t xml:space="preserve">theophysics-lean-main\theophysics-lean-main\Theophysics_LawMechanisms.lean</x:t>
        </x:is>
      </x:c>
      <x:c r="D481" s="49" t="inlineStr">
        <x:is>
          <x:t xml:space="preserve">90</x:t>
        </x:is>
      </x:c>
      <x:c r="E481" s="49" t="inlineStr">
        <x:is>
          <x:t xml:space="preserve">DEFINITIONAL_RFL</x:t>
        </x:is>
      </x:c>
      <x:c r="F481" s="49" t="inlineStr">
        <x:is>
          <x:t xml:space="preserve">PENDING_NOT_RUN</x:t>
        </x:is>
      </x:c>
      <x:c r="G481" s="49" t="inlineStr">
        <x:is>
          <x:t xml:space="preserve">NO_SORRY_OR_ADMIT_STATIC_SCAN</x:t>
        </x:is>
      </x:c>
      <x:c r="H481" s="49" t="inlineStr">
        <x:is>
          <x:t xml:space="preserve">UNIQUE_THEOREM_PENDING_COMPILE</x:t>
        </x:is>
      </x:c>
      <x:c r="I481" s="49" t="inlineStr">
        <x:is>
          <x:t xml:space="preserve">0</x:t>
        </x:is>
      </x:c>
      <x:c r="L481" s="56" t="inlineStr">
        <x:is>
          <x:t xml:space="preserve">watcher_interpretation_dependency</x:t>
        </x:is>
      </x:c>
    </x:row>
    <x:row r="482" ht="15" customHeight="1">
      <x:c r="A482" s="55" t="inlineStr">
        <x:is>
          <x:t xml:space="preserve">law1_mechanism_gate_marker</x:t>
        </x:is>
      </x:c>
      <x:c r="B482" s="49" t="inlineStr">
        <x:is>
          <x:t xml:space="preserve">theorem</x:t>
        </x:is>
      </x:c>
      <x:c r="C482" s="49" t="inlineStr">
        <x:is>
          <x:t xml:space="preserve">theophysics-lean-main\theophysics-lean-main\Theophysics_Core.lean</x:t>
        </x:is>
      </x:c>
      <x:c r="D482" s="49" t="inlineStr">
        <x:is>
          <x:t xml:space="preserve">106</x:t>
        </x:is>
      </x:c>
      <x:c r="E482" s="49" t="inlineStr">
        <x:is>
          <x:t xml:space="preserve">DECLARATION_OR_UNKNOWN</x:t>
        </x:is>
      </x:c>
      <x:c r="F482" s="49" t="inlineStr">
        <x:is>
          <x:t xml:space="preserve">PENDING_NOT_RUN</x:t>
        </x:is>
      </x:c>
      <x:c r="G482" s="49" t="inlineStr">
        <x:is>
          <x:t xml:space="preserve">NO_SORRY_OR_ADMIT_STATIC_SCAN</x:t>
        </x:is>
      </x:c>
      <x:c r="H482" s="49" t="inlineStr">
        <x:is>
          <x:t xml:space="preserve">UNIQUE_THEOREM_PENDING_COMPILE</x:t>
        </x:is>
      </x:c>
      <x:c r="I482" s="49" t="inlineStr">
        <x:is>
          <x:t xml:space="preserve">0</x:t>
        </x:is>
      </x:c>
      <x:c r="L482" s="56" t="n"/>
    </x:row>
    <x:row r="483" ht="15" customHeight="1">
      <x:c r="A483" s="55" t="inlineStr">
        <x:is>
          <x:t xml:space="preserve">law1_open_boundary_but_self_sourcing_fails</x:t>
        </x:is>
      </x:c>
      <x:c r="B483" s="49" t="inlineStr">
        <x:is>
          <x:t xml:space="preserve">theorem</x:t>
        </x:is>
      </x:c>
      <x:c r="C483" s="49" t="inlineStr">
        <x:is>
          <x:t xml:space="preserve">theophysics-lean-main\theophysics-lean-main\Theophysics_LawMechanisms.lean</x:t>
        </x:is>
      </x:c>
      <x:c r="D483" s="49" t="inlineStr">
        <x:is>
          <x:t xml:space="preserve">94</x:t>
        </x:is>
      </x:c>
      <x:c r="E483" s="49" t="inlineStr">
        <x:is>
          <x:t xml:space="preserve">DEFINITIONAL_RFL</x:t>
        </x:is>
      </x:c>
      <x:c r="F483" s="49" t="inlineStr">
        <x:is>
          <x:t xml:space="preserve">PENDING_NOT_RUN</x:t>
        </x:is>
      </x:c>
      <x:c r="G483" s="49" t="inlineStr">
        <x:is>
          <x:t xml:space="preserve">NO_SORRY_OR_ADMIT_STATIC_SCAN</x:t>
        </x:is>
      </x:c>
      <x:c r="H483" s="49" t="inlineStr">
        <x:is>
          <x:t xml:space="preserve">UNIQUE_THEOREM_PENDING_COMPILE</x:t>
        </x:is>
      </x:c>
      <x:c r="I483" s="49" t="inlineStr">
        <x:is>
          <x:t xml:space="preserve">0</x:t>
        </x:is>
      </x:c>
      <x:c r="L483" s="56" t="n"/>
    </x:row>
    <x:row r="484" ht="15" customHeight="1">
      <x:c r="A484" s="55" t="inlineStr">
        <x:is>
          <x:t xml:space="preserve">law1_open_dependent_system_passes_G_gate</x:t>
        </x:is>
      </x:c>
      <x:c r="B484" s="49" t="inlineStr">
        <x:is>
          <x:t xml:space="preserve">theorem</x:t>
        </x:is>
      </x:c>
      <x:c r="C484" s="49" t="inlineStr">
        <x:is>
          <x:t xml:space="preserve">theophysics-lean-main\theophysics-lean-main\Theophysics_LawMechanisms.lean</x:t>
        </x:is>
      </x:c>
      <x:c r="D484" s="49" t="inlineStr">
        <x:is>
          <x:t xml:space="preserve">63</x:t>
        </x:is>
      </x:c>
      <x:c r="E484" s="49" t="inlineStr">
        <x:is>
          <x:t xml:space="preserve">SIMPLIFICATION</x:t>
        </x:is>
      </x:c>
      <x:c r="F484" s="49" t="inlineStr">
        <x:is>
          <x:t xml:space="preserve">PENDING_NOT_RUN</x:t>
        </x:is>
      </x:c>
      <x:c r="G484" s="49" t="inlineStr">
        <x:is>
          <x:t xml:space="preserve">NO_SORRY_OR_ADMIT_STATIC_SCAN</x:t>
        </x:is>
      </x:c>
      <x:c r="H484" s="49" t="inlineStr">
        <x:is>
          <x:t xml:space="preserve">UNIQUE_THEOREM_PENDING_COMPILE</x:t>
        </x:is>
      </x:c>
      <x:c r="I484" s="49" t="inlineStr">
        <x:is>
          <x:t xml:space="preserve">0</x:t>
        </x:is>
      </x:c>
      <x:c r="L484" s="56" t="n"/>
    </x:row>
    <x:row r="485" ht="15" customHeight="1">
      <x:c r="A485" s="55" t="inlineStr">
        <x:is>
          <x:t xml:space="preserve">law1_self_source_collapses_chi</x:t>
        </x:is>
      </x:c>
      <x:c r="B485" s="49" t="inlineStr">
        <x:is>
          <x:t xml:space="preserve">theorem</x:t>
        </x:is>
      </x:c>
      <x:c r="C485" s="49" t="inlineStr">
        <x:is>
          <x:t xml:space="preserve">theophysics-lean-main\theophysics-lean-main\Theophysics_LawMechanisms.lean</x:t>
        </x:is>
      </x:c>
      <x:c r="D485" s="49" t="inlineStr">
        <x:is>
          <x:t xml:space="preserve">98</x:t>
        </x:is>
      </x:c>
      <x:c r="E485" s="49" t="inlineStr">
        <x:is>
          <x:t xml:space="preserve">WRAPPER_OR_IMPORTED</x:t>
        </x:is>
      </x:c>
      <x:c r="F485" s="49" t="inlineStr">
        <x:is>
          <x:t xml:space="preserve">PENDING_NOT_RUN</x:t>
        </x:is>
      </x:c>
      <x:c r="G485" s="49" t="inlineStr">
        <x:is>
          <x:t xml:space="preserve">NO_SORRY_OR_ADMIT_STATIC_SCAN</x:t>
        </x:is>
      </x:c>
      <x:c r="H485" s="49" t="inlineStr">
        <x:is>
          <x:t xml:space="preserve">UNIQUE_THEOREM_PENDING_COMPILE</x:t>
        </x:is>
      </x:c>
      <x:c r="I485" s="49" t="inlineStr">
        <x:is>
          <x:t xml:space="preserve">0</x:t>
        </x:is>
      </x:c>
      <x:c r="L485" s="56" t="n"/>
    </x:row>
    <x:row r="486" ht="15" customHeight="1">
      <x:c r="A486" s="55" t="inlineStr">
        <x:is>
          <x:t xml:space="preserve">law1_self_source_forces_G_zero</x:t>
        </x:is>
      </x:c>
      <x:c r="B486" s="49" t="inlineStr">
        <x:is>
          <x:t xml:space="preserve">theorem</x:t>
        </x:is>
      </x:c>
      <x:c r="C486" s="49" t="inlineStr">
        <x:is>
          <x:t xml:space="preserve">theophysics-lean-main\theophysics-lean-main\Theophysics_LawMechanisms.lean</x:t>
        </x:is>
      </x:c>
      <x:c r="D486" s="49" t="inlineStr">
        <x:is>
          <x:t xml:space="preserve">72</x:t>
        </x:is>
      </x:c>
      <x:c r="E486" s="49" t="inlineStr">
        <x:is>
          <x:t xml:space="preserve">SIMPLIFICATION</x:t>
        </x:is>
      </x:c>
      <x:c r="F486" s="49" t="inlineStr">
        <x:is>
          <x:t xml:space="preserve">PENDING_NOT_RUN</x:t>
        </x:is>
      </x:c>
      <x:c r="G486" s="49" t="inlineStr">
        <x:is>
          <x:t xml:space="preserve">NO_SORRY_OR_ADMIT_STATIC_SCAN</x:t>
        </x:is>
      </x:c>
      <x:c r="H486" s="49" t="inlineStr">
        <x:is>
          <x:t xml:space="preserve">UNIQUE_THEOREM_PENDING_COMPILE</x:t>
        </x:is>
      </x:c>
      <x:c r="I486" s="49" t="inlineStr">
        <x:is>
          <x:t xml:space="preserve">0</x:t>
        </x:is>
      </x:c>
      <x:c r="L486" s="56" t="n"/>
    </x:row>
    <x:row r="487" ht="15" customHeight="1">
      <x:c r="A487" s="55" t="inlineStr">
        <x:is>
          <x:t xml:space="preserve">law2Healthy</x:t>
        </x:is>
      </x:c>
      <x:c r="B487" s="49" t="inlineStr">
        <x:is>
          <x:t xml:space="preserve">def</x:t>
        </x:is>
      </x:c>
      <x:c r="C487" s="49" t="inlineStr">
        <x:is>
          <x:t xml:space="preserve">theophysics-lean-main\theophysics-lean-main\Theophysics_LawMechanisms.lean</x:t>
        </x:is>
      </x:c>
      <x:c r="D487" s="49" t="inlineStr">
        <x:is>
          <x:t xml:space="preserve">133</x:t>
        </x:is>
      </x:c>
      <x:c r="E487" s="49" t="inlineStr">
        <x:is>
          <x:t xml:space="preserve">DECLARATION_OR_UNKNOWN</x:t>
        </x:is>
      </x:c>
      <x:c r="F487" s="49" t="inlineStr">
        <x:is>
          <x:t xml:space="preserve">PENDING_NOT_RUN</x:t>
        </x:is>
      </x:c>
      <x:c r="G487" s="49" t="inlineStr">
        <x:is>
          <x:t xml:space="preserve">NO_SORRY_OR_ADMIT_STATIC_SCAN</x:t>
        </x:is>
      </x:c>
      <x:c r="H487" s="49" t="inlineStr">
        <x:is>
          <x:t xml:space="preserve">SCAFFOLDING_NOT_PUBLIC_COUNT</x:t>
        </x:is>
      </x:c>
      <x:c r="I487" s="49" t="inlineStr">
        <x:is>
          <x:t xml:space="preserve">0</x:t>
        </x:is>
      </x:c>
      <x:c r="L487" s="56" t="n"/>
    </x:row>
    <x:row r="488" ht="15" customHeight="1">
      <x:c r="A488" s="55" t="inlineStr">
        <x:is>
          <x:t xml:space="preserve">law2MisalignedCase</x:t>
        </x:is>
      </x:c>
      <x:c r="B488" s="49" t="inlineStr">
        <x:is>
          <x:t xml:space="preserve">def</x:t>
        </x:is>
      </x:c>
      <x:c r="C488" s="49" t="inlineStr">
        <x:is>
          <x:t xml:space="preserve">theophysics-lean-main\theophysics-lean-main\Theophysics_LawMechanisms.lean</x:t>
        </x:is>
      </x:c>
      <x:c r="D488" s="49" t="inlineStr">
        <x:is>
          <x:t xml:space="preserve">145</x:t>
        </x:is>
      </x:c>
      <x:c r="E488" s="49" t="inlineStr">
        <x:is>
          <x:t xml:space="preserve">DECLARATION_OR_UNKNOWN</x:t>
        </x:is>
      </x:c>
      <x:c r="F488" s="49" t="inlineStr">
        <x:is>
          <x:t xml:space="preserve">PENDING_NOT_RUN</x:t>
        </x:is>
      </x:c>
      <x:c r="G488" s="49" t="inlineStr">
        <x:is>
          <x:t xml:space="preserve">NO_SORRY_OR_ADMIT_STATIC_SCAN</x:t>
        </x:is>
      </x:c>
      <x:c r="H488" s="49" t="inlineStr">
        <x:is>
          <x:t xml:space="preserve">SCAFFOLDING_NOT_PUBLIC_COUNT</x:t>
        </x:is>
      </x:c>
      <x:c r="I488" s="49" t="inlineStr">
        <x:is>
          <x:t xml:space="preserve">0</x:t>
        </x:is>
      </x:c>
      <x:c r="L488" s="56" t="n"/>
    </x:row>
    <x:row r="489" ht="15" customHeight="1">
      <x:c r="A489" s="55" t="inlineStr">
        <x:is>
          <x:t xml:space="preserve">law2UnacknowledgedReferenceCase</x:t>
        </x:is>
      </x:c>
      <x:c r="B489" s="49" t="inlineStr">
        <x:is>
          <x:t xml:space="preserve">def</x:t>
        </x:is>
      </x:c>
      <x:c r="C489" s="49" t="inlineStr">
        <x:is>
          <x:t xml:space="preserve">theophysics-lean-main\theophysics-lean-main\Theophysics_LawMechanisms.lean</x:t>
        </x:is>
      </x:c>
      <x:c r="D489" s="49" t="inlineStr">
        <x:is>
          <x:t xml:space="preserve">139</x:t>
        </x:is>
      </x:c>
      <x:c r="E489" s="49" t="inlineStr">
        <x:is>
          <x:t xml:space="preserve">DECLARATION_OR_UNKNOWN</x:t>
        </x:is>
      </x:c>
      <x:c r="F489" s="49" t="inlineStr">
        <x:is>
          <x:t xml:space="preserve">PENDING_NOT_RUN</x:t>
        </x:is>
      </x:c>
      <x:c r="G489" s="49" t="inlineStr">
        <x:is>
          <x:t xml:space="preserve">NO_SORRY_OR_ADMIT_STATIC_SCAN</x:t>
        </x:is>
      </x:c>
      <x:c r="H489" s="49" t="inlineStr">
        <x:is>
          <x:t xml:space="preserve">SCAFFOLDING_NOT_PUBLIC_COUNT</x:t>
        </x:is>
      </x:c>
      <x:c r="I489" s="49" t="inlineStr">
        <x:is>
          <x:t xml:space="preserve">0</x:t>
        </x:is>
      </x:c>
      <x:c r="L489" s="56" t="n"/>
    </x:row>
    <x:row r="490" ht="15" customHeight="1">
      <x:c r="A490" s="55" t="inlineStr">
        <x:is>
          <x:t xml:space="preserve">law2_aligned_reference_system_passes_M_gate</x:t>
        </x:is>
      </x:c>
      <x:c r="B490" s="49" t="inlineStr">
        <x:is>
          <x:t xml:space="preserve">theorem</x:t>
        </x:is>
      </x:c>
      <x:c r="C490" s="49" t="inlineStr">
        <x:is>
          <x:t xml:space="preserve">theophysics-lean-main\theophysics-lean-main\Theophysics_LawMechanisms.lean</x:t>
        </x:is>
      </x:c>
      <x:c r="D490" s="49" t="inlineStr">
        <x:is>
          <x:t xml:space="preserve">151</x:t>
        </x:is>
      </x:c>
      <x:c r="E490" s="49" t="inlineStr">
        <x:is>
          <x:t xml:space="preserve">SIMPLIFICATION</x:t>
        </x:is>
      </x:c>
      <x:c r="F490" s="49" t="inlineStr">
        <x:is>
          <x:t xml:space="preserve">PENDING_NOT_RUN</x:t>
        </x:is>
      </x:c>
      <x:c r="G490" s="49" t="inlineStr">
        <x:is>
          <x:t xml:space="preserve">NO_SORRY_OR_ADMIT_STATIC_SCAN</x:t>
        </x:is>
      </x:c>
      <x:c r="H490" s="49" t="inlineStr">
        <x:is>
          <x:t xml:space="preserve">UNIQUE_THEOREM_PENDING_COMPILE</x:t>
        </x:is>
      </x:c>
      <x:c r="I490" s="49" t="inlineStr">
        <x:is>
          <x:t xml:space="preserve">0</x:t>
        </x:is>
      </x:c>
      <x:c r="L490" s="56" t="n"/>
    </x:row>
    <x:row r="491" ht="15" customHeight="1">
      <x:c r="A491" s="55" t="inlineStr">
        <x:is>
          <x:t xml:space="preserve">law2_direction_defined_but_misaligned_fails</x:t>
        </x:is>
      </x:c>
      <x:c r="B491" s="49" t="inlineStr">
        <x:is>
          <x:t xml:space="preserve">theorem</x:t>
        </x:is>
      </x:c>
      <x:c r="C491" s="49" t="inlineStr">
        <x:is>
          <x:t xml:space="preserve">theophysics-lean-main\theophysics-lean-main\Theophysics_LawMechanisms.lean</x:t>
        </x:is>
      </x:c>
      <x:c r="D491" s="49" t="inlineStr">
        <x:is>
          <x:t xml:space="preserve">188</x:t>
        </x:is>
      </x:c>
      <x:c r="E491" s="49" t="inlineStr">
        <x:is>
          <x:t xml:space="preserve">DEFINITIONAL_RFL</x:t>
        </x:is>
      </x:c>
      <x:c r="F491" s="49" t="inlineStr">
        <x:is>
          <x:t xml:space="preserve">PENDING_NOT_RUN</x:t>
        </x:is>
      </x:c>
      <x:c r="G491" s="49" t="inlineStr">
        <x:is>
          <x:t xml:space="preserve">NO_SORRY_OR_ADMIT_STATIC_SCAN</x:t>
        </x:is>
      </x:c>
      <x:c r="H491" s="49" t="inlineStr">
        <x:is>
          <x:t xml:space="preserve">UNIQUE_THEOREM_PENDING_COMPILE</x:t>
        </x:is>
      </x:c>
      <x:c r="I491" s="49" t="inlineStr">
        <x:is>
          <x:t xml:space="preserve">0</x:t>
        </x:is>
      </x:c>
      <x:c r="L491" s="56" t="n"/>
    </x:row>
    <x:row r="492" ht="15" customHeight="1">
      <x:c r="A492" s="55" t="inlineStr">
        <x:is>
          <x:t xml:space="preserve">law2_directionless_motion_forces_M_zero</x:t>
        </x:is>
      </x:c>
      <x:c r="B492" s="49" t="inlineStr">
        <x:is>
          <x:t xml:space="preserve">theorem</x:t>
        </x:is>
      </x:c>
      <x:c r="C492" s="49" t="inlineStr">
        <x:is>
          <x:t xml:space="preserve">theophysics-lean-main\theophysics-lean-main\Theophysics_LawMechanisms.lean</x:t>
        </x:is>
      </x:c>
      <x:c r="D492" s="49" t="inlineStr">
        <x:is>
          <x:t xml:space="preserve">172</x:t>
        </x:is>
      </x:c>
      <x:c r="E492" s="49" t="inlineStr">
        <x:is>
          <x:t xml:space="preserve">SIMPLIFICATION</x:t>
        </x:is>
      </x:c>
      <x:c r="F492" s="49" t="inlineStr">
        <x:is>
          <x:t xml:space="preserve">PENDING_NOT_RUN</x:t>
        </x:is>
      </x:c>
      <x:c r="G492" s="49" t="inlineStr">
        <x:is>
          <x:t xml:space="preserve">NO_SORRY_OR_ADMIT_STATIC_SCAN</x:t>
        </x:is>
      </x:c>
      <x:c r="H492" s="49" t="inlineStr">
        <x:is>
          <x:t xml:space="preserve">UNIQUE_THEOREM_PENDING_COMPILE</x:t>
        </x:is>
      </x:c>
      <x:c r="I492" s="49" t="inlineStr">
        <x:is>
          <x:t xml:space="preserve">0</x:t>
        </x:is>
      </x:c>
      <x:c r="L492" s="56" t="n"/>
    </x:row>
    <x:row r="493" ht="15" customHeight="1">
      <x:c r="A493" s="55" t="inlineStr">
        <x:is>
          <x:t xml:space="preserve">law2_mechanism_gate_marker</x:t>
        </x:is>
      </x:c>
      <x:c r="B493" s="49" t="inlineStr">
        <x:is>
          <x:t xml:space="preserve">theorem</x:t>
        </x:is>
      </x:c>
      <x:c r="C493" s="49" t="inlineStr">
        <x:is>
          <x:t xml:space="preserve">theophysics-lean-main\theophysics-lean-main\Theophysics_Core.lean</x:t>
        </x:is>
      </x:c>
      <x:c r="D493" s="49" t="inlineStr">
        <x:is>
          <x:t xml:space="preserve">109</x:t>
        </x:is>
      </x:c>
      <x:c r="E493" s="49" t="inlineStr">
        <x:is>
          <x:t xml:space="preserve">DECLARATION_OR_UNKNOWN</x:t>
        </x:is>
      </x:c>
      <x:c r="F493" s="49" t="inlineStr">
        <x:is>
          <x:t xml:space="preserve">PENDING_NOT_RUN</x:t>
        </x:is>
      </x:c>
      <x:c r="G493" s="49" t="inlineStr">
        <x:is>
          <x:t xml:space="preserve">NO_SORRY_OR_ADMIT_STATIC_SCAN</x:t>
        </x:is>
      </x:c>
      <x:c r="H493" s="49" t="inlineStr">
        <x:is>
          <x:t xml:space="preserve">UNIQUE_THEOREM_PENDING_COMPILE</x:t>
        </x:is>
      </x:c>
      <x:c r="I493" s="49" t="inlineStr">
        <x:is>
          <x:t xml:space="preserve">0</x:t>
        </x:is>
      </x:c>
      <x:c r="L493" s="56" t="n"/>
    </x:row>
    <x:row r="494" ht="15" customHeight="1">
      <x:c r="A494" s="55" t="inlineStr">
        <x:is>
          <x:t xml:space="preserve">law2_misalignment_collapses_chi</x:t>
        </x:is>
      </x:c>
      <x:c r="B494" s="49" t="inlineStr">
        <x:is>
          <x:t xml:space="preserve">theorem</x:t>
        </x:is>
      </x:c>
      <x:c r="C494" s="49" t="inlineStr">
        <x:is>
          <x:t xml:space="preserve">theophysics-lean-main\theophysics-lean-main\Theophysics_LawMechanisms.lean</x:t>
        </x:is>
      </x:c>
      <x:c r="D494" s="49" t="inlineStr">
        <x:is>
          <x:t xml:space="preserve">206</x:t>
        </x:is>
      </x:c>
      <x:c r="E494" s="49" t="inlineStr">
        <x:is>
          <x:t xml:space="preserve">WRAPPER_OR_IMPORTED</x:t>
        </x:is>
      </x:c>
      <x:c r="F494" s="49" t="inlineStr">
        <x:is>
          <x:t xml:space="preserve">PENDING_NOT_RUN</x:t>
        </x:is>
      </x:c>
      <x:c r="G494" s="49" t="inlineStr">
        <x:is>
          <x:t xml:space="preserve">NO_SORRY_OR_ADMIT_STATIC_SCAN</x:t>
        </x:is>
      </x:c>
      <x:c r="H494" s="49" t="inlineStr">
        <x:is>
          <x:t xml:space="preserve">UNIQUE_THEOREM_PENDING_COMPILE</x:t>
        </x:is>
      </x:c>
      <x:c r="I494" s="49" t="inlineStr">
        <x:is>
          <x:t xml:space="preserve">0</x:t>
        </x:is>
      </x:c>
      <x:c r="L494" s="56" t="n"/>
    </x:row>
    <x:row r="495" ht="15" customHeight="1">
      <x:c r="A495" s="55" t="inlineStr">
        <x:is>
          <x:t xml:space="preserve">law2_misalignment_forces_M_zero</x:t>
        </x:is>
      </x:c>
      <x:c r="B495" s="49" t="inlineStr">
        <x:is>
          <x:t xml:space="preserve">theorem</x:t>
        </x:is>
      </x:c>
      <x:c r="C495" s="49" t="inlineStr">
        <x:is>
          <x:t xml:space="preserve">theophysics-lean-main\theophysics-lean-main\Theophysics_LawMechanisms.lean</x:t>
        </x:is>
      </x:c>
      <x:c r="D495" s="49" t="inlineStr">
        <x:is>
          <x:t xml:space="preserve">178</x:t>
        </x:is>
      </x:c>
      <x:c r="E495" s="49" t="inlineStr">
        <x:is>
          <x:t xml:space="preserve">SIMPLIFICATION</x:t>
        </x:is>
      </x:c>
      <x:c r="F495" s="49" t="inlineStr">
        <x:is>
          <x:t xml:space="preserve">PENDING_NOT_RUN</x:t>
        </x:is>
      </x:c>
      <x:c r="G495" s="49" t="inlineStr">
        <x:is>
          <x:t xml:space="preserve">NO_SORRY_OR_ADMIT_STATIC_SCAN</x:t>
        </x:is>
      </x:c>
      <x:c r="H495" s="49" t="inlineStr">
        <x:is>
          <x:t xml:space="preserve">UNIQUE_THEOREM_PENDING_COMPILE</x:t>
        </x:is>
      </x:c>
      <x:c r="I495" s="49" t="inlineStr">
        <x:is>
          <x:t xml:space="preserve">0</x:t>
        </x:is>
      </x:c>
      <x:c r="L495" s="56" t="n"/>
    </x:row>
    <x:row r="496" ht="15" customHeight="1">
      <x:c r="A496" s="55" t="inlineStr">
        <x:is>
          <x:t xml:space="preserve">law2_no_reference_collapses_chi</x:t>
        </x:is>
      </x:c>
      <x:c r="B496" s="49" t="inlineStr">
        <x:is>
          <x:t xml:space="preserve">theorem</x:t>
        </x:is>
      </x:c>
      <x:c r="C496" s="49" t="inlineStr">
        <x:is>
          <x:t xml:space="preserve">theophysics-lean-main\theophysics-lean-main\Theophysics_LawMechanisms.lean</x:t>
        </x:is>
      </x:c>
      <x:c r="D496" s="49" t="inlineStr">
        <x:is>
          <x:t xml:space="preserve">192</x:t>
        </x:is>
      </x:c>
      <x:c r="E496" s="49" t="inlineStr">
        <x:is>
          <x:t xml:space="preserve">WRAPPER_OR_IMPORTED</x:t>
        </x:is>
      </x:c>
      <x:c r="F496" s="49" t="inlineStr">
        <x:is>
          <x:t xml:space="preserve">PENDING_NOT_RUN</x:t>
        </x:is>
      </x:c>
      <x:c r="G496" s="49" t="inlineStr">
        <x:is>
          <x:t xml:space="preserve">NO_SORRY_OR_ADMIT_STATIC_SCAN</x:t>
        </x:is>
      </x:c>
      <x:c r="H496" s="49" t="inlineStr">
        <x:is>
          <x:t xml:space="preserve">UNIQUE_THEOREM_PENDING_COMPILE</x:t>
        </x:is>
      </x:c>
      <x:c r="I496" s="49" t="inlineStr">
        <x:is>
          <x:t xml:space="preserve">0</x:t>
        </x:is>
      </x:c>
      <x:c r="L496" s="56" t="n"/>
    </x:row>
    <x:row r="497" ht="15" customHeight="1">
      <x:c r="A497" s="55" t="inlineStr">
        <x:is>
          <x:t xml:space="preserve">law2_no_reference_forces_M_zero</x:t>
        </x:is>
      </x:c>
      <x:c r="B497" s="49" t="inlineStr">
        <x:is>
          <x:t xml:space="preserve">theorem</x:t>
        </x:is>
      </x:c>
      <x:c r="C497" s="49" t="inlineStr">
        <x:is>
          <x:t xml:space="preserve">theophysics-lean-main\theophysics-lean-main\Theophysics_LawMechanisms.lean</x:t>
        </x:is>
      </x:c>
      <x:c r="D497" s="49" t="inlineStr">
        <x:is>
          <x:t xml:space="preserve">160</x:t>
        </x:is>
      </x:c>
      <x:c r="E497" s="49" t="inlineStr">
        <x:is>
          <x:t xml:space="preserve">SIMPLIFICATION</x:t>
        </x:is>
      </x:c>
      <x:c r="F497" s="49" t="inlineStr">
        <x:is>
          <x:t xml:space="preserve">PENDING_NOT_RUN</x:t>
        </x:is>
      </x:c>
      <x:c r="G497" s="49" t="inlineStr">
        <x:is>
          <x:t xml:space="preserve">NO_SORRY_OR_ADMIT_STATIC_SCAN</x:t>
        </x:is>
      </x:c>
      <x:c r="H497" s="49" t="inlineStr">
        <x:is>
          <x:t xml:space="preserve">UNIQUE_THEOREM_PENDING_COMPILE</x:t>
        </x:is>
      </x:c>
      <x:c r="I497" s="49" t="inlineStr">
        <x:is>
          <x:t xml:space="preserve">0</x:t>
        </x:is>
      </x:c>
      <x:c r="L497" s="56" t="n"/>
    </x:row>
    <x:row r="498" ht="15" customHeight="1">
      <x:c r="A498" s="55" t="inlineStr">
        <x:is>
          <x:t xml:space="preserve">law2_reference_denial_collapses_chi</x:t>
        </x:is>
      </x:c>
      <x:c r="B498" s="49" t="inlineStr">
        <x:is>
          <x:t xml:space="preserve">theorem</x:t>
        </x:is>
      </x:c>
      <x:c r="C498" s="49" t="inlineStr">
        <x:is>
          <x:t xml:space="preserve">theophysics-lean-main\theophysics-lean-main\Theophysics_LawMechanisms.lean</x:t>
        </x:is>
      </x:c>
      <x:c r="D498" s="49" t="inlineStr">
        <x:is>
          <x:t xml:space="preserve">199</x:t>
        </x:is>
      </x:c>
      <x:c r="E498" s="49" t="inlineStr">
        <x:is>
          <x:t xml:space="preserve">WRAPPER_OR_IMPORTED</x:t>
        </x:is>
      </x:c>
      <x:c r="F498" s="49" t="inlineStr">
        <x:is>
          <x:t xml:space="preserve">PENDING_NOT_RUN</x:t>
        </x:is>
      </x:c>
      <x:c r="G498" s="49" t="inlineStr">
        <x:is>
          <x:t xml:space="preserve">NO_SORRY_OR_ADMIT_STATIC_SCAN</x:t>
        </x:is>
      </x:c>
      <x:c r="H498" s="49" t="inlineStr">
        <x:is>
          <x:t xml:space="preserve">UNIQUE_THEOREM_PENDING_COMPILE</x:t>
        </x:is>
      </x:c>
      <x:c r="I498" s="49" t="inlineStr">
        <x:is>
          <x:t xml:space="preserve">0</x:t>
        </x:is>
      </x:c>
      <x:c r="L498" s="56" t="n"/>
    </x:row>
    <x:row r="499" ht="15" customHeight="1">
      <x:c r="A499" s="55" t="inlineStr">
        <x:is>
          <x:t xml:space="preserve">law2_reference_denial_forces_M_zero</x:t>
        </x:is>
      </x:c>
      <x:c r="B499" s="49" t="inlineStr">
        <x:is>
          <x:t xml:space="preserve">theorem</x:t>
        </x:is>
      </x:c>
      <x:c r="C499" s="49" t="inlineStr">
        <x:is>
          <x:t xml:space="preserve">theophysics-lean-main\theophysics-lean-main\Theophysics_LawMechanisms.lean</x:t>
        </x:is>
      </x:c>
      <x:c r="D499" s="49" t="inlineStr">
        <x:is>
          <x:t xml:space="preserve">166</x:t>
        </x:is>
      </x:c>
      <x:c r="E499" s="49" t="inlineStr">
        <x:is>
          <x:t xml:space="preserve">SIMPLIFICATION</x:t>
        </x:is>
      </x:c>
      <x:c r="F499" s="49" t="inlineStr">
        <x:is>
          <x:t xml:space="preserve">PENDING_NOT_RUN</x:t>
        </x:is>
      </x:c>
      <x:c r="G499" s="49" t="inlineStr">
        <x:is>
          <x:t xml:space="preserve">NO_SORRY_OR_ADMIT_STATIC_SCAN</x:t>
        </x:is>
      </x:c>
      <x:c r="H499" s="49" t="inlineStr">
        <x:is>
          <x:t xml:space="preserve">UNIQUE_THEOREM_PENDING_COMPILE</x:t>
        </x:is>
      </x:c>
      <x:c r="I499" s="49" t="inlineStr">
        <x:is>
          <x:t xml:space="preserve">0</x:t>
        </x:is>
      </x:c>
      <x:c r="L499" s="56" t="n"/>
    </x:row>
    <x:row r="500" ht="15" customHeight="1">
      <x:c r="A500" s="55" t="inlineStr">
        <x:is>
          <x:t xml:space="preserve">law2_reference_present_but_unacknowledged_fails</x:t>
        </x:is>
      </x:c>
      <x:c r="B500" s="49" t="inlineStr">
        <x:is>
          <x:t xml:space="preserve">theorem</x:t>
        </x:is>
      </x:c>
      <x:c r="C500" s="49" t="inlineStr">
        <x:is>
          <x:t xml:space="preserve">theophysics-lean-main\theophysics-lean-main\Theophysics_LawMechanisms.lean</x:t>
        </x:is>
      </x:c>
      <x:c r="D500" s="49" t="inlineStr">
        <x:is>
          <x:t xml:space="preserve">184</x:t>
        </x:is>
      </x:c>
      <x:c r="E500" s="49" t="inlineStr">
        <x:is>
          <x:t xml:space="preserve">DEFINITIONAL_RFL</x:t>
        </x:is>
      </x:c>
      <x:c r="F500" s="49" t="inlineStr">
        <x:is>
          <x:t xml:space="preserve">PENDING_NOT_RUN</x:t>
        </x:is>
      </x:c>
      <x:c r="G500" s="49" t="inlineStr">
        <x:is>
          <x:t xml:space="preserve">NO_SORRY_OR_ADMIT_STATIC_SCAN</x:t>
        </x:is>
      </x:c>
      <x:c r="H500" s="49" t="inlineStr">
        <x:is>
          <x:t xml:space="preserve">UNIQUE_THEOREM_PENDING_COMPILE</x:t>
        </x:is>
      </x:c>
      <x:c r="I500" s="49" t="inlineStr">
        <x:is>
          <x:t xml:space="preserve">0</x:t>
        </x:is>
      </x:c>
      <x:c r="L500" s="56" t="n"/>
    </x:row>
    <x:row r="501" ht="15" customHeight="1">
      <x:c r="A501" s="55" t="inlineStr">
        <x:is>
          <x:t xml:space="preserve">law3_command_bypass_collapses_chi</x:t>
        </x:is>
      </x:c>
      <x:c r="B501" s="49" t="inlineStr">
        <x:is>
          <x:t xml:space="preserve">theorem</x:t>
        </x:is>
      </x:c>
      <x:c r="C501" s="49" t="inlineStr">
        <x:is>
          <x:t xml:space="preserve">theophysics-lean-main\theophysics-lean-main\Theophysics_Core.lean</x:t>
        </x:is>
      </x:c>
      <x:c r="D501" s="49" t="inlineStr">
        <x:is>
          <x:t xml:space="preserve">194</x:t>
        </x:is>
      </x:c>
      <x:c r="E501" s="49" t="inlineStr">
        <x:is>
          <x:t xml:space="preserve">TRIVIAL_TRUE</x:t>
        </x:is>
      </x:c>
      <x:c r="F501" s="49" t="inlineStr">
        <x:is>
          <x:t xml:space="preserve">PENDING_NOT_RUN</x:t>
        </x:is>
      </x:c>
      <x:c r="G501" s="49" t="inlineStr">
        <x:is>
          <x:t xml:space="preserve">NO_SORRY_OR_ADMIT_STATIC_SCAN</x:t>
        </x:is>
      </x:c>
      <x:c r="H501" s="49" t="inlineStr">
        <x:is>
          <x:t xml:space="preserve">LOW_CONTENT_TRUE_NOT_PUBLIC_COUNT</x:t>
        </x:is>
      </x:c>
      <x:c r="I501" s="49" t="inlineStr">
        <x:is>
          <x:t xml:space="preserve">3</x:t>
        </x:is>
      </x:c>
      <x:c r="J501" s="49" t="inlineStr">
        <x:is>
          <x:t xml:space="preserve">LEAN_DERIVATION_CHAIN:53</x:t>
        </x:is>
      </x:c>
      <x:c r="K501" s="49" t="inlineStr">
        <x:is>
          <x:t xml:space="preserve">Command bypass → χ = 0. Truth bypass kills the whole system.</x:t>
        </x:is>
      </x:c>
      <x:c r="L501" s="56" t="n"/>
    </x:row>
    <x:row r="502" ht="15" customHeight="1">
      <x:c r="A502" s="55" t="inlineStr">
        <x:is>
          <x:t xml:space="preserve">law3_command_bypass_forces_E_zero</x:t>
        </x:is>
      </x:c>
      <x:c r="B502" s="49" t="inlineStr">
        <x:is>
          <x:t xml:space="preserve">theorem</x:t>
        </x:is>
      </x:c>
      <x:c r="C502" s="49" t="inlineStr">
        <x:is>
          <x:t xml:space="preserve">theophysics-lean-main\theophysics-lean-main\Final_Lean4_From_Excel.lean</x:t>
        </x:is>
      </x:c>
      <x:c r="D502" s="49" t="inlineStr">
        <x:is>
          <x:t xml:space="preserve">257</x:t>
        </x:is>
      </x:c>
      <x:c r="E502" s="49" t="inlineStr">
        <x:is>
          <x:t xml:space="preserve">DECLARATION_OR_UNKNOWN</x:t>
        </x:is>
      </x:c>
      <x:c r="F502" s="49" t="inlineStr">
        <x:is>
          <x:t xml:space="preserve">PENDING_NOT_RUN</x:t>
        </x:is>
      </x:c>
      <x:c r="G502" s="49" t="inlineStr">
        <x:is>
          <x:t xml:space="preserve">NO_SORRY_OR_ADMIT_STATIC_SCAN</x:t>
        </x:is>
      </x:c>
      <x:c r="H502" s="49" t="inlineStr">
        <x:is>
          <x:t xml:space="preserve">CANONICAL_THEOREM_DEDUPED_PENDING_COMPILE</x:t>
        </x:is>
      </x:c>
      <x:c r="I502" s="49" t="inlineStr">
        <x:is>
          <x:t xml:space="preserve">3</x:t>
        </x:is>
      </x:c>
      <x:c r="J502" s="49" t="inlineStr">
        <x:is>
          <x:t xml:space="preserve">LEAN_DERIVATION_CHAIN:51</x:t>
        </x:is>
      </x:c>
      <x:c r="K502" s="49" t="inlineStr">
        <x:is>
          <x:t xml:space="preserve">REJECTION: Command bypass → E = 0 (∀ states). Bypassing command kills truth-fidelity.</x:t>
        </x:is>
      </x:c>
      <x:c r="L502" s="56" t="n"/>
    </x:row>
    <x:row r="503" ht="15" customHeight="1">
      <x:c r="A503" s="55" t="inlineStr">
        <x:is>
          <x:t xml:space="preserve">law3_command_bypass_zeroes_source_backed_fidelity</x:t>
        </x:is>
      </x:c>
      <x:c r="B503" s="49" t="inlineStr">
        <x:is>
          <x:t xml:space="preserve">theorem</x:t>
        </x:is>
      </x:c>
      <x:c r="C503" s="49" t="inlineStr">
        <x:is>
          <x:t xml:space="preserve">theophysics-lean-main\theophysics-lean-main\Theophysics_Adversarial.lean</x:t>
        </x:is>
      </x:c>
      <x:c r="D503" s="49" t="inlineStr">
        <x:is>
          <x:t xml:space="preserve">399</x:t>
        </x:is>
      </x:c>
      <x:c r="E503" s="49" t="inlineStr">
        <x:is>
          <x:t xml:space="preserve">DEFINITIONAL_RFL</x:t>
        </x:is>
      </x:c>
      <x:c r="F503" s="49" t="inlineStr">
        <x:is>
          <x:t xml:space="preserve">PENDING_NOT_RUN</x:t>
        </x:is>
      </x:c>
      <x:c r="G503" s="49" t="inlineStr">
        <x:is>
          <x:t xml:space="preserve">NO_SORRY_OR_ADMIT_STATIC_SCAN</x:t>
        </x:is>
      </x:c>
      <x:c r="H503" s="49" t="inlineStr">
        <x:is>
          <x:t xml:space="preserve">CANONICAL_THEOREM_DEDUPED_PENDING_COMPILE</x:t>
        </x:is>
      </x:c>
      <x:c r="I503" s="49" t="inlineStr">
        <x:is>
          <x:t xml:space="preserve">3</x:t>
        </x:is>
      </x:c>
      <x:c r="J503" s="49" t="inlineStr">
        <x:is>
          <x:t xml:space="preserve">LEAN_DERIVATION_CHAIN:77</x:t>
        </x:is>
      </x:c>
      <x:c r="K503" s="49" t="inlineStr">
        <x:is>
          <x:t xml:space="preserve">REJECTION: Command bypass → truth fidelity 0 (∀ states)</x:t>
        </x:is>
      </x:c>
      <x:c r="L503" s="56" t="n"/>
    </x:row>
    <x:row r="504" ht="15" customHeight="1">
      <x:c r="A504" s="55" t="inlineStr">
        <x:is>
          <x:t xml:space="preserve">law3_phase_inversion_collapses_chi</x:t>
        </x:is>
      </x:c>
      <x:c r="B504" s="49" t="inlineStr">
        <x:is>
          <x:t xml:space="preserve">theorem</x:t>
        </x:is>
      </x:c>
      <x:c r="C504" s="49" t="inlineStr">
        <x:is>
          <x:t xml:space="preserve">theophysics-lean-main\theophysics-lean-main\Theophysics_Core.lean</x:t>
        </x:is>
      </x:c>
      <x:c r="D504" s="49" t="inlineStr">
        <x:is>
          <x:t xml:space="preserve">195</x:t>
        </x:is>
      </x:c>
      <x:c r="E504" s="49" t="inlineStr">
        <x:is>
          <x:t xml:space="preserve">TRIVIAL_TRUE</x:t>
        </x:is>
      </x:c>
      <x:c r="F504" s="49" t="inlineStr">
        <x:is>
          <x:t xml:space="preserve">PENDING_NOT_RUN</x:t>
        </x:is>
      </x:c>
      <x:c r="G504" s="49" t="inlineStr">
        <x:is>
          <x:t xml:space="preserve">NO_SORRY_OR_ADMIT_STATIC_SCAN</x:t>
        </x:is>
      </x:c>
      <x:c r="H504" s="49" t="inlineStr">
        <x:is>
          <x:t xml:space="preserve">LOW_CONTENT_TRUE_NOT_PUBLIC_COUNT</x:t>
        </x:is>
      </x:c>
      <x:c r="I504" s="49" t="inlineStr">
        <x:is>
          <x:t xml:space="preserve">3</x:t>
        </x:is>
      </x:c>
      <x:c r="J504" s="49" t="inlineStr">
        <x:is>
          <x:t xml:space="preserve">LEAN_DERIVATION_CHAIN:54</x:t>
        </x:is>
      </x:c>
      <x:c r="K504" s="49" t="inlineStr">
        <x:is>
          <x:t xml:space="preserve">Phase inversion → χ = 0</x:t>
        </x:is>
      </x:c>
      <x:c r="L504" s="56" t="n"/>
    </x:row>
    <x:row r="505" ht="15" customHeight="1">
      <x:c r="A505" s="55" t="inlineStr">
        <x:is>
          <x:t xml:space="preserve">law3_phase_inversion_forces_E_zero</x:t>
        </x:is>
      </x:c>
      <x:c r="B505" s="49" t="inlineStr">
        <x:is>
          <x:t xml:space="preserve">theorem</x:t>
        </x:is>
      </x:c>
      <x:c r="C505" s="49" t="inlineStr">
        <x:is>
          <x:t xml:space="preserve">theophysics-lean-main\theophysics-lean-main\Final_Lean4_From_Excel.lean</x:t>
        </x:is>
      </x:c>
      <x:c r="D505" s="49" t="inlineStr">
        <x:is>
          <x:t xml:space="preserve">263</x:t>
        </x:is>
      </x:c>
      <x:c r="E505" s="49" t="inlineStr">
        <x:is>
          <x:t xml:space="preserve">DECLARATION_OR_UNKNOWN</x:t>
        </x:is>
      </x:c>
      <x:c r="F505" s="49" t="inlineStr">
        <x:is>
          <x:t xml:space="preserve">PENDING_NOT_RUN</x:t>
        </x:is>
      </x:c>
      <x:c r="G505" s="49" t="inlineStr">
        <x:is>
          <x:t xml:space="preserve">NO_SORRY_OR_ADMIT_STATIC_SCAN</x:t>
        </x:is>
      </x:c>
      <x:c r="H505" s="49" t="inlineStr">
        <x:is>
          <x:t xml:space="preserve">CANONICAL_THEOREM_DEDUPED_PENDING_COMPILE</x:t>
        </x:is>
      </x:c>
      <x:c r="I505" s="49" t="inlineStr">
        <x:is>
          <x:t xml:space="preserve">3</x:t>
        </x:is>
      </x:c>
      <x:c r="J505" s="49" t="inlineStr">
        <x:is>
          <x:t xml:space="preserve">LEAN_DERIVATION_CHAIN:52</x:t>
        </x:is>
      </x:c>
      <x:c r="K505" s="49" t="inlineStr">
        <x:is>
          <x:t xml:space="preserve">REJECTION: Phase inversion → E = 0 (∀ states). Inverted alignment kills truth.</x:t>
        </x:is>
      </x:c>
      <x:c r="L505" s="56" t="n"/>
    </x:row>
    <x:row r="506" ht="15" customHeight="1">
      <x:c r="A506" s="55" t="inlineStr">
        <x:is>
          <x:t xml:space="preserve">law3_truth_limit_E_one</x:t>
        </x:is>
      </x:c>
      <x:c r="B506" s="49" t="inlineStr">
        <x:is>
          <x:t xml:space="preserve">theorem</x:t>
        </x:is>
      </x:c>
      <x:c r="C506" s="49" t="inlineStr">
        <x:is>
          <x:t xml:space="preserve">theophysics-lean-main\theophysics-lean-main\Theophysics_Core.lean</x:t>
        </x:is>
      </x:c>
      <x:c r="D506" s="49" t="inlineStr">
        <x:is>
          <x:t xml:space="preserve">196</x:t>
        </x:is>
      </x:c>
      <x:c r="E506" s="49" t="inlineStr">
        <x:is>
          <x:t xml:space="preserve">DECLARATION_OR_UNKNOWN</x:t>
        </x:is>
      </x:c>
      <x:c r="F506" s="49" t="inlineStr">
        <x:is>
          <x:t xml:space="preserve">PENDING_NOT_RUN</x:t>
        </x:is>
      </x:c>
      <x:c r="G506" s="49" t="inlineStr">
        <x:is>
          <x:t xml:space="preserve">NO_SORRY_OR_ADMIT_STATIC_SCAN</x:t>
        </x:is>
      </x:c>
      <x:c r="H506" s="49" t="inlineStr">
        <x:is>
          <x:t xml:space="preserve">CANONICAL_THEOREM_DEDUPED_PENDING_COMPILE</x:t>
        </x:is>
      </x:c>
      <x:c r="I506" s="49" t="inlineStr">
        <x:is>
          <x:t xml:space="preserve">7</x:t>
        </x:is>
      </x:c>
      <x:c r="J506" s="49" t="inlineStr">
        <x:is>
          <x:t xml:space="preserve">LEAN_DERIVATION_CHAIN:50</x:t>
        </x:is>
      </x:c>
      <x:c r="K506" s="49" t="inlineStr">
        <x:is>
          <x:t xml:space="preserve">Full slots + source-backed + phase-aligned → E = 1</x:t>
        </x:is>
      </x:c>
      <x:c r="L506" s="56" t="n"/>
    </x:row>
    <x:row r="507" ht="15" customHeight="1">
      <x:c r="A507" s="55" t="inlineStr">
        <x:is>
          <x:t xml:space="preserve">law3_unbacked_amplitude_still_has_zero_truth_fidelity</x:t>
        </x:is>
      </x:c>
      <x:c r="B507" s="49" t="inlineStr">
        <x:is>
          <x:t xml:space="preserve">theorem</x:t>
        </x:is>
      </x:c>
      <x:c r="C507" s="49" t="inlineStr">
        <x:is>
          <x:t xml:space="preserve">theophysics-lean-main\theophysics-lean-main\Theophysics_Adversarial.lean</x:t>
        </x:is>
      </x:c>
      <x:c r="D507" s="49" t="inlineStr">
        <x:is>
          <x:t xml:space="preserve">395</x:t>
        </x:is>
      </x:c>
      <x:c r="E507" s="49" t="inlineStr">
        <x:is>
          <x:t xml:space="preserve">DEFINITIONAL_RFL</x:t>
        </x:is>
      </x:c>
      <x:c r="F507" s="49" t="inlineStr">
        <x:is>
          <x:t xml:space="preserve">PENDING_NOT_RUN</x:t>
        </x:is>
      </x:c>
      <x:c r="G507" s="49" t="inlineStr">
        <x:is>
          <x:t xml:space="preserve">NO_SORRY_OR_ADMIT_STATIC_SCAN</x:t>
        </x:is>
      </x:c>
      <x:c r="H507" s="49" t="inlineStr">
        <x:is>
          <x:t xml:space="preserve">CANONICAL_THEOREM_DEDUPED_PENDING_COMPILE</x:t>
        </x:is>
      </x:c>
      <x:c r="I507" s="49" t="inlineStr">
        <x:is>
          <x:t xml:space="preserve">3</x:t>
        </x:is>
      </x:c>
      <x:c r="J507" s="49" t="inlineStr">
        <x:is>
          <x:t xml:space="preserve">LEAN_DERIVATION_CHAIN:76</x:t>
        </x:is>
      </x:c>
      <x:c r="K507" s="49" t="inlineStr">
        <x:is>
          <x:t xml:space="preserve">REJECTION: Raw amplitude can be 5 but truth fidelity is 0 without source backing. High signal ≠ truth.</x:t>
        </x:is>
      </x:c>
      <x:c r="L507" s="56" t="n"/>
    </x:row>
    <x:row r="508" ht="15" customHeight="1">
      <x:c r="A508" s="55" t="inlineStr">
        <x:is>
          <x:t xml:space="preserve">law4Iso</x:t>
        </x:is>
      </x:c>
      <x:c r="B508" s="49" t="inlineStr">
        <x:is>
          <x:t xml:space="preserve">theorem</x:t>
        </x:is>
      </x:c>
      <x:c r="C508" s="49" t="inlineStr">
        <x:is>
          <x:t xml:space="preserve">theophysics-lean-main\theophysics-lean-main\Theophysics_Core.lean</x:t>
        </x:is>
      </x:c>
      <x:c r="D508" s="49" t="inlineStr">
        <x:is>
          <x:t xml:space="preserve">217</x:t>
        </x:is>
      </x:c>
      <x:c r="E508" s="49" t="inlineStr">
        <x:is>
          <x:t xml:space="preserve">TRIVIAL_TRUE</x:t>
        </x:is>
      </x:c>
      <x:c r="F508" s="49" t="inlineStr">
        <x:is>
          <x:t xml:space="preserve">PENDING_NOT_RUN</x:t>
        </x:is>
      </x:c>
      <x:c r="G508" s="49" t="inlineStr">
        <x:is>
          <x:t xml:space="preserve">NO_SORRY_OR_ADMIT_STATIC_SCAN</x:t>
        </x:is>
      </x:c>
      <x:c r="H508" s="49" t="inlineStr">
        <x:is>
          <x:t xml:space="preserve">LOW_CONTENT_TRUE_NOT_PUBLIC_COUNT</x:t>
        </x:is>
      </x:c>
      <x:c r="I508" s="49" t="inlineStr">
        <x:is>
          <x:t xml:space="preserve">3</x:t>
        </x:is>
      </x:c>
      <x:c r="J508" s="49" t="inlineStr">
        <x:is>
          <x:t xml:space="preserve">LEAN_DERIVATION_CHAIN:84</x:t>
        </x:is>
      </x:c>
      <x:c r="K508" s="49" t="inlineStr">
        <x:is>
          <x:t xml:space="preserve">StrongForce ≅ Love (LawIso — value + collapse preserving bijection)</x:t>
        </x:is>
      </x:c>
      <x:c r="L508" s="56" t="n"/>
    </x:row>
    <x:row r="509" ht="15" customHeight="1">
      <x:c r="A509" s="55" t="inlineStr">
        <x:is>
          <x:t xml:space="preserve">law4IsoUsesInvertedMapping</x:t>
        </x:is>
      </x:c>
      <x:c r="B509" s="49" t="inlineStr">
        <x:is>
          <x:t xml:space="preserve">def</x:t>
        </x:is>
      </x:c>
      <x:c r="C509" s="49" t="inlineStr">
        <x:is>
          <x:t xml:space="preserve">theophysics-lean-main\theophysics-lean-main\Theophysics_Adversarial.lean</x:t>
        </x:is>
      </x:c>
      <x:c r="D509" s="49" t="inlineStr">
        <x:is>
          <x:t xml:space="preserve">236</x:t>
        </x:is>
      </x:c>
      <x:c r="E509" s="49" t="inlineStr">
        <x:is>
          <x:t xml:space="preserve">DECLARATION_OR_UNKNOWN</x:t>
        </x:is>
      </x:c>
      <x:c r="F509" s="49" t="inlineStr">
        <x:is>
          <x:t xml:space="preserve">PENDING_NOT_RUN</x:t>
        </x:is>
      </x:c>
      <x:c r="G509" s="49" t="inlineStr">
        <x:is>
          <x:t xml:space="preserve">NO_SORRY_OR_ADMIT_STATIC_SCAN</x:t>
        </x:is>
      </x:c>
      <x:c r="H509" s="49" t="inlineStr">
        <x:is>
          <x:t xml:space="preserve">SCAFFOLDING_NOT_PUBLIC_COUNT</x:t>
        </x:is>
      </x:c>
      <x:c r="I509" s="49" t="inlineStr">
        <x:is>
          <x:t xml:space="preserve">3</x:t>
        </x:is>
      </x:c>
      <x:c r="L509" s="56" t="n"/>
    </x:row>
    <x:row r="510" ht="15" customHeight="1">
      <x:c r="A510" s="55" t="inlineStr">
        <x:is>
          <x:t xml:space="preserve">law6_bandwidth_closed_forces_K_zero</x:t>
        </x:is>
      </x:c>
      <x:c r="B510" s="49" t="inlineStr">
        <x:is>
          <x:t xml:space="preserve">theorem</x:t>
        </x:is>
      </x:c>
      <x:c r="C510" s="49" t="inlineStr">
        <x:is>
          <x:t xml:space="preserve">theophysics-lean-main\theophysics-lean-main\Theophysics_Adversarial.lean</x:t>
        </x:is>
      </x:c>
      <x:c r="D510" s="49" t="inlineStr">
        <x:is>
          <x:t xml:space="preserve">371</x:t>
        </x:is>
      </x:c>
      <x:c r="E510" s="49" t="inlineStr">
        <x:is>
          <x:t xml:space="preserve">DEFINITIONAL_RFL</x:t>
        </x:is>
      </x:c>
      <x:c r="F510" s="49" t="inlineStr">
        <x:is>
          <x:t xml:space="preserve">PENDING_NOT_RUN</x:t>
        </x:is>
      </x:c>
      <x:c r="G510" s="49" t="inlineStr">
        <x:is>
          <x:t xml:space="preserve">NO_SORRY_OR_ADMIT_STATIC_SCAN</x:t>
        </x:is>
      </x:c>
      <x:c r="H510" s="49" t="inlineStr">
        <x:is>
          <x:t xml:space="preserve">CANONICAL_THEOREM_DEDUPED_PENDING_COMPILE</x:t>
        </x:is>
      </x:c>
      <x:c r="I510" s="49" t="inlineStr">
        <x:is>
          <x:t xml:space="preserve">3</x:t>
        </x:is>
      </x:c>
      <x:c r="J510" s="49" t="inlineStr">
        <x:is>
          <x:t xml:space="preserve">LEAN_DERIVATION_CHAIN:57</x:t>
        </x:is>
      </x:c>
      <x:c r="K510" s="49" t="inlineStr">
        <x:is>
          <x:t xml:space="preserve">REJECTION: Bandwidth closed → K = 0. Channel closed, Logos blocked.</x:t>
        </x:is>
      </x:c>
      <x:c r="L510" s="56" t="n"/>
    </x:row>
    <x:row r="511" ht="15" customHeight="1">
      <x:c r="A511" s="55" t="inlineStr">
        <x:is>
          <x:t xml:space="preserve">law6_bandwidth_collapse_collapses_chi</x:t>
        </x:is>
      </x:c>
      <x:c r="B511" s="49" t="inlineStr">
        <x:is>
          <x:t xml:space="preserve">theorem</x:t>
        </x:is>
      </x:c>
      <x:c r="C511" s="49" t="inlineStr">
        <x:is>
          <x:t xml:space="preserve">theophysics-lean-main\theophysics-lean-main\Theophysics_Core.lean</x:t>
        </x:is>
      </x:c>
      <x:c r="D511" s="49" t="inlineStr">
        <x:is>
          <x:t xml:space="preserve">199</x:t>
        </x:is>
      </x:c>
      <x:c r="E511" s="49" t="inlineStr">
        <x:is>
          <x:t xml:space="preserve">TRIVIAL_TRUE</x:t>
        </x:is>
      </x:c>
      <x:c r="F511" s="49" t="inlineStr">
        <x:is>
          <x:t xml:space="preserve">PENDING_NOT_RUN</x:t>
        </x:is>
      </x:c>
      <x:c r="G511" s="49" t="inlineStr">
        <x:is>
          <x:t xml:space="preserve">NO_SORRY_OR_ADMIT_STATIC_SCAN</x:t>
        </x:is>
      </x:c>
      <x:c r="H511" s="49" t="inlineStr">
        <x:is>
          <x:t xml:space="preserve">LOW_CONTENT_TRUE_NOT_PUBLIC_COUNT</x:t>
        </x:is>
      </x:c>
      <x:c r="I511" s="49" t="inlineStr">
        <x:is>
          <x:t xml:space="preserve">3</x:t>
        </x:is>
      </x:c>
      <x:c r="J511" s="49" t="inlineStr">
        <x:is>
          <x:t xml:space="preserve">LEAN_DERIVATION_CHAIN:59</x:t>
        </x:is>
      </x:c>
      <x:c r="K511" s="49" t="inlineStr">
        <x:is>
          <x:t xml:space="preserve">Bandwidth collapse → χ = 0</x:t>
        </x:is>
      </x:c>
      <x:c r="L511" s="56" t="n"/>
    </x:row>
    <x:row r="512" ht="15" customHeight="1">
      <x:c r="A512" s="55" t="inlineStr">
        <x:is>
          <x:t xml:space="preserve">law6_distortion_dominates_forces_K_zero</x:t>
        </x:is>
      </x:c>
      <x:c r="B512" s="49" t="inlineStr">
        <x:is>
          <x:t xml:space="preserve">theorem</x:t>
        </x:is>
      </x:c>
      <x:c r="C512" s="49" t="inlineStr">
        <x:is>
          <x:t xml:space="preserve">theophysics-lean-main\theophysics-lean-main\Theophysics_Adversarial.lean</x:t>
        </x:is>
      </x:c>
      <x:c r="D512" s="49" t="inlineStr">
        <x:is>
          <x:t xml:space="preserve">375</x:t>
        </x:is>
      </x:c>
      <x:c r="E512" s="49" t="inlineStr">
        <x:is>
          <x:t xml:space="preserve">DEFINITIONAL_RFL</x:t>
        </x:is>
      </x:c>
      <x:c r="F512" s="49" t="inlineStr">
        <x:is>
          <x:t xml:space="preserve">PENDING_NOT_RUN</x:t>
        </x:is>
      </x:c>
      <x:c r="G512" s="49" t="inlineStr">
        <x:is>
          <x:t xml:space="preserve">NO_SORRY_OR_ADMIT_STATIC_SCAN</x:t>
        </x:is>
      </x:c>
      <x:c r="H512" s="49" t="inlineStr">
        <x:is>
          <x:t xml:space="preserve">CANONICAL_THEOREM_DEDUPED_PENDING_COMPILE</x:t>
        </x:is>
      </x:c>
      <x:c r="I512" s="49" t="inlineStr">
        <x:is>
          <x:t xml:space="preserve">3</x:t>
        </x:is>
      </x:c>
      <x:c r="J512" s="49" t="inlineStr">
        <x:is>
          <x:t xml:space="preserve">LEAN_DERIVATION_CHAIN:58</x:t>
        </x:is>
      </x:c>
      <x:c r="K512" s="49" t="inlineStr">
        <x:is>
          <x:t xml:space="preserve">REJECTION: Distortion dominates → K = 0</x:t>
        </x:is>
      </x:c>
      <x:c r="L512" s="56" t="n"/>
    </x:row>
    <x:row r="513" ht="15" customHeight="1">
      <x:c r="A513" s="55" t="inlineStr">
        <x:is>
          <x:t xml:space="preserve">law6_logos_limit_K_one</x:t>
        </x:is>
      </x:c>
      <x:c r="B513" s="49" t="inlineStr">
        <x:is>
          <x:t xml:space="preserve">theorem</x:t>
        </x:is>
      </x:c>
      <x:c r="C513" s="49" t="inlineStr">
        <x:is>
          <x:t xml:space="preserve">theophysics-lean-main\theophysics-lean-main\Theophysics_Core.lean</x:t>
        </x:is>
      </x:c>
      <x:c r="D513" s="49" t="inlineStr">
        <x:is>
          <x:t xml:space="preserve">200</x:t>
        </x:is>
      </x:c>
      <x:c r="E513" s="49" t="inlineStr">
        <x:is>
          <x:t xml:space="preserve">TRIVIAL_TRUE</x:t>
        </x:is>
      </x:c>
      <x:c r="F513" s="49" t="inlineStr">
        <x:is>
          <x:t xml:space="preserve">PENDING_NOT_RUN</x:t>
        </x:is>
      </x:c>
      <x:c r="G513" s="49" t="inlineStr">
        <x:is>
          <x:t xml:space="preserve">NO_SORRY_OR_ADMIT_STATIC_SCAN</x:t>
        </x:is>
      </x:c>
      <x:c r="H513" s="49" t="inlineStr">
        <x:is>
          <x:t xml:space="preserve">LOW_CONTENT_TRUE_NOT_PUBLIC_COUNT</x:t>
        </x:is>
      </x:c>
      <x:c r="I513" s="49" t="inlineStr">
        <x:is>
          <x:t xml:space="preserve">3</x:t>
        </x:is>
      </x:c>
      <x:c r="J513" s="49" t="inlineStr">
        <x:is>
          <x:t xml:space="preserve">LEAN_DERIVATION_CHAIN:55</x:t>
        </x:is>
      </x:c>
      <x:c r="K513" s="49" t="inlineStr">
        <x:is>
          <x:t xml:space="preserve">Full conditions → K = 1</x:t>
        </x:is>
      </x:c>
      <x:c r="L513" s="56" t="n"/>
    </x:row>
    <x:row r="514" ht="15" customHeight="1">
      <x:c r="A514" s="55" t="inlineStr">
        <x:is>
          <x:t xml:space="preserve">law6_relation_bypass_forces_K_zero</x:t>
        </x:is>
      </x:c>
      <x:c r="B514" s="49" t="inlineStr">
        <x:is>
          <x:t xml:space="preserve">theorem</x:t>
        </x:is>
      </x:c>
      <x:c r="C514" s="49" t="inlineStr">
        <x:is>
          <x:t xml:space="preserve">theophysics-lean-main\theophysics-lean-main\Theophysics_Adversarial.lean</x:t>
        </x:is>
      </x:c>
      <x:c r="D514" s="49" t="inlineStr">
        <x:is>
          <x:t xml:space="preserve">367</x:t>
        </x:is>
      </x:c>
      <x:c r="E514" s="49" t="inlineStr">
        <x:is>
          <x:t xml:space="preserve">DEFINITIONAL_RFL</x:t>
        </x:is>
      </x:c>
      <x:c r="F514" s="49" t="inlineStr">
        <x:is>
          <x:t xml:space="preserve">PENDING_NOT_RUN</x:t>
        </x:is>
      </x:c>
      <x:c r="G514" s="49" t="inlineStr">
        <x:is>
          <x:t xml:space="preserve">NO_SORRY_OR_ADMIT_STATIC_SCAN</x:t>
        </x:is>
      </x:c>
      <x:c r="H514" s="49" t="inlineStr">
        <x:is>
          <x:t xml:space="preserve">CANONICAL_THEOREM_DEDUPED_PENDING_COMPILE</x:t>
        </x:is>
      </x:c>
      <x:c r="I514" s="49" t="inlineStr">
        <x:is>
          <x:t xml:space="preserve">3</x:t>
        </x:is>
      </x:c>
      <x:c r="J514" s="49" t="inlineStr">
        <x:is>
          <x:t xml:space="preserve">LEAN_DERIVATION_CHAIN:56</x:t>
        </x:is>
      </x:c>
      <x:c r="K514" s="49" t="inlineStr">
        <x:is>
          <x:t xml:space="preserve">REJECTION: Relation bypass → K = 0. No relation, no Logos.</x:t>
        </x:is>
      </x:c>
      <x:c r="L514" s="56" t="n"/>
    </x:row>
    <x:row r="515" ht="15" customHeight="1">
      <x:c r="A515" s="55" t="inlineStr">
        <x:is>
          <x:t xml:space="preserve">law7_final_R_is_binary</x:t>
        </x:is>
      </x:c>
      <x:c r="B515" s="49" t="inlineStr">
        <x:is>
          <x:t xml:space="preserve">theorem</x:t>
        </x:is>
      </x:c>
      <x:c r="C515" s="49" t="inlineStr">
        <x:is>
          <x:t xml:space="preserve">theophysics-lean-main\theophysics-lean-main\Theophysics_Core.lean</x:t>
        </x:is>
      </x:c>
      <x:c r="D515" s="49" t="inlineStr">
        <x:is>
          <x:t xml:space="preserve">213</x:t>
        </x:is>
      </x:c>
      <x:c r="E515" s="49" t="inlineStr">
        <x:is>
          <x:t xml:space="preserve">TRIVIAL_TRUE</x:t>
        </x:is>
      </x:c>
      <x:c r="F515" s="49" t="inlineStr">
        <x:is>
          <x:t xml:space="preserve">PENDING_NOT_RUN</x:t>
        </x:is>
      </x:c>
      <x:c r="G515" s="49" t="inlineStr">
        <x:is>
          <x:t xml:space="preserve">NO_SORRY_OR_ADMIT_STATIC_SCAN</x:t>
        </x:is>
      </x:c>
      <x:c r="H515" s="49" t="inlineStr">
        <x:is>
          <x:t xml:space="preserve">LOW_CONTENT_TRUE_NOT_PUBLIC_COUNT</x:t>
        </x:is>
      </x:c>
      <x:c r="I515" s="49" t="inlineStr">
        <x:is>
          <x:t xml:space="preserve">3</x:t>
        </x:is>
      </x:c>
      <x:c r="J515" s="49" t="inlineStr">
        <x:is>
          <x:t xml:space="preserve">LEAN_DERIVATION_CHAIN:81</x:t>
        </x:is>
      </x:c>
      <x:c r="K515" s="49" t="inlineStr">
        <x:is>
          <x:t xml:space="preserve">R gate is always 0 or 1. No drift.</x:t>
        </x:is>
      </x:c>
      <x:c r="L515" s="56" t="n"/>
    </x:row>
    <x:row r="516" ht="15" customHeight="1">
      <x:c r="A516" s="55" t="inlineStr">
        <x:is>
          <x:t xml:space="preserve">law7_frame_lock_collapses_chi</x:t>
        </x:is>
      </x:c>
      <x:c r="B516" s="49" t="inlineStr">
        <x:is>
          <x:t xml:space="preserve">theorem</x:t>
        </x:is>
      </x:c>
      <x:c r="C516" s="49" t="inlineStr">
        <x:is>
          <x:t xml:space="preserve">theophysics-lean-main\theophysics-lean-main\Theophysics_Core.lean</x:t>
        </x:is>
      </x:c>
      <x:c r="D516" s="49" t="inlineStr">
        <x:is>
          <x:t xml:space="preserve">201</x:t>
        </x:is>
      </x:c>
      <x:c r="E516" s="49" t="inlineStr">
        <x:is>
          <x:t xml:space="preserve">TRIVIAL_TRUE</x:t>
        </x:is>
      </x:c>
      <x:c r="F516" s="49" t="inlineStr">
        <x:is>
          <x:t xml:space="preserve">PENDING_NOT_RUN</x:t>
        </x:is>
      </x:c>
      <x:c r="G516" s="49" t="inlineStr">
        <x:is>
          <x:t xml:space="preserve">NO_SORRY_OR_ADMIT_STATIC_SCAN</x:t>
        </x:is>
      </x:c>
      <x:c r="H516" s="49" t="inlineStr">
        <x:is>
          <x:t xml:space="preserve">LOW_CONTENT_TRUE_NOT_PUBLIC_COUNT</x:t>
        </x:is>
      </x:c>
      <x:c r="I516" s="49" t="inlineStr">
        <x:is>
          <x:t xml:space="preserve">3</x:t>
        </x:is>
      </x:c>
      <x:c r="J516" s="49" t="inlineStr">
        <x:is>
          <x:t xml:space="preserve">LEAN_DERIVATION_CHAIN:65</x:t>
        </x:is>
      </x:c>
      <x:c r="K516" s="49" t="inlineStr">
        <x:is>
          <x:t xml:space="preserve">Frame lock → χ = 0</x:t>
        </x:is>
      </x:c>
      <x:c r="L516" s="56" t="n"/>
    </x:row>
    <x:row r="517" ht="15" customHeight="1">
      <x:c r="A517" s="55" t="inlineStr">
        <x:is>
          <x:t xml:space="preserve">law7_frame_lock_forces_R_zero</x:t>
        </x:is>
      </x:c>
      <x:c r="B517" s="49" t="inlineStr">
        <x:is>
          <x:t xml:space="preserve">theorem</x:t>
        </x:is>
      </x:c>
      <x:c r="C517" s="49" t="inlineStr">
        <x:is>
          <x:t xml:space="preserve">theophysics-lean-main\theophysics-lean-main\Final_Lean4_From_Excel.lean</x:t>
        </x:is>
      </x:c>
      <x:c r="D517" s="49" t="inlineStr">
        <x:is>
          <x:t xml:space="preserve">273</x:t>
        </x:is>
      </x:c>
      <x:c r="E517" s="49" t="inlineStr">
        <x:is>
          <x:t xml:space="preserve">DECLARATION_OR_UNKNOWN</x:t>
        </x:is>
      </x:c>
      <x:c r="F517" s="49" t="inlineStr">
        <x:is>
          <x:t xml:space="preserve">PENDING_NOT_RUN</x:t>
        </x:is>
      </x:c>
      <x:c r="G517" s="49" t="inlineStr">
        <x:is>
          <x:t xml:space="preserve">NO_SORRY_OR_ADMIT_STATIC_SCAN</x:t>
        </x:is>
      </x:c>
      <x:c r="H517" s="49" t="inlineStr">
        <x:is>
          <x:t xml:space="preserve">CANONICAL_THEOREM_DEDUPED_PENDING_COMPILE</x:t>
        </x:is>
      </x:c>
      <x:c r="I517" s="49" t="inlineStr">
        <x:is>
          <x:t xml:space="preserve">3</x:t>
        </x:is>
      </x:c>
      <x:c r="J517" s="49" t="inlineStr">
        <x:is>
          <x:t xml:space="preserve">LEAN_DERIVATION_CHAIN:63</x:t>
        </x:is>
      </x:c>
      <x:c r="K517" s="49" t="inlineStr">
        <x:is>
          <x:t xml:space="preserve">REJECTION: Frame lock → R = 0</x:t>
        </x:is>
      </x:c>
      <x:c r="L517" s="56" t="n"/>
    </x:row>
    <x:row r="518" ht="15" customHeight="1">
      <x:c r="A518" s="55" t="inlineStr">
        <x:is>
          <x:t xml:space="preserve">law7_frame_locked_score_fails_R_gate</x:t>
        </x:is>
      </x:c>
      <x:c r="B518" s="49" t="inlineStr">
        <x:is>
          <x:t xml:space="preserve">theorem</x:t>
        </x:is>
      </x:c>
      <x:c r="C518" s="49" t="inlineStr">
        <x:is>
          <x:t xml:space="preserve">theophysics-lean-main\theophysics-lean-main\Theophysics_Adversarial.lean</x:t>
        </x:is>
      </x:c>
      <x:c r="D518" s="49" t="inlineStr">
        <x:is>
          <x:t xml:space="preserve">403</x:t>
        </x:is>
      </x:c>
      <x:c r="E518" s="49" t="inlineStr">
        <x:is>
          <x:t xml:space="preserve">DEFINITIONAL_RFL</x:t>
        </x:is>
      </x:c>
      <x:c r="F518" s="49" t="inlineStr">
        <x:is>
          <x:t xml:space="preserve">PENDING_NOT_RUN</x:t>
        </x:is>
      </x:c>
      <x:c r="G518" s="49" t="inlineStr">
        <x:is>
          <x:t xml:space="preserve">NO_SORRY_OR_ADMIT_STATIC_SCAN</x:t>
        </x:is>
      </x:c>
      <x:c r="H518" s="49" t="inlineStr">
        <x:is>
          <x:t xml:space="preserve">CANONICAL_THEOREM_DEDUPED_PENDING_COMPILE</x:t>
        </x:is>
      </x:c>
      <x:c r="I518" s="49" t="inlineStr">
        <x:is>
          <x:t xml:space="preserve">3</x:t>
        </x:is>
      </x:c>
      <x:c r="J518" s="49" t="inlineStr">
        <x:is>
          <x:t xml:space="preserve">LEAN_DERIVATION_CHAIN:79</x:t>
        </x:is>
      </x:c>
      <x:c r="K518" s="49" t="inlineStr">
        <x:is>
          <x:t xml:space="preserve">REJECTION: Frame locked → R gate = 0</x:t>
        </x:is>
      </x:c>
      <x:c r="L518" s="56" t="n"/>
    </x:row>
    <x:row r="519" ht="15" customHeight="1">
      <x:c r="A519" s="55" t="inlineStr">
        <x:is>
          <x:t xml:space="preserve">law7_healthy_score_passes_R_gate</x:t>
        </x:is>
      </x:c>
      <x:c r="B519" s="49" t="inlineStr">
        <x:is>
          <x:t xml:space="preserve">theorem</x:t>
        </x:is>
      </x:c>
      <x:c r="C519" s="49" t="inlineStr">
        <x:is>
          <x:t xml:space="preserve">theophysics-lean-main\theophysics-lean-main\Theophysics_Core.lean</x:t>
        </x:is>
      </x:c>
      <x:c r="D519" s="49" t="inlineStr">
        <x:is>
          <x:t xml:space="preserve">214</x:t>
        </x:is>
      </x:c>
      <x:c r="E519" s="49" t="inlineStr">
        <x:is>
          <x:t xml:space="preserve">DECLARATION_OR_UNKNOWN</x:t>
        </x:is>
      </x:c>
      <x:c r="F519" s="49" t="inlineStr">
        <x:is>
          <x:t xml:space="preserve">PENDING_NOT_RUN</x:t>
        </x:is>
      </x:c>
      <x:c r="G519" s="49" t="inlineStr">
        <x:is>
          <x:t xml:space="preserve">NO_SORRY_OR_ADMIT_STATIC_SCAN</x:t>
        </x:is>
      </x:c>
      <x:c r="H519" s="49" t="inlineStr">
        <x:is>
          <x:t xml:space="preserve">CANONICAL_THEOREM_DEDUPED_PENDING_COMPILE</x:t>
        </x:is>
      </x:c>
      <x:c r="I519" s="49" t="inlineStr">
        <x:is>
          <x:t xml:space="preserve">7</x:t>
        </x:is>
      </x:c>
      <x:c r="J519" s="49" t="inlineStr">
        <x:is>
          <x:t xml:space="preserve">LEAN_DERIVATION_CHAIN:78</x:t>
        </x:is>
      </x:c>
      <x:c r="K519" s="49" t="inlineStr">
        <x:is>
          <x:t xml:space="preserve">Healthy frame score → R gate = 1</x:t>
        </x:is>
      </x:c>
      <x:c r="L519" s="56" t="n"/>
    </x:row>
    <x:row r="520" ht="15" customHeight="1">
      <x:c r="A520" s="55" t="inlineStr">
        <x:is>
          <x:t xml:space="preserve">law7_metric_absent_forces_R_zero</x:t>
        </x:is>
      </x:c>
      <x:c r="B520" s="49" t="inlineStr">
        <x:is>
          <x:t xml:space="preserve">theorem</x:t>
        </x:is>
      </x:c>
      <x:c r="C520" s="49" t="inlineStr">
        <x:is>
          <x:t xml:space="preserve">theophysics-lean-main\theophysics-lean-main\Theophysics_Adversarial.lean</x:t>
        </x:is>
      </x:c>
      <x:c r="D520" s="49" t="inlineStr">
        <x:is>
          <x:t xml:space="preserve">379</x:t>
        </x:is>
      </x:c>
      <x:c r="E520" s="49" t="inlineStr">
        <x:is>
          <x:t xml:space="preserve">DEFINITIONAL_RFL</x:t>
        </x:is>
      </x:c>
      <x:c r="F520" s="49" t="inlineStr">
        <x:is>
          <x:t xml:space="preserve">PENDING_NOT_RUN</x:t>
        </x:is>
      </x:c>
      <x:c r="G520" s="49" t="inlineStr">
        <x:is>
          <x:t xml:space="preserve">NO_SORRY_OR_ADMIT_STATIC_SCAN</x:t>
        </x:is>
      </x:c>
      <x:c r="H520" s="49" t="inlineStr">
        <x:is>
          <x:t xml:space="preserve">CANONICAL_THEOREM_DEDUPED_PENDING_COMPILE</x:t>
        </x:is>
      </x:c>
      <x:c r="I520" s="49" t="inlineStr">
        <x:is>
          <x:t xml:space="preserve">3</x:t>
        </x:is>
      </x:c>
      <x:c r="J520" s="49" t="inlineStr">
        <x:is>
          <x:t xml:space="preserve">LEAN_DERIVATION_CHAIN:62</x:t>
        </x:is>
      </x:c>
      <x:c r="K520" s="49" t="inlineStr">
        <x:is>
          <x:t xml:space="preserve">REJECTION: No shared metric → R = 0</x:t>
        </x:is>
      </x:c>
      <x:c r="L520" s="56" t="n"/>
    </x:row>
    <x:row r="521" ht="15" customHeight="1">
      <x:c r="A521" s="55" t="inlineStr">
        <x:is>
          <x:t xml:space="preserve">law7_relation_bypass_collapses_chi</x:t>
        </x:is>
      </x:c>
      <x:c r="B521" s="49" t="inlineStr">
        <x:is>
          <x:t xml:space="preserve">theorem</x:t>
        </x:is>
      </x:c>
      <x:c r="C521" s="49" t="inlineStr">
        <x:is>
          <x:t xml:space="preserve">theophysics-lean-main\theophysics-lean-main\Theophysics_Core.lean</x:t>
        </x:is>
      </x:c>
      <x:c r="D521" s="49" t="inlineStr">
        <x:is>
          <x:t xml:space="preserve">202</x:t>
        </x:is>
      </x:c>
      <x:c r="E521" s="49" t="inlineStr">
        <x:is>
          <x:t xml:space="preserve">TRIVIAL_TRUE</x:t>
        </x:is>
      </x:c>
      <x:c r="F521" s="49" t="inlineStr">
        <x:is>
          <x:t xml:space="preserve">PENDING_NOT_RUN</x:t>
        </x:is>
      </x:c>
      <x:c r="G521" s="49" t="inlineStr">
        <x:is>
          <x:t xml:space="preserve">NO_SORRY_OR_ADMIT_STATIC_SCAN</x:t>
        </x:is>
      </x:c>
      <x:c r="H521" s="49" t="inlineStr">
        <x:is>
          <x:t xml:space="preserve">LOW_CONTENT_TRUE_NOT_PUBLIC_COUNT</x:t>
        </x:is>
      </x:c>
      <x:c r="I521" s="49" t="inlineStr">
        <x:is>
          <x:t xml:space="preserve">3</x:t>
        </x:is>
      </x:c>
      <x:c r="J521" s="49" t="inlineStr">
        <x:is>
          <x:t xml:space="preserve">LEAN_DERIVATION_CHAIN:64</x:t>
        </x:is>
      </x:c>
      <x:c r="K521" s="49" t="inlineStr">
        <x:is>
          <x:t xml:space="preserve">Relation bypass → χ = 0</x:t>
        </x:is>
      </x:c>
      <x:c r="L521" s="56" t="n"/>
    </x:row>
    <x:row r="522" ht="15" customHeight="1">
      <x:c r="A522" s="55" t="inlineStr">
        <x:is>
          <x:t xml:space="preserve">law7_relation_bypass_forces_R_zero</x:t>
        </x:is>
      </x:c>
      <x:c r="B522" s="49" t="inlineStr">
        <x:is>
          <x:t xml:space="preserve">theorem</x:t>
        </x:is>
      </x:c>
      <x:c r="C522" s="49" t="inlineStr">
        <x:is>
          <x:t xml:space="preserve">theophysics-lean-main\theophysics-lean-main\Final_Lean4_From_Excel.lean</x:t>
        </x:is>
      </x:c>
      <x:c r="D522" s="49" t="inlineStr">
        <x:is>
          <x:t xml:space="preserve">270</x:t>
        </x:is>
      </x:c>
      <x:c r="E522" s="49" t="inlineStr">
        <x:is>
          <x:t xml:space="preserve">DECLARATION_OR_UNKNOWN</x:t>
        </x:is>
      </x:c>
      <x:c r="F522" s="49" t="inlineStr">
        <x:is>
          <x:t xml:space="preserve">PENDING_NOT_RUN</x:t>
        </x:is>
      </x:c>
      <x:c r="G522" s="49" t="inlineStr">
        <x:is>
          <x:t xml:space="preserve">NO_SORRY_OR_ADMIT_STATIC_SCAN</x:t>
        </x:is>
      </x:c>
      <x:c r="H522" s="49" t="inlineStr">
        <x:is>
          <x:t xml:space="preserve">CANONICAL_THEOREM_DEDUPED_PENDING_COMPILE</x:t>
        </x:is>
      </x:c>
      <x:c r="I522" s="49" t="inlineStr">
        <x:is>
          <x:t xml:space="preserve">3</x:t>
        </x:is>
      </x:c>
      <x:c r="J522" s="49" t="inlineStr">
        <x:is>
          <x:t xml:space="preserve">LEAN_DERIVATION_CHAIN:61</x:t>
        </x:is>
      </x:c>
      <x:c r="K522" s="49" t="inlineStr">
        <x:is>
          <x:t xml:space="preserve">REJECTION: Relation bypass → R = 0. No relation, no frame translation.</x:t>
        </x:is>
      </x:c>
      <x:c r="L522" s="56" t="n"/>
    </x:row>
    <x:row r="523" ht="15" customHeight="1">
      <x:c r="A523" s="55" t="inlineStr">
        <x:is>
          <x:t xml:space="preserve">law7_relation_bypass_score_fails_R_gate</x:t>
        </x:is>
      </x:c>
      <x:c r="B523" s="49" t="inlineStr">
        <x:is>
          <x:t xml:space="preserve">theorem</x:t>
        </x:is>
      </x:c>
      <x:c r="C523" s="49" t="inlineStr">
        <x:is>
          <x:t xml:space="preserve">theophysics-lean-main\theophysics-lean-main\Theophysics_Adversarial.lean</x:t>
        </x:is>
      </x:c>
      <x:c r="D523" s="49" t="inlineStr">
        <x:is>
          <x:t xml:space="preserve">407</x:t>
        </x:is>
      </x:c>
      <x:c r="E523" s="49" t="inlineStr">
        <x:is>
          <x:t xml:space="preserve">DEFINITIONAL_RFL</x:t>
        </x:is>
      </x:c>
      <x:c r="F523" s="49" t="inlineStr">
        <x:is>
          <x:t xml:space="preserve">PENDING_NOT_RUN</x:t>
        </x:is>
      </x:c>
      <x:c r="G523" s="49" t="inlineStr">
        <x:is>
          <x:t xml:space="preserve">NO_SORRY_OR_ADMIT_STATIC_SCAN</x:t>
        </x:is>
      </x:c>
      <x:c r="H523" s="49" t="inlineStr">
        <x:is>
          <x:t xml:space="preserve">CANONICAL_THEOREM_DEDUPED_PENDING_COMPILE</x:t>
        </x:is>
      </x:c>
      <x:c r="I523" s="49" t="inlineStr">
        <x:is>
          <x:t xml:space="preserve">3</x:t>
        </x:is>
      </x:c>
      <x:c r="J523" s="49" t="inlineStr">
        <x:is>
          <x:t xml:space="preserve">LEAN_DERIVATION_CHAIN:80</x:t>
        </x:is>
      </x:c>
      <x:c r="K523" s="49" t="inlineStr">
        <x:is>
          <x:t xml:space="preserve">REJECTION: No relation → R gate = 0</x:t>
        </x:is>
      </x:c>
      <x:c r="L523" s="56" t="n"/>
    </x:row>
    <x:row r="524" ht="15" customHeight="1">
      <x:c r="A524" s="55" t="inlineStr">
        <x:is>
          <x:t xml:space="preserve">law7_righteous_limit_R_one</x:t>
        </x:is>
      </x:c>
      <x:c r="B524" s="49" t="inlineStr">
        <x:is>
          <x:t xml:space="preserve">theorem</x:t>
        </x:is>
      </x:c>
      <x:c r="C524" s="49" t="inlineStr">
        <x:is>
          <x:t xml:space="preserve">theophysics-lean-main\theophysics-lean-main\Theophysics_Core.lean</x:t>
        </x:is>
      </x:c>
      <x:c r="D524" s="49" t="inlineStr">
        <x:is>
          <x:t xml:space="preserve">203</x:t>
        </x:is>
      </x:c>
      <x:c r="E524" s="49" t="inlineStr">
        <x:is>
          <x:t xml:space="preserve">TRIVIAL_TRUE</x:t>
        </x:is>
      </x:c>
      <x:c r="F524" s="49" t="inlineStr">
        <x:is>
          <x:t xml:space="preserve">PENDING_NOT_RUN</x:t>
        </x:is>
      </x:c>
      <x:c r="G524" s="49" t="inlineStr">
        <x:is>
          <x:t xml:space="preserve">NO_SORRY_OR_ADMIT_STATIC_SCAN</x:t>
        </x:is>
      </x:c>
      <x:c r="H524" s="49" t="inlineStr">
        <x:is>
          <x:t xml:space="preserve">LOW_CONTENT_TRUE_NOT_PUBLIC_COUNT</x:t>
        </x:is>
      </x:c>
      <x:c r="I524" s="49" t="inlineStr">
        <x:is>
          <x:t xml:space="preserve">3</x:t>
        </x:is>
      </x:c>
      <x:c r="J524" s="49" t="inlineStr">
        <x:is>
          <x:t xml:space="preserve">LEAN_DERIVATION_CHAIN:60</x:t>
        </x:is>
      </x:c>
      <x:c r="K524" s="49" t="inlineStr">
        <x:is>
          <x:t xml:space="preserve">Full conditions → R = 1</x:t>
        </x:is>
      </x:c>
      <x:c r="L524" s="56" t="n"/>
    </x:row>
    <x:row r="525" ht="15" customHeight="1">
      <x:c r="A525" s="55" t="inlineStr">
        <x:is>
          <x:t xml:space="preserve">law8_command_bypass_collapses_chi</x:t>
        </x:is>
      </x:c>
      <x:c r="B525" s="49" t="inlineStr">
        <x:is>
          <x:t xml:space="preserve">theorem</x:t>
        </x:is>
      </x:c>
      <x:c r="C525" s="49" t="inlineStr">
        <x:is>
          <x:t xml:space="preserve">theophysics-lean-main\theophysics-lean-main\Theophysics_Core.lean</x:t>
        </x:is>
      </x:c>
      <x:c r="D525" s="49" t="inlineStr">
        <x:is>
          <x:t xml:space="preserve">204</x:t>
        </x:is>
      </x:c>
      <x:c r="E525" s="49" t="inlineStr">
        <x:is>
          <x:t xml:space="preserve">TRIVIAL_TRUE</x:t>
        </x:is>
      </x:c>
      <x:c r="F525" s="49" t="inlineStr">
        <x:is>
          <x:t xml:space="preserve">PENDING_NOT_RUN</x:t>
        </x:is>
      </x:c>
      <x:c r="G525" s="49" t="inlineStr">
        <x:is>
          <x:t xml:space="preserve">NO_SORRY_OR_ADMIT_STATIC_SCAN</x:t>
        </x:is>
      </x:c>
      <x:c r="H525" s="49" t="inlineStr">
        <x:is>
          <x:t xml:space="preserve">LOW_CONTENT_TRUE_NOT_PUBLIC_COUNT</x:t>
        </x:is>
      </x:c>
      <x:c r="I525" s="49" t="inlineStr">
        <x:is>
          <x:t xml:space="preserve">3</x:t>
        </x:is>
      </x:c>
      <x:c r="J525" s="49" t="inlineStr">
        <x:is>
          <x:t xml:space="preserve">LEAN_DERIVATION_CHAIN:70</x:t>
        </x:is>
      </x:c>
      <x:c r="K525" s="49" t="inlineStr">
        <x:is>
          <x:t xml:space="preserve">Command bypass → χ = 0</x:t>
        </x:is>
      </x:c>
      <x:c r="L525" s="56" t="n"/>
    </x:row>
    <x:row r="526" ht="15" customHeight="1">
      <x:c r="A526" s="55" t="inlineStr">
        <x:is>
          <x:t xml:space="preserve">law8_command_bypass_forces_Q_zero</x:t>
        </x:is>
      </x:c>
      <x:c r="B526" s="49" t="inlineStr">
        <x:is>
          <x:t xml:space="preserve">theorem</x:t>
        </x:is>
      </x:c>
      <x:c r="C526" s="49" t="inlineStr">
        <x:is>
          <x:t xml:space="preserve">theophysics-lean-main\theophysics-lean-main\Theophysics_Adversarial.lean</x:t>
        </x:is>
      </x:c>
      <x:c r="D526" s="49" t="inlineStr">
        <x:is>
          <x:t xml:space="preserve">383</x:t>
        </x:is>
      </x:c>
      <x:c r="E526" s="49" t="inlineStr">
        <x:is>
          <x:t xml:space="preserve">DEFINITIONAL_RFL</x:t>
        </x:is>
      </x:c>
      <x:c r="F526" s="49" t="inlineStr">
        <x:is>
          <x:t xml:space="preserve">PENDING_NOT_RUN</x:t>
        </x:is>
      </x:c>
      <x:c r="G526" s="49" t="inlineStr">
        <x:is>
          <x:t xml:space="preserve">NO_SORRY_OR_ADMIT_STATIC_SCAN</x:t>
        </x:is>
      </x:c>
      <x:c r="H526" s="49" t="inlineStr">
        <x:is>
          <x:t xml:space="preserve">CANONICAL_THEOREM_DEDUPED_PENDING_COMPILE</x:t>
        </x:is>
      </x:c>
      <x:c r="I526" s="49" t="inlineStr">
        <x:is>
          <x:t xml:space="preserve">3</x:t>
        </x:is>
      </x:c>
      <x:c r="J526" s="49" t="inlineStr">
        <x:is>
          <x:t xml:space="preserve">LEAN_DERIVATION_CHAIN:67</x:t>
        </x:is>
      </x:c>
      <x:c r="K526" s="49" t="inlineStr">
        <x:is>
          <x:t xml:space="preserve">REJECTION: Command bypass → Q = 0</x:t>
        </x:is>
      </x:c>
      <x:c r="L526" s="56" t="n"/>
    </x:row>
    <x:row r="527" ht="15" customHeight="1">
      <x:c r="A527" s="55" t="inlineStr">
        <x:is>
          <x:t xml:space="preserve">law8_control_refusal_collapses_chi</x:t>
        </x:is>
      </x:c>
      <x:c r="B527" s="49" t="inlineStr">
        <x:is>
          <x:t xml:space="preserve">theorem</x:t>
        </x:is>
      </x:c>
      <x:c r="C527" s="49" t="inlineStr">
        <x:is>
          <x:t xml:space="preserve">theophysics-lean-main\theophysics-lean-main\Theophysics_Core.lean</x:t>
        </x:is>
      </x:c>
      <x:c r="D527" s="49" t="inlineStr">
        <x:is>
          <x:t xml:space="preserve">205</x:t>
        </x:is>
      </x:c>
      <x:c r="E527" s="49" t="inlineStr">
        <x:is>
          <x:t xml:space="preserve">TRIVIAL_TRUE</x:t>
        </x:is>
      </x:c>
      <x:c r="F527" s="49" t="inlineStr">
        <x:is>
          <x:t xml:space="preserve">PENDING_NOT_RUN</x:t>
        </x:is>
      </x:c>
      <x:c r="G527" s="49" t="inlineStr">
        <x:is>
          <x:t xml:space="preserve">NO_SORRY_OR_ADMIT_STATIC_SCAN</x:t>
        </x:is>
      </x:c>
      <x:c r="H527" s="49" t="inlineStr">
        <x:is>
          <x:t xml:space="preserve">LOW_CONTENT_TRUE_NOT_PUBLIC_COUNT</x:t>
        </x:is>
      </x:c>
      <x:c r="I527" s="49" t="inlineStr">
        <x:is>
          <x:t xml:space="preserve">3</x:t>
        </x:is>
      </x:c>
      <x:c r="J527" s="49" t="inlineStr">
        <x:is>
          <x:t xml:space="preserve">LEAN_DERIVATION_CHAIN:71</x:t>
        </x:is>
      </x:c>
      <x:c r="K527" s="49" t="inlineStr">
        <x:is>
          <x:t xml:space="preserve">Control refusal → χ = 0</x:t>
        </x:is>
      </x:c>
      <x:c r="L527" s="56" t="n"/>
    </x:row>
    <x:row r="528" ht="15" customHeight="1">
      <x:c r="A528" s="55" t="inlineStr">
        <x:is>
          <x:t xml:space="preserve">law8_control_refusal_forces_Q_zero</x:t>
        </x:is>
      </x:c>
      <x:c r="B528" s="49" t="inlineStr">
        <x:is>
          <x:t xml:space="preserve">theorem</x:t>
        </x:is>
      </x:c>
      <x:c r="C528" s="49" t="inlineStr">
        <x:is>
          <x:t xml:space="preserve">theophysics-lean-main\theophysics-lean-main\Theophysics_Adversarial.lean</x:t>
        </x:is>
      </x:c>
      <x:c r="D528" s="49" t="inlineStr">
        <x:is>
          <x:t xml:space="preserve">391</x:t>
        </x:is>
      </x:c>
      <x:c r="E528" s="49" t="inlineStr">
        <x:is>
          <x:t xml:space="preserve">DEFINITIONAL_RFL</x:t>
        </x:is>
      </x:c>
      <x:c r="F528" s="49" t="inlineStr">
        <x:is>
          <x:t xml:space="preserve">PENDING_NOT_RUN</x:t>
        </x:is>
      </x:c>
      <x:c r="G528" s="49" t="inlineStr">
        <x:is>
          <x:t xml:space="preserve">NO_SORRY_OR_ADMIT_STATIC_SCAN</x:t>
        </x:is>
      </x:c>
      <x:c r="H528" s="49" t="inlineStr">
        <x:is>
          <x:t xml:space="preserve">CANONICAL_THEOREM_DEDUPED_PENDING_COMPILE</x:t>
        </x:is>
      </x:c>
      <x:c r="I528" s="49" t="inlineStr">
        <x:is>
          <x:t xml:space="preserve">3</x:t>
        </x:is>
      </x:c>
      <x:c r="J528" s="49" t="inlineStr">
        <x:is>
          <x:t xml:space="preserve">LEAN_DERIVATION_CHAIN:69</x:t>
        </x:is>
      </x:c>
      <x:c r="K528" s="49" t="inlineStr">
        <x:is>
          <x:t xml:space="preserve">REJECTION: Will refuses to measure → Q = 0. Free will preserved but no collapse.</x:t>
        </x:is>
      </x:c>
      <x:c r="L528" s="56" t="n"/>
    </x:row>
    <x:row r="529" ht="15" customHeight="1">
      <x:c r="A529" s="55" t="inlineStr">
        <x:is>
          <x:t xml:space="preserve">law8_faith_limit_Q_one</x:t>
        </x:is>
      </x:c>
      <x:c r="B529" s="49" t="inlineStr">
        <x:is>
          <x:t xml:space="preserve">theorem</x:t>
        </x:is>
      </x:c>
      <x:c r="C529" s="49" t="inlineStr">
        <x:is>
          <x:t xml:space="preserve">theophysics-lean-main\theophysics-lean-main\Theophysics_Core.lean</x:t>
        </x:is>
      </x:c>
      <x:c r="D529" s="49" t="inlineStr">
        <x:is>
          <x:t xml:space="preserve">206</x:t>
        </x:is>
      </x:c>
      <x:c r="E529" s="49" t="inlineStr">
        <x:is>
          <x:t xml:space="preserve">TRIVIAL_TRUE</x:t>
        </x:is>
      </x:c>
      <x:c r="F529" s="49" t="inlineStr">
        <x:is>
          <x:t xml:space="preserve">PENDING_NOT_RUN</x:t>
        </x:is>
      </x:c>
      <x:c r="G529" s="49" t="inlineStr">
        <x:is>
          <x:t xml:space="preserve">NO_SORRY_OR_ADMIT_STATIC_SCAN</x:t>
        </x:is>
      </x:c>
      <x:c r="H529" s="49" t="inlineStr">
        <x:is>
          <x:t xml:space="preserve">LOW_CONTENT_TRUE_NOT_PUBLIC_COUNT</x:t>
        </x:is>
      </x:c>
      <x:c r="I529" s="49" t="inlineStr">
        <x:is>
          <x:t xml:space="preserve">3</x:t>
        </x:is>
      </x:c>
      <x:c r="J529" s="49" t="inlineStr">
        <x:is>
          <x:t xml:space="preserve">LEAN_DERIVATION_CHAIN:66</x:t>
        </x:is>
      </x:c>
      <x:c r="K529" s="49" t="inlineStr">
        <x:is>
          <x:t xml:space="preserve">Full conditions → Q = 1</x:t>
        </x:is>
      </x:c>
      <x:c r="L529" s="56" t="n"/>
    </x:row>
    <x:row r="530" ht="15" customHeight="1">
      <x:c r="A530" s="55" t="inlineStr">
        <x:is>
          <x:t xml:space="preserve">law8_missing_eigenbasis_forces_Q_zero</x:t>
        </x:is>
      </x:c>
      <x:c r="B530" s="49" t="inlineStr">
        <x:is>
          <x:t xml:space="preserve">theorem</x:t>
        </x:is>
      </x:c>
      <x:c r="C530" s="49" t="inlineStr">
        <x:is>
          <x:t xml:space="preserve">theophysics-lean-main\theophysics-lean-main\Theophysics_Adversarial.lean</x:t>
        </x:is>
      </x:c>
      <x:c r="D530" s="49" t="inlineStr">
        <x:is>
          <x:t xml:space="preserve">387</x:t>
        </x:is>
      </x:c>
      <x:c r="E530" s="49" t="inlineStr">
        <x:is>
          <x:t xml:space="preserve">DEFINITIONAL_RFL</x:t>
        </x:is>
      </x:c>
      <x:c r="F530" s="49" t="inlineStr">
        <x:is>
          <x:t xml:space="preserve">PENDING_NOT_RUN</x:t>
        </x:is>
      </x:c>
      <x:c r="G530" s="49" t="inlineStr">
        <x:is>
          <x:t xml:space="preserve">NO_SORRY_OR_ADMIT_STATIC_SCAN</x:t>
        </x:is>
      </x:c>
      <x:c r="H530" s="49" t="inlineStr">
        <x:is>
          <x:t xml:space="preserve">CANONICAL_THEOREM_DEDUPED_PENDING_COMPILE</x:t>
        </x:is>
      </x:c>
      <x:c r="I530" s="49" t="inlineStr">
        <x:is>
          <x:t xml:space="preserve">3</x:t>
        </x:is>
      </x:c>
      <x:c r="J530" s="49" t="inlineStr">
        <x:is>
          <x:t xml:space="preserve">LEAN_DERIVATION_CHAIN:68</x:t>
        </x:is>
      </x:c>
      <x:c r="K530" s="49" t="inlineStr">
        <x:is>
          <x:t xml:space="preserve">REJECTION: Missing eigenbasis → Q = 0. No basis to collapse into.</x:t>
        </x:is>
      </x:c>
      <x:c r="L530" s="56" t="n"/>
    </x:row>
    <x:row r="531" ht="15" customHeight="1">
      <x:c r="A531" s="55" t="inlineStr">
        <x:is>
          <x:t xml:space="preserve">law9Healthy</x:t>
        </x:is>
      </x:c>
      <x:c r="B531" s="49" t="inlineStr">
        <x:is>
          <x:t xml:space="preserve">def</x:t>
        </x:is>
      </x:c>
      <x:c r="C531" s="49" t="inlineStr">
        <x:is>
          <x:t xml:space="preserve">theophysics-lean-main\theophysics-lean-main\Theophysics_LawMechanisms.lean</x:t>
        </x:is>
      </x:c>
      <x:c r="D531" s="49" t="inlineStr">
        <x:is>
          <x:t xml:space="preserve">227</x:t>
        </x:is>
      </x:c>
      <x:c r="E531" s="49" t="inlineStr">
        <x:is>
          <x:t xml:space="preserve">DECLARATION_OR_UNKNOWN</x:t>
        </x:is>
      </x:c>
      <x:c r="F531" s="49" t="inlineStr">
        <x:is>
          <x:t xml:space="preserve">PENDING_NOT_RUN</x:t>
        </x:is>
      </x:c>
      <x:c r="G531" s="49" t="inlineStr">
        <x:is>
          <x:t xml:space="preserve">NO_SORRY_OR_ADMIT_STATIC_SCAN</x:t>
        </x:is>
      </x:c>
      <x:c r="H531" s="49" t="inlineStr">
        <x:is>
          <x:t xml:space="preserve">SCAFFOLDING_NOT_PUBLIC_COUNT</x:t>
        </x:is>
      </x:c>
      <x:c r="I531" s="49" t="inlineStr">
        <x:is>
          <x:t xml:space="preserve">0</x:t>
        </x:is>
      </x:c>
      <x:c r="L531" s="56" t="n"/>
    </x:row>
    <x:row r="532" ht="15" customHeight="1">
      <x:c r="A532" s="55" t="inlineStr">
        <x:is>
          <x:t xml:space="preserve">law9OpenLedgerCase</x:t>
        </x:is>
      </x:c>
      <x:c r="B532" s="49" t="inlineStr">
        <x:is>
          <x:t xml:space="preserve">def</x:t>
        </x:is>
      </x:c>
      <x:c r="C532" s="49" t="inlineStr">
        <x:is>
          <x:t xml:space="preserve">theophysics-lean-main\theophysics-lean-main\Theophysics_LawMechanisms.lean</x:t>
        </x:is>
      </x:c>
      <x:c r="D532" s="49" t="inlineStr">
        <x:is>
          <x:t xml:space="preserve">239</x:t>
        </x:is>
      </x:c>
      <x:c r="E532" s="49" t="inlineStr">
        <x:is>
          <x:t xml:space="preserve">DECLARATION_OR_UNKNOWN</x:t>
        </x:is>
      </x:c>
      <x:c r="F532" s="49" t="inlineStr">
        <x:is>
          <x:t xml:space="preserve">PENDING_NOT_RUN</x:t>
        </x:is>
      </x:c>
      <x:c r="G532" s="49" t="inlineStr">
        <x:is>
          <x:t xml:space="preserve">NO_SORRY_OR_ADMIT_STATIC_SCAN</x:t>
        </x:is>
      </x:c>
      <x:c r="H532" s="49" t="inlineStr">
        <x:is>
          <x:t xml:space="preserve">SCAFFOLDING_NOT_PUBLIC_COUNT</x:t>
        </x:is>
      </x:c>
      <x:c r="I532" s="49" t="inlineStr">
        <x:is>
          <x:t xml:space="preserve">0</x:t>
        </x:is>
      </x:c>
      <x:c r="L532" s="56" t="n"/>
    </x:row>
    <x:row r="533" ht="15" customHeight="1">
      <x:c r="A533" s="55" t="inlineStr">
        <x:is>
          <x:t xml:space="preserve">law9UntrackedCase</x:t>
        </x:is>
      </x:c>
      <x:c r="B533" s="49" t="inlineStr">
        <x:is>
          <x:t xml:space="preserve">def</x:t>
        </x:is>
      </x:c>
      <x:c r="C533" s="49" t="inlineStr">
        <x:is>
          <x:t xml:space="preserve">theophysics-lean-main\theophysics-lean-main\Theophysics_LawMechanisms.lean</x:t>
        </x:is>
      </x:c>
      <x:c r="D533" s="49" t="inlineStr">
        <x:is>
          <x:t xml:space="preserve">233</x:t>
        </x:is>
      </x:c>
      <x:c r="E533" s="49" t="inlineStr">
        <x:is>
          <x:t xml:space="preserve">DECLARATION_OR_UNKNOWN</x:t>
        </x:is>
      </x:c>
      <x:c r="F533" s="49" t="inlineStr">
        <x:is>
          <x:t xml:space="preserve">PENDING_NOT_RUN</x:t>
        </x:is>
      </x:c>
      <x:c r="G533" s="49" t="inlineStr">
        <x:is>
          <x:t xml:space="preserve">NO_SORRY_OR_ADMIT_STATIC_SCAN</x:t>
        </x:is>
      </x:c>
      <x:c r="H533" s="49" t="inlineStr">
        <x:is>
          <x:t xml:space="preserve">SCAFFOLDING_NOT_PUBLIC_COUNT</x:t>
        </x:is>
      </x:c>
      <x:c r="I533" s="49" t="inlineStr">
        <x:is>
          <x:t xml:space="preserve">0</x:t>
        </x:is>
      </x:c>
      <x:c r="L533" s="56" t="n"/>
    </x:row>
    <x:row r="534" ht="15" customHeight="1">
      <x:c r="A534" s="55" t="inlineStr">
        <x:is>
          <x:t xml:space="preserve">law9_history_erasure_forces_F_zero</x:t>
        </x:is>
      </x:c>
      <x:c r="B534" s="49" t="inlineStr">
        <x:is>
          <x:t xml:space="preserve">theorem</x:t>
        </x:is>
      </x:c>
      <x:c r="C534" s="49" t="inlineStr">
        <x:is>
          <x:t xml:space="preserve">theophysics-lean-main\theophysics-lean-main\Theophysics_LawMechanisms.lean</x:t>
        </x:is>
      </x:c>
      <x:c r="D534" s="49" t="inlineStr">
        <x:is>
          <x:t xml:space="preserve">272</x:t>
        </x:is>
      </x:c>
      <x:c r="E534" s="49" t="inlineStr">
        <x:is>
          <x:t xml:space="preserve">SIMPLIFICATION</x:t>
        </x:is>
      </x:c>
      <x:c r="F534" s="49" t="inlineStr">
        <x:is>
          <x:t xml:space="preserve">PENDING_NOT_RUN</x:t>
        </x:is>
      </x:c>
      <x:c r="G534" s="49" t="inlineStr">
        <x:is>
          <x:t xml:space="preserve">NO_SORRY_OR_ADMIT_STATIC_SCAN</x:t>
        </x:is>
      </x:c>
      <x:c r="H534" s="49" t="inlineStr">
        <x:is>
          <x:t xml:space="preserve">UNIQUE_THEOREM_PENDING_COMPILE</x:t>
        </x:is>
      </x:c>
      <x:c r="I534" s="49" t="inlineStr">
        <x:is>
          <x:t xml:space="preserve">0</x:t>
        </x:is>
      </x:c>
      <x:c r="L534" s="56" t="n"/>
    </x:row>
    <x:row r="535" ht="15" customHeight="1">
      <x:c r="A535" s="55" t="inlineStr">
        <x:is>
          <x:t xml:space="preserve">law9_identity_erasure_collapses_chi</x:t>
        </x:is>
      </x:c>
      <x:c r="B535" s="49" t="inlineStr">
        <x:is>
          <x:t xml:space="preserve">theorem</x:t>
        </x:is>
      </x:c>
      <x:c r="C535" s="49" t="inlineStr">
        <x:is>
          <x:t xml:space="preserve">theophysics-lean-main\theophysics-lean-main\Theophysics_LawMechanisms.lean</x:t>
        </x:is>
      </x:c>
      <x:c r="D535" s="49" t="inlineStr">
        <x:is>
          <x:t xml:space="preserve">286</x:t>
        </x:is>
      </x:c>
      <x:c r="E535" s="49" t="inlineStr">
        <x:is>
          <x:t xml:space="preserve">WRAPPER_OR_IMPORTED</x:t>
        </x:is>
      </x:c>
      <x:c r="F535" s="49" t="inlineStr">
        <x:is>
          <x:t xml:space="preserve">PENDING_NOT_RUN</x:t>
        </x:is>
      </x:c>
      <x:c r="G535" s="49" t="inlineStr">
        <x:is>
          <x:t xml:space="preserve">NO_SORRY_OR_ADMIT_STATIC_SCAN</x:t>
        </x:is>
      </x:c>
      <x:c r="H535" s="49" t="inlineStr">
        <x:is>
          <x:t xml:space="preserve">UNIQUE_THEOREM_PENDING_COMPILE</x:t>
        </x:is>
      </x:c>
      <x:c r="I535" s="49" t="inlineStr">
        <x:is>
          <x:t xml:space="preserve">0</x:t>
        </x:is>
      </x:c>
      <x:c r="L535" s="56" t="n"/>
    </x:row>
    <x:row r="536" ht="15" customHeight="1">
      <x:c r="A536" s="55" t="inlineStr">
        <x:is>
          <x:t xml:space="preserve">law9_identity_erasure_forces_F_zero</x:t>
        </x:is>
      </x:c>
      <x:c r="B536" s="49" t="inlineStr">
        <x:is>
          <x:t xml:space="preserve">theorem</x:t>
        </x:is>
      </x:c>
      <x:c r="C536" s="49" t="inlineStr">
        <x:is>
          <x:t xml:space="preserve">theophysics-lean-main\theophysics-lean-main\Theophysics_LawMechanisms.lean</x:t>
        </x:is>
      </x:c>
      <x:c r="D536" s="49" t="inlineStr">
        <x:is>
          <x:t xml:space="preserve">254</x:t>
        </x:is>
      </x:c>
      <x:c r="E536" s="49" t="inlineStr">
        <x:is>
          <x:t xml:space="preserve">SIMPLIFICATION</x:t>
        </x:is>
      </x:c>
      <x:c r="F536" s="49" t="inlineStr">
        <x:is>
          <x:t xml:space="preserve">PENDING_NOT_RUN</x:t>
        </x:is>
      </x:c>
      <x:c r="G536" s="49" t="inlineStr">
        <x:is>
          <x:t xml:space="preserve">NO_SORRY_OR_ADMIT_STATIC_SCAN</x:t>
        </x:is>
      </x:c>
      <x:c r="H536" s="49" t="inlineStr">
        <x:is>
          <x:t xml:space="preserve">UNIQUE_THEOREM_PENDING_COMPILE</x:t>
        </x:is>
      </x:c>
      <x:c r="I536" s="49" t="inlineStr">
        <x:is>
          <x:t xml:space="preserve">0</x:t>
        </x:is>
      </x:c>
      <x:c r="L536" s="56" t="n"/>
    </x:row>
    <x:row r="537" ht="15" customHeight="1">
      <x:c r="A537" s="55" t="inlineStr">
        <x:is>
          <x:t xml:space="preserve">law9_identity_preserved_but_untracked_fails</x:t>
        </x:is>
      </x:c>
      <x:c r="B537" s="49" t="inlineStr">
        <x:is>
          <x:t xml:space="preserve">theorem</x:t>
        </x:is>
      </x:c>
      <x:c r="C537" s="49" t="inlineStr">
        <x:is>
          <x:t xml:space="preserve">theophysics-lean-main\theophysics-lean-main\Theophysics_LawMechanisms.lean</x:t>
        </x:is>
      </x:c>
      <x:c r="D537" s="49" t="inlineStr">
        <x:is>
          <x:t xml:space="preserve">278</x:t>
        </x:is>
      </x:c>
      <x:c r="E537" s="49" t="inlineStr">
        <x:is>
          <x:t xml:space="preserve">DEFINITIONAL_RFL</x:t>
        </x:is>
      </x:c>
      <x:c r="F537" s="49" t="inlineStr">
        <x:is>
          <x:t xml:space="preserve">PENDING_NOT_RUN</x:t>
        </x:is>
      </x:c>
      <x:c r="G537" s="49" t="inlineStr">
        <x:is>
          <x:t xml:space="preserve">NO_SORRY_OR_ADMIT_STATIC_SCAN</x:t>
        </x:is>
      </x:c>
      <x:c r="H537" s="49" t="inlineStr">
        <x:is>
          <x:t xml:space="preserve">UNIQUE_THEOREM_PENDING_COMPILE</x:t>
        </x:is>
      </x:c>
      <x:c r="I537" s="49" t="inlineStr">
        <x:is>
          <x:t xml:space="preserve">0</x:t>
        </x:is>
      </x:c>
      <x:c r="L537" s="56" t="n"/>
    </x:row>
    <x:row r="538" ht="15" customHeight="1">
      <x:c r="A538" s="55" t="inlineStr">
        <x:is>
          <x:t xml:space="preserve">law9_mechanism_gate_marker</x:t>
        </x:is>
      </x:c>
      <x:c r="B538" s="49" t="inlineStr">
        <x:is>
          <x:t xml:space="preserve">theorem</x:t>
        </x:is>
      </x:c>
      <x:c r="C538" s="49" t="inlineStr">
        <x:is>
          <x:t xml:space="preserve">theophysics-lean-main\theophysics-lean-main\Theophysics_Core.lean</x:t>
        </x:is>
      </x:c>
      <x:c r="D538" s="49" t="inlineStr">
        <x:is>
          <x:t xml:space="preserve">112</x:t>
        </x:is>
      </x:c>
      <x:c r="E538" s="49" t="inlineStr">
        <x:is>
          <x:t xml:space="preserve">DECLARATION_OR_UNKNOWN</x:t>
        </x:is>
      </x:c>
      <x:c r="F538" s="49" t="inlineStr">
        <x:is>
          <x:t xml:space="preserve">PENDING_NOT_RUN</x:t>
        </x:is>
      </x:c>
      <x:c r="G538" s="49" t="inlineStr">
        <x:is>
          <x:t xml:space="preserve">NO_SORRY_OR_ADMIT_STATIC_SCAN</x:t>
        </x:is>
      </x:c>
      <x:c r="H538" s="49" t="inlineStr">
        <x:is>
          <x:t xml:space="preserve">UNIQUE_THEOREM_PENDING_COMPILE</x:t>
        </x:is>
      </x:c>
      <x:c r="I538" s="49" t="inlineStr">
        <x:is>
          <x:t xml:space="preserve">0</x:t>
        </x:is>
      </x:c>
      <x:c r="L538" s="56" t="n"/>
    </x:row>
    <x:row r="539" ht="15" customHeight="1">
      <x:c r="A539" s="55" t="inlineStr">
        <x:is>
          <x:t xml:space="preserve">law9_open_ledger_collapses_chi</x:t>
        </x:is>
      </x:c>
      <x:c r="B539" s="49" t="inlineStr">
        <x:is>
          <x:t xml:space="preserve">theorem</x:t>
        </x:is>
      </x:c>
      <x:c r="C539" s="49" t="inlineStr">
        <x:is>
          <x:t xml:space="preserve">theophysics-lean-main\theophysics-lean-main\Theophysics_LawMechanisms.lean</x:t>
        </x:is>
      </x:c>
      <x:c r="D539" s="49" t="inlineStr">
        <x:is>
          <x:t xml:space="preserve">300</x:t>
        </x:is>
      </x:c>
      <x:c r="E539" s="49" t="inlineStr">
        <x:is>
          <x:t xml:space="preserve">WRAPPER_OR_IMPORTED</x:t>
        </x:is>
      </x:c>
      <x:c r="F539" s="49" t="inlineStr">
        <x:is>
          <x:t xml:space="preserve">PENDING_NOT_RUN</x:t>
        </x:is>
      </x:c>
      <x:c r="G539" s="49" t="inlineStr">
        <x:is>
          <x:t xml:space="preserve">NO_SORRY_OR_ADMIT_STATIC_SCAN</x:t>
        </x:is>
      </x:c>
      <x:c r="H539" s="49" t="inlineStr">
        <x:is>
          <x:t xml:space="preserve">UNIQUE_THEOREM_PENDING_COMPILE</x:t>
        </x:is>
      </x:c>
      <x:c r="I539" s="49" t="inlineStr">
        <x:is>
          <x:t xml:space="preserve">0</x:t>
        </x:is>
      </x:c>
      <x:c r="L539" s="56" t="n"/>
    </x:row>
    <x:row r="540" ht="15" customHeight="1">
      <x:c r="A540" s="55" t="inlineStr">
        <x:is>
          <x:t xml:space="preserve">law9_open_ledger_forces_F_zero</x:t>
        </x:is>
      </x:c>
      <x:c r="B540" s="49" t="inlineStr">
        <x:is>
          <x:t xml:space="preserve">theorem</x:t>
        </x:is>
      </x:c>
      <x:c r="C540" s="49" t="inlineStr">
        <x:is>
          <x:t xml:space="preserve">theophysics-lean-main\theophysics-lean-main\Theophysics_LawMechanisms.lean</x:t>
        </x:is>
      </x:c>
      <x:c r="D540" s="49" t="inlineStr">
        <x:is>
          <x:t xml:space="preserve">266</x:t>
        </x:is>
      </x:c>
      <x:c r="E540" s="49" t="inlineStr">
        <x:is>
          <x:t xml:space="preserve">SIMPLIFICATION</x:t>
        </x:is>
      </x:c>
      <x:c r="F540" s="49" t="inlineStr">
        <x:is>
          <x:t xml:space="preserve">PENDING_NOT_RUN</x:t>
        </x:is>
      </x:c>
      <x:c r="G540" s="49" t="inlineStr">
        <x:is>
          <x:t xml:space="preserve">NO_SORRY_OR_ADMIT_STATIC_SCAN</x:t>
        </x:is>
      </x:c>
      <x:c r="H540" s="49" t="inlineStr">
        <x:is>
          <x:t xml:space="preserve">UNIQUE_THEOREM_PENDING_COMPILE</x:t>
        </x:is>
      </x:c>
      <x:c r="I540" s="49" t="inlineStr">
        <x:is>
          <x:t xml:space="preserve">0</x:t>
        </x:is>
      </x:c>
      <x:c r="L540" s="56" t="n"/>
    </x:row>
    <x:row r="541" ht="15" customHeight="1">
      <x:c r="A541" s="55" t="inlineStr">
        <x:is>
          <x:t xml:space="preserve">law9_tracked_identity_preservation_passes_F_gate</x:t>
        </x:is>
      </x:c>
      <x:c r="B541" s="49" t="inlineStr">
        <x:is>
          <x:t xml:space="preserve">theorem</x:t>
        </x:is>
      </x:c>
      <x:c r="C541" s="49" t="inlineStr">
        <x:is>
          <x:t xml:space="preserve">theophysics-lean-main\theophysics-lean-main\Theophysics_LawMechanisms.lean</x:t>
        </x:is>
      </x:c>
      <x:c r="D541" s="49" t="inlineStr">
        <x:is>
          <x:t xml:space="preserve">245</x:t>
        </x:is>
      </x:c>
      <x:c r="E541" s="49" t="inlineStr">
        <x:is>
          <x:t xml:space="preserve">SIMPLIFICATION</x:t>
        </x:is>
      </x:c>
      <x:c r="F541" s="49" t="inlineStr">
        <x:is>
          <x:t xml:space="preserve">PENDING_NOT_RUN</x:t>
        </x:is>
      </x:c>
      <x:c r="G541" s="49" t="inlineStr">
        <x:is>
          <x:t xml:space="preserve">NO_SORRY_OR_ADMIT_STATIC_SCAN</x:t>
        </x:is>
      </x:c>
      <x:c r="H541" s="49" t="inlineStr">
        <x:is>
          <x:t xml:space="preserve">UNIQUE_THEOREM_PENDING_COMPILE</x:t>
        </x:is>
      </x:c>
      <x:c r="I541" s="49" t="inlineStr">
        <x:is>
          <x:t xml:space="preserve">0</x:t>
        </x:is>
      </x:c>
      <x:c r="L541" s="56" t="n"/>
    </x:row>
    <x:row r="542" ht="15" customHeight="1">
      <x:c r="A542" s="55" t="inlineStr">
        <x:is>
          <x:t xml:space="preserve">law9_transformation_tracked_but_ledger_open_fails</x:t>
        </x:is>
      </x:c>
      <x:c r="B542" s="49" t="inlineStr">
        <x:is>
          <x:t xml:space="preserve">theorem</x:t>
        </x:is>
      </x:c>
      <x:c r="C542" s="49" t="inlineStr">
        <x:is>
          <x:t xml:space="preserve">theophysics-lean-main\theophysics-lean-main\Theophysics_LawMechanisms.lean</x:t>
        </x:is>
      </x:c>
      <x:c r="D542" s="49" t="inlineStr">
        <x:is>
          <x:t xml:space="preserve">282</x:t>
        </x:is>
      </x:c>
      <x:c r="E542" s="49" t="inlineStr">
        <x:is>
          <x:t xml:space="preserve">DEFINITIONAL_RFL</x:t>
        </x:is>
      </x:c>
      <x:c r="F542" s="49" t="inlineStr">
        <x:is>
          <x:t xml:space="preserve">PENDING_NOT_RUN</x:t>
        </x:is>
      </x:c>
      <x:c r="G542" s="49" t="inlineStr">
        <x:is>
          <x:t xml:space="preserve">NO_SORRY_OR_ADMIT_STATIC_SCAN</x:t>
        </x:is>
      </x:c>
      <x:c r="H542" s="49" t="inlineStr">
        <x:is>
          <x:t xml:space="preserve">UNIQUE_THEOREM_PENDING_COMPILE</x:t>
        </x:is>
      </x:c>
      <x:c r="I542" s="49" t="inlineStr">
        <x:is>
          <x:t xml:space="preserve">0</x:t>
        </x:is>
      </x:c>
      <x:c r="L542" s="56" t="n"/>
    </x:row>
    <x:row r="543" ht="15" customHeight="1">
      <x:c r="A543" s="55" t="inlineStr">
        <x:is>
          <x:t xml:space="preserve">law9_untracked_transformation_collapses_chi</x:t>
        </x:is>
      </x:c>
      <x:c r="B543" s="49" t="inlineStr">
        <x:is>
          <x:t xml:space="preserve">theorem</x:t>
        </x:is>
      </x:c>
      <x:c r="C543" s="49" t="inlineStr">
        <x:is>
          <x:t xml:space="preserve">theophysics-lean-main\theophysics-lean-main\Theophysics_LawMechanisms.lean</x:t>
        </x:is>
      </x:c>
      <x:c r="D543" s="49" t="inlineStr">
        <x:is>
          <x:t xml:space="preserve">293</x:t>
        </x:is>
      </x:c>
      <x:c r="E543" s="49" t="inlineStr">
        <x:is>
          <x:t xml:space="preserve">WRAPPER_OR_IMPORTED</x:t>
        </x:is>
      </x:c>
      <x:c r="F543" s="49" t="inlineStr">
        <x:is>
          <x:t xml:space="preserve">PENDING_NOT_RUN</x:t>
        </x:is>
      </x:c>
      <x:c r="G543" s="49" t="inlineStr">
        <x:is>
          <x:t xml:space="preserve">NO_SORRY_OR_ADMIT_STATIC_SCAN</x:t>
        </x:is>
      </x:c>
      <x:c r="H543" s="49" t="inlineStr">
        <x:is>
          <x:t xml:space="preserve">UNIQUE_THEOREM_PENDING_COMPILE</x:t>
        </x:is>
      </x:c>
      <x:c r="I543" s="49" t="inlineStr">
        <x:is>
          <x:t xml:space="preserve">0</x:t>
        </x:is>
      </x:c>
      <x:c r="L543" s="56" t="n"/>
    </x:row>
    <x:row r="544" ht="15" customHeight="1">
      <x:c r="A544" s="55" t="inlineStr">
        <x:is>
          <x:t xml:space="preserve">law9_untracked_transformation_forces_F_zero</x:t>
        </x:is>
      </x:c>
      <x:c r="B544" s="49" t="inlineStr">
        <x:is>
          <x:t xml:space="preserve">theorem</x:t>
        </x:is>
      </x:c>
      <x:c r="C544" s="49" t="inlineStr">
        <x:is>
          <x:t xml:space="preserve">theophysics-lean-main\theophysics-lean-main\Theophysics_LawMechanisms.lean</x:t>
        </x:is>
      </x:c>
      <x:c r="D544" s="49" t="inlineStr">
        <x:is>
          <x:t xml:space="preserve">260</x:t>
        </x:is>
      </x:c>
      <x:c r="E544" s="49" t="inlineStr">
        <x:is>
          <x:t xml:space="preserve">SIMPLIFICATION</x:t>
        </x:is>
      </x:c>
      <x:c r="F544" s="49" t="inlineStr">
        <x:is>
          <x:t xml:space="preserve">PENDING_NOT_RUN</x:t>
        </x:is>
      </x:c>
      <x:c r="G544" s="49" t="inlineStr">
        <x:is>
          <x:t xml:space="preserve">NO_SORRY_OR_ADMIT_STATIC_SCAN</x:t>
        </x:is>
      </x:c>
      <x:c r="H544" s="49" t="inlineStr">
        <x:is>
          <x:t xml:space="preserve">UNIQUE_THEOREM_PENDING_COMPILE</x:t>
        </x:is>
      </x:c>
      <x:c r="I544" s="49" t="inlineStr">
        <x:is>
          <x:t xml:space="preserve">0</x:t>
        </x:is>
      </x:c>
      <x:c r="L544" s="56" t="n"/>
    </x:row>
    <x:row r="545" ht="15" customHeight="1">
      <x:c r="A545" s="55" t="inlineStr">
        <x:is>
          <x:t xml:space="preserve">lifted_outputs_preserve_distinct_source_signs</x:t>
        </x:is>
      </x:c>
      <x:c r="B545" s="49" t="inlineStr">
        <x:is>
          <x:t xml:space="preserve">theorem</x:t>
        </x:is>
      </x:c>
      <x:c r="C545" s="49" t="inlineStr">
        <x:is>
          <x:t xml:space="preserve">theophysics-lean-main\theophysics-lean-main\Theophysics_Core.lean</x:t>
        </x:is>
      </x:c>
      <x:c r="D545" s="49" t="inlineStr">
        <x:is>
          <x:t xml:space="preserve">58</x:t>
        </x:is>
      </x:c>
      <x:c r="E545" s="49" t="inlineStr">
        <x:is>
          <x:t xml:space="preserve">TRIVIAL_TRUE</x:t>
        </x:is>
      </x:c>
      <x:c r="F545" s="49" t="inlineStr">
        <x:is>
          <x:t xml:space="preserve">PENDING_NOT_RUN</x:t>
        </x:is>
      </x:c>
      <x:c r="G545" s="49" t="inlineStr">
        <x:is>
          <x:t xml:space="preserve">NO_SORRY_OR_ADMIT_STATIC_SCAN</x:t>
        </x:is>
      </x:c>
      <x:c r="H545" s="49" t="inlineStr">
        <x:is>
          <x:t xml:space="preserve">LOW_CONTENT_TRUE_NOT_PUBLIC_COUNT</x:t>
        </x:is>
      </x:c>
      <x:c r="I545" s="49" t="inlineStr">
        <x:is>
          <x:t xml:space="preserve">3</x:t>
        </x:is>
      </x:c>
      <x:c r="J545" s="49" t="inlineStr">
        <x:is>
          <x:t xml:space="preserve">LEAN_DERIVATION_CHAIN:148</x:t>
        </x:is>
      </x:c>
      <x:c r="K545" s="49" t="inlineStr">
        <x:is>
          <x:t xml:space="preserve">But lifted output preserves the distinction. God sees the full record.</x:t>
        </x:is>
      </x:c>
      <x:c r="L545" s="56" t="n"/>
    </x:row>
    <x:row r="546" ht="15" customHeight="1">
      <x:c r="A546" s="55" t="inlineStr">
        <x:is>
          <x:t xml:space="preserve">listProd</x:t>
        </x:is>
      </x:c>
      <x:c r="B546" s="49" t="inlineStr">
        <x:is>
          <x:t xml:space="preserve">def</x:t>
        </x:is>
      </x:c>
      <x:c r="C546" s="49" t="inlineStr">
        <x:is>
          <x:t xml:space="preserve">Lean-4-Proofs-main\Lean-4-Proofs-main\theophysics-lean-verification-package\COPY_PASTE_LEAN4.lean</x:t>
        </x:is>
      </x:c>
      <x:c r="D546" s="49" t="inlineStr">
        <x:is>
          <x:t xml:space="preserve">33</x:t>
        </x:is>
      </x:c>
      <x:c r="E546" s="49" t="inlineStr">
        <x:is>
          <x:t xml:space="preserve">DECLARATION_OR_UNKNOWN</x:t>
        </x:is>
      </x:c>
      <x:c r="F546" s="49" t="inlineStr">
        <x:is>
          <x:t xml:space="preserve">PENDING_NOT_RUN</x:t>
        </x:is>
      </x:c>
      <x:c r="G546" s="49" t="inlineStr">
        <x:is>
          <x:t xml:space="preserve">NO_SORRY_OR_ADMIT_STATIC_SCAN</x:t>
        </x:is>
      </x:c>
      <x:c r="H546" s="49" t="inlineStr">
        <x:is>
          <x:t xml:space="preserve">SCAFFOLDING_NOT_PUBLIC_COUNT</x:t>
        </x:is>
      </x:c>
      <x:c r="I546" s="49" t="inlineStr">
        <x:is>
          <x:t xml:space="preserve">3</x:t>
        </x:is>
      </x:c>
      <x:c r="L546" s="56" t="n"/>
    </x:row>
    <x:row r="547" ht="15" customHeight="1">
      <x:c r="A547" s="55" t="inlineStr">
        <x:is>
          <x:t xml:space="preserve">listProd_eq_zero_iff</x:t>
        </x:is>
      </x:c>
      <x:c r="B547" s="49" t="inlineStr">
        <x:is>
          <x:t xml:space="preserve">theorem</x:t>
        </x:is>
      </x:c>
      <x:c r="C547" s="49" t="inlineStr">
        <x:is>
          <x:t xml:space="preserve">Lean-4-Proofs-main\Lean-4-Proofs-main\theophysics-lean-verification-package\COPY_PASTE_LEAN4.lean</x:t>
        </x:is>
      </x:c>
      <x:c r="D547" s="49" t="inlineStr">
        <x:is>
          <x:t xml:space="preserve">67</x:t>
        </x:is>
      </x:c>
      <x:c r="E547" s="49" t="inlineStr">
        <x:is>
          <x:t xml:space="preserve">DECLARATION_OR_UNKNOWN</x:t>
        </x:is>
      </x:c>
      <x:c r="F547" s="49" t="inlineStr">
        <x:is>
          <x:t xml:space="preserve">PENDING_NOT_RUN</x:t>
        </x:is>
      </x:c>
      <x:c r="G547" s="49" t="inlineStr">
        <x:is>
          <x:t xml:space="preserve">NO_SORRY_OR_ADMIT_STATIC_SCAN</x:t>
        </x:is>
      </x:c>
      <x:c r="H547" s="49" t="inlineStr">
        <x:is>
          <x:t xml:space="preserve">CANONICAL_THEOREM_DEDUPED_PENDING_COMPILE</x:t>
        </x:is>
      </x:c>
      <x:c r="I547" s="49" t="inlineStr">
        <x:is>
          <x:t xml:space="preserve">3</x:t>
        </x:is>
      </x:c>
      <x:c r="L547" s="56" t="n"/>
    </x:row>
    <x:row r="548" ht="15" customHeight="1">
      <x:c r="A548" s="55" t="inlineStr">
        <x:is>
          <x:t xml:space="preserve">listProd_eq_zero_of_mem_zero</x:t>
        </x:is>
      </x:c>
      <x:c r="B548" s="49" t="inlineStr">
        <x:is>
          <x:t xml:space="preserve">theorem</x:t>
        </x:is>
      </x:c>
      <x:c r="C548" s="49" t="inlineStr">
        <x:is>
          <x:t xml:space="preserve">Lean-4-Proofs-main\Lean-4-Proofs-main\theophysics-lean-verification-package\COPY_PASTE_LEAN4.lean</x:t>
        </x:is>
      </x:c>
      <x:c r="D548" s="49" t="inlineStr">
        <x:is>
          <x:t xml:space="preserve">37</x:t>
        </x:is>
      </x:c>
      <x:c r="E548" s="49" t="inlineStr">
        <x:is>
          <x:t xml:space="preserve">WRAPPER_OR_IMPORTED</x:t>
        </x:is>
      </x:c>
      <x:c r="F548" s="49" t="inlineStr">
        <x:is>
          <x:t xml:space="preserve">PENDING_NOT_RUN</x:t>
        </x:is>
      </x:c>
      <x:c r="G548" s="49" t="inlineStr">
        <x:is>
          <x:t xml:space="preserve">NO_SORRY_OR_ADMIT_STATIC_SCAN</x:t>
        </x:is>
      </x:c>
      <x:c r="H548" s="49" t="inlineStr">
        <x:is>
          <x:t xml:space="preserve">CANONICAL_THEOREM_DEDUPED_PENDING_COMPILE</x:t>
        </x:is>
      </x:c>
      <x:c r="I548" s="49" t="inlineStr">
        <x:is>
          <x:t xml:space="preserve">3</x:t>
        </x:is>
      </x:c>
      <x:c r="L548" s="56" t="n"/>
    </x:row>
    <x:row r="549" ht="15" customHeight="1">
      <x:c r="A549" s="55" t="inlineStr">
        <x:is>
          <x:t xml:space="preserve">listProd_ne_zero_of_all_ne_zero</x:t>
        </x:is>
      </x:c>
      <x:c r="B549" s="49" t="inlineStr">
        <x:is>
          <x:t xml:space="preserve">theorem</x:t>
        </x:is>
      </x:c>
      <x:c r="C549" s="49" t="inlineStr">
        <x:is>
          <x:t xml:space="preserve">Lean-4-Proofs-main\Lean-4-Proofs-main\theophysics-lean-verification-package\TheophysicsProductionKernel.lean</x:t>
        </x:is>
      </x:c>
      <x:c r="D549" s="49" t="inlineStr">
        <x:is>
          <x:t xml:space="preserve">112</x:t>
        </x:is>
      </x:c>
      <x:c r="E549" s="49" t="inlineStr">
        <x:is>
          <x:t xml:space="preserve">WRAPPER_OR_IMPORTED</x:t>
        </x:is>
      </x:c>
      <x:c r="F549" s="49" t="inlineStr">
        <x:is>
          <x:t xml:space="preserve">PENDING_NOT_RUN</x:t>
        </x:is>
      </x:c>
      <x:c r="G549" s="49" t="inlineStr">
        <x:is>
          <x:t xml:space="preserve">NO_SORRY_OR_ADMIT_STATIC_SCAN</x:t>
        </x:is>
      </x:c>
      <x:c r="H549" s="49" t="inlineStr">
        <x:is>
          <x:t xml:space="preserve">UNIQUE_THEOREM_PENDING_COMPILE</x:t>
        </x:is>
      </x:c>
      <x:c r="I549" s="49" t="inlineStr">
        <x:is>
          <x:t xml:space="preserve">0</x:t>
        </x:is>
      </x:c>
      <x:c r="L549" s="56" t="n"/>
    </x:row>
    <x:row r="550" ht="15" customHeight="1">
      <x:c r="A550" s="55" t="inlineStr">
        <x:is>
          <x:t xml:space="preserve">living_memory_is_not_final_identity_memory</x:t>
        </x:is>
      </x:c>
      <x:c r="B550" s="49" t="inlineStr">
        <x:is>
          <x:t xml:space="preserve">theorem</x:t>
        </x:is>
      </x:c>
      <x:c r="C550" s="49" t="inlineStr">
        <x:is>
          <x:t xml:space="preserve">theophysics-lean-main\theophysics-lean-main\Theophysics_Adversarial.lean</x:t>
        </x:is>
      </x:c>
      <x:c r="D550" s="49" t="inlineStr">
        <x:is>
          <x:t xml:space="preserve">532</x:t>
        </x:is>
      </x:c>
      <x:c r="E550" s="49" t="inlineStr">
        <x:is>
          <x:t xml:space="preserve">DEFINITIONAL_RFL</x:t>
        </x:is>
      </x:c>
      <x:c r="F550" s="49" t="inlineStr">
        <x:is>
          <x:t xml:space="preserve">PENDING_NOT_RUN</x:t>
        </x:is>
      </x:c>
      <x:c r="G550" s="49" t="inlineStr">
        <x:is>
          <x:t xml:space="preserve">NO_SORRY_OR_ADMIT_STATIC_SCAN</x:t>
        </x:is>
      </x:c>
      <x:c r="H550" s="49" t="inlineStr">
        <x:is>
          <x:t xml:space="preserve">CANONICAL_THEOREM_DEDUPED_PENDING_COMPILE</x:t>
        </x:is>
      </x:c>
      <x:c r="I550" s="49" t="inlineStr">
        <x:is>
          <x:t xml:space="preserve">3</x:t>
        </x:is>
      </x:c>
      <x:c r="J550" s="49" t="inlineStr">
        <x:is>
          <x:t xml:space="preserve">LEAN_DERIVATION_CHAIN:170</x:t>
        </x:is>
      </x:c>
      <x:c r="K550" s="49" t="inlineStr">
        <x:is>
          <x:t xml:space="preserve">REJECTION: Life memory ≠ final identity memory. What you carry ≠ who you become.</x:t>
        </x:is>
      </x:c>
      <x:c r="L550" s="56" t="n"/>
    </x:row>
    <x:row r="551" ht="15" customHeight="1">
      <x:c r="A551" s="55" t="inlineStr">
        <x:is>
          <x:t xml:space="preserve">llc_collapse_regime</x:t>
        </x:is>
      </x:c>
      <x:c r="B551" s="49" t="inlineStr">
        <x:is>
          <x:t xml:space="preserve">theorem</x:t>
        </x:is>
      </x:c>
      <x:c r="C551" s="49" t="inlineStr">
        <x:is>
          <x:t xml:space="preserve">theophysics-lean-main\theophysics-lean-main\Theophysics_Canonization.lean</x:t>
        </x:is>
      </x:c>
      <x:c r="D551" s="49" t="inlineStr">
        <x:is>
          <x:t xml:space="preserve">72</x:t>
        </x:is>
      </x:c>
      <x:c r="E551" s="49" t="inlineStr">
        <x:is>
          <x:t xml:space="preserve">SIMPLIFICATION</x:t>
        </x:is>
      </x:c>
      <x:c r="F551" s="49" t="inlineStr">
        <x:is>
          <x:t xml:space="preserve">PENDING_NOT_RUN</x:t>
        </x:is>
      </x:c>
      <x:c r="G551" s="49" t="inlineStr">
        <x:is>
          <x:t xml:space="preserve">NO_SORRY_OR_ADMIT_STATIC_SCAN</x:t>
        </x:is>
      </x:c>
      <x:c r="H551" s="49" t="inlineStr">
        <x:is>
          <x:t xml:space="preserve">UNIQUE_THEOREM_PENDING_COMPILE</x:t>
        </x:is>
      </x:c>
      <x:c r="I551" s="49" t="inlineStr">
        <x:is>
          <x:t xml:space="preserve">0</x:t>
        </x:is>
      </x:c>
      <x:c r="J551" s="49" t="inlineStr">
        <x:is>
          <x:t xml:space="preserve">LEAN_DERIVATION_CHAIN:239</x:t>
        </x:is>
      </x:c>
      <x:c r="K551" s="49" t="inlineStr">
        <x:is>
          <x:t xml:space="preserve">LLC: V &lt; T implies action-positive waste-punishing regime</x:t>
        </x:is>
      </x:c>
      <x:c r="L551" s="56" t="n"/>
    </x:row>
    <x:row r="552" ht="15" customHeight="1">
      <x:c r="A552" s="55" t="inlineStr">
        <x:is>
          <x:t xml:space="preserve">local_indeterminacy_alone_is_not_fracture</x:t>
        </x:is>
      </x:c>
      <x:c r="B552" s="49" t="inlineStr">
        <x:is>
          <x:t xml:space="preserve">theorem</x:t>
        </x:is>
      </x:c>
      <x:c r="C552" s="49" t="inlineStr">
        <x:is>
          <x:t xml:space="preserve">theophysics-lean-main\theophysics-lean-main\Theophysics_Fracture.lean</x:t>
        </x:is>
      </x:c>
      <x:c r="D552" s="49" t="inlineStr">
        <x:is>
          <x:t xml:space="preserve">114</x:t>
        </x:is>
      </x:c>
      <x:c r="E552" s="49" t="inlineStr">
        <x:is>
          <x:t xml:space="preserve">DEFINITIONAL_RFL</x:t>
        </x:is>
      </x:c>
      <x:c r="F552" s="49" t="inlineStr">
        <x:is>
          <x:t xml:space="preserve">PENDING_NOT_RUN</x:t>
        </x:is>
      </x:c>
      <x:c r="G552" s="49" t="inlineStr">
        <x:is>
          <x:t xml:space="preserve">NO_SORRY_OR_ADMIT_STATIC_SCAN</x:t>
        </x:is>
      </x:c>
      <x:c r="H552" s="49" t="inlineStr">
        <x:is>
          <x:t xml:space="preserve">CANONICAL_THEOREM_DEDUPED_PENDING_COMPILE</x:t>
        </x:is>
      </x:c>
      <x:c r="I552" s="49" t="inlineStr">
        <x:is>
          <x:t xml:space="preserve">3</x:t>
        </x:is>
      </x:c>
      <x:c r="L552" s="56" t="n"/>
    </x:row>
    <x:row r="553" ht="15" customHeight="1">
      <x:c r="A553" s="55" t="inlineStr">
        <x:is>
          <x:t xml:space="preserve">localization_maps_to_incarnation</x:t>
        </x:is>
      </x:c>
      <x:c r="B553" s="49" t="inlineStr">
        <x:is>
          <x:t xml:space="preserve">theorem</x:t>
        </x:is>
      </x:c>
      <x:c r="C553" s="49" t="inlineStr">
        <x:is>
          <x:t xml:space="preserve">theophysics-lean-main\theophysics-lean-main\Theophysics_Core.lean</x:t>
        </x:is>
      </x:c>
      <x:c r="D553" s="49" t="inlineStr">
        <x:is>
          <x:t xml:space="preserve">165</x:t>
        </x:is>
      </x:c>
      <x:c r="E553" s="49" t="inlineStr">
        <x:is>
          <x:t xml:space="preserve">TRIVIAL_TRUE</x:t>
        </x:is>
      </x:c>
      <x:c r="F553" s="49" t="inlineStr">
        <x:is>
          <x:t xml:space="preserve">PENDING_NOT_RUN</x:t>
        </x:is>
      </x:c>
      <x:c r="G553" s="49" t="inlineStr">
        <x:is>
          <x:t xml:space="preserve">NO_SORRY_OR_ADMIT_STATIC_SCAN</x:t>
        </x:is>
      </x:c>
      <x:c r="H553" s="49" t="inlineStr">
        <x:is>
          <x:t xml:space="preserve">LOW_CONTENT_TRUE_NOT_PUBLIC_COUNT</x:t>
        </x:is>
      </x:c>
      <x:c r="I553" s="49" t="inlineStr">
        <x:is>
          <x:t xml:space="preserve">3</x:t>
        </x:is>
      </x:c>
      <x:c r="J553" s="49" t="inlineStr">
        <x:is>
          <x:t xml:space="preserve">LEAN_DERIVATION_CHAIN:16</x:t>
        </x:is>
      </x:c>
      <x:c r="K553" s="49" t="inlineStr">
        <x:is>
          <x:t xml:space="preserve">Specific: localization → incarnation</x:t>
        </x:is>
      </x:c>
      <x:c r="L553" s="56" t="n"/>
    </x:row>
    <x:row r="554" ht="15" customHeight="1">
      <x:c r="A554" s="55" t="inlineStr">
        <x:is>
          <x:t xml:space="preserve">love_mem</x:t>
        </x:is>
      </x:c>
      <x:c r="B554" s="49" t="inlineStr">
        <x:is>
          <x:t xml:space="preserve">theorem</x:t>
        </x:is>
      </x:c>
      <x:c r="C554" s="49" t="inlineStr">
        <x:is>
          <x:t xml:space="preserve">Lean-4-Proofs-main\Lean-4-Proofs-main\theophysics-lean-verification-package\FruitsGraceKernel.lean</x:t>
        </x:is>
      </x:c>
      <x:c r="D554" s="49" t="inlineStr">
        <x:is>
          <x:t xml:space="preserve">44</x:t>
        </x:is>
      </x:c>
      <x:c r="E554" s="49" t="inlineStr">
        <x:is>
          <x:t xml:space="preserve">FINITE_DECIDABLE</x:t>
        </x:is>
      </x:c>
      <x:c r="F554" s="49" t="inlineStr">
        <x:is>
          <x:t xml:space="preserve">PENDING_NOT_RUN</x:t>
        </x:is>
      </x:c>
      <x:c r="G554" s="49" t="inlineStr">
        <x:is>
          <x:t xml:space="preserve">NO_SORRY_OR_ADMIT_STATIC_SCAN</x:t>
        </x:is>
      </x:c>
      <x:c r="H554" s="49" t="inlineStr">
        <x:is>
          <x:t xml:space="preserve">UNIQUE_THEOREM_PENDING_COMPILE</x:t>
        </x:is>
      </x:c>
      <x:c r="I554" s="49" t="inlineStr">
        <x:is>
          <x:t xml:space="preserve">0</x:t>
        </x:is>
      </x:c>
      <x:c r="L554" s="56" t="n"/>
    </x:row>
    <x:row r="555" ht="15" customHeight="1">
      <x:c r="A555" s="55" t="inlineStr">
        <x:is>
          <x:t xml:space="preserve">mEff</x:t>
        </x:is>
      </x:c>
      <x:c r="B555" s="49" t="inlineStr">
        <x:is>
          <x:t xml:space="preserve">def</x:t>
        </x:is>
      </x:c>
      <x:c r="C555" s="49" t="inlineStr">
        <x:is>
          <x:t xml:space="preserve">Lean-4-Proofs-main\Lean-4-Proofs-main\theophysics-lean-verification-package\narrow_product_test\NarrowProductTest\Basic.lean</x:t>
        </x:is>
      </x:c>
      <x:c r="D555" s="49" t="inlineStr">
        <x:is>
          <x:t xml:space="preserve">220</x:t>
        </x:is>
      </x:c>
      <x:c r="E555" s="49" t="inlineStr">
        <x:is>
          <x:t xml:space="preserve">DECLARATION_OR_UNKNOWN</x:t>
        </x:is>
      </x:c>
      <x:c r="F555" s="49" t="inlineStr">
        <x:is>
          <x:t xml:space="preserve">PENDING_NOT_RUN</x:t>
        </x:is>
      </x:c>
      <x:c r="G555" s="49" t="inlineStr">
        <x:is>
          <x:t xml:space="preserve">NO_SORRY_OR_ADMIT_STATIC_SCAN</x:t>
        </x:is>
      </x:c>
      <x:c r="H555" s="49" t="inlineStr">
        <x:is>
          <x:t xml:space="preserve">SCAFFOLDING_NOT_PUBLIC_COUNT</x:t>
        </x:is>
      </x:c>
      <x:c r="I555" s="49" t="inlineStr">
        <x:is>
          <x:t xml:space="preserve">0</x:t>
        </x:is>
      </x:c>
      <x:c r="L555" s="56" t="n"/>
    </x:row>
    <x:row r="556" ht="15" customHeight="1">
      <x:c r="A556" s="55" t="inlineStr">
        <x:is>
          <x:t xml:space="preserve">mEff_le_one</x:t>
        </x:is>
      </x:c>
      <x:c r="B556" s="49" t="inlineStr">
        <x:is>
          <x:t xml:space="preserve">theorem</x:t>
        </x:is>
      </x:c>
      <x:c r="C556" s="49" t="inlineStr">
        <x:is>
          <x:t xml:space="preserve">Lean-4-Proofs-main\Lean-4-Proofs-main\theophysics-lean-verification-package\narrow_product_test\NarrowProductTest\Basic.lean</x:t>
        </x:is>
      </x:c>
      <x:c r="D556" s="49" t="inlineStr">
        <x:is>
          <x:t xml:space="preserve">256</x:t>
        </x:is>
      </x:c>
      <x:c r="E556" s="49" t="inlineStr">
        <x:is>
          <x:t xml:space="preserve">SUBSTANTIVE_OR_CASE_PROOF</x:t>
        </x:is>
      </x:c>
      <x:c r="F556" s="49" t="inlineStr">
        <x:is>
          <x:t xml:space="preserve">PENDING_NOT_RUN</x:t>
        </x:is>
      </x:c>
      <x:c r="G556" s="49" t="inlineStr">
        <x:is>
          <x:t xml:space="preserve">NO_SORRY_OR_ADMIT_STATIC_SCAN</x:t>
        </x:is>
      </x:c>
      <x:c r="H556" s="49" t="inlineStr">
        <x:is>
          <x:t xml:space="preserve">UNIQUE_THEOREM_PENDING_COMPILE</x:t>
        </x:is>
      </x:c>
      <x:c r="I556" s="49" t="inlineStr">
        <x:is>
          <x:t xml:space="preserve">0</x:t>
        </x:is>
      </x:c>
      <x:c r="L556" s="56" t="n"/>
    </x:row>
    <x:row r="557" ht="15" customHeight="1">
      <x:c r="A557" s="55" t="inlineStr">
        <x:is>
          <x:t xml:space="preserve">mEff_nonneg</x:t>
        </x:is>
      </x:c>
      <x:c r="B557" s="49" t="inlineStr">
        <x:is>
          <x:t xml:space="preserve">theorem</x:t>
        </x:is>
      </x:c>
      <x:c r="C557" s="49" t="inlineStr">
        <x:is>
          <x:t xml:space="preserve">Lean-4-Proofs-main\Lean-4-Proofs-main\theophysics-lean-verification-package\narrow_product_test\NarrowProductTest\Basic.lean</x:t>
        </x:is>
      </x:c>
      <x:c r="D557" s="49" t="inlineStr">
        <x:is>
          <x:t xml:space="preserve">252</x:t>
        </x:is>
      </x:c>
      <x:c r="E557" s="49" t="inlineStr">
        <x:is>
          <x:t xml:space="preserve">SUBSTANTIVE_OR_CASE_PROOF</x:t>
        </x:is>
      </x:c>
      <x:c r="F557" s="49" t="inlineStr">
        <x:is>
          <x:t xml:space="preserve">PENDING_NOT_RUN</x:t>
        </x:is>
      </x:c>
      <x:c r="G557" s="49" t="inlineStr">
        <x:is>
          <x:t xml:space="preserve">NO_SORRY_OR_ADMIT_STATIC_SCAN</x:t>
        </x:is>
      </x:c>
      <x:c r="H557" s="49" t="inlineStr">
        <x:is>
          <x:t xml:space="preserve">UNIQUE_THEOREM_PENDING_COMPILE</x:t>
        </x:is>
      </x:c>
      <x:c r="I557" s="49" t="inlineStr">
        <x:is>
          <x:t xml:space="preserve">0</x:t>
        </x:is>
      </x:c>
      <x:c r="L557" s="56" t="n"/>
    </x:row>
    <x:row r="558" ht="15" customHeight="1">
      <x:c r="A558" s="55" t="inlineStr">
        <x:is>
          <x:t xml:space="preserve">mEff_pos</x:t>
        </x:is>
      </x:c>
      <x:c r="B558" s="49" t="inlineStr">
        <x:is>
          <x:t xml:space="preserve">theorem</x:t>
        </x:is>
      </x:c>
      <x:c r="C558" s="49" t="inlineStr">
        <x:is>
          <x:t xml:space="preserve">Lean-4-Proofs-main\Lean-4-Proofs-main\theophysics-lean-verification-package\narrow_product_test\NarrowProductTest\Basic.lean</x:t>
        </x:is>
      </x:c>
      <x:c r="D558" s="49" t="inlineStr">
        <x:is>
          <x:t xml:space="preserve">260</x:t>
        </x:is>
      </x:c>
      <x:c r="E558" s="49" t="inlineStr">
        <x:is>
          <x:t xml:space="preserve">SUBSTANTIVE_OR_CASE_PROOF</x:t>
        </x:is>
      </x:c>
      <x:c r="F558" s="49" t="inlineStr">
        <x:is>
          <x:t xml:space="preserve">PENDING_NOT_RUN</x:t>
        </x:is>
      </x:c>
      <x:c r="G558" s="49" t="inlineStr">
        <x:is>
          <x:t xml:space="preserve">NO_SORRY_OR_ADMIT_STATIC_SCAN</x:t>
        </x:is>
      </x:c>
      <x:c r="H558" s="49" t="inlineStr">
        <x:is>
          <x:t xml:space="preserve">UNIQUE_THEOREM_PENDING_COMPILE</x:t>
        </x:is>
      </x:c>
      <x:c r="I558" s="49" t="inlineStr">
        <x:is>
          <x:t xml:space="preserve">0</x:t>
        </x:is>
      </x:c>
      <x:c r="L558" s="56" t="n"/>
    </x:row>
    <x:row r="559" ht="15" customHeight="1">
      <x:c r="A559" s="55" t="inlineStr">
        <x:is>
          <x:t xml:space="preserve">m_zero_kills_chi</x:t>
        </x:is>
      </x:c>
      <x:c r="B559" s="49" t="inlineStr">
        <x:is>
          <x:t xml:space="preserve">theorem</x:t>
        </x:is>
      </x:c>
      <x:c r="C559" s="49" t="inlineStr">
        <x:is>
          <x:t xml:space="preserve">theophysics-lean-main\theophysics-lean-main\Theophysics_Core.lean</x:t>
        </x:is>
      </x:c>
      <x:c r="D559" s="49" t="inlineStr">
        <x:is>
          <x:t xml:space="preserve">252</x:t>
        </x:is>
      </x:c>
      <x:c r="E559" s="49" t="inlineStr">
        <x:is>
          <x:t xml:space="preserve">DECLARATION_OR_UNKNOWN</x:t>
        </x:is>
      </x:c>
      <x:c r="F559" s="49" t="inlineStr">
        <x:is>
          <x:t xml:space="preserve">PENDING_NOT_RUN</x:t>
        </x:is>
      </x:c>
      <x:c r="G559" s="49" t="inlineStr">
        <x:is>
          <x:t xml:space="preserve">NO_SORRY_OR_ADMIT_STATIC_SCAN</x:t>
        </x:is>
      </x:c>
      <x:c r="H559" s="49" t="inlineStr">
        <x:is>
          <x:t xml:space="preserve">CANONICAL_THEOREM_DEDUPED_PENDING_COMPILE</x:t>
        </x:is>
      </x:c>
      <x:c r="I559" s="49" t="inlineStr">
        <x:is>
          <x:t xml:space="preserve">3</x:t>
        </x:is>
      </x:c>
      <x:c r="L559" s="56" t="n"/>
    </x:row>
    <x:row r="560" ht="15" customHeight="1">
      <x:c r="A560" s="55" t="inlineStr">
        <x:is>
          <x:t xml:space="preserve">map_physics_sequence_is_theology_sequence</x:t>
        </x:is>
      </x:c>
      <x:c r="B560" s="49" t="inlineStr">
        <x:is>
          <x:t xml:space="preserve">theorem</x:t>
        </x:is>
      </x:c>
      <x:c r="C560" s="49" t="inlineStr">
        <x:is>
          <x:t xml:space="preserve">theophysics-lean-main\theophysics-lean-main\Theophysics_Core.lean</x:t>
        </x:is>
      </x:c>
      <x:c r="D560" s="49" t="inlineStr">
        <x:is>
          <x:t xml:space="preserve">166</x:t>
        </x:is>
      </x:c>
      <x:c r="E560" s="49" t="inlineStr">
        <x:is>
          <x:t xml:space="preserve">TRIVIAL_TRUE</x:t>
        </x:is>
      </x:c>
      <x:c r="F560" s="49" t="inlineStr">
        <x:is>
          <x:t xml:space="preserve">PENDING_NOT_RUN</x:t>
        </x:is>
      </x:c>
      <x:c r="G560" s="49" t="inlineStr">
        <x:is>
          <x:t xml:space="preserve">NO_SORRY_OR_ADMIT_STATIC_SCAN</x:t>
        </x:is>
      </x:c>
      <x:c r="H560" s="49" t="inlineStr">
        <x:is>
          <x:t xml:space="preserve">LOW_CONTENT_TRUE_NOT_PUBLIC_COUNT</x:t>
        </x:is>
      </x:c>
      <x:c r="I560" s="49" t="inlineStr">
        <x:is>
          <x:t xml:space="preserve">3</x:t>
        </x:is>
      </x:c>
      <x:c r="J560" s="49" t="inlineStr">
        <x:is>
          <x:t xml:space="preserve">LEAN_DERIVATION_CHAIN:15</x:t>
        </x:is>
      </x:c>
      <x:c r="K560" s="49" t="inlineStr">
        <x:is>
          <x:t xml:space="preserve">Mapping the full physics list produces the full theology list — order-preserving. Proved by rfl (definitional equality).</x:t>
        </x:is>
      </x:c>
      <x:c r="L560" s="56" t="n"/>
    </x:row>
    <x:row r="561" ht="15" customHeight="1">
      <x:c r="A561" s="55" t="inlineStr">
        <x:is>
          <x:t xml:space="preserve">master_equation_invariant_under_canonical_substitution</x:t>
        </x:is>
      </x:c>
      <x:c r="B561" s="49" t="inlineStr">
        <x:is>
          <x:t xml:space="preserve">theorem</x:t>
        </x:is>
      </x:c>
      <x:c r="C561" s="49" t="inlineStr">
        <x:is>
          <x:t xml:space="preserve">theophysics-lean-main\theophysics-lean-main\Theophysics_Core.lean</x:t>
        </x:is>
      </x:c>
      <x:c r="D561" s="49" t="inlineStr">
        <x:is>
          <x:t xml:space="preserve">189</x:t>
        </x:is>
      </x:c>
      <x:c r="E561" s="49" t="inlineStr">
        <x:is>
          <x:t xml:space="preserve">DECLARATION_OR_UNKNOWN</x:t>
        </x:is>
      </x:c>
      <x:c r="F561" s="49" t="inlineStr">
        <x:is>
          <x:t xml:space="preserve">PENDING_NOT_RUN</x:t>
        </x:is>
      </x:c>
      <x:c r="G561" s="49" t="inlineStr">
        <x:is>
          <x:t xml:space="preserve">NO_SORRY_OR_ADMIT_STATIC_SCAN</x:t>
        </x:is>
      </x:c>
      <x:c r="H561" s="49" t="inlineStr">
        <x:is>
          <x:t xml:space="preserve">CANONICAL_THEOREM_DEDUPED_PENDING_COMPILE</x:t>
        </x:is>
      </x:c>
      <x:c r="I561" s="49" t="inlineStr">
        <x:is>
          <x:t xml:space="preserve">7</x:t>
        </x:is>
      </x:c>
      <x:c r="J561" s="49" t="inlineStr">
        <x:is>
          <x:t xml:space="preserve">LEAN_DERIVATION_CHAIN:43</x:t>
        </x:is>
      </x:c>
      <x:c r="K561" s="49" t="inlineStr">
        <x:is>
          <x:t xml:space="preserve">χ(physical) = χ(spiritual) under canonical map. The equation is the same in both registers.</x:t>
        </x:is>
      </x:c>
      <x:c r="L561" s="56" t="n"/>
    </x:row>
    <x:row r="562" ht="15" customHeight="1">
      <x:c r="A562" s="55" t="inlineStr">
        <x:is>
          <x:t xml:space="preserve">master_invariance_requires_signature_discipline</x:t>
        </x:is>
      </x:c>
      <x:c r="B562" s="49" t="inlineStr">
        <x:is>
          <x:t xml:space="preserve">theorem</x:t>
        </x:is>
      </x:c>
      <x:c r="C562" s="49" t="inlineStr">
        <x:is>
          <x:t xml:space="preserve">theophysics-lean-main\theophysics-lean-main\Theophysics_Core.lean</x:t>
        </x:is>
      </x:c>
      <x:c r="D562" s="49" t="inlineStr">
        <x:is>
          <x:t xml:space="preserve">192</x:t>
        </x:is>
      </x:c>
      <x:c r="E562" s="49" t="inlineStr">
        <x:is>
          <x:t xml:space="preserve">TRIVIAL_TRUE</x:t>
        </x:is>
      </x:c>
      <x:c r="F562" s="49" t="inlineStr">
        <x:is>
          <x:t xml:space="preserve">PENDING_NOT_RUN</x:t>
        </x:is>
      </x:c>
      <x:c r="G562" s="49" t="inlineStr">
        <x:is>
          <x:t xml:space="preserve">NO_SORRY_OR_ADMIT_STATIC_SCAN</x:t>
        </x:is>
      </x:c>
      <x:c r="H562" s="49" t="inlineStr">
        <x:is>
          <x:t xml:space="preserve">LOW_CONTENT_TRUE_NOT_PUBLIC_COUNT</x:t>
        </x:is>
      </x:c>
      <x:c r="I562" s="49" t="inlineStr">
        <x:is>
          <x:t xml:space="preserve">3</x:t>
        </x:is>
      </x:c>
      <x:c r="J562" s="49" t="inlineStr">
        <x:is>
          <x:t xml:space="preserve">LEAN_DERIVATION_CHAIN:48</x:t>
        </x:is>
      </x:c>
      <x:c r="K562" s="49" t="inlineStr">
        <x:is>
          <x:t xml:space="preserve">BOTH product AND signature needed — neither alone suffices. This is why the bridge is two-layer.</x:t>
        </x:is>
      </x:c>
      <x:c r="L562" s="56" t="n"/>
    </x:row>
    <x:row r="563" ht="15" customHeight="1">
      <x:c r="A563" s="55" t="inlineStr">
        <x:is>
          <x:t xml:space="preserve">measuredButNoCollapseCandidate</x:t>
        </x:is>
      </x:c>
      <x:c r="B563" s="49" t="inlineStr">
        <x:is>
          <x:t xml:space="preserve">def</x:t>
        </x:is>
      </x:c>
      <x:c r="C563" s="49" t="inlineStr">
        <x:is>
          <x:t xml:space="preserve">theophysics-lean-main\theophysics-lean-main\Theophysics_Universality.lean</x:t>
        </x:is>
      </x:c>
      <x:c r="D563" s="49" t="inlineStr">
        <x:is>
          <x:t xml:space="preserve">191</x:t>
        </x:is>
      </x:c>
      <x:c r="E563" s="49" t="inlineStr">
        <x:is>
          <x:t xml:space="preserve">DECLARATION_OR_UNKNOWN</x:t>
        </x:is>
      </x:c>
      <x:c r="F563" s="49" t="inlineStr">
        <x:is>
          <x:t xml:space="preserve">PENDING_NOT_RUN</x:t>
        </x:is>
      </x:c>
      <x:c r="G563" s="49" t="inlineStr">
        <x:is>
          <x:t xml:space="preserve">NO_SORRY_OR_ADMIT_STATIC_SCAN</x:t>
        </x:is>
      </x:c>
      <x:c r="H563" s="49" t="inlineStr">
        <x:is>
          <x:t xml:space="preserve">SCAFFOLDING_NOT_PUBLIC_COUNT</x:t>
        </x:is>
      </x:c>
      <x:c r="I563" s="49" t="inlineStr">
        <x:is>
          <x:t xml:space="preserve">0</x:t>
        </x:is>
      </x:c>
      <x:c r="L563" s="56" t="n"/>
    </x:row>
    <x:row r="564" ht="15" customHeight="1">
      <x:c r="A564" s="55" t="inlineStr">
        <x:is>
          <x:t xml:space="preserve">measured_but_no_collapse_candidate_is_not_strong_cd_class</x:t>
        </x:is>
      </x:c>
      <x:c r="B564" s="49" t="inlineStr">
        <x:is>
          <x:t xml:space="preserve">theorem</x:t>
        </x:is>
      </x:c>
      <x:c r="C564" s="49" t="inlineStr">
        <x:is>
          <x:t xml:space="preserve">theophysics-lean-main\theophysics-lean-main\Theophysics_Universality.lean</x:t>
        </x:is>
      </x:c>
      <x:c r="D564" s="49" t="inlineStr">
        <x:is>
          <x:t xml:space="preserve">426</x:t>
        </x:is>
      </x:c>
      <x:c r="E564" s="49" t="inlineStr">
        <x:is>
          <x:t xml:space="preserve">DEFINITIONAL_RFL</x:t>
        </x:is>
      </x:c>
      <x:c r="F564" s="49" t="inlineStr">
        <x:is>
          <x:t xml:space="preserve">PENDING_NOT_RUN</x:t>
        </x:is>
      </x:c>
      <x:c r="G564" s="49" t="inlineStr">
        <x:is>
          <x:t xml:space="preserve">NO_SORRY_OR_ADMIT_STATIC_SCAN</x:t>
        </x:is>
      </x:c>
      <x:c r="H564" s="49" t="inlineStr">
        <x:is>
          <x:t xml:space="preserve">UNIQUE_THEOREM_PENDING_COMPILE</x:t>
        </x:is>
      </x:c>
      <x:c r="I564" s="49" t="inlineStr">
        <x:is>
          <x:t xml:space="preserve">0</x:t>
        </x:is>
      </x:c>
      <x:c r="L564" s="56" t="n"/>
    </x:row>
    <x:row r="565" ht="15" customHeight="1">
      <x:c r="A565" s="55" t="inlineStr">
        <x:is>
          <x:t xml:space="preserve">mem_zero_of_listProd_eq_zero</x:t>
        </x:is>
      </x:c>
      <x:c r="B565" s="49" t="inlineStr">
        <x:is>
          <x:t xml:space="preserve">theorem</x:t>
        </x:is>
      </x:c>
      <x:c r="C565" s="49" t="inlineStr">
        <x:is>
          <x:t xml:space="preserve">Lean-4-Proofs-main\Lean-4-Proofs-main\theophysics-lean-verification-package\COPY_PASTE_LEAN4.lean</x:t>
        </x:is>
      </x:c>
      <x:c r="D565" s="49" t="inlineStr">
        <x:is>
          <x:t xml:space="preserve">50</x:t>
        </x:is>
      </x:c>
      <x:c r="E565" s="49" t="inlineStr">
        <x:is>
          <x:t xml:space="preserve">WRAPPER_OR_IMPORTED</x:t>
        </x:is>
      </x:c>
      <x:c r="F565" s="49" t="inlineStr">
        <x:is>
          <x:t xml:space="preserve">PENDING_NOT_RUN</x:t>
        </x:is>
      </x:c>
      <x:c r="G565" s="49" t="inlineStr">
        <x:is>
          <x:t xml:space="preserve">NO_SORRY_OR_ADMIT_STATIC_SCAN</x:t>
        </x:is>
      </x:c>
      <x:c r="H565" s="49" t="inlineStr">
        <x:is>
          <x:t xml:space="preserve">CANONICAL_THEOREM_DEDUPED_PENDING_COMPILE</x:t>
        </x:is>
      </x:c>
      <x:c r="I565" s="49" t="inlineStr">
        <x:is>
          <x:t xml:space="preserve">3</x:t>
        </x:is>
      </x:c>
      <x:c r="L565" s="56" t="n"/>
    </x:row>
    <x:row r="566" ht="15" customHeight="1">
      <x:c r="A566" s="55" t="inlineStr">
        <x:is>
          <x:t xml:space="preserve">memoryErasure</x:t>
        </x:is>
      </x:c>
      <x:c r="B566" s="49" t="inlineStr">
        <x:is>
          <x:t xml:space="preserve">def</x:t>
        </x:is>
      </x:c>
      <x:c r="C566" s="49" t="inlineStr">
        <x:is>
          <x:t xml:space="preserve">Faith-Thru-Physics-Lean-4--main\Faith-Thru-Physics-Lean-4--main\Theophysics_NegativeInventory.lean</x:t>
        </x:is>
      </x:c>
      <x:c r="D566" s="49" t="inlineStr">
        <x:is>
          <x:t xml:space="preserve">217</x:t>
        </x:is>
      </x:c>
      <x:c r="E566" s="49" t="inlineStr">
        <x:is>
          <x:t xml:space="preserve">DECLARATION_OR_UNKNOWN</x:t>
        </x:is>
      </x:c>
      <x:c r="F566" s="49" t="inlineStr">
        <x:is>
          <x:t xml:space="preserve">PENDING_NOT_RUN</x:t>
        </x:is>
      </x:c>
      <x:c r="G566" s="49" t="inlineStr">
        <x:is>
          <x:t xml:space="preserve">NO_SORRY_OR_ADMIT_STATIC_SCAN</x:t>
        </x:is>
      </x:c>
      <x:c r="H566" s="49" t="inlineStr">
        <x:is>
          <x:t xml:space="preserve">SCAFFOLDING_NOT_PUBLIC_COUNT</x:t>
        </x:is>
      </x:c>
      <x:c r="I566" s="49" t="inlineStr">
        <x:is>
          <x:t xml:space="preserve">0</x:t>
        </x:is>
      </x:c>
      <x:c r="L566" s="56" t="n"/>
    </x:row>
    <x:row r="567" ht="15" customHeight="1">
      <x:c r="A567" s="55" t="inlineStr">
        <x:is>
          <x:t xml:space="preserve">memory_erasure_rejected</x:t>
        </x:is>
      </x:c>
      <x:c r="B567" s="49" t="inlineStr">
        <x:is>
          <x:t xml:space="preserve">theorem</x:t>
        </x:is>
      </x:c>
      <x:c r="C567" s="49" t="inlineStr">
        <x:is>
          <x:t xml:space="preserve">Faith-Thru-Physics-Lean-4--main\Faith-Thru-Physics-Lean-4--main\Theophysics_NegativeInventory.lean</x:t>
        </x:is>
      </x:c>
      <x:c r="D567" s="49" t="inlineStr">
        <x:is>
          <x:t xml:space="preserve">232</x:t>
        </x:is>
      </x:c>
      <x:c r="E567" s="49" t="inlineStr">
        <x:is>
          <x:t xml:space="preserve">FINITE_DECIDABLE</x:t>
        </x:is>
      </x:c>
      <x:c r="F567" s="49" t="inlineStr">
        <x:is>
          <x:t xml:space="preserve">PENDING_NOT_RUN</x:t>
        </x:is>
      </x:c>
      <x:c r="G567" s="49" t="inlineStr">
        <x:is>
          <x:t xml:space="preserve">NO_SORRY_OR_ADMIT_STATIC_SCAN</x:t>
        </x:is>
      </x:c>
      <x:c r="H567" s="49" t="inlineStr">
        <x:is>
          <x:t xml:space="preserve">UNIQUE_THEOREM_PENDING_COMPILE</x:t>
        </x:is>
      </x:c>
      <x:c r="I567" s="49" t="inlineStr">
        <x:is>
          <x:t xml:space="preserve">0</x:t>
        </x:is>
      </x:c>
      <x:c r="J567" s="49" t="inlineStr">
        <x:is>
          <x:t xml:space="preserve">LEAN_DERIVATION_CHAIN:231</x:t>
        </x:is>
      </x:c>
      <x:c r="K567" s="49" t="inlineStr">
        <x:is>
          <x:t xml:space="preserve">Return with wiped record is not resurrection</x:t>
        </x:is>
      </x:c>
      <x:c r="L567" s="56" t="n"/>
    </x:row>
    <x:row r="568" ht="15" customHeight="1">
      <x:c r="A568" s="55" t="inlineStr">
        <x:is>
          <x:t xml:space="preserve">mercy_without_justice_fails</x:t>
        </x:is>
      </x:c>
      <x:c r="B568" s="49" t="inlineStr">
        <x:is>
          <x:t xml:space="preserve">theorem</x:t>
        </x:is>
      </x:c>
      <x:c r="C568" s="49" t="inlineStr">
        <x:is>
          <x:t xml:space="preserve">theophysics-lean-main\theophysics-lean-main\Theophysics_GodTest.lean</x:t>
        </x:is>
      </x:c>
      <x:c r="D568" s="49" t="inlineStr">
        <x:is>
          <x:t xml:space="preserve">242</x:t>
        </x:is>
      </x:c>
      <x:c r="E568" s="49" t="inlineStr">
        <x:is>
          <x:t xml:space="preserve">DEFINITIONAL_RFL</x:t>
        </x:is>
      </x:c>
      <x:c r="F568" s="49" t="inlineStr">
        <x:is>
          <x:t xml:space="preserve">PENDING_NOT_RUN</x:t>
        </x:is>
      </x:c>
      <x:c r="G568" s="49" t="inlineStr">
        <x:is>
          <x:t xml:space="preserve">NO_SORRY_OR_ADMIT_STATIC_SCAN</x:t>
        </x:is>
      </x:c>
      <x:c r="H568" s="49" t="inlineStr">
        <x:is>
          <x:t xml:space="preserve">UNIQUE_THEOREM_PENDING_COMPILE</x:t>
        </x:is>
      </x:c>
      <x:c r="I568" s="49" t="inlineStr">
        <x:is>
          <x:t xml:space="preserve">0</x:t>
        </x:is>
      </x:c>
      <x:c r="L568" s="56" t="inlineStr">
        <x:is>
          <x:t xml:space="preserve">justice_mercy_math</x:t>
        </x:is>
      </x:c>
    </x:row>
    <x:row r="569" ht="15" customHeight="1">
      <x:c r="A569" s="55" t="inlineStr">
        <x:is>
          <x:t xml:space="preserve">mere_order_does_not_imply_full_coherence</x:t>
        </x:is>
      </x:c>
      <x:c r="B569" s="49" t="inlineStr">
        <x:is>
          <x:t xml:space="preserve">theorem</x:t>
        </x:is>
      </x:c>
      <x:c r="C569" s="49" t="inlineStr">
        <x:is>
          <x:t xml:space="preserve">theophysics-lean-main\theophysics-lean-main\Theophysics_Coherence.lean</x:t>
        </x:is>
      </x:c>
      <x:c r="D569" s="49" t="inlineStr">
        <x:is>
          <x:t xml:space="preserve">153</x:t>
        </x:is>
      </x:c>
      <x:c r="E569" s="49" t="inlineStr">
        <x:is>
          <x:t xml:space="preserve">WRAPPER_OR_IMPORTED</x:t>
        </x:is>
      </x:c>
      <x:c r="F569" s="49" t="inlineStr">
        <x:is>
          <x:t xml:space="preserve">PENDING_NOT_RUN</x:t>
        </x:is>
      </x:c>
      <x:c r="G569" s="49" t="inlineStr">
        <x:is>
          <x:t xml:space="preserve">NO_SORRY_OR_ADMIT_STATIC_SCAN</x:t>
        </x:is>
      </x:c>
      <x:c r="H569" s="49" t="inlineStr">
        <x:is>
          <x:t xml:space="preserve">CANONICAL_THEOREM_DEDUPED_PENDING_COMPILE</x:t>
        </x:is>
      </x:c>
      <x:c r="I569" s="49" t="inlineStr">
        <x:is>
          <x:t xml:space="preserve">3</x:t>
        </x:is>
      </x:c>
      <x:c r="L569" s="56" t="n"/>
    </x:row>
    <x:row r="570" ht="15" customHeight="1">
      <x:c r="A570" s="55" t="inlineStr">
        <x:is>
          <x:t xml:space="preserve">merelyOrdered</x:t>
        </x:is>
      </x:c>
      <x:c r="B570" s="49" t="inlineStr">
        <x:is>
          <x:t xml:space="preserve">def</x:t>
        </x:is>
      </x:c>
      <x:c r="C570" s="49" t="inlineStr">
        <x:is>
          <x:t xml:space="preserve">theophysics-lean-main\theophysics-lean-main\Theophysics_Coherence.lean</x:t>
        </x:is>
      </x:c>
      <x:c r="D570" s="49" t="inlineStr">
        <x:is>
          <x:t xml:space="preserve">57</x:t>
        </x:is>
      </x:c>
      <x:c r="E570" s="49" t="inlineStr">
        <x:is>
          <x:t xml:space="preserve">DECLARATION_OR_UNKNOWN</x:t>
        </x:is>
      </x:c>
      <x:c r="F570" s="49" t="inlineStr">
        <x:is>
          <x:t xml:space="preserve">PENDING_NOT_RUN</x:t>
        </x:is>
      </x:c>
      <x:c r="G570" s="49" t="inlineStr">
        <x:is>
          <x:t xml:space="preserve">NO_SORRY_OR_ADMIT_STATIC_SCAN</x:t>
        </x:is>
      </x:c>
      <x:c r="H570" s="49" t="inlineStr">
        <x:is>
          <x:t xml:space="preserve">SCAFFOLDING_NOT_PUBLIC_COUNT</x:t>
        </x:is>
      </x:c>
      <x:c r="I570" s="49" t="inlineStr">
        <x:is>
          <x:t xml:space="preserve">3</x:t>
        </x:is>
      </x:c>
      <x:c r="L570" s="56" t="n"/>
    </x:row>
    <x:row r="571" ht="15" customHeight="1">
      <x:c r="A571" s="55" t="inlineStr">
        <x:is>
          <x:t xml:space="preserve">metaphorOnlySignature</x:t>
        </x:is>
      </x:c>
      <x:c r="B571" s="49" t="inlineStr">
        <x:is>
          <x:t xml:space="preserve">def</x:t>
        </x:is>
      </x:c>
      <x:c r="C571" s="49" t="inlineStr">
        <x:is>
          <x:t xml:space="preserve">theophysics-lean-main\theophysics-lean-main\Theophysics_Universality.lean</x:t>
        </x:is>
      </x:c>
      <x:c r="D571" s="49" t="inlineStr">
        <x:is>
          <x:t xml:space="preserve">155</x:t>
        </x:is>
      </x:c>
      <x:c r="E571" s="49" t="inlineStr">
        <x:is>
          <x:t xml:space="preserve">DECLARATION_OR_UNKNOWN</x:t>
        </x:is>
      </x:c>
      <x:c r="F571" s="49" t="inlineStr">
        <x:is>
          <x:t xml:space="preserve">PENDING_NOT_RUN</x:t>
        </x:is>
      </x:c>
      <x:c r="G571" s="49" t="inlineStr">
        <x:is>
          <x:t xml:space="preserve">NO_SORRY_OR_ADMIT_STATIC_SCAN</x:t>
        </x:is>
      </x:c>
      <x:c r="H571" s="49" t="inlineStr">
        <x:is>
          <x:t xml:space="preserve">SCAFFOLDING_NOT_PUBLIC_COUNT</x:t>
        </x:is>
      </x:c>
      <x:c r="I571" s="49" t="inlineStr">
        <x:is>
          <x:t xml:space="preserve">0</x:t>
        </x:is>
      </x:c>
      <x:c r="L571" s="56" t="n"/>
    </x:row>
    <x:row r="572" ht="15" customHeight="1">
      <x:c r="A572" s="55" t="inlineStr">
        <x:is>
          <x:t xml:space="preserve">metaphor_only_is_not_strong_cd_class</x:t>
        </x:is>
      </x:c>
      <x:c r="B572" s="49" t="inlineStr">
        <x:is>
          <x:t xml:space="preserve">theorem</x:t>
        </x:is>
      </x:c>
      <x:c r="C572" s="49" t="inlineStr">
        <x:is>
          <x:t xml:space="preserve">theophysics-lean-main\theophysics-lean-main\Theophysics_Universality.lean</x:t>
        </x:is>
      </x:c>
      <x:c r="D572" s="49" t="inlineStr">
        <x:is>
          <x:t xml:space="preserve">410</x:t>
        </x:is>
      </x:c>
      <x:c r="E572" s="49" t="inlineStr">
        <x:is>
          <x:t xml:space="preserve">DEFINITIONAL_RFL</x:t>
        </x:is>
      </x:c>
      <x:c r="F572" s="49" t="inlineStr">
        <x:is>
          <x:t xml:space="preserve">PENDING_NOT_RUN</x:t>
        </x:is>
      </x:c>
      <x:c r="G572" s="49" t="inlineStr">
        <x:is>
          <x:t xml:space="preserve">NO_SORRY_OR_ADMIT_STATIC_SCAN</x:t>
        </x:is>
      </x:c>
      <x:c r="H572" s="49" t="inlineStr">
        <x:is>
          <x:t xml:space="preserve">UNIQUE_THEOREM_PENDING_COMPILE</x:t>
        </x:is>
      </x:c>
      <x:c r="I572" s="49" t="inlineStr">
        <x:is>
          <x:t xml:space="preserve">0</x:t>
        </x:is>
      </x:c>
      <x:c r="L572" s="56" t="n"/>
    </x:row>
    <x:row r="573" ht="15" customHeight="1">
      <x:c r="A573" s="55" t="inlineStr">
        <x:is>
          <x:t xml:space="preserve">metaphor_only_not_thermodynamics_class</x:t>
        </x:is>
      </x:c>
      <x:c r="B573" s="49" t="inlineStr">
        <x:is>
          <x:t xml:space="preserve">theorem</x:t>
        </x:is>
      </x:c>
      <x:c r="C573" s="49" t="inlineStr">
        <x:is>
          <x:t xml:space="preserve">theophysics-lean-main\theophysics-lean-main\Theophysics_Universality.lean</x:t>
        </x:is>
      </x:c>
      <x:c r="D573" s="49" t="inlineStr">
        <x:is>
          <x:t xml:space="preserve">438</x:t>
        </x:is>
      </x:c>
      <x:c r="E573" s="49" t="inlineStr">
        <x:is>
          <x:t xml:space="preserve">SUBSTANTIVE_OR_CASE_PROOF</x:t>
        </x:is>
      </x:c>
      <x:c r="F573" s="49" t="inlineStr">
        <x:is>
          <x:t xml:space="preserve">PENDING_NOT_RUN</x:t>
        </x:is>
      </x:c>
      <x:c r="G573" s="49" t="inlineStr">
        <x:is>
          <x:t xml:space="preserve">NO_SORRY_OR_ADMIT_STATIC_SCAN</x:t>
        </x:is>
      </x:c>
      <x:c r="H573" s="49" t="inlineStr">
        <x:is>
          <x:t xml:space="preserve">UNIQUE_THEOREM_PENDING_COMPILE</x:t>
        </x:is>
      </x:c>
      <x:c r="I573" s="49" t="inlineStr">
        <x:is>
          <x:t xml:space="preserve">0</x:t>
        </x:is>
      </x:c>
      <x:c r="L573" s="56" t="n"/>
    </x:row>
    <x:row r="574" ht="15" customHeight="1">
      <x:c r="A574" s="55" t="inlineStr">
        <x:is>
          <x:t xml:space="preserve">metricsOnlyNoRestorationCandidate</x:t>
        </x:is>
      </x:c>
      <x:c r="B574" s="49" t="inlineStr">
        <x:is>
          <x:t xml:space="preserve">def</x:t>
        </x:is>
      </x:c>
      <x:c r="C574" s="49" t="inlineStr">
        <x:is>
          <x:t xml:space="preserve">theophysics-lean-main\theophysics-lean-main\Theophysics_Universality.lean</x:t>
        </x:is>
      </x:c>
      <x:c r="D574" s="49" t="inlineStr">
        <x:is>
          <x:t xml:space="preserve">209</x:t>
        </x:is>
      </x:c>
      <x:c r="E574" s="49" t="inlineStr">
        <x:is>
          <x:t xml:space="preserve">DECLARATION_OR_UNKNOWN</x:t>
        </x:is>
      </x:c>
      <x:c r="F574" s="49" t="inlineStr">
        <x:is>
          <x:t xml:space="preserve">PENDING_NOT_RUN</x:t>
        </x:is>
      </x:c>
      <x:c r="G574" s="49" t="inlineStr">
        <x:is>
          <x:t xml:space="preserve">NO_SORRY_OR_ADMIT_STATIC_SCAN</x:t>
        </x:is>
      </x:c>
      <x:c r="H574" s="49" t="inlineStr">
        <x:is>
          <x:t xml:space="preserve">SCAFFOLDING_NOT_PUBLIC_COUNT</x:t>
        </x:is>
      </x:c>
      <x:c r="I574" s="49" t="inlineStr">
        <x:is>
          <x:t xml:space="preserve">0</x:t>
        </x:is>
      </x:c>
      <x:c r="L574" s="56" t="n"/>
    </x:row>
    <x:row r="575" ht="15" customHeight="1">
      <x:c r="A575" s="55" t="inlineStr">
        <x:is>
          <x:t xml:space="preserve">metrics_only_no_restoration_candidate_is_not_strong_cd_class</x:t>
        </x:is>
      </x:c>
      <x:c r="B575" s="49" t="inlineStr">
        <x:is>
          <x:t xml:space="preserve">theorem</x:t>
        </x:is>
      </x:c>
      <x:c r="C575" s="49" t="inlineStr">
        <x:is>
          <x:t xml:space="preserve">theophysics-lean-main\theophysics-lean-main\Theophysics_Universality.lean</x:t>
        </x:is>
      </x:c>
      <x:c r="D575" s="49" t="inlineStr">
        <x:is>
          <x:t xml:space="preserve">434</x:t>
        </x:is>
      </x:c>
      <x:c r="E575" s="49" t="inlineStr">
        <x:is>
          <x:t xml:space="preserve">DEFINITIONAL_RFL</x:t>
        </x:is>
      </x:c>
      <x:c r="F575" s="49" t="inlineStr">
        <x:is>
          <x:t xml:space="preserve">PENDING_NOT_RUN</x:t>
        </x:is>
      </x:c>
      <x:c r="G575" s="49" t="inlineStr">
        <x:is>
          <x:t xml:space="preserve">NO_SORRY_OR_ADMIT_STATIC_SCAN</x:t>
        </x:is>
      </x:c>
      <x:c r="H575" s="49" t="inlineStr">
        <x:is>
          <x:t xml:space="preserve">UNIQUE_THEOREM_PENDING_COMPILE</x:t>
        </x:is>
      </x:c>
      <x:c r="I575" s="49" t="inlineStr">
        <x:is>
          <x:t xml:space="preserve">0</x:t>
        </x:is>
      </x:c>
      <x:c r="L575" s="56" t="n"/>
    </x:row>
    <x:row r="576" ht="15" customHeight="1">
      <x:c r="A576" s="55" t="inlineStr">
        <x:is>
          <x:t xml:space="preserve">metrics_only_no_restoration_not_economics_class</x:t>
        </x:is>
      </x:c>
      <x:c r="B576" s="49" t="inlineStr">
        <x:is>
          <x:t xml:space="preserve">theorem</x:t>
        </x:is>
      </x:c>
      <x:c r="C576" s="49" t="inlineStr">
        <x:is>
          <x:t xml:space="preserve">theophysics-lean-main\theophysics-lean-main\Theophysics_Universality.lean</x:t>
        </x:is>
      </x:c>
      <x:c r="D576" s="49" t="inlineStr">
        <x:is>
          <x:t xml:space="preserve">480</x:t>
        </x:is>
      </x:c>
      <x:c r="E576" s="49" t="inlineStr">
        <x:is>
          <x:t xml:space="preserve">SUBSTANTIVE_OR_CASE_PROOF</x:t>
        </x:is>
      </x:c>
      <x:c r="F576" s="49" t="inlineStr">
        <x:is>
          <x:t xml:space="preserve">PENDING_NOT_RUN</x:t>
        </x:is>
      </x:c>
      <x:c r="G576" s="49" t="inlineStr">
        <x:is>
          <x:t xml:space="preserve">NO_SORRY_OR_ADMIT_STATIC_SCAN</x:t>
        </x:is>
      </x:c>
      <x:c r="H576" s="49" t="inlineStr">
        <x:is>
          <x:t xml:space="preserve">UNIQUE_THEOREM_PENDING_COMPILE</x:t>
        </x:is>
      </x:c>
      <x:c r="I576" s="49" t="inlineStr">
        <x:is>
          <x:t xml:space="preserve">0</x:t>
        </x:is>
      </x:c>
      <x:c r="L576" s="56" t="n"/>
    </x:row>
    <x:row r="577" ht="15" customHeight="1">
      <x:c r="A577" s="55" t="inlineStr">
        <x:is>
          <x:t xml:space="preserve">misalignedCollapseRuleValid</x:t>
        </x:is>
      </x:c>
      <x:c r="B577" s="49" t="inlineStr">
        <x:is>
          <x:t xml:space="preserve">def</x:t>
        </x:is>
      </x:c>
      <x:c r="C577" s="49" t="inlineStr">
        <x:is>
          <x:t xml:space="preserve">theophysics-lean-main\theophysics-lean-main\Theophysics_Adversarial.lean</x:t>
        </x:is>
      </x:c>
      <x:c r="D577" s="49" t="inlineStr">
        <x:is>
          <x:t xml:space="preserve">237</x:t>
        </x:is>
      </x:c>
      <x:c r="E577" s="49" t="inlineStr">
        <x:is>
          <x:t xml:space="preserve">DECLARATION_OR_UNKNOWN</x:t>
        </x:is>
      </x:c>
      <x:c r="F577" s="49" t="inlineStr">
        <x:is>
          <x:t xml:space="preserve">PENDING_NOT_RUN</x:t>
        </x:is>
      </x:c>
      <x:c r="G577" s="49" t="inlineStr">
        <x:is>
          <x:t xml:space="preserve">NO_SORRY_OR_ADMIT_STATIC_SCAN</x:t>
        </x:is>
      </x:c>
      <x:c r="H577" s="49" t="inlineStr">
        <x:is>
          <x:t xml:space="preserve">SCAFFOLDING_NOT_PUBLIC_COUNT</x:t>
        </x:is>
      </x:c>
      <x:c r="I577" s="49" t="inlineStr">
        <x:is>
          <x:t xml:space="preserve">3</x:t>
        </x:is>
      </x:c>
      <x:c r="L577" s="56" t="n"/>
    </x:row>
    <x:row r="578" ht="15" customHeight="1">
      <x:c r="A578" s="55" t="inlineStr">
        <x:is>
          <x:t xml:space="preserve">misaligned_collapse_rule_invalid</x:t>
        </x:is>
      </x:c>
      <x:c r="B578" s="49" t="inlineStr">
        <x:is>
          <x:t xml:space="preserve">theorem</x:t>
        </x:is>
      </x:c>
      <x:c r="C578" s="49" t="inlineStr">
        <x:is>
          <x:t xml:space="preserve">theophysics-lean-main\theophysics-lean-main\Theophysics_Adversarial.lean</x:t>
        </x:is>
      </x:c>
      <x:c r="D578" s="49" t="inlineStr">
        <x:is>
          <x:t xml:space="preserve">440</x:t>
        </x:is>
      </x:c>
      <x:c r="E578" s="49" t="inlineStr">
        <x:is>
          <x:t xml:space="preserve">DEFINITIONAL_RFL</x:t>
        </x:is>
      </x:c>
      <x:c r="F578" s="49" t="inlineStr">
        <x:is>
          <x:t xml:space="preserve">PENDING_NOT_RUN</x:t>
        </x:is>
      </x:c>
      <x:c r="G578" s="49" t="inlineStr">
        <x:is>
          <x:t xml:space="preserve">NO_SORRY_OR_ADMIT_STATIC_SCAN</x:t>
        </x:is>
      </x:c>
      <x:c r="H578" s="49" t="inlineStr">
        <x:is>
          <x:t xml:space="preserve">CANONICAL_THEOREM_DEDUPED_PENDING_COMPILE</x:t>
        </x:is>
      </x:c>
      <x:c r="I578" s="49" t="inlineStr">
        <x:is>
          <x:t xml:space="preserve">3</x:t>
        </x:is>
      </x:c>
      <x:c r="J578" s="49" t="inlineStr">
        <x:is>
          <x:t xml:space="preserve">LEAN_DERIVATION_CHAIN:93</x:t>
        </x:is>
      </x:c>
      <x:c r="K578" s="49" t="inlineStr">
        <x:is>
          <x:t xml:space="preserve">REJECTION: Collapse at stateB (value=one) contradicts axiom</x:t>
        </x:is>
      </x:c>
      <x:c r="L578" s="56" t="n"/>
    </x:row>
    <x:row r="579" ht="15" customHeight="1">
      <x:c r="A579" s="55" t="inlineStr">
        <x:is>
          <x:t xml:space="preserve">missionCOpIsRepairOnly</x:t>
        </x:is>
      </x:c>
      <x:c r="B579" s="49" t="inlineStr">
        <x:is>
          <x:t xml:space="preserve">def</x:t>
        </x:is>
      </x:c>
      <x:c r="C579" s="49" t="inlineStr">
        <x:is>
          <x:t xml:space="preserve">theophysics-lean-main\theophysics-lean-main\Theophysics_Adversarial.lean</x:t>
        </x:is>
      </x:c>
      <x:c r="D579" s="49" t="inlineStr">
        <x:is>
          <x:t xml:space="preserve">272</x:t>
        </x:is>
      </x:c>
      <x:c r="E579" s="49" t="inlineStr">
        <x:is>
          <x:t xml:space="preserve">DECLARATION_OR_UNKNOWN</x:t>
        </x:is>
      </x:c>
      <x:c r="F579" s="49" t="inlineStr">
        <x:is>
          <x:t xml:space="preserve">PENDING_NOT_RUN</x:t>
        </x:is>
      </x:c>
      <x:c r="G579" s="49" t="inlineStr">
        <x:is>
          <x:t xml:space="preserve">NO_SORRY_OR_ADMIT_STATIC_SCAN</x:t>
        </x:is>
      </x:c>
      <x:c r="H579" s="49" t="inlineStr">
        <x:is>
          <x:t xml:space="preserve">SCAFFOLDING_NOT_PUBLIC_COUNT</x:t>
        </x:is>
      </x:c>
      <x:c r="I579" s="49" t="inlineStr">
        <x:is>
          <x:t xml:space="preserve">3</x:t>
        </x:is>
      </x:c>
      <x:c r="L579" s="56" t="n"/>
    </x:row>
    <x:row r="580" ht="15" customHeight="1">
      <x:c r="A580" s="55" t="inlineStr">
        <x:is>
          <x:t xml:space="preserve">mission_COp_is_not_repair_only</x:t>
        </x:is>
      </x:c>
      <x:c r="B580" s="49" t="inlineStr">
        <x:is>
          <x:t xml:space="preserve">theorem</x:t>
        </x:is>
      </x:c>
      <x:c r="C580" s="49" t="inlineStr">
        <x:is>
          <x:t xml:space="preserve">theophysics-lean-main\theophysics-lean-main\Theophysics_Adversarial.lean</x:t>
        </x:is>
      </x:c>
      <x:c r="D580" s="49" t="inlineStr">
        <x:is>
          <x:t xml:space="preserve">524</x:t>
        </x:is>
      </x:c>
      <x:c r="E580" s="49" t="inlineStr">
        <x:is>
          <x:t xml:space="preserve">DEFINITIONAL_RFL</x:t>
        </x:is>
      </x:c>
      <x:c r="F580" s="49" t="inlineStr">
        <x:is>
          <x:t xml:space="preserve">PENDING_NOT_RUN</x:t>
        </x:is>
      </x:c>
      <x:c r="G580" s="49" t="inlineStr">
        <x:is>
          <x:t xml:space="preserve">NO_SORRY_OR_ADMIT_STATIC_SCAN</x:t>
        </x:is>
      </x:c>
      <x:c r="H580" s="49" t="inlineStr">
        <x:is>
          <x:t xml:space="preserve">CANONICAL_THEOREM_DEDUPED_PENDING_COMPILE</x:t>
        </x:is>
      </x:c>
      <x:c r="I580" s="49" t="inlineStr">
        <x:is>
          <x:t xml:space="preserve">3</x:t>
        </x:is>
      </x:c>
      <x:c r="J580" s="49" t="inlineStr">
        <x:is>
          <x:t xml:space="preserve">LEAN_DERIVATION_CHAIN:163</x:t>
        </x:is>
      </x:c>
      <x:c r="K580" s="49" t="inlineStr">
        <x:is>
          <x:t xml:space="preserve">REJECTION: Phase = resurrection + source preserved. This is mission return, NOT repair-only.</x:t>
        </x:is>
      </x:c>
      <x:c r="L580" s="56" t="n"/>
    </x:row>
    <x:row r="581" ht="15" customHeight="1">
      <x:c r="A581" s="55" t="inlineStr">
        <x:is>
          <x:t xml:space="preserve">modalism_invalid</x:t>
        </x:is>
      </x:c>
      <x:c r="B581" s="49" t="inlineStr">
        <x:is>
          <x:t xml:space="preserve">theorem</x:t>
        </x:is>
      </x:c>
      <x:c r="C581" s="49" t="inlineStr">
        <x:is>
          <x:t xml:space="preserve">theophysics-lean-main\theophysics-lean-main\Theophysics_Adversarial.lean</x:t>
        </x:is>
      </x:c>
      <x:c r="D581" s="49" t="inlineStr">
        <x:is>
          <x:t xml:space="preserve">457</x:t>
        </x:is>
      </x:c>
      <x:c r="E581" s="49" t="inlineStr">
        <x:is>
          <x:t xml:space="preserve">WRAPPER_OR_IMPORTED</x:t>
        </x:is>
      </x:c>
      <x:c r="F581" s="49" t="inlineStr">
        <x:is>
          <x:t xml:space="preserve">PENDING_NOT_RUN</x:t>
        </x:is>
      </x:c>
      <x:c r="G581" s="49" t="inlineStr">
        <x:is>
          <x:t xml:space="preserve">NO_SORRY_OR_ADMIT_STATIC_SCAN</x:t>
        </x:is>
      </x:c>
      <x:c r="H581" s="49" t="inlineStr">
        <x:is>
          <x:t xml:space="preserve">CANONICAL_THEOREM_DEDUPED_PENDING_COMPILE</x:t>
        </x:is>
      </x:c>
      <x:c r="I581" s="49" t="inlineStr">
        <x:is>
          <x:t xml:space="preserve">4</x:t>
        </x:is>
      </x:c>
      <x:c r="J581" s="49" t="inlineStr">
        <x:is>
          <x:t xml:space="preserve">LEAN_DERIVATION_CHAIN:103</x:t>
        </x:is>
      </x:c>
      <x:c r="K581" s="49" t="inlineStr">
        <x:is>
          <x:t xml:space="preserve">REJECTION: Modalism fails — no relational distinctness</x:t>
        </x:is>
      </x:c>
      <x:c r="L581" s="56" t="inlineStr">
        <x:is>
          <x:t xml:space="preserve">load_bearing_controls | variable_coupling</x:t>
        </x:is>
      </x:c>
    </x:row>
    <x:row r="582" ht="15" customHeight="1">
      <x:c r="A582" s="55" t="inlineStr">
        <x:is>
          <x:t xml:space="preserve">modalism_passes_if_distinctness_guard_removed</x:t>
        </x:is>
      </x:c>
      <x:c r="B582" s="49" t="inlineStr">
        <x:is>
          <x:t xml:space="preserve">theorem</x:t>
        </x:is>
      </x:c>
      <x:c r="C582" s="49" t="inlineStr">
        <x:is>
          <x:t xml:space="preserve">theophysics-lean-main\theophysics-lean-main\Theophysics_Core.lean</x:t>
        </x:is>
      </x:c>
      <x:c r="D582" s="49" t="inlineStr">
        <x:is>
          <x:t xml:space="preserve">235</x:t>
        </x:is>
      </x:c>
      <x:c r="E582" s="49" t="inlineStr">
        <x:is>
          <x:t xml:space="preserve">TRIVIAL_TRUE</x:t>
        </x:is>
      </x:c>
      <x:c r="F582" s="49" t="inlineStr">
        <x:is>
          <x:t xml:space="preserve">PENDING_NOT_RUN</x:t>
        </x:is>
      </x:c>
      <x:c r="G582" s="49" t="inlineStr">
        <x:is>
          <x:t xml:space="preserve">NO_SORRY_OR_ADMIT_STATIC_SCAN</x:t>
        </x:is>
      </x:c>
      <x:c r="H582" s="49" t="inlineStr">
        <x:is>
          <x:t xml:space="preserve">LOW_CONTENT_TRUE_NOT_PUBLIC_COUNT</x:t>
        </x:is>
      </x:c>
      <x:c r="I582" s="49" t="inlineStr">
        <x:is>
          <x:t xml:space="preserve">3</x:t>
        </x:is>
      </x:c>
      <x:c r="L582" s="56" t="inlineStr">
        <x:is>
          <x:t xml:space="preserve">load_bearing_controls | variable_coupling</x:t>
        </x:is>
      </x:c>
    </x:row>
    <x:row r="583" ht="15" customHeight="1">
      <x:c r="A583" s="55" t="inlineStr">
        <x:is>
          <x:t xml:space="preserve">monotonicity_in_G_fails_if_M_negative</x:t>
        </x:is>
      </x:c>
      <x:c r="B583" s="49" t="inlineStr">
        <x:is>
          <x:t xml:space="preserve">theorem</x:t>
        </x:is>
      </x:c>
      <x:c r="C583" s="49" t="inlineStr">
        <x:is>
          <x:t xml:space="preserve">Lean-4-Proofs-main\Lean-4-Proofs-main\theophysics-lean-verification-package\narrow_product_test\NarrowProductTest\Basic.lean</x:t>
        </x:is>
      </x:c>
      <x:c r="D583" s="49" t="inlineStr">
        <x:is>
          <x:t xml:space="preserve">184</x:t>
        </x:is>
      </x:c>
      <x:c r="E583" s="49" t="inlineStr">
        <x:is>
          <x:t xml:space="preserve">WRAPPER_OR_IMPORTED</x:t>
        </x:is>
      </x:c>
      <x:c r="F583" s="49" t="inlineStr">
        <x:is>
          <x:t xml:space="preserve">PENDING_NOT_RUN</x:t>
        </x:is>
      </x:c>
      <x:c r="G583" s="49" t="inlineStr">
        <x:is>
          <x:t xml:space="preserve">NO_SORRY_OR_ADMIT_STATIC_SCAN</x:t>
        </x:is>
      </x:c>
      <x:c r="H583" s="49" t="inlineStr">
        <x:is>
          <x:t xml:space="preserve">UNIQUE_THEOREM_PENDING_COMPILE</x:t>
        </x:is>
      </x:c>
      <x:c r="I583" s="49" t="inlineStr">
        <x:is>
          <x:t xml:space="preserve">0</x:t>
        </x:is>
      </x:c>
      <x:c r="L583" s="56" t="n"/>
    </x:row>
    <x:row r="584" ht="15" customHeight="1">
      <x:c r="A584" s="55" t="inlineStr">
        <x:is>
          <x:t xml:space="preserve">mul10</x:t>
        </x:is>
      </x:c>
      <x:c r="B584" s="49" t="inlineStr">
        <x:is>
          <x:t xml:space="preserve">def</x:t>
        </x:is>
      </x:c>
      <x:c r="C584" s="49" t="inlineStr">
        <x:is>
          <x:t xml:space="preserve">Lean-4-Proofs-main\Lean-4-Proofs-main\theophysics-lean-verification-package\CorrectedEntropyKernel.lean</x:t>
        </x:is>
      </x:c>
      <x:c r="D584" s="49" t="inlineStr">
        <x:is>
          <x:t xml:space="preserve">137</x:t>
        </x:is>
      </x:c>
      <x:c r="E584" s="49" t="inlineStr">
        <x:is>
          <x:t xml:space="preserve">DECLARATION_OR_UNKNOWN</x:t>
        </x:is>
      </x:c>
      <x:c r="F584" s="49" t="inlineStr">
        <x:is>
          <x:t xml:space="preserve">PENDING_NOT_RUN</x:t>
        </x:is>
      </x:c>
      <x:c r="G584" s="49" t="inlineStr">
        <x:is>
          <x:t xml:space="preserve">NO_SORRY_OR_ADMIT_STATIC_SCAN</x:t>
        </x:is>
      </x:c>
      <x:c r="H584" s="49" t="inlineStr">
        <x:is>
          <x:t xml:space="preserve">SCAFFOLDING_NOT_PUBLIC_COUNT</x:t>
        </x:is>
      </x:c>
      <x:c r="I584" s="49" t="inlineStr">
        <x:is>
          <x:t xml:space="preserve">0</x:t>
        </x:is>
      </x:c>
      <x:c r="L584" s="56" t="n"/>
    </x:row>
    <x:row r="585" ht="15" customHeight="1">
      <x:c r="A585" s="55" t="inlineStr">
        <x:is>
          <x:t xml:space="preserve">mul10_pos</x:t>
        </x:is>
      </x:c>
      <x:c r="B585" s="49" t="inlineStr">
        <x:is>
          <x:t xml:space="preserve">theorem</x:t>
        </x:is>
      </x:c>
      <x:c r="C585" s="49" t="inlineStr">
        <x:is>
          <x:t xml:space="preserve">Lean-4-Proofs-main\Lean-4-Proofs-main\theophysics-lean-verification-package\CorrectedEntropyKernel.lean</x:t>
        </x:is>
      </x:c>
      <x:c r="D585" s="49" t="inlineStr">
        <x:is>
          <x:t xml:space="preserve">160</x:t>
        </x:is>
      </x:c>
      <x:c r="E585" s="49" t="inlineStr">
        <x:is>
          <x:t xml:space="preserve">WRAPPER_OR_IMPORTED</x:t>
        </x:is>
      </x:c>
      <x:c r="F585" s="49" t="inlineStr">
        <x:is>
          <x:t xml:space="preserve">PENDING_NOT_RUN</x:t>
        </x:is>
      </x:c>
      <x:c r="G585" s="49" t="inlineStr">
        <x:is>
          <x:t xml:space="preserve">NO_SORRY_OR_ADMIT_STATIC_SCAN</x:t>
        </x:is>
      </x:c>
      <x:c r="H585" s="49" t="inlineStr">
        <x:is>
          <x:t xml:space="preserve">UNIQUE_THEOREM_PENDING_COMPILE</x:t>
        </x:is>
      </x:c>
      <x:c r="I585" s="49" t="inlineStr">
        <x:is>
          <x:t xml:space="preserve">0</x:t>
        </x:is>
      </x:c>
      <x:c r="L585" s="56" t="n"/>
    </x:row>
    <x:row r="586" ht="15" customHeight="1">
      <x:c r="A586" s="55" t="inlineStr">
        <x:is>
          <x:t xml:space="preserve">mul9</x:t>
        </x:is>
      </x:c>
      <x:c r="B586" s="49" t="inlineStr">
        <x:is>
          <x:t xml:space="preserve">def</x:t>
        </x:is>
      </x:c>
      <x:c r="C586" s="49" t="inlineStr">
        <x:is>
          <x:t xml:space="preserve">Lean-4-Proofs-main\Lean-4-Proofs-main\theophysics-lean-verification-package\CorrectedEntropyKernel.lean</x:t>
        </x:is>
      </x:c>
      <x:c r="D586" s="49" t="inlineStr">
        <x:is>
          <x:t xml:space="preserve">132</x:t>
        </x:is>
      </x:c>
      <x:c r="E586" s="49" t="inlineStr">
        <x:is>
          <x:t xml:space="preserve">DECLARATION_OR_UNKNOWN</x:t>
        </x:is>
      </x:c>
      <x:c r="F586" s="49" t="inlineStr">
        <x:is>
          <x:t xml:space="preserve">PENDING_NOT_RUN</x:t>
        </x:is>
      </x:c>
      <x:c r="G586" s="49" t="inlineStr">
        <x:is>
          <x:t xml:space="preserve">NO_SORRY_OR_ADMIT_STATIC_SCAN</x:t>
        </x:is>
      </x:c>
      <x:c r="H586" s="49" t="inlineStr">
        <x:is>
          <x:t xml:space="preserve">SCAFFOLDING_NOT_PUBLIC_COUNT</x:t>
        </x:is>
      </x:c>
      <x:c r="I586" s="49" t="inlineStr">
        <x:is>
          <x:t xml:space="preserve">0</x:t>
        </x:is>
      </x:c>
      <x:c r="L586" s="56" t="n"/>
    </x:row>
    <x:row r="587" ht="15" customHeight="1">
      <x:c r="A587" s="55" t="inlineStr">
        <x:is>
          <x:t xml:space="preserve">mul9_nonneg</x:t>
        </x:is>
      </x:c>
      <x:c r="B587" s="49" t="inlineStr">
        <x:is>
          <x:t xml:space="preserve">theorem</x:t>
        </x:is>
      </x:c>
      <x:c r="C587" s="49" t="inlineStr">
        <x:is>
          <x:t xml:space="preserve">Lean-4-Proofs-main\Lean-4-Proofs-main\theophysics-lean-verification-package\CorrectedEntropyKernel.lean</x:t>
        </x:is>
      </x:c>
      <x:c r="D587" s="49" t="inlineStr">
        <x:is>
          <x:t xml:space="preserve">142</x:t>
        </x:is>
      </x:c>
      <x:c r="E587" s="49" t="inlineStr">
        <x:is>
          <x:t xml:space="preserve">WRAPPER_OR_IMPORTED</x:t>
        </x:is>
      </x:c>
      <x:c r="F587" s="49" t="inlineStr">
        <x:is>
          <x:t xml:space="preserve">PENDING_NOT_RUN</x:t>
        </x:is>
      </x:c>
      <x:c r="G587" s="49" t="inlineStr">
        <x:is>
          <x:t xml:space="preserve">NO_SORRY_OR_ADMIT_STATIC_SCAN</x:t>
        </x:is>
      </x:c>
      <x:c r="H587" s="49" t="inlineStr">
        <x:is>
          <x:t xml:space="preserve">UNIQUE_THEOREM_PENDING_COMPILE</x:t>
        </x:is>
      </x:c>
      <x:c r="I587" s="49" t="inlineStr">
        <x:is>
          <x:t xml:space="preserve">0</x:t>
        </x:is>
      </x:c>
      <x:c r="L587" s="56" t="n"/>
    </x:row>
    <x:row r="588" ht="15" customHeight="1">
      <x:c r="A588" s="55" t="inlineStr">
        <x:is>
          <x:t xml:space="preserve">multiplicativeFactors</x:t>
        </x:is>
      </x:c>
      <x:c r="B588" s="49" t="inlineStr">
        <x:is>
          <x:t xml:space="preserve">def</x:t>
        </x:is>
      </x:c>
      <x:c r="C588" s="49" t="inlineStr">
        <x:is>
          <x:t xml:space="preserve">Lean-4-Proofs-main\Lean-4-Proofs-main\theophysics-lean-verification-package\TheophysicsProductionKernel.lean</x:t>
        </x:is>
      </x:c>
      <x:c r="D588" s="49" t="inlineStr">
        <x:is>
          <x:t xml:space="preserve">138</x:t>
        </x:is>
      </x:c>
      <x:c r="E588" s="49" t="inlineStr">
        <x:is>
          <x:t xml:space="preserve">DECLARATION_OR_UNKNOWN</x:t>
        </x:is>
      </x:c>
      <x:c r="F588" s="49" t="inlineStr">
        <x:is>
          <x:t xml:space="preserve">PENDING_NOT_RUN</x:t>
        </x:is>
      </x:c>
      <x:c r="G588" s="49" t="inlineStr">
        <x:is>
          <x:t xml:space="preserve">NO_SORRY_OR_ADMIT_STATIC_SCAN</x:t>
        </x:is>
      </x:c>
      <x:c r="H588" s="49" t="inlineStr">
        <x:is>
          <x:t xml:space="preserve">SCAFFOLDING_NOT_PUBLIC_COUNT</x:t>
        </x:is>
      </x:c>
      <x:c r="I588" s="49" t="inlineStr">
        <x:is>
          <x:t xml:space="preserve">0</x:t>
        </x:is>
      </x:c>
      <x:c r="L588" s="56" t="n"/>
    </x:row>
    <x:row r="589" ht="15" customHeight="1">
      <x:c r="A589" s="55" t="inlineStr">
        <x:is>
          <x:t xml:space="preserve">mustRelease</x:t>
        </x:is>
      </x:c>
      <x:c r="B589" s="49" t="inlineStr">
        <x:is>
          <x:t xml:space="preserve">def</x:t>
        </x:is>
      </x:c>
      <x:c r="C589" s="49" t="inlineStr">
        <x:is>
          <x:t xml:space="preserve">theophysics-lean-main\theophysics-lean-main\Theophysics_DeathTest.lean</x:t>
        </x:is>
      </x:c>
      <x:c r="D589" s="49" t="inlineStr">
        <x:is>
          <x:t xml:space="preserve">38</x:t>
        </x:is>
      </x:c>
      <x:c r="E589" s="49" t="inlineStr">
        <x:is>
          <x:t xml:space="preserve">DECLARATION_OR_UNKNOWN</x:t>
        </x:is>
      </x:c>
      <x:c r="F589" s="49" t="inlineStr">
        <x:is>
          <x:t xml:space="preserve">PENDING_NOT_RUN</x:t>
        </x:is>
      </x:c>
      <x:c r="G589" s="49" t="inlineStr">
        <x:is>
          <x:t xml:space="preserve">NO_SORRY_OR_ADMIT_STATIC_SCAN</x:t>
        </x:is>
      </x:c>
      <x:c r="H589" s="49" t="inlineStr">
        <x:is>
          <x:t xml:space="preserve">SCAFFOLDING_NOT_PUBLIC_COUNT</x:t>
        </x:is>
      </x:c>
      <x:c r="I589" s="49" t="inlineStr">
        <x:is>
          <x:t xml:space="preserve">0</x:t>
        </x:is>
      </x:c>
      <x:c r="L589" s="56" t="n"/>
    </x:row>
    <x:row r="590" ht="15" customHeight="1">
      <x:c r="A590" s="55" t="inlineStr">
        <x:is>
          <x:t xml:space="preserve">mustard_seed</x:t>
        </x:is>
      </x:c>
      <x:c r="B590" s="49" t="inlineStr">
        <x:is>
          <x:t xml:space="preserve">theorem</x:t>
        </x:is>
      </x:c>
      <x:c r="C590" s="49" t="inlineStr">
        <x:is>
          <x:t xml:space="preserve">theophysics-lean-main\theophysics-lean-main\Theophysics_Canonization.lean</x:t>
        </x:is>
      </x:c>
      <x:c r="D590" s="49" t="inlineStr">
        <x:is>
          <x:t xml:space="preserve">483</x:t>
        </x:is>
      </x:c>
      <x:c r="E590" s="49" t="inlineStr">
        <x:is>
          <x:t xml:space="preserve">WRAPPER_OR_IMPORTED</x:t>
        </x:is>
      </x:c>
      <x:c r="F590" s="49" t="inlineStr">
        <x:is>
          <x:t xml:space="preserve">PENDING_NOT_RUN</x:t>
        </x:is>
      </x:c>
      <x:c r="G590" s="49" t="inlineStr">
        <x:is>
          <x:t xml:space="preserve">NO_SORRY_OR_ADMIT_STATIC_SCAN</x:t>
        </x:is>
      </x:c>
      <x:c r="H590" s="49" t="inlineStr">
        <x:is>
          <x:t xml:space="preserve">UNIQUE_THEOREM_PENDING_COMPILE</x:t>
        </x:is>
      </x:c>
      <x:c r="I590" s="49" t="inlineStr">
        <x:is>
          <x:t xml:space="preserve">0</x:t>
        </x:is>
      </x:c>
      <x:c r="J590" s="49" t="inlineStr">
        <x:is>
          <x:t xml:space="preserve">LEAN_DERIVATION_CHAIN:265</x:t>
        </x:is>
      </x:c>
      <x:c r="K590" s="49" t="inlineStr">
        <x:is>
          <x:t xml:space="preserve">Any O&gt;0 exceeds every finite threshold for large G; magnitude irrelevant</x:t>
        </x:is>
      </x:c>
      <x:c r="L590" s="56" t="n"/>
    </x:row>
    <x:row r="591" ht="15" customHeight="1">
      <x:c r="A591" s="55" t="inlineStr">
        <x:is>
          <x:t xml:space="preserve">naming_invalid_without_structural_fit</x:t>
        </x:is>
      </x:c>
      <x:c r="B591" s="49" t="inlineStr">
        <x:is>
          <x:t xml:space="preserve">theorem</x:t>
        </x:is>
      </x:c>
      <x:c r="C591" s="49" t="inlineStr">
        <x:is>
          <x:t xml:space="preserve">Faith-Thru-Physics-Lean-4--main\Faith-Thru-Physics-Lean-4--main\Theophysics_NegativeInventory.lean</x:t>
        </x:is>
      </x:c>
      <x:c r="D591" s="49" t="inlineStr">
        <x:is>
          <x:t xml:space="preserve">106</x:t>
        </x:is>
      </x:c>
      <x:c r="E591" s="49" t="inlineStr">
        <x:is>
          <x:t xml:space="preserve">SIMPLIFICATION</x:t>
        </x:is>
      </x:c>
      <x:c r="F591" s="49" t="inlineStr">
        <x:is>
          <x:t xml:space="preserve">PENDING_NOT_RUN</x:t>
        </x:is>
      </x:c>
      <x:c r="G591" s="49" t="inlineStr">
        <x:is>
          <x:t xml:space="preserve">NO_SORRY_OR_ADMIT_STATIC_SCAN</x:t>
        </x:is>
      </x:c>
      <x:c r="H591" s="49" t="inlineStr">
        <x:is>
          <x:t xml:space="preserve">UNIQUE_THEOREM_PENDING_COMPILE</x:t>
        </x:is>
      </x:c>
      <x:c r="I591" s="49" t="inlineStr">
        <x:is>
          <x:t xml:space="preserve">0</x:t>
        </x:is>
      </x:c>
      <x:c r="J591" s="49" t="inlineStr">
        <x:is>
          <x:t xml:space="preserve">LEAN_DERIVATION_CHAIN:221</x:t>
        </x:is>
      </x:c>
      <x:c r="K591" s="49" t="inlineStr">
        <x:is>
          <x:t xml:space="preserve">Claim lattice: naming layer invalid when structural fit absent</x:t>
        </x:is>
      </x:c>
      <x:c r="L591" s="56" t="n"/>
    </x:row>
    <x:row r="592" ht="15" customHeight="1">
      <x:c r="A592" s="55" t="inlineStr">
        <x:is>
          <x:t xml:space="preserve">narrative_and_dependency_orders_diverge_at_justification_union</x:t>
        </x:is>
      </x:c>
      <x:c r="B592" s="49" t="inlineStr">
        <x:is>
          <x:t xml:space="preserve">theorem</x:t>
        </x:is>
      </x:c>
      <x:c r="C592" s="49" t="inlineStr">
        <x:is>
          <x:t xml:space="preserve">theophysics-lean-main\theophysics-lean-main\Theophysics_Core.lean</x:t>
        </x:is>
      </x:c>
      <x:c r="D592" s="49" t="inlineStr">
        <x:is>
          <x:t xml:space="preserve">159</x:t>
        </x:is>
      </x:c>
      <x:c r="E592" s="49" t="inlineStr">
        <x:is>
          <x:t xml:space="preserve">TRIVIAL_TRUE</x:t>
        </x:is>
      </x:c>
      <x:c r="F592" s="49" t="inlineStr">
        <x:is>
          <x:t xml:space="preserve">PENDING_NOT_RUN</x:t>
        </x:is>
      </x:c>
      <x:c r="G592" s="49" t="inlineStr">
        <x:is>
          <x:t xml:space="preserve">NO_SORRY_OR_ADMIT_STATIC_SCAN</x:t>
        </x:is>
      </x:c>
      <x:c r="H592" s="49" t="inlineStr">
        <x:is>
          <x:t xml:space="preserve">LOW_CONTENT_TRUE_NOT_PUBLIC_COUNT</x:t>
        </x:is>
      </x:c>
      <x:c r="I592" s="49" t="inlineStr">
        <x:is>
          <x:t xml:space="preserve">3</x:t>
        </x:is>
      </x:c>
      <x:c r="J592" s="49" t="inlineStr">
        <x:is>
          <x:t xml:space="preserve">LEAN_DERIVATION_CHAIN:192</x:t>
        </x:is>
      </x:c>
      <x:c r="K592" s="49" t="inlineStr">
        <x:is>
          <x:t xml:space="preserve">Teaching order and dependency order diverge at exactly this point. The line is not the lattice.</x:t>
        </x:is>
      </x:c>
      <x:c r="L592" s="56" t="inlineStr">
        <x:is>
          <x:t xml:space="preserve">watcher_interpretation_dependency</x:t>
        </x:is>
      </x:c>
    </x:row>
    <x:row r="593" ht="15" customHeight="1">
      <x:c r="A593" s="55" t="inlineStr">
        <x:is>
          <x:t xml:space="preserve">neg_plus_neg_not_redeemed</x:t>
        </x:is>
      </x:c>
      <x:c r="B593" s="49" t="inlineStr">
        <x:is>
          <x:t xml:space="preserve">theorem</x:t>
        </x:is>
      </x:c>
      <x:c r="C593" s="49" t="inlineStr">
        <x:is>
          <x:t xml:space="preserve">Faith-Thru-Physics-Lean-4--main\Faith-Thru-Physics-Lean-4--main\Theophysics_NegativeInventory.lean</x:t>
        </x:is>
      </x:c>
      <x:c r="D593" s="49" t="inlineStr">
        <x:is>
          <x:t xml:space="preserve">153</x:t>
        </x:is>
      </x:c>
      <x:c r="E593" s="49" t="inlineStr">
        <x:is>
          <x:t xml:space="preserve">FINITE_DECIDABLE</x:t>
        </x:is>
      </x:c>
      <x:c r="F593" s="49" t="inlineStr">
        <x:is>
          <x:t xml:space="preserve">PENDING_NOT_RUN</x:t>
        </x:is>
      </x:c>
      <x:c r="G593" s="49" t="inlineStr">
        <x:is>
          <x:t xml:space="preserve">NO_SORRY_OR_ADMIT_STATIC_SCAN</x:t>
        </x:is>
      </x:c>
      <x:c r="H593" s="49" t="inlineStr">
        <x:is>
          <x:t xml:space="preserve">UNIQUE_THEOREM_PENDING_COMPILE</x:t>
        </x:is>
      </x:c>
      <x:c r="I593" s="49" t="inlineStr">
        <x:is>
          <x:t xml:space="preserve">0</x:t>
        </x:is>
      </x:c>
      <x:c r="J593" s="49" t="inlineStr">
        <x:is>
          <x:t xml:space="preserve">LEAN_DERIVATION_CHAIN:225</x:t>
        </x:is>
      </x:c>
      <x:c r="K593" s="49" t="inlineStr">
        <x:is>
          <x:t xml:space="preserve">Negative + negative is not redeemed positive; accumulation is not conversion</x:t>
        </x:is>
      </x:c>
      <x:c r="L593" s="56" t="n"/>
    </x:row>
    <x:row r="594" ht="15" customHeight="1">
      <x:c r="A594" s="55" t="inlineStr">
        <x:is>
          <x:t xml:space="preserve">negative_burden_gate_zero</x:t>
        </x:is>
      </x:c>
      <x:c r="B594" s="49" t="inlineStr">
        <x:is>
          <x:t xml:space="preserve">theorem</x:t>
        </x:is>
      </x:c>
      <x:c r="C594" s="49" t="inlineStr">
        <x:is>
          <x:t xml:space="preserve">theophysics-lean-main\theophysics-lean-main\Theophysics_Core.lean</x:t>
        </x:is>
      </x:c>
      <x:c r="D594" s="49" t="inlineStr">
        <x:is>
          <x:t xml:space="preserve">49</x:t>
        </x:is>
      </x:c>
      <x:c r="E594" s="49" t="inlineStr">
        <x:is>
          <x:t xml:space="preserve">TRIVIAL_TRUE</x:t>
        </x:is>
      </x:c>
      <x:c r="F594" s="49" t="inlineStr">
        <x:is>
          <x:t xml:space="preserve">PENDING_NOT_RUN</x:t>
        </x:is>
      </x:c>
      <x:c r="G594" s="49" t="inlineStr">
        <x:is>
          <x:t xml:space="preserve">NO_SORRY_OR_ADMIT_STATIC_SCAN</x:t>
        </x:is>
      </x:c>
      <x:c r="H594" s="49" t="inlineStr">
        <x:is>
          <x:t xml:space="preserve">LOW_CONTENT_TRUE_NOT_PUBLIC_COUNT</x:t>
        </x:is>
      </x:c>
      <x:c r="I594" s="49" t="inlineStr">
        <x:is>
          <x:t xml:space="preserve">3</x:t>
        </x:is>
      </x:c>
      <x:c r="J594" s="49" t="inlineStr">
        <x:is>
          <x:t xml:space="preserve">LEAN_DERIVATION_CHAIN:138</x:t>
        </x:is>
      </x:c>
      <x:c r="K594" s="49" t="inlineStr">
        <x:is>
          <x:t xml:space="preserve">Negative burden → coherence gate = 0</x:t>
        </x:is>
      </x:c>
      <x:c r="L594" s="56" t="n"/>
    </x:row>
    <x:row r="595" ht="15" customHeight="1">
      <x:c r="A595" s="55" t="inlineStr">
        <x:is>
          <x:t xml:space="preserve">neutral_accountability_aware_M_does_not_zero_M</x:t>
        </x:is>
      </x:c>
      <x:c r="B595" s="49" t="inlineStr">
        <x:is>
          <x:t xml:space="preserve">theorem</x:t>
        </x:is>
      </x:c>
      <x:c r="C595" s="49" t="inlineStr">
        <x:is>
          <x:t xml:space="preserve">theophysics-lean-main\theophysics-lean-main\Theophysics_Core.lean</x:t>
        </x:is>
      </x:c>
      <x:c r="D595" s="49" t="inlineStr">
        <x:is>
          <x:t xml:space="preserve">42</x:t>
        </x:is>
      </x:c>
      <x:c r="E595" s="49" t="inlineStr">
        <x:is>
          <x:t xml:space="preserve">TRIVIAL_TRUE</x:t>
        </x:is>
      </x:c>
      <x:c r="F595" s="49" t="inlineStr">
        <x:is>
          <x:t xml:space="preserve">PENDING_NOT_RUN</x:t>
        </x:is>
      </x:c>
      <x:c r="G595" s="49" t="inlineStr">
        <x:is>
          <x:t xml:space="preserve">NO_SORRY_OR_ADMIT_STATIC_SCAN</x:t>
        </x:is>
      </x:c>
      <x:c r="H595" s="49" t="inlineStr">
        <x:is>
          <x:t xml:space="preserve">LOW_CONTENT_TRUE_NOT_PUBLIC_COUNT</x:t>
        </x:is>
      </x:c>
      <x:c r="I595" s="49" t="inlineStr">
        <x:is>
          <x:t xml:space="preserve">3</x:t>
        </x:is>
      </x:c>
      <x:c r="J595" s="49" t="inlineStr">
        <x:is>
          <x:t xml:space="preserve">LEAN_DERIVATION_CHAIN:128</x:t>
        </x:is>
      </x:c>
      <x:c r="K595" s="49" t="inlineStr">
        <x:is>
          <x:t xml:space="preserve">Neutral polarity → M = 1 under accountability-aware gate</x:t>
        </x:is>
      </x:c>
      <x:c r="L595" s="56" t="n"/>
    </x:row>
    <x:row r="596" ht="15" customHeight="1">
      <x:c r="A596" s="55" t="inlineStr">
        <x:is>
          <x:t xml:space="preserve">nine_maxed_one_zero_fails</x:t>
        </x:is>
      </x:c>
      <x:c r="B596" s="49" t="inlineStr">
        <x:is>
          <x:t xml:space="preserve">theorem</x:t>
        </x:is>
      </x:c>
      <x:c r="C596" s="49" t="inlineStr">
        <x:is>
          <x:t xml:space="preserve">Faith-Thru-Physics-Lean-4--main\Faith-Thru-Physics-Lean-4--main\Theophysics_NegativeInventory.lean</x:t>
        </x:is>
      </x:c>
      <x:c r="D596" s="49" t="inlineStr">
        <x:is>
          <x:t xml:space="preserve">46</x:t>
        </x:is>
      </x:c>
      <x:c r="E596" s="49" t="inlineStr">
        <x:is>
          <x:t xml:space="preserve">FINITE_DECIDABLE</x:t>
        </x:is>
      </x:c>
      <x:c r="F596" s="49" t="inlineStr">
        <x:is>
          <x:t xml:space="preserve">PENDING_NOT_RUN</x:t>
        </x:is>
      </x:c>
      <x:c r="G596" s="49" t="inlineStr">
        <x:is>
          <x:t xml:space="preserve">NO_SORRY_OR_ADMIT_STATIC_SCAN</x:t>
        </x:is>
      </x:c>
      <x:c r="H596" s="49" t="inlineStr">
        <x:is>
          <x:t xml:space="preserve">UNIQUE_THEOREM_PENDING_COMPILE</x:t>
        </x:is>
      </x:c>
      <x:c r="I596" s="49" t="inlineStr">
        <x:is>
          <x:t xml:space="preserve">0</x:t>
        </x:is>
      </x:c>
      <x:c r="J596" s="49" t="inlineStr">
        <x:is>
          <x:t xml:space="preserve">LEAN_DERIVATION_CHAIN:218</x:t>
        </x:is>
      </x:c>
      <x:c r="K596" s="49" t="inlineStr">
        <x:is>
          <x:t xml:space="preserve">Nine factors at 9, one at 0 gives chi=0; local positivity cannot compensate</x:t>
        </x:is>
      </x:c>
      <x:c r="L596" s="56" t="n"/>
    </x:row>
    <x:row r="597" ht="15" customHeight="1">
      <x:c r="A597" s="55" t="inlineStr">
        <x:is>
          <x:t xml:space="preserve">no_closed_system_self_restoration</x:t>
        </x:is>
      </x:c>
      <x:c r="B597" s="49" t="inlineStr">
        <x:is>
          <x:t xml:space="preserve">theorem</x:t>
        </x:is>
      </x:c>
      <x:c r="C597" s="49" t="inlineStr">
        <x:is>
          <x:t xml:space="preserve">theophysics-lean-main\theophysics-lean-main\Theophysics_Adversarial.lean</x:t>
        </x:is>
      </x:c>
      <x:c r="D597" s="49" t="inlineStr">
        <x:is>
          <x:t xml:space="preserve">70</x:t>
        </x:is>
      </x:c>
      <x:c r="E597" s="49" t="inlineStr">
        <x:is>
          <x:t xml:space="preserve">DECLARATION_OR_UNKNOWN</x:t>
        </x:is>
      </x:c>
      <x:c r="F597" s="49" t="inlineStr">
        <x:is>
          <x:t xml:space="preserve">PENDING_NOT_RUN</x:t>
        </x:is>
      </x:c>
      <x:c r="G597" s="49" t="inlineStr">
        <x:is>
          <x:t xml:space="preserve">NO_SORRY_OR_ADMIT_STATIC_SCAN</x:t>
        </x:is>
      </x:c>
      <x:c r="H597" s="49" t="inlineStr">
        <x:is>
          <x:t xml:space="preserve">CANONICAL_THEOREM_DEDUPED_PENDING_COMPILE</x:t>
        </x:is>
      </x:c>
      <x:c r="I597" s="49" t="inlineStr">
        <x:is>
          <x:t xml:space="preserve">3</x:t>
        </x:is>
      </x:c>
      <x:c r="L597" s="56" t="n"/>
    </x:row>
    <x:row r="598" ht="15" customHeight="1">
      <x:c r="A598" s="55" t="inlineStr">
        <x:is>
          <x:t xml:space="preserve">no_coercive_claim_as_coherent_product</x:t>
        </x:is>
      </x:c>
      <x:c r="B598" s="49" t="inlineStr">
        <x:is>
          <x:t xml:space="preserve">theorem</x:t>
        </x:is>
      </x:c>
      <x:c r="C598" s="49" t="inlineStr">
        <x:is>
          <x:t xml:space="preserve">theophysics-lean-main\theophysics-lean-main\Theophysics_Adversarial.lean</x:t>
        </x:is>
      </x:c>
      <x:c r="D598" s="49" t="inlineStr">
        <x:is>
          <x:t xml:space="preserve">98</x:t>
        </x:is>
      </x:c>
      <x:c r="E598" s="49" t="inlineStr">
        <x:is>
          <x:t xml:space="preserve">DECLARATION_OR_UNKNOWN</x:t>
        </x:is>
      </x:c>
      <x:c r="F598" s="49" t="inlineStr">
        <x:is>
          <x:t xml:space="preserve">PENDING_NOT_RUN</x:t>
        </x:is>
      </x:c>
      <x:c r="G598" s="49" t="inlineStr">
        <x:is>
          <x:t xml:space="preserve">NO_SORRY_OR_ADMIT_STATIC_SCAN</x:t>
        </x:is>
      </x:c>
      <x:c r="H598" s="49" t="inlineStr">
        <x:is>
          <x:t xml:space="preserve">CANONICAL_THEOREM_DEDUPED_PENDING_COMPILE</x:t>
        </x:is>
      </x:c>
      <x:c r="I598" s="49" t="inlineStr">
        <x:is>
          <x:t xml:space="preserve">3</x:t>
        </x:is>
      </x:c>
      <x:c r="L598" s="56" t="n"/>
    </x:row>
    <x:row r="599" ht="15" customHeight="1">
      <x:c r="A599" s="55" t="inlineStr">
        <x:is>
          <x:t xml:space="preserve">no_collapse_behavior_not_information_class</x:t>
        </x:is>
      </x:c>
      <x:c r="B599" s="49" t="inlineStr">
        <x:is>
          <x:t xml:space="preserve">theorem</x:t>
        </x:is>
      </x:c>
      <x:c r="C599" s="49" t="inlineStr">
        <x:is>
          <x:t xml:space="preserve">theophysics-lean-main\theophysics-lean-main\Theophysics_Universality.lean</x:t>
        </x:is>
      </x:c>
      <x:c r="D599" s="49" t="inlineStr">
        <x:is>
          <x:t xml:space="preserve">466</x:t>
        </x:is>
      </x:c>
      <x:c r="E599" s="49" t="inlineStr">
        <x:is>
          <x:t xml:space="preserve">SUBSTANTIVE_OR_CASE_PROOF</x:t>
        </x:is>
      </x:c>
      <x:c r="F599" s="49" t="inlineStr">
        <x:is>
          <x:t xml:space="preserve">PENDING_NOT_RUN</x:t>
        </x:is>
      </x:c>
      <x:c r="G599" s="49" t="inlineStr">
        <x:is>
          <x:t xml:space="preserve">NO_SORRY_OR_ADMIT_STATIC_SCAN</x:t>
        </x:is>
      </x:c>
      <x:c r="H599" s="49" t="inlineStr">
        <x:is>
          <x:t xml:space="preserve">UNIQUE_THEOREM_PENDING_COMPILE</x:t>
        </x:is>
      </x:c>
      <x:c r="I599" s="49" t="inlineStr">
        <x:is>
          <x:t xml:space="preserve">0</x:t>
        </x:is>
      </x:c>
      <x:c r="L599" s="56" t="n"/>
    </x:row>
    <x:row r="600" ht="15" customHeight="1">
      <x:c r="A600" s="55" t="inlineStr">
        <x:is>
          <x:t xml:space="preserve">no_compression_communion_signature_alias</x:t>
        </x:is>
      </x:c>
      <x:c r="B600" s="49" t="inlineStr">
        <x:is>
          <x:t xml:space="preserve">theorem</x:t>
        </x:is>
      </x:c>
      <x:c r="C600" s="49" t="inlineStr">
        <x:is>
          <x:t xml:space="preserve">theophysics-lean-main\theophysics-lean-main\Theophysics_Adversarial.lean</x:t>
        </x:is>
      </x:c>
      <x:c r="D600" s="49" t="inlineStr">
        <x:is>
          <x:t xml:space="preserve">43</x:t>
        </x:is>
      </x:c>
      <x:c r="E600" s="49" t="inlineStr">
        <x:is>
          <x:t xml:space="preserve">WRAPPER_OR_IMPORTED</x:t>
        </x:is>
      </x:c>
      <x:c r="F600" s="49" t="inlineStr">
        <x:is>
          <x:t xml:space="preserve">PENDING_NOT_RUN</x:t>
        </x:is>
      </x:c>
      <x:c r="G600" s="49" t="inlineStr">
        <x:is>
          <x:t xml:space="preserve">NO_SORRY_OR_ADMIT_STATIC_SCAN</x:t>
        </x:is>
      </x:c>
      <x:c r="H600" s="49" t="inlineStr">
        <x:is>
          <x:t xml:space="preserve">CANONICAL_THEOREM_DEDUPED_PENDING_COMPILE</x:t>
        </x:is>
      </x:c>
      <x:c r="I600" s="49" t="inlineStr">
        <x:is>
          <x:t xml:space="preserve">3</x:t>
        </x:is>
      </x:c>
      <x:c r="L600" s="56" t="n"/>
    </x:row>
    <x:row r="601" ht="15" customHeight="1">
      <x:c r="A601" s="55" t="inlineStr">
        <x:is>
          <x:t xml:space="preserve">no_coupling_without_entanglement_as_fall</x:t>
        </x:is>
      </x:c>
      <x:c r="B601" s="49" t="inlineStr">
        <x:is>
          <x:t xml:space="preserve">theorem</x:t>
        </x:is>
      </x:c>
      <x:c r="C601" s="49" t="inlineStr">
        <x:is>
          <x:t xml:space="preserve">theophysics-lean-main\theophysics-lean-main\Theophysics_Adversarial.lean</x:t>
        </x:is>
      </x:c>
      <x:c r="D601" s="49" t="inlineStr">
        <x:is>
          <x:t xml:space="preserve">90</x:t>
        </x:is>
      </x:c>
      <x:c r="E601" s="49" t="inlineStr">
        <x:is>
          <x:t xml:space="preserve">DECLARATION_OR_UNKNOWN</x:t>
        </x:is>
      </x:c>
      <x:c r="F601" s="49" t="inlineStr">
        <x:is>
          <x:t xml:space="preserve">PENDING_NOT_RUN</x:t>
        </x:is>
      </x:c>
      <x:c r="G601" s="49" t="inlineStr">
        <x:is>
          <x:t xml:space="preserve">NO_SORRY_OR_ADMIT_STATIC_SCAN</x:t>
        </x:is>
      </x:c>
      <x:c r="H601" s="49" t="inlineStr">
        <x:is>
          <x:t xml:space="preserve">CANONICAL_THEOREM_DEDUPED_PENDING_COMPILE</x:t>
        </x:is>
      </x:c>
      <x:c r="I601" s="49" t="inlineStr">
        <x:is>
          <x:t xml:space="preserve">3</x:t>
        </x:is>
      </x:c>
      <x:c r="L601" s="56" t="inlineStr">
        <x:is>
          <x:t xml:space="preserve">heaviside_content_loss | load_bearing_controls | variable_coupling</x:t>
        </x:is>
      </x:c>
    </x:row>
    <x:row r="602" ht="15" customHeight="1">
      <x:c r="A602" s="55" t="inlineStr">
        <x:is>
          <x:t xml:space="preserve">no_death_strictly_before_judgment</x:t>
        </x:is>
      </x:c>
      <x:c r="B602" s="49" t="inlineStr">
        <x:is>
          <x:t xml:space="preserve">theorem</x:t>
        </x:is>
      </x:c>
      <x:c r="C602" s="49" t="inlineStr">
        <x:is>
          <x:t xml:space="preserve">theophysics-lean-main\theophysics-lean-main\Theophysics_Adversarial.lean</x:t>
        </x:is>
      </x:c>
      <x:c r="D602" s="49" t="inlineStr">
        <x:is>
          <x:t xml:space="preserve">556</x:t>
        </x:is>
      </x:c>
      <x:c r="E602" s="49" t="inlineStr">
        <x:is>
          <x:t xml:space="preserve">DEFINITIONAL_RFL</x:t>
        </x:is>
      </x:c>
      <x:c r="F602" s="49" t="inlineStr">
        <x:is>
          <x:t xml:space="preserve">PENDING_NOT_RUN</x:t>
        </x:is>
      </x:c>
      <x:c r="G602" s="49" t="inlineStr">
        <x:is>
          <x:t xml:space="preserve">NO_SORRY_OR_ADMIT_STATIC_SCAN</x:t>
        </x:is>
      </x:c>
      <x:c r="H602" s="49" t="inlineStr">
        <x:is>
          <x:t xml:space="preserve">CANONICAL_THEOREM_DEDUPED_PENDING_COMPILE</x:t>
        </x:is>
      </x:c>
      <x:c r="I602" s="49" t="inlineStr">
        <x:is>
          <x:t xml:space="preserve">3</x:t>
        </x:is>
      </x:c>
      <x:c r="J602" s="49" t="inlineStr">
        <x:is>
          <x:t xml:space="preserve">LEAN_DERIVATION_CHAIN:185</x:t>
        </x:is>
      </x:c>
      <x:c r="K602" s="49" t="inlineStr">
        <x:is>
          <x:t xml:space="preserve">REJECTION: Death is NOT a prerequisite for judgment</x:t>
        </x:is>
      </x:c>
      <x:c r="L602" s="56" t="n"/>
    </x:row>
    <x:row r="603" ht="15" customHeight="1">
      <x:c r="A603" s="55" t="inlineStr">
        <x:is>
          <x:t xml:space="preserve">no_decaying_pressure_as_positive_gradient</x:t>
        </x:is>
      </x:c>
      <x:c r="B603" s="49" t="inlineStr">
        <x:is>
          <x:t xml:space="preserve">theorem</x:t>
        </x:is>
      </x:c>
      <x:c r="C603" s="49" t="inlineStr">
        <x:is>
          <x:t xml:space="preserve">theophysics-lean-main\theophysics-lean-main\Theophysics_Adversarial.lean</x:t>
        </x:is>
      </x:c>
      <x:c r="D603" s="49" t="inlineStr">
        <x:is>
          <x:t xml:space="preserve">106</x:t>
        </x:is>
      </x:c>
      <x:c r="E603" s="49" t="inlineStr">
        <x:is>
          <x:t xml:space="preserve">DECLARATION_OR_UNKNOWN</x:t>
        </x:is>
      </x:c>
      <x:c r="F603" s="49" t="inlineStr">
        <x:is>
          <x:t xml:space="preserve">PENDING_NOT_RUN</x:t>
        </x:is>
      </x:c>
      <x:c r="G603" s="49" t="inlineStr">
        <x:is>
          <x:t xml:space="preserve">NO_SORRY_OR_ADMIT_STATIC_SCAN</x:t>
        </x:is>
      </x:c>
      <x:c r="H603" s="49" t="inlineStr">
        <x:is>
          <x:t xml:space="preserve">CANONICAL_THEOREM_DEDUPED_PENDING_COMPILE</x:t>
        </x:is>
      </x:c>
      <x:c r="I603" s="49" t="inlineStr">
        <x:is>
          <x:t xml:space="preserve">3</x:t>
        </x:is>
      </x:c>
      <x:c r="L603" s="56" t="n"/>
    </x:row>
    <x:row r="604" ht="15" customHeight="1">
      <x:c r="A604" s="55" t="inlineStr">
        <x:is>
          <x:t xml:space="preserve">no_duplicates</x:t>
        </x:is>
      </x:c>
      <x:c r="B604" s="49" t="inlineStr">
        <x:is>
          <x:t xml:space="preserve">theorem</x:t>
        </x:is>
      </x:c>
      <x:c r="C604" s="49" t="inlineStr">
        <x:is>
          <x:t xml:space="preserve">Lean-4-Proofs-main\Lean-4-Proofs-main\theophysics-lean-verification-package\COPY_PASTE_LEAN4.lean</x:t>
        </x:is>
      </x:c>
      <x:c r="D604" s="49" t="inlineStr">
        <x:is>
          <x:t xml:space="preserve">108</x:t>
        </x:is>
      </x:c>
      <x:c r="E604" s="49" t="inlineStr">
        <x:is>
          <x:t xml:space="preserve">WRAPPER_OR_IMPORTED</x:t>
        </x:is>
      </x:c>
      <x:c r="F604" s="49" t="inlineStr">
        <x:is>
          <x:t xml:space="preserve">PENDING_NOT_RUN</x:t>
        </x:is>
      </x:c>
      <x:c r="G604" s="49" t="inlineStr">
        <x:is>
          <x:t xml:space="preserve">NO_SORRY_OR_ADMIT_STATIC_SCAN</x:t>
        </x:is>
      </x:c>
      <x:c r="H604" s="49" t="inlineStr">
        <x:is>
          <x:t xml:space="preserve">CANONICAL_THEOREM_DEDUPED_PENDING_COMPILE</x:t>
        </x:is>
      </x:c>
      <x:c r="I604" s="49" t="inlineStr">
        <x:is>
          <x:t xml:space="preserve">3</x:t>
        </x:is>
      </x:c>
      <x:c r="L604" s="56" t="n"/>
    </x:row>
    <x:row r="605" ht="15" customHeight="1">
      <x:c r="A605" s="55" t="inlineStr">
        <x:is>
          <x:t xml:space="preserve">no_energy_parent_of_momentum</x:t>
        </x:is>
      </x:c>
      <x:c r="B605" s="49" t="inlineStr">
        <x:is>
          <x:t xml:space="preserve">theorem</x:t>
        </x:is>
      </x:c>
      <x:c r="C605" s="49" t="inlineStr">
        <x:is>
          <x:t xml:space="preserve">theophysics-lean-main\theophysics-lean-main\Theophysics_Adversarial.lean</x:t>
        </x:is>
      </x:c>
      <x:c r="D605" s="49" t="inlineStr">
        <x:is>
          <x:t xml:space="preserve">560</x:t>
        </x:is>
      </x:c>
      <x:c r="E605" s="49" t="inlineStr">
        <x:is>
          <x:t xml:space="preserve">DEFINITIONAL_RFL</x:t>
        </x:is>
      </x:c>
      <x:c r="F605" s="49" t="inlineStr">
        <x:is>
          <x:t xml:space="preserve">PENDING_NOT_RUN</x:t>
        </x:is>
      </x:c>
      <x:c r="G605" s="49" t="inlineStr">
        <x:is>
          <x:t xml:space="preserve">NO_SORRY_OR_ADMIT_STATIC_SCAN</x:t>
        </x:is>
      </x:c>
      <x:c r="H605" s="49" t="inlineStr">
        <x:is>
          <x:t xml:space="preserve">CANONICAL_THEOREM_DEDUPED_PENDING_COMPILE</x:t>
        </x:is>
      </x:c>
      <x:c r="I605" s="49" t="inlineStr">
        <x:is>
          <x:t xml:space="preserve">3</x:t>
        </x:is>
      </x:c>
      <x:c r="J605" s="49" t="inlineStr">
        <x:is>
          <x:t xml:space="preserve">LEAN_DERIVATION_CHAIN:188</x:t>
        </x:is>
      </x:c>
      <x:c r="K605" s="49" t="inlineStr">
        <x:is>
          <x:t xml:space="preserve">REJECTION: Energy does NOT parent momentum</x:t>
        </x:is>
      </x:c>
      <x:c r="L605" s="56" t="n"/>
    </x:row>
    <x:row r="606" ht="15" customHeight="1">
      <x:c r="A606" s="55" t="inlineStr">
        <x:is>
          <x:t xml:space="preserve">no_entropy_grace_signature_alias</x:t>
        </x:is>
      </x:c>
      <x:c r="B606" s="49" t="inlineStr">
        <x:is>
          <x:t xml:space="preserve">theorem</x:t>
        </x:is>
      </x:c>
      <x:c r="C606" s="49" t="inlineStr">
        <x:is>
          <x:t xml:space="preserve">theophysics-lean-main\theophysics-lean-main\Theophysics_Adversarial.lean</x:t>
        </x:is>
      </x:c>
      <x:c r="D606" s="49" t="inlineStr">
        <x:is>
          <x:t xml:space="preserve">38</x:t>
        </x:is>
      </x:c>
      <x:c r="E606" s="49" t="inlineStr">
        <x:is>
          <x:t xml:space="preserve">WRAPPER_OR_IMPORTED</x:t>
        </x:is>
      </x:c>
      <x:c r="F606" s="49" t="inlineStr">
        <x:is>
          <x:t xml:space="preserve">PENDING_NOT_RUN</x:t>
        </x:is>
      </x:c>
      <x:c r="G606" s="49" t="inlineStr">
        <x:is>
          <x:t xml:space="preserve">NO_SORRY_OR_ADMIT_STATIC_SCAN</x:t>
        </x:is>
      </x:c>
      <x:c r="H606" s="49" t="inlineStr">
        <x:is>
          <x:t xml:space="preserve">CANONICAL_THEOREM_DEDUPED_PENDING_COMPILE</x:t>
        </x:is>
      </x:c>
      <x:c r="I606" s="49" t="inlineStr">
        <x:is>
          <x:t xml:space="preserve">3</x:t>
        </x:is>
      </x:c>
      <x:c r="L606" s="56" t="n"/>
    </x:row>
    <x:row r="607" ht="15" customHeight="1">
      <x:c r="A607" s="55" t="inlineStr">
        <x:is>
          <x:t xml:space="preserve">no_factor_strength_rescues_any_zero</x:t>
        </x:is>
      </x:c>
      <x:c r="B607" s="49" t="inlineStr">
        <x:is>
          <x:t xml:space="preserve">theorem</x:t>
        </x:is>
      </x:c>
      <x:c r="C607" s="49" t="inlineStr">
        <x:is>
          <x:t xml:space="preserve">Faith-Thru-Physics-Lean-4--main\Faith-Thru-Physics-Lean-4--main\Theophysics_NegativeInventory.lean</x:t>
        </x:is>
      </x:c>
      <x:c r="D607" s="49" t="inlineStr">
        <x:is>
          <x:t xml:space="preserve">51</x:t>
        </x:is>
      </x:c>
      <x:c r="E607" s="49" t="inlineStr">
        <x:is>
          <x:t xml:space="preserve">WRAPPER_OR_IMPORTED</x:t>
        </x:is>
      </x:c>
      <x:c r="F607" s="49" t="inlineStr">
        <x:is>
          <x:t xml:space="preserve">PENDING_NOT_RUN</x:t>
        </x:is>
      </x:c>
      <x:c r="G607" s="49" t="inlineStr">
        <x:is>
          <x:t xml:space="preserve">NO_SORRY_OR_ADMIT_STATIC_SCAN</x:t>
        </x:is>
      </x:c>
      <x:c r="H607" s="49" t="inlineStr">
        <x:is>
          <x:t xml:space="preserve">UNIQUE_THEOREM_PENDING_COMPILE</x:t>
        </x:is>
      </x:c>
      <x:c r="I607" s="49" t="inlineStr">
        <x:is>
          <x:t xml:space="preserve">0</x:t>
        </x:is>
      </x:c>
      <x:c r="J607" s="49" t="inlineStr">
        <x:is>
          <x:t xml:space="preserve">LEAN_DERIVATION_CHAIN:219</x:t>
        </x:is>
      </x:c>
      <x:c r="K607" s="49" t="inlineStr">
        <x:is>
          <x:t xml:space="preserve">General schema: no factor strength rescues any other factor zero (all 10)</x:t>
        </x:is>
      </x:c>
      <x:c r="L607" s="56" t="n"/>
    </x:row>
    <x:row r="608" ht="15" customHeight="1">
      <x:c r="A608" s="55" t="inlineStr">
        <x:is>
          <x:t xml:space="preserve">no_fall_sustained_without_grace_floor</x:t>
        </x:is>
      </x:c>
      <x:c r="B608" s="49" t="inlineStr">
        <x:is>
          <x:t xml:space="preserve">theorem</x:t>
        </x:is>
      </x:c>
      <x:c r="C608" s="49" t="inlineStr">
        <x:is>
          <x:t xml:space="preserve">theophysics-lean-main\theophysics-lean-main\Theophysics_Adversarial.lean</x:t>
        </x:is>
      </x:c>
      <x:c r="D608" s="49" t="inlineStr">
        <x:is>
          <x:t xml:space="preserve">94</x:t>
        </x:is>
      </x:c>
      <x:c r="E608" s="49" t="inlineStr">
        <x:is>
          <x:t xml:space="preserve">DECLARATION_OR_UNKNOWN</x:t>
        </x:is>
      </x:c>
      <x:c r="F608" s="49" t="inlineStr">
        <x:is>
          <x:t xml:space="preserve">PENDING_NOT_RUN</x:t>
        </x:is>
      </x:c>
      <x:c r="G608" s="49" t="inlineStr">
        <x:is>
          <x:t xml:space="preserve">NO_SORRY_OR_ADMIT_STATIC_SCAN</x:t>
        </x:is>
      </x:c>
      <x:c r="H608" s="49" t="inlineStr">
        <x:is>
          <x:t xml:space="preserve">CANONICAL_THEOREM_DEDUPED_PENDING_COMPILE</x:t>
        </x:is>
      </x:c>
      <x:c r="I608" s="49" t="inlineStr">
        <x:is>
          <x:t xml:space="preserve">3</x:t>
        </x:is>
      </x:c>
      <x:c r="L608" s="56" t="n"/>
    </x:row>
    <x:row r="609" ht="15" customHeight="1">
      <x:c r="A609" s="55" t="inlineStr">
        <x:is>
          <x:t xml:space="preserve">no_fracture_repair_without_restoration</x:t>
        </x:is>
      </x:c>
      <x:c r="B609" s="49" t="inlineStr">
        <x:is>
          <x:t xml:space="preserve">theorem</x:t>
        </x:is>
      </x:c>
      <x:c r="C609" s="49" t="inlineStr">
        <x:is>
          <x:t xml:space="preserve">theophysics-lean-main\theophysics-lean-main\Theophysics_Adversarial.lean</x:t>
        </x:is>
      </x:c>
      <x:c r="D609" s="49" t="inlineStr">
        <x:is>
          <x:t xml:space="preserve">82</x:t>
        </x:is>
      </x:c>
      <x:c r="E609" s="49" t="inlineStr">
        <x:is>
          <x:t xml:space="preserve">DECLARATION_OR_UNKNOWN</x:t>
        </x:is>
      </x:c>
      <x:c r="F609" s="49" t="inlineStr">
        <x:is>
          <x:t xml:space="preserve">PENDING_NOT_RUN</x:t>
        </x:is>
      </x:c>
      <x:c r="G609" s="49" t="inlineStr">
        <x:is>
          <x:t xml:space="preserve">NO_SORRY_OR_ADMIT_STATIC_SCAN</x:t>
        </x:is>
      </x:c>
      <x:c r="H609" s="49" t="inlineStr">
        <x:is>
          <x:t xml:space="preserve">CANONICAL_THEOREM_DEDUPED_PENDING_COMPILE</x:t>
        </x:is>
      </x:c>
      <x:c r="I609" s="49" t="inlineStr">
        <x:is>
          <x:t xml:space="preserve">3</x:t>
        </x:is>
      </x:c>
      <x:c r="L609" s="56" t="n"/>
    </x:row>
    <x:row r="610" ht="15" customHeight="1">
      <x:c r="A610" s="55" t="inlineStr">
        <x:is>
          <x:t xml:space="preserve">no_fragmented_local_success_as_C_integration</x:t>
        </x:is>
      </x:c>
      <x:c r="B610" s="49" t="inlineStr">
        <x:is>
          <x:t xml:space="preserve">theorem</x:t>
        </x:is>
      </x:c>
      <x:c r="C610" s="49" t="inlineStr">
        <x:is>
          <x:t xml:space="preserve">theophysics-lean-main\theophysics-lean-main\Theophysics_Adversarial.lean</x:t>
        </x:is>
      </x:c>
      <x:c r="D610" s="49" t="inlineStr">
        <x:is>
          <x:t xml:space="preserve">123</x:t>
        </x:is>
      </x:c>
      <x:c r="E610" s="49" t="inlineStr">
        <x:is>
          <x:t xml:space="preserve">DECLARATION_OR_UNKNOWN</x:t>
        </x:is>
      </x:c>
      <x:c r="F610" s="49" t="inlineStr">
        <x:is>
          <x:t xml:space="preserve">PENDING_NOT_RUN</x:t>
        </x:is>
      </x:c>
      <x:c r="G610" s="49" t="inlineStr">
        <x:is>
          <x:t xml:space="preserve">NO_SORRY_OR_ADMIT_STATIC_SCAN</x:t>
        </x:is>
      </x:c>
      <x:c r="H610" s="49" t="inlineStr">
        <x:is>
          <x:t xml:space="preserve">UNIQUE_THEOREM_PENDING_COMPILE</x:t>
        </x:is>
      </x:c>
      <x:c r="I610" s="49" t="inlineStr">
        <x:is>
          <x:t xml:space="preserve">0</x:t>
        </x:is>
      </x:c>
      <x:c r="L610" s="56" t="n"/>
    </x:row>
    <x:row r="611" ht="15" customHeight="1">
      <x:c r="A611" s="55" t="inlineStr">
        <x:is>
          <x:t xml:space="preserve">no_grace_faith_signature_alias</x:t>
        </x:is>
      </x:c>
      <x:c r="B611" s="49" t="inlineStr">
        <x:is>
          <x:t xml:space="preserve">theorem</x:t>
        </x:is>
      </x:c>
      <x:c r="C611" s="49" t="inlineStr">
        <x:is>
          <x:t xml:space="preserve">theophysics-lean-main\theophysics-lean-main\Theophysics_Adversarial.lean</x:t>
        </x:is>
      </x:c>
      <x:c r="D611" s="49" t="inlineStr">
        <x:is>
          <x:t xml:space="preserve">33</x:t>
        </x:is>
      </x:c>
      <x:c r="E611" s="49" t="inlineStr">
        <x:is>
          <x:t xml:space="preserve">WRAPPER_OR_IMPORTED</x:t>
        </x:is>
      </x:c>
      <x:c r="F611" s="49" t="inlineStr">
        <x:is>
          <x:t xml:space="preserve">PENDING_NOT_RUN</x:t>
        </x:is>
      </x:c>
      <x:c r="G611" s="49" t="inlineStr">
        <x:is>
          <x:t xml:space="preserve">NO_SORRY_OR_ADMIT_STATIC_SCAN</x:t>
        </x:is>
      </x:c>
      <x:c r="H611" s="49" t="inlineStr">
        <x:is>
          <x:t xml:space="preserve">CANONICAL_THEOREM_DEDUPED_PENDING_COMPILE</x:t>
        </x:is>
      </x:c>
      <x:c r="I611" s="49" t="inlineStr">
        <x:is>
          <x:t xml:space="preserve">3</x:t>
        </x:is>
      </x:c>
      <x:c r="L611" s="56" t="n"/>
    </x:row>
    <x:row r="612" ht="15" customHeight="1">
      <x:c r="A612" s="55" t="inlineStr">
        <x:is>
          <x:t xml:space="preserve">no_high_signal_low_freedom_as_clean_signal</x:t>
        </x:is>
      </x:c>
      <x:c r="B612" s="49" t="inlineStr">
        <x:is>
          <x:t xml:space="preserve">theorem</x:t>
        </x:is>
      </x:c>
      <x:c r="C612" s="49" t="inlineStr">
        <x:is>
          <x:t xml:space="preserve">theophysics-lean-main\theophysics-lean-main\Theophysics_Adversarial.lean</x:t>
        </x:is>
      </x:c>
      <x:c r="D612" s="49" t="inlineStr">
        <x:is>
          <x:t xml:space="preserve">102</x:t>
        </x:is>
      </x:c>
      <x:c r="E612" s="49" t="inlineStr">
        <x:is>
          <x:t xml:space="preserve">DECLARATION_OR_UNKNOWN</x:t>
        </x:is>
      </x:c>
      <x:c r="F612" s="49" t="inlineStr">
        <x:is>
          <x:t xml:space="preserve">PENDING_NOT_RUN</x:t>
        </x:is>
      </x:c>
      <x:c r="G612" s="49" t="inlineStr">
        <x:is>
          <x:t xml:space="preserve">NO_SORRY_OR_ADMIT_STATIC_SCAN</x:t>
        </x:is>
      </x:c>
      <x:c r="H612" s="49" t="inlineStr">
        <x:is>
          <x:t xml:space="preserve">CANONICAL_THEOREM_DEDUPED_PENDING_COMPILE</x:t>
        </x:is>
      </x:c>
      <x:c r="I612" s="49" t="inlineStr">
        <x:is>
          <x:t xml:space="preserve">3</x:t>
        </x:is>
      </x:c>
      <x:c r="L612" s="56" t="n"/>
    </x:row>
    <x:row r="613" ht="15" customHeight="1">
      <x:c r="A613" s="55" t="inlineStr">
        <x:is>
          <x:t xml:space="preserve">no_law4_iso_uses_inverted_mapping</x:t>
        </x:is>
      </x:c>
      <x:c r="B613" s="49" t="inlineStr">
        <x:is>
          <x:t xml:space="preserve">theorem</x:t>
        </x:is>
      </x:c>
      <x:c r="C613" s="49" t="inlineStr">
        <x:is>
          <x:t xml:space="preserve">theophysics-lean-main\theophysics-lean-main\Theophysics_Adversarial.lean</x:t>
        </x:is>
      </x:c>
      <x:c r="D613" s="49" t="inlineStr">
        <x:is>
          <x:t xml:space="preserve">436</x:t>
        </x:is>
      </x:c>
      <x:c r="E613" s="49" t="inlineStr">
        <x:is>
          <x:t xml:space="preserve">DEFINITIONAL_RFL</x:t>
        </x:is>
      </x:c>
      <x:c r="F613" s="49" t="inlineStr">
        <x:is>
          <x:t xml:space="preserve">PENDING_NOT_RUN</x:t>
        </x:is>
      </x:c>
      <x:c r="G613" s="49" t="inlineStr">
        <x:is>
          <x:t xml:space="preserve">NO_SORRY_OR_ADMIT_STATIC_SCAN</x:t>
        </x:is>
      </x:c>
      <x:c r="H613" s="49" t="inlineStr">
        <x:is>
          <x:t xml:space="preserve">CANONICAL_THEOREM_DEDUPED_PENDING_COMPILE</x:t>
        </x:is>
      </x:c>
      <x:c r="I613" s="49" t="inlineStr">
        <x:is>
          <x:t xml:space="preserve">3</x:t>
        </x:is>
      </x:c>
      <x:c r="J613" s="49" t="inlineStr">
        <x:is>
          <x:t xml:space="preserve">LEAN_DERIVATION_CHAIN:92</x:t>
        </x:is>
      </x:c>
      <x:c r="K613" s="49" t="inlineStr">
        <x:is>
          <x:t xml:space="preserve">REJECTION: No valid Law4 iso uses the inverted map</x:t>
        </x:is>
      </x:c>
      <x:c r="L613" s="56" t="n"/>
    </x:row>
    <x:row r="614" ht="15" customHeight="1">
      <x:c r="A614" s="55" t="inlineStr">
        <x:is>
          <x:t xml:space="preserve">no_local_indeterminacy_alone_as_fracture</x:t>
        </x:is>
      </x:c>
      <x:c r="B614" s="49" t="inlineStr">
        <x:is>
          <x:t xml:space="preserve">theorem</x:t>
        </x:is>
      </x:c>
      <x:c r="C614" s="49" t="inlineStr">
        <x:is>
          <x:t xml:space="preserve">theophysics-lean-main\theophysics-lean-main\Theophysics_Adversarial.lean</x:t>
        </x:is>
      </x:c>
      <x:c r="D614" s="49" t="inlineStr">
        <x:is>
          <x:t xml:space="preserve">78</x:t>
        </x:is>
      </x:c>
      <x:c r="E614" s="49" t="inlineStr">
        <x:is>
          <x:t xml:space="preserve">DECLARATION_OR_UNKNOWN</x:t>
        </x:is>
      </x:c>
      <x:c r="F614" s="49" t="inlineStr">
        <x:is>
          <x:t xml:space="preserve">PENDING_NOT_RUN</x:t>
        </x:is>
      </x:c>
      <x:c r="G614" s="49" t="inlineStr">
        <x:is>
          <x:t xml:space="preserve">NO_SORRY_OR_ADMIT_STATIC_SCAN</x:t>
        </x:is>
      </x:c>
      <x:c r="H614" s="49" t="inlineStr">
        <x:is>
          <x:t xml:space="preserve">CANONICAL_THEOREM_DEDUPED_PENDING_COMPILE</x:t>
        </x:is>
      </x:c>
      <x:c r="I614" s="49" t="inlineStr">
        <x:is>
          <x:t xml:space="preserve">3</x:t>
        </x:is>
      </x:c>
      <x:c r="L614" s="56" t="n"/>
    </x:row>
    <x:row r="615" ht="15" customHeight="1">
      <x:c r="A615" s="55" t="inlineStr">
        <x:is>
          <x:t xml:space="preserve">no_measured_threshold_candidate_without_collapse_behavior_as_information_class</x:t>
        </x:is>
      </x:c>
      <x:c r="B615" s="49" t="inlineStr">
        <x:is>
          <x:t xml:space="preserve">theorem</x:t>
        </x:is>
      </x:c>
      <x:c r="C615" s="49" t="inlineStr">
        <x:is>
          <x:t xml:space="preserve">theophysics-lean-main\theophysics-lean-main\Theophysics_Adversarial.lean</x:t>
        </x:is>
      </x:c>
      <x:c r="D615" s="49" t="inlineStr">
        <x:is>
          <x:t xml:space="preserve">144</x:t>
        </x:is>
      </x:c>
      <x:c r="E615" s="49" t="inlineStr">
        <x:is>
          <x:t xml:space="preserve">DECLARATION_OR_UNKNOWN</x:t>
        </x:is>
      </x:c>
      <x:c r="F615" s="49" t="inlineStr">
        <x:is>
          <x:t xml:space="preserve">PENDING_NOT_RUN</x:t>
        </x:is>
      </x:c>
      <x:c r="G615" s="49" t="inlineStr">
        <x:is>
          <x:t xml:space="preserve">NO_SORRY_OR_ADMIT_STATIC_SCAN</x:t>
        </x:is>
      </x:c>
      <x:c r="H615" s="49" t="inlineStr">
        <x:is>
          <x:t xml:space="preserve">UNIQUE_THEOREM_PENDING_COMPILE</x:t>
        </x:is>
      </x:c>
      <x:c r="I615" s="49" t="inlineStr">
        <x:is>
          <x:t xml:space="preserve">0</x:t>
        </x:is>
      </x:c>
      <x:c r="L615" s="56" t="n"/>
    </x:row>
    <x:row r="616" ht="15" customHeight="1">
      <x:c r="A616" s="55" t="inlineStr">
        <x:is>
          <x:t xml:space="preserve">no_mere_order_as_full_coherence</x:t>
        </x:is>
      </x:c>
      <x:c r="B616" s="49" t="inlineStr">
        <x:is>
          <x:t xml:space="preserve">theorem</x:t>
        </x:is>
      </x:c>
      <x:c r="C616" s="49" t="inlineStr">
        <x:is>
          <x:t xml:space="preserve">theophysics-lean-main\theophysics-lean-main\Theophysics_Adversarial.lean</x:t>
        </x:is>
      </x:c>
      <x:c r="D616" s="49" t="inlineStr">
        <x:is>
          <x:t xml:space="preserve">62</x:t>
        </x:is>
      </x:c>
      <x:c r="E616" s="49" t="inlineStr">
        <x:is>
          <x:t xml:space="preserve">DECLARATION_OR_UNKNOWN</x:t>
        </x:is>
      </x:c>
      <x:c r="F616" s="49" t="inlineStr">
        <x:is>
          <x:t xml:space="preserve">PENDING_NOT_RUN</x:t>
        </x:is>
      </x:c>
      <x:c r="G616" s="49" t="inlineStr">
        <x:is>
          <x:t xml:space="preserve">NO_SORRY_OR_ADMIT_STATIC_SCAN</x:t>
        </x:is>
      </x:c>
      <x:c r="H616" s="49" t="inlineStr">
        <x:is>
          <x:t xml:space="preserve">CANONICAL_THEOREM_DEDUPED_PENDING_COMPILE</x:t>
        </x:is>
      </x:c>
      <x:c r="I616" s="49" t="inlineStr">
        <x:is>
          <x:t xml:space="preserve">3</x:t>
        </x:is>
      </x:c>
      <x:c r="L616" s="56" t="n"/>
    </x:row>
    <x:row r="617" ht="15" customHeight="1">
      <x:c r="A617" s="55" t="inlineStr">
        <x:is>
          <x:t xml:space="preserve">no_metaphor_only_as_hard_science_universality_class</x:t>
        </x:is>
      </x:c>
      <x:c r="B617" s="49" t="inlineStr">
        <x:is>
          <x:t xml:space="preserve">theorem</x:t>
        </x:is>
      </x:c>
      <x:c r="C617" s="49" t="inlineStr">
        <x:is>
          <x:t xml:space="preserve">theophysics-lean-main\theophysics-lean-main\Theophysics_Adversarial.lean</x:t>
        </x:is>
      </x:c>
      <x:c r="D617" s="49" t="inlineStr">
        <x:is>
          <x:t xml:space="preserve">128</x:t>
        </x:is>
      </x:c>
      <x:c r="E617" s="49" t="inlineStr">
        <x:is>
          <x:t xml:space="preserve">DECLARATION_OR_UNKNOWN</x:t>
        </x:is>
      </x:c>
      <x:c r="F617" s="49" t="inlineStr">
        <x:is>
          <x:t xml:space="preserve">PENDING_NOT_RUN</x:t>
        </x:is>
      </x:c>
      <x:c r="G617" s="49" t="inlineStr">
        <x:is>
          <x:t xml:space="preserve">NO_SORRY_OR_ADMIT_STATIC_SCAN</x:t>
        </x:is>
      </x:c>
      <x:c r="H617" s="49" t="inlineStr">
        <x:is>
          <x:t xml:space="preserve">UNIQUE_THEOREM_PENDING_COMPILE</x:t>
        </x:is>
      </x:c>
      <x:c r="I617" s="49" t="inlineStr">
        <x:is>
          <x:t xml:space="preserve">0</x:t>
        </x:is>
      </x:c>
      <x:c r="L617" s="56" t="n"/>
    </x:row>
    <x:row r="618" ht="15" customHeight="1">
      <x:c r="A618" s="55" t="inlineStr">
        <x:is>
          <x:t xml:space="preserve">no_metrics_only_no_restoration_as_economics_class</x:t>
        </x:is>
      </x:c>
      <x:c r="B618" s="49" t="inlineStr">
        <x:is>
          <x:t xml:space="preserve">theorem</x:t>
        </x:is>
      </x:c>
      <x:c r="C618" s="49" t="inlineStr">
        <x:is>
          <x:t xml:space="preserve">theophysics-lean-main\theophysics-lean-main\Theophysics_Adversarial.lean</x:t>
        </x:is>
      </x:c>
      <x:c r="D618" s="49" t="inlineStr">
        <x:is>
          <x:t xml:space="preserve">152</x:t>
        </x:is>
      </x:c>
      <x:c r="E618" s="49" t="inlineStr">
        <x:is>
          <x:t xml:space="preserve">DECLARATION_OR_UNKNOWN</x:t>
        </x:is>
      </x:c>
      <x:c r="F618" s="49" t="inlineStr">
        <x:is>
          <x:t xml:space="preserve">PENDING_NOT_RUN</x:t>
        </x:is>
      </x:c>
      <x:c r="G618" s="49" t="inlineStr">
        <x:is>
          <x:t xml:space="preserve">NO_SORRY_OR_ADMIT_STATIC_SCAN</x:t>
        </x:is>
      </x:c>
      <x:c r="H618" s="49" t="inlineStr">
        <x:is>
          <x:t xml:space="preserve">UNIQUE_THEOREM_PENDING_COMPILE</x:t>
        </x:is>
      </x:c>
      <x:c r="I618" s="49" t="inlineStr">
        <x:is>
          <x:t xml:space="preserve">0</x:t>
        </x:is>
      </x:c>
      <x:c r="L618" s="56" t="n"/>
    </x:row>
    <x:row r="619" ht="15" customHeight="1">
      <x:c r="A619" s="55" t="inlineStr">
        <x:is>
          <x:t xml:space="preserve">no_observer_no_capital</x:t>
        </x:is>
      </x:c>
      <x:c r="B619" s="49" t="inlineStr">
        <x:is>
          <x:t xml:space="preserve">theorem</x:t>
        </x:is>
      </x:c>
      <x:c r="C619" s="49" t="inlineStr">
        <x:is>
          <x:t xml:space="preserve">theophysics-lean-main\theophysics-lean-main\Theophysics_Canonization.lean</x:t>
        </x:is>
      </x:c>
      <x:c r="D619" s="49" t="inlineStr">
        <x:is>
          <x:t xml:space="preserve">77</x:t>
        </x:is>
      </x:c>
      <x:c r="E619" s="49" t="inlineStr">
        <x:is>
          <x:t xml:space="preserve">WRAPPER_OR_IMPORTED</x:t>
        </x:is>
      </x:c>
      <x:c r="F619" s="49" t="inlineStr">
        <x:is>
          <x:t xml:space="preserve">PENDING_NOT_RUN</x:t>
        </x:is>
      </x:c>
      <x:c r="G619" s="49" t="inlineStr">
        <x:is>
          <x:t xml:space="preserve">NO_SORRY_OR_ADMIT_STATIC_SCAN</x:t>
        </x:is>
      </x:c>
      <x:c r="H619" s="49" t="inlineStr">
        <x:is>
          <x:t xml:space="preserve">UNIQUE_THEOREM_PENDING_COMPILE</x:t>
        </x:is>
      </x:c>
      <x:c r="I619" s="49" t="inlineStr">
        <x:is>
          <x:t xml:space="preserve">0</x:t>
        </x:is>
      </x:c>
      <x:c r="J619" s="49" t="inlineStr">
        <x:is>
          <x:t xml:space="preserve">LEAN_DERIVATION_CHAIN:240</x:t>
        </x:is>
      </x:c>
      <x:c r="K619" s="49" t="inlineStr">
        <x:is>
          <x:t xml:space="preserve">No Gamma-coupling implies V=0, action reduces to pure cost</x:t>
        </x:is>
      </x:c>
      <x:c r="L619" s="56" t="n"/>
    </x:row>
    <x:row r="620" ht="15" customHeight="1">
      <x:c r="A620" s="55" t="inlineStr">
        <x:is>
          <x:t xml:space="preserve">no_passive_entropy_as_active_evil</x:t>
        </x:is>
      </x:c>
      <x:c r="B620" s="49" t="inlineStr">
        <x:is>
          <x:t xml:space="preserve">theorem</x:t>
        </x:is>
      </x:c>
      <x:c r="C620" s="49" t="inlineStr">
        <x:is>
          <x:t xml:space="preserve">theophysics-lean-main\theophysics-lean-main\Theophysics_Adversarial.lean</x:t>
        </x:is>
      </x:c>
      <x:c r="D620" s="49" t="inlineStr">
        <x:is>
          <x:t xml:space="preserve">66</x:t>
        </x:is>
      </x:c>
      <x:c r="E620" s="49" t="inlineStr">
        <x:is>
          <x:t xml:space="preserve">DECLARATION_OR_UNKNOWN</x:t>
        </x:is>
      </x:c>
      <x:c r="F620" s="49" t="inlineStr">
        <x:is>
          <x:t xml:space="preserve">PENDING_NOT_RUN</x:t>
        </x:is>
      </x:c>
      <x:c r="G620" s="49" t="inlineStr">
        <x:is>
          <x:t xml:space="preserve">NO_SORRY_OR_ADMIT_STATIC_SCAN</x:t>
        </x:is>
      </x:c>
      <x:c r="H620" s="49" t="inlineStr">
        <x:is>
          <x:t xml:space="preserve">CANONICAL_THEOREM_DEDUPED_PENDING_COMPILE</x:t>
        </x:is>
      </x:c>
      <x:c r="I620" s="49" t="inlineStr">
        <x:is>
          <x:t xml:space="preserve">3</x:t>
        </x:is>
      </x:c>
      <x:c r="L620" s="56" t="n"/>
    </x:row>
    <x:row r="621" ht="15" customHeight="1">
      <x:c r="A621" s="55" t="inlineStr">
        <x:is>
          <x:t xml:space="preserve">no_random_gap_as_structured_scar</x:t>
        </x:is>
      </x:c>
      <x:c r="B621" s="49" t="inlineStr">
        <x:is>
          <x:t xml:space="preserve">theorem</x:t>
        </x:is>
      </x:c>
      <x:c r="C621" s="49" t="inlineStr">
        <x:is>
          <x:t xml:space="preserve">theophysics-lean-main\theophysics-lean-main\Theophysics_Adversarial.lean</x:t>
        </x:is>
      </x:c>
      <x:c r="D621" s="49" t="inlineStr">
        <x:is>
          <x:t xml:space="preserve">74</x:t>
        </x:is>
      </x:c>
      <x:c r="E621" s="49" t="inlineStr">
        <x:is>
          <x:t xml:space="preserve">DECLARATION_OR_UNKNOWN</x:t>
        </x:is>
      </x:c>
      <x:c r="F621" s="49" t="inlineStr">
        <x:is>
          <x:t xml:space="preserve">PENDING_NOT_RUN</x:t>
        </x:is>
      </x:c>
      <x:c r="G621" s="49" t="inlineStr">
        <x:is>
          <x:t xml:space="preserve">NO_SORRY_OR_ADMIT_STATIC_SCAN</x:t>
        </x:is>
      </x:c>
      <x:c r="H621" s="49" t="inlineStr">
        <x:is>
          <x:t xml:space="preserve">CANONICAL_THEOREM_DEDUPED_PENDING_COMPILE</x:t>
        </x:is>
      </x:c>
      <x:c r="I621" s="49" t="inlineStr">
        <x:is>
          <x:t xml:space="preserve">3</x:t>
        </x:is>
      </x:c>
      <x:c r="L621" s="56" t="n"/>
    </x:row>
    <x:row r="622" ht="15" customHeight="1">
      <x:c r="A622" s="55" t="inlineStr">
        <x:is>
          <x:t xml:space="preserve">no_redemption_without_operator</x:t>
        </x:is>
      </x:c>
      <x:c r="B622" s="49" t="inlineStr">
        <x:is>
          <x:t xml:space="preserve">theorem</x:t>
        </x:is>
      </x:c>
      <x:c r="C622" s="49" t="inlineStr">
        <x:is>
          <x:t xml:space="preserve">Faith-Thru-Physics-Lean-4--main\Faith-Thru-Physics-Lean-4--main\Theophysics_NegativeInventory.lean</x:t>
        </x:is>
      </x:c>
      <x:c r="D622" s="49" t="inlineStr">
        <x:is>
          <x:t xml:space="preserve">158</x:t>
        </x:is>
      </x:c>
      <x:c r="E622" s="49" t="inlineStr">
        <x:is>
          <x:t xml:space="preserve">WRAPPER_OR_IMPORTED</x:t>
        </x:is>
      </x:c>
      <x:c r="F622" s="49" t="inlineStr">
        <x:is>
          <x:t xml:space="preserve">PENDING_NOT_RUN</x:t>
        </x:is>
      </x:c>
      <x:c r="G622" s="49" t="inlineStr">
        <x:is>
          <x:t xml:space="preserve">NO_SORRY_OR_ADMIT_STATIC_SCAN</x:t>
        </x:is>
      </x:c>
      <x:c r="H622" s="49" t="inlineStr">
        <x:is>
          <x:t xml:space="preserve">UNIQUE_THEOREM_PENDING_COMPILE</x:t>
        </x:is>
      </x:c>
      <x:c r="I622" s="49" t="inlineStr">
        <x:is>
          <x:t xml:space="preserve">0</x:t>
        </x:is>
      </x:c>
      <x:c r="J622" s="49" t="inlineStr">
        <x:is>
          <x:t xml:space="preserve">LEAN_DERIVATION_CHAIN:226</x:t>
        </x:is>
      </x:c>
      <x:c r="K622" s="49" t="inlineStr">
        <x:is>
          <x:t xml:space="preserve">No operator-free composition of non-redeemed inputs yields redeemed output</x:t>
        </x:is>
      </x:c>
      <x:c r="L622" s="56" t="n"/>
    </x:row>
    <x:row r="623" ht="15" customHeight="1">
      <x:c r="A623" s="55" t="inlineStr">
        <x:is>
          <x:t xml:space="preserve">no_restoration_language_only_as_theology_class</x:t>
        </x:is>
      </x:c>
      <x:c r="B623" s="49" t="inlineStr">
        <x:is>
          <x:t xml:space="preserve">theorem</x:t>
        </x:is>
      </x:c>
      <x:c r="C623" s="49" t="inlineStr">
        <x:is>
          <x:t xml:space="preserve">theophysics-lean-main\theophysics-lean-main\Theophysics_Adversarial.lean</x:t>
        </x:is>
      </x:c>
      <x:c r="D623" s="49" t="inlineStr">
        <x:is>
          <x:t xml:space="preserve">148</x:t>
        </x:is>
      </x:c>
      <x:c r="E623" s="49" t="inlineStr">
        <x:is>
          <x:t xml:space="preserve">DECLARATION_OR_UNKNOWN</x:t>
        </x:is>
      </x:c>
      <x:c r="F623" s="49" t="inlineStr">
        <x:is>
          <x:t xml:space="preserve">PENDING_NOT_RUN</x:t>
        </x:is>
      </x:c>
      <x:c r="G623" s="49" t="inlineStr">
        <x:is>
          <x:t xml:space="preserve">NO_SORRY_OR_ADMIT_STATIC_SCAN</x:t>
        </x:is>
      </x:c>
      <x:c r="H623" s="49" t="inlineStr">
        <x:is>
          <x:t xml:space="preserve">UNIQUE_THEOREM_PENDING_COMPILE</x:t>
        </x:is>
      </x:c>
      <x:c r="I623" s="49" t="inlineStr">
        <x:is>
          <x:t xml:space="preserve">0</x:t>
        </x:is>
      </x:c>
      <x:c r="L623" s="56" t="n"/>
    </x:row>
    <x:row r="624" ht="15" customHeight="1">
      <x:c r="A624" s="55" t="inlineStr">
        <x:is>
          <x:t xml:space="preserve">no_retrocausal_signal_in_raw_distribution</x:t>
        </x:is>
      </x:c>
      <x:c r="B624" s="49" t="inlineStr">
        <x:is>
          <x:t xml:space="preserve">theorem</x:t>
        </x:is>
      </x:c>
      <x:c r="C624" s="49" t="inlineStr">
        <x:is>
          <x:t xml:space="preserve">theophysics-lean-main\theophysics-lean-main\Theophysics_DelayedChoice.lean</x:t>
        </x:is>
      </x:c>
      <x:c r="D624" s="49" t="inlineStr">
        <x:is>
          <x:t xml:space="preserve">111</x:t>
        </x:is>
      </x:c>
      <x:c r="E624" s="49" t="inlineStr">
        <x:is>
          <x:t xml:space="preserve">DEFINITIONAL_RFL</x:t>
        </x:is>
      </x:c>
      <x:c r="F624" s="49" t="inlineStr">
        <x:is>
          <x:t xml:space="preserve">PENDING_NOT_RUN</x:t>
        </x:is>
      </x:c>
      <x:c r="G624" s="49" t="inlineStr">
        <x:is>
          <x:t xml:space="preserve">NO_SORRY_OR_ADMIT_STATIC_SCAN</x:t>
        </x:is>
      </x:c>
      <x:c r="H624" s="49" t="inlineStr">
        <x:is>
          <x:t xml:space="preserve">UNIQUE_THEOREM_PENDING_COMPILE</x:t>
        </x:is>
      </x:c>
      <x:c r="I624" s="49" t="inlineStr">
        <x:is>
          <x:t xml:space="preserve">0</x:t>
        </x:is>
      </x:c>
      <x:c r="L624" s="56" t="n"/>
    </x:row>
    <x:row r="625" ht="15" customHeight="1">
      <x:c r="A625" s="55" t="inlineStr">
        <x:is>
          <x:t xml:space="preserve">no_rich_iso_to_natural_coin</x:t>
        </x:is>
      </x:c>
      <x:c r="B625" s="49" t="inlineStr">
        <x:is>
          <x:t xml:space="preserve">theorem</x:t>
        </x:is>
      </x:c>
      <x:c r="C625" s="49" t="inlineStr">
        <x:is>
          <x:t xml:space="preserve">theophysics-lean-main\theophysics-lean-main\Theophysics_Adversarial.lean</x:t>
        </x:is>
      </x:c>
      <x:c r="D625" s="49" t="inlineStr">
        <x:is>
          <x:t xml:space="preserve">416</x:t>
        </x:is>
      </x:c>
      <x:c r="E625" s="49" t="inlineStr">
        <x:is>
          <x:t xml:space="preserve">DEFINITIONAL_RFL</x:t>
        </x:is>
      </x:c>
      <x:c r="F625" s="49" t="inlineStr">
        <x:is>
          <x:t xml:space="preserve">PENDING_NOT_RUN</x:t>
        </x:is>
      </x:c>
      <x:c r="G625" s="49" t="inlineStr">
        <x:is>
          <x:t xml:space="preserve">NO_SORRY_OR_ADMIT_STATIC_SCAN</x:t>
        </x:is>
      </x:c>
      <x:c r="H625" s="49" t="inlineStr">
        <x:is>
          <x:t xml:space="preserve">CANONICAL_THEOREM_DEDUPED_PENDING_COMPILE</x:t>
        </x:is>
      </x:c>
      <x:c r="I625" s="49" t="inlineStr">
        <x:is>
          <x:t xml:space="preserve">3</x:t>
        </x:is>
      </x:c>
      <x:c r="J625" s="49" t="inlineStr">
        <x:is>
          <x:t xml:space="preserve">LEAN_DERIVATION_CHAIN:87</x:t>
        </x:is>
      </x:c>
      <x:c r="K625" s="49" t="inlineStr">
        <x:is>
          <x:t xml:space="preserve">REJECTION: Natural coin model FAILS RichLawIso — role mismatch blocks it</x:t>
        </x:is>
      </x:c>
      <x:c r="L625" s="56" t="n"/>
    </x:row>
    <x:row r="626" ht="15" customHeight="1">
      <x:c r="A626" s="55" t="inlineStr">
        <x:is>
          <x:t xml:space="preserve">no_self_sourcing_as_open_G_gate</x:t>
        </x:is>
      </x:c>
      <x:c r="B626" s="49" t="inlineStr">
        <x:is>
          <x:t xml:space="preserve">theorem</x:t>
        </x:is>
      </x:c>
      <x:c r="C626" s="49" t="inlineStr">
        <x:is>
          <x:t xml:space="preserve">theophysics-lean-main\theophysics-lean-main\Theophysics_Adversarial.lean</x:t>
        </x:is>
      </x:c>
      <x:c r="D626" s="49" t="inlineStr">
        <x:is>
          <x:t xml:space="preserve">111</x:t>
        </x:is>
      </x:c>
      <x:c r="E626" s="49" t="inlineStr">
        <x:is>
          <x:t xml:space="preserve">DECLARATION_OR_UNKNOWN</x:t>
        </x:is>
      </x:c>
      <x:c r="F626" s="49" t="inlineStr">
        <x:is>
          <x:t xml:space="preserve">PENDING_NOT_RUN</x:t>
        </x:is>
      </x:c>
      <x:c r="G626" s="49" t="inlineStr">
        <x:is>
          <x:t xml:space="preserve">NO_SORRY_OR_ADMIT_STATIC_SCAN</x:t>
        </x:is>
      </x:c>
      <x:c r="H626" s="49" t="inlineStr">
        <x:is>
          <x:t xml:space="preserve">UNIQUE_THEOREM_PENDING_COMPILE</x:t>
        </x:is>
      </x:c>
      <x:c r="I626" s="49" t="inlineStr">
        <x:is>
          <x:t xml:space="preserve">0</x:t>
        </x:is>
      </x:c>
      <x:c r="L626" s="56" t="n"/>
    </x:row>
    <x:row r="627" ht="15" customHeight="1">
      <x:c r="A627" s="55" t="inlineStr">
        <x:is>
          <x:t xml:space="preserve">no_separation_only_as_fall</x:t>
        </x:is>
      </x:c>
      <x:c r="B627" s="49" t="inlineStr">
        <x:is>
          <x:t xml:space="preserve">theorem</x:t>
        </x:is>
      </x:c>
      <x:c r="C627" s="49" t="inlineStr">
        <x:is>
          <x:t xml:space="preserve">theophysics-lean-main\theophysics-lean-main\Theophysics_Adversarial.lean</x:t>
        </x:is>
      </x:c>
      <x:c r="D627" s="49" t="inlineStr">
        <x:is>
          <x:t xml:space="preserve">86</x:t>
        </x:is>
      </x:c>
      <x:c r="E627" s="49" t="inlineStr">
        <x:is>
          <x:t xml:space="preserve">DECLARATION_OR_UNKNOWN</x:t>
        </x:is>
      </x:c>
      <x:c r="F627" s="49" t="inlineStr">
        <x:is>
          <x:t xml:space="preserve">PENDING_NOT_RUN</x:t>
        </x:is>
      </x:c>
      <x:c r="G627" s="49" t="inlineStr">
        <x:is>
          <x:t xml:space="preserve">NO_SORRY_OR_ADMIT_STATIC_SCAN</x:t>
        </x:is>
      </x:c>
      <x:c r="H627" s="49" t="inlineStr">
        <x:is>
          <x:t xml:space="preserve">CANONICAL_THEOREM_DEDUPED_PENDING_COMPILE</x:t>
        </x:is>
      </x:c>
      <x:c r="I627" s="49" t="inlineStr">
        <x:is>
          <x:t xml:space="preserve">3</x:t>
        </x:is>
      </x:c>
      <x:c r="L627" s="56" t="n"/>
    </x:row>
    <x:row r="628" ht="15" customHeight="1">
      <x:c r="A628" s="55" t="inlineStr">
        <x:is>
          <x:t xml:space="preserve">no_stage_step_back_to_confirmation_from_redistribution</x:t>
        </x:is>
      </x:c>
      <x:c r="B628" s="49" t="inlineStr">
        <x:is>
          <x:t xml:space="preserve">theorem</x:t>
        </x:is>
      </x:c>
      <x:c r="C628" s="49" t="inlineStr">
        <x:is>
          <x:t xml:space="preserve">theophysics-lean-main\theophysics-lean-main\Theophysics_Adversarial.lean</x:t>
        </x:is>
      </x:c>
      <x:c r="D628" s="49" t="inlineStr">
        <x:is>
          <x:t xml:space="preserve">329</x:t>
        </x:is>
      </x:c>
      <x:c r="E628" s="49" t="inlineStr">
        <x:is>
          <x:t xml:space="preserve">DEFINITIONAL_RFL</x:t>
        </x:is>
      </x:c>
      <x:c r="F628" s="49" t="inlineStr">
        <x:is>
          <x:t xml:space="preserve">PENDING_NOT_RUN</x:t>
        </x:is>
      </x:c>
      <x:c r="G628" s="49" t="inlineStr">
        <x:is>
          <x:t xml:space="preserve">NO_SORRY_OR_ADMIT_STATIC_SCAN</x:t>
        </x:is>
      </x:c>
      <x:c r="H628" s="49" t="inlineStr">
        <x:is>
          <x:t xml:space="preserve">CANONICAL_THEOREM_DEDUPED_PENDING_COMPILE</x:t>
        </x:is>
      </x:c>
      <x:c r="I628" s="49" t="inlineStr">
        <x:is>
          <x:t xml:space="preserve">3</x:t>
        </x:is>
      </x:c>
      <x:c r="J628" s="49" t="inlineStr">
        <x:is>
          <x:t xml:space="preserve">LEAN_DERIVATION_CHAIN:13</x:t>
        </x:is>
      </x:c>
      <x:c r="K628" s="49" t="inlineStr">
        <x:is>
          <x:t xml:space="preserve">No backward step from redistribution to confirmation</x:t>
        </x:is>
      </x:c>
      <x:c r="L628" s="56" t="n"/>
    </x:row>
    <x:row r="629" ht="15" customHeight="1">
      <x:c r="A629" s="55" t="inlineStr">
        <x:is>
          <x:t xml:space="preserve">no_stage_step_back_to_pre_from_localization</x:t>
        </x:is>
      </x:c>
      <x:c r="B629" s="49" t="inlineStr">
        <x:is>
          <x:t xml:space="preserve">theorem</x:t>
        </x:is>
      </x:c>
      <x:c r="C629" s="49" t="inlineStr">
        <x:is>
          <x:t xml:space="preserve">theophysics-lean-main\theophysics-lean-main\Theophysics_Adversarial.lean</x:t>
        </x:is>
      </x:c>
      <x:c r="D629" s="49" t="inlineStr">
        <x:is>
          <x:t xml:space="preserve">321</x:t>
        </x:is>
      </x:c>
      <x:c r="E629" s="49" t="inlineStr">
        <x:is>
          <x:t xml:space="preserve">DEFINITIONAL_RFL</x:t>
        </x:is>
      </x:c>
      <x:c r="F629" s="49" t="inlineStr">
        <x:is>
          <x:t xml:space="preserve">PENDING_NOT_RUN</x:t>
        </x:is>
      </x:c>
      <x:c r="G629" s="49" t="inlineStr">
        <x:is>
          <x:t xml:space="preserve">NO_SORRY_OR_ADMIT_STATIC_SCAN</x:t>
        </x:is>
      </x:c>
      <x:c r="H629" s="49" t="inlineStr">
        <x:is>
          <x:t xml:space="preserve">CANONICAL_THEOREM_DEDUPED_PENDING_COMPILE</x:t>
        </x:is>
      </x:c>
      <x:c r="I629" s="49" t="inlineStr">
        <x:is>
          <x:t xml:space="preserve">3</x:t>
        </x:is>
      </x:c>
      <x:c r="J629" s="49" t="inlineStr">
        <x:is>
          <x:t xml:space="preserve">LEAN_DERIVATION_CHAIN:11</x:t>
        </x:is>
      </x:c>
      <x:c r="K629" s="49" t="inlineStr">
        <x:is>
          <x:t xml:space="preserve">No backward step from localization to pre. Irreversible.</x:t>
        </x:is>
      </x:c>
      <x:c r="L629" s="56" t="n"/>
    </x:row>
    <x:row r="630" ht="15" customHeight="1">
      <x:c r="A630" s="55" t="inlineStr">
        <x:is>
          <x:t xml:space="preserve">no_stage_step_back_to_release_from_confirmation</x:t>
        </x:is>
      </x:c>
      <x:c r="B630" s="49" t="inlineStr">
        <x:is>
          <x:t xml:space="preserve">theorem</x:t>
        </x:is>
      </x:c>
      <x:c r="C630" s="49" t="inlineStr">
        <x:is>
          <x:t xml:space="preserve">theophysics-lean-main\theophysics-lean-main\Theophysics_Adversarial.lean</x:t>
        </x:is>
      </x:c>
      <x:c r="D630" s="49" t="inlineStr">
        <x:is>
          <x:t xml:space="preserve">325</x:t>
        </x:is>
      </x:c>
      <x:c r="E630" s="49" t="inlineStr">
        <x:is>
          <x:t xml:space="preserve">DEFINITIONAL_RFL</x:t>
        </x:is>
      </x:c>
      <x:c r="F630" s="49" t="inlineStr">
        <x:is>
          <x:t xml:space="preserve">PENDING_NOT_RUN</x:t>
        </x:is>
      </x:c>
      <x:c r="G630" s="49" t="inlineStr">
        <x:is>
          <x:t xml:space="preserve">NO_SORRY_OR_ADMIT_STATIC_SCAN</x:t>
        </x:is>
      </x:c>
      <x:c r="H630" s="49" t="inlineStr">
        <x:is>
          <x:t xml:space="preserve">CANONICAL_THEOREM_DEDUPED_PENDING_COMPILE</x:t>
        </x:is>
      </x:c>
      <x:c r="I630" s="49" t="inlineStr">
        <x:is>
          <x:t xml:space="preserve">3</x:t>
        </x:is>
      </x:c>
      <x:c r="J630" s="49" t="inlineStr">
        <x:is>
          <x:t xml:space="preserve">LEAN_DERIVATION_CHAIN:12</x:t>
        </x:is>
      </x:c>
      <x:c r="K630" s="49" t="inlineStr">
        <x:is>
          <x:t xml:space="preserve">No backward step from confirmation to release</x:t>
        </x:is>
      </x:c>
      <x:c r="L630" s="56" t="n"/>
    </x:row>
    <x:row r="631" ht="15" customHeight="1">
      <x:c r="A631" s="55" t="inlineStr">
        <x:is>
          <x:t xml:space="preserve">no_symmetric_no_arrow_candidate_as_thermodynamics_class</x:t>
        </x:is>
      </x:c>
      <x:c r="B631" s="49" t="inlineStr">
        <x:is>
          <x:t xml:space="preserve">theorem</x:t>
        </x:is>
      </x:c>
      <x:c r="C631" s="49" t="inlineStr">
        <x:is>
          <x:t xml:space="preserve">theophysics-lean-main\theophysics-lean-main\Theophysics_Adversarial.lean</x:t>
        </x:is>
      </x:c>
      <x:c r="D631" s="49" t="inlineStr">
        <x:is>
          <x:t xml:space="preserve">140</x:t>
        </x:is>
      </x:c>
      <x:c r="E631" s="49" t="inlineStr">
        <x:is>
          <x:t xml:space="preserve">DECLARATION_OR_UNKNOWN</x:t>
        </x:is>
      </x:c>
      <x:c r="F631" s="49" t="inlineStr">
        <x:is>
          <x:t xml:space="preserve">PENDING_NOT_RUN</x:t>
        </x:is>
      </x:c>
      <x:c r="G631" s="49" t="inlineStr">
        <x:is>
          <x:t xml:space="preserve">NO_SORRY_OR_ADMIT_STATIC_SCAN</x:t>
        </x:is>
      </x:c>
      <x:c r="H631" s="49" t="inlineStr">
        <x:is>
          <x:t xml:space="preserve">UNIQUE_THEOREM_PENDING_COMPILE</x:t>
        </x:is>
      </x:c>
      <x:c r="I631" s="49" t="inlineStr">
        <x:is>
          <x:t xml:space="preserve">0</x:t>
        </x:is>
      </x:c>
      <x:c r="L631" s="56" t="n"/>
    </x:row>
    <x:row r="632" ht="15" customHeight="1">
      <x:c r="A632" s="55" t="inlineStr">
        <x:is>
          <x:t xml:space="preserve">no_thresholdless_candidate_as_quantum_class</x:t>
        </x:is>
      </x:c>
      <x:c r="B632" s="49" t="inlineStr">
        <x:is>
          <x:t xml:space="preserve">theorem</x:t>
        </x:is>
      </x:c>
      <x:c r="C632" s="49" t="inlineStr">
        <x:is>
          <x:t xml:space="preserve">theophysics-lean-main\theophysics-lean-main\Theophysics_Adversarial.lean</x:t>
        </x:is>
      </x:c>
      <x:c r="D632" s="49" t="inlineStr">
        <x:is>
          <x:t xml:space="preserve">132</x:t>
        </x:is>
      </x:c>
      <x:c r="E632" s="49" t="inlineStr">
        <x:is>
          <x:t xml:space="preserve">DECLARATION_OR_UNKNOWN</x:t>
        </x:is>
      </x:c>
      <x:c r="F632" s="49" t="inlineStr">
        <x:is>
          <x:t xml:space="preserve">PENDING_NOT_RUN</x:t>
        </x:is>
      </x:c>
      <x:c r="G632" s="49" t="inlineStr">
        <x:is>
          <x:t xml:space="preserve">NO_SORRY_OR_ADMIT_STATIC_SCAN</x:t>
        </x:is>
      </x:c>
      <x:c r="H632" s="49" t="inlineStr">
        <x:is>
          <x:t xml:space="preserve">UNIQUE_THEOREM_PENDING_COMPILE</x:t>
        </x:is>
      </x:c>
      <x:c r="I632" s="49" t="inlineStr">
        <x:is>
          <x:t xml:space="preserve">0</x:t>
        </x:is>
      </x:c>
      <x:c r="L632" s="56" t="n"/>
    </x:row>
    <x:row r="633" ht="15" customHeight="1">
      <x:c r="A633" s="55" t="inlineStr">
        <x:is>
          <x:t xml:space="preserve">no_unacknowledged_reference_as_M_alignment</x:t>
        </x:is>
      </x:c>
      <x:c r="B633" s="49" t="inlineStr">
        <x:is>
          <x:t xml:space="preserve">theorem</x:t>
        </x:is>
      </x:c>
      <x:c r="C633" s="49" t="inlineStr">
        <x:is>
          <x:t xml:space="preserve">theophysics-lean-main\theophysics-lean-main\Theophysics_Adversarial.lean</x:t>
        </x:is>
      </x:c>
      <x:c r="D633" s="49" t="inlineStr">
        <x:is>
          <x:t xml:space="preserve">115</x:t>
        </x:is>
      </x:c>
      <x:c r="E633" s="49" t="inlineStr">
        <x:is>
          <x:t xml:space="preserve">DECLARATION_OR_UNKNOWN</x:t>
        </x:is>
      </x:c>
      <x:c r="F633" s="49" t="inlineStr">
        <x:is>
          <x:t xml:space="preserve">PENDING_NOT_RUN</x:t>
        </x:is>
      </x:c>
      <x:c r="G633" s="49" t="inlineStr">
        <x:is>
          <x:t xml:space="preserve">NO_SORRY_OR_ADMIT_STATIC_SCAN</x:t>
        </x:is>
      </x:c>
      <x:c r="H633" s="49" t="inlineStr">
        <x:is>
          <x:t xml:space="preserve">UNIQUE_THEOREM_PENDING_COMPILE</x:t>
        </x:is>
      </x:c>
      <x:c r="I633" s="49" t="inlineStr">
        <x:is>
          <x:t xml:space="preserve">0</x:t>
        </x:is>
      </x:c>
      <x:c r="L633" s="56" t="n"/>
    </x:row>
    <x:row r="634" ht="15" customHeight="1">
      <x:c r="A634" s="55" t="inlineStr">
        <x:is>
          <x:t xml:space="preserve">no_unrestorable_candidate_as_relativity_class</x:t>
        </x:is>
      </x:c>
      <x:c r="B634" s="49" t="inlineStr">
        <x:is>
          <x:t xml:space="preserve">theorem</x:t>
        </x:is>
      </x:c>
      <x:c r="C634" s="49" t="inlineStr">
        <x:is>
          <x:t xml:space="preserve">theophysics-lean-main\theophysics-lean-main\Theophysics_Adversarial.lean</x:t>
        </x:is>
      </x:c>
      <x:c r="D634" s="49" t="inlineStr">
        <x:is>
          <x:t xml:space="preserve">136</x:t>
        </x:is>
      </x:c>
      <x:c r="E634" s="49" t="inlineStr">
        <x:is>
          <x:t xml:space="preserve">DECLARATION_OR_UNKNOWN</x:t>
        </x:is>
      </x:c>
      <x:c r="F634" s="49" t="inlineStr">
        <x:is>
          <x:t xml:space="preserve">PENDING_NOT_RUN</x:t>
        </x:is>
      </x:c>
      <x:c r="G634" s="49" t="inlineStr">
        <x:is>
          <x:t xml:space="preserve">NO_SORRY_OR_ADMIT_STATIC_SCAN</x:t>
        </x:is>
      </x:c>
      <x:c r="H634" s="49" t="inlineStr">
        <x:is>
          <x:t xml:space="preserve">UNIQUE_THEOREM_PENDING_COMPILE</x:t>
        </x:is>
      </x:c>
      <x:c r="I634" s="49" t="inlineStr">
        <x:is>
          <x:t xml:space="preserve">0</x:t>
        </x:is>
      </x:c>
      <x:c r="L634" s="56" t="n"/>
    </x:row>
    <x:row r="635" ht="15" customHeight="1">
      <x:c r="A635" s="55" t="inlineStr">
        <x:is>
          <x:t xml:space="preserve">no_untracked_identity_as_F_conservation</x:t>
        </x:is>
      </x:c>
      <x:c r="B635" s="49" t="inlineStr">
        <x:is>
          <x:t xml:space="preserve">theorem</x:t>
        </x:is>
      </x:c>
      <x:c r="C635" s="49" t="inlineStr">
        <x:is>
          <x:t xml:space="preserve">theophysics-lean-main\theophysics-lean-main\Theophysics_Adversarial.lean</x:t>
        </x:is>
      </x:c>
      <x:c r="D635" s="49" t="inlineStr">
        <x:is>
          <x:t xml:space="preserve">119</x:t>
        </x:is>
      </x:c>
      <x:c r="E635" s="49" t="inlineStr">
        <x:is>
          <x:t xml:space="preserve">DECLARATION_OR_UNKNOWN</x:t>
        </x:is>
      </x:c>
      <x:c r="F635" s="49" t="inlineStr">
        <x:is>
          <x:t xml:space="preserve">PENDING_NOT_RUN</x:t>
        </x:is>
      </x:c>
      <x:c r="G635" s="49" t="inlineStr">
        <x:is>
          <x:t xml:space="preserve">NO_SORRY_OR_ADMIT_STATIC_SCAN</x:t>
        </x:is>
      </x:c>
      <x:c r="H635" s="49" t="inlineStr">
        <x:is>
          <x:t xml:space="preserve">UNIQUE_THEOREM_PENDING_COMPILE</x:t>
        </x:is>
      </x:c>
      <x:c r="I635" s="49" t="inlineStr">
        <x:is>
          <x:t xml:space="preserve">0</x:t>
        </x:is>
      </x:c>
      <x:c r="L635" s="56" t="n"/>
    </x:row>
    <x:row r="636" ht="15" customHeight="1">
      <x:c r="A636" s="55" t="inlineStr">
        <x:is>
          <x:t xml:space="preserve">nonIdentityReplacement</x:t>
        </x:is>
      </x:c>
      <x:c r="B636" s="49" t="inlineStr">
        <x:is>
          <x:t xml:space="preserve">def</x:t>
        </x:is>
      </x:c>
      <x:c r="C636" s="49" t="inlineStr">
        <x:is>
          <x:t xml:space="preserve">Faith-Thru-Physics-Lean-4--main\Faith-Thru-Physics-Lean-4--main\Theophysics_NegativeInventory.lean</x:t>
        </x:is>
      </x:c>
      <x:c r="D636" s="49" t="inlineStr">
        <x:is>
          <x:t xml:space="preserve">223</x:t>
        </x:is>
      </x:c>
      <x:c r="E636" s="49" t="inlineStr">
        <x:is>
          <x:t xml:space="preserve">DECLARATION_OR_UNKNOWN</x:t>
        </x:is>
      </x:c>
      <x:c r="F636" s="49" t="inlineStr">
        <x:is>
          <x:t xml:space="preserve">PENDING_NOT_RUN</x:t>
        </x:is>
      </x:c>
      <x:c r="G636" s="49" t="inlineStr">
        <x:is>
          <x:t xml:space="preserve">NO_SORRY_OR_ADMIT_STATIC_SCAN</x:t>
        </x:is>
      </x:c>
      <x:c r="H636" s="49" t="inlineStr">
        <x:is>
          <x:t xml:space="preserve">SCAFFOLDING_NOT_PUBLIC_COUNT</x:t>
        </x:is>
      </x:c>
      <x:c r="I636" s="49" t="inlineStr">
        <x:is>
          <x:t xml:space="preserve">0</x:t>
        </x:is>
      </x:c>
      <x:c r="L636" s="56" t="n"/>
    </x:row>
    <x:row r="637" ht="15" customHeight="1">
      <x:c r="A637" s="55" t="inlineStr">
        <x:is>
          <x:t xml:space="preserve">non_identity_replacement_rejected</x:t>
        </x:is>
      </x:c>
      <x:c r="B637" s="49" t="inlineStr">
        <x:is>
          <x:t xml:space="preserve">theorem</x:t>
        </x:is>
      </x:c>
      <x:c r="C637" s="49" t="inlineStr">
        <x:is>
          <x:t xml:space="preserve">Faith-Thru-Physics-Lean-4--main\Faith-Thru-Physics-Lean-4--main\Theophysics_NegativeInventory.lean</x:t>
        </x:is>
      </x:c>
      <x:c r="D637" s="49" t="inlineStr">
        <x:is>
          <x:t xml:space="preserve">238</x:t>
        </x:is>
      </x:c>
      <x:c r="E637" s="49" t="inlineStr">
        <x:is>
          <x:t xml:space="preserve">FINITE_DECIDABLE</x:t>
        </x:is>
      </x:c>
      <x:c r="F637" s="49" t="inlineStr">
        <x:is>
          <x:t xml:space="preserve">PENDING_NOT_RUN</x:t>
        </x:is>
      </x:c>
      <x:c r="G637" s="49" t="inlineStr">
        <x:is>
          <x:t xml:space="preserve">NO_SORRY_OR_ADMIT_STATIC_SCAN</x:t>
        </x:is>
      </x:c>
      <x:c r="H637" s="49" t="inlineStr">
        <x:is>
          <x:t xml:space="preserve">UNIQUE_THEOREM_PENDING_COMPILE</x:t>
        </x:is>
      </x:c>
      <x:c r="I637" s="49" t="inlineStr">
        <x:is>
          <x:t xml:space="preserve">0</x:t>
        </x:is>
      </x:c>
      <x:c r="J637" s="49" t="inlineStr">
        <x:is>
          <x:t xml:space="preserve">LEAN_DERIVATION_CHAIN:233</x:t>
        </x:is>
      </x:c>
      <x:c r="K637" s="49" t="inlineStr">
        <x:is>
          <x:t xml:space="preserve">A successor/copy is not the person - not resurrection</x:t>
        </x:is>
      </x:c>
      <x:c r="L637" s="56" t="n"/>
    </x:row>
    <x:row r="638" ht="15" customHeight="1">
      <x:c r="A638" s="55" t="inlineStr">
        <x:is>
          <x:t xml:space="preserve">nonzero_coupling_to_infinite_source_has_perfect_attractor</x:t>
        </x:is>
      </x:c>
      <x:c r="B638" s="49" t="inlineStr">
        <x:is>
          <x:t xml:space="preserve">theorem</x:t>
        </x:is>
      </x:c>
      <x:c r="C638" s="49" t="inlineStr">
        <x:is>
          <x:t xml:space="preserve">theophysics-lean-main\theophysics-lean-main\Theophysics_Canonization.lean</x:t>
        </x:is>
      </x:c>
      <x:c r="D638" s="49" t="inlineStr">
        <x:is>
          <x:t xml:space="preserve">468</x:t>
        </x:is>
      </x:c>
      <x:c r="E638" s="49" t="inlineStr">
        <x:is>
          <x:t xml:space="preserve">SUBSTANTIVE_OR_CASE_PROOF</x:t>
        </x:is>
      </x:c>
      <x:c r="F638" s="49" t="inlineStr">
        <x:is>
          <x:t xml:space="preserve">PENDING_NOT_RUN</x:t>
        </x:is>
      </x:c>
      <x:c r="G638" s="49" t="inlineStr">
        <x:is>
          <x:t xml:space="preserve">NO_SORRY_OR_ADMIT_STATIC_SCAN</x:t>
        </x:is>
      </x:c>
      <x:c r="H638" s="49" t="inlineStr">
        <x:is>
          <x:t xml:space="preserve">UNIQUE_THEOREM_PENDING_COMPILE</x:t>
        </x:is>
      </x:c>
      <x:c r="I638" s="49" t="inlineStr">
        <x:is>
          <x:t xml:space="preserve">0</x:t>
        </x:is>
      </x:c>
      <x:c r="J638" s="49" t="inlineStr">
        <x:is>
          <x:t xml:space="preserve">LEAN_DERIVATION_CHAIN:264</x:t>
        </x:is>
      </x:c>
      <x:c r="K638" s="49" t="inlineStr">
        <x:is>
          <x:t xml:space="preserve">Epsilon-form: for all eps exists Lambda0, Lambda&gt;=Lambda0 implies C* &gt; 1-eps</x:t>
        </x:is>
      </x:c>
      <x:c r="L638" s="56" t="inlineStr">
        <x:is>
          <x:t xml:space="preserve">heaviside_content_loss | load_bearing_controls | variable_coupling</x:t>
        </x:is>
      </x:c>
    </x:row>
    <x:row r="639" ht="15" customHeight="1">
      <x:c r="A639" s="55" t="inlineStr">
        <x:is>
          <x:t xml:space="preserve">not_allManifest_of_someMissing</x:t>
        </x:is>
      </x:c>
      <x:c r="B639" s="49" t="inlineStr">
        <x:is>
          <x:t xml:space="preserve">theorem</x:t>
        </x:is>
      </x:c>
      <x:c r="C639" s="49" t="inlineStr">
        <x:is>
          <x:t xml:space="preserve">Lean-4-Proofs-main\Lean-4-Proofs-main\theophysics-lean-verification-package\FruitsGraceKernel.lean</x:t>
        </x:is>
      </x:c>
      <x:c r="D639" s="49" t="inlineStr">
        <x:is>
          <x:t xml:space="preserve">101</x:t>
        </x:is>
      </x:c>
      <x:c r="E639" s="49" t="inlineStr">
        <x:is>
          <x:t xml:space="preserve">SUBSTANTIVE_OR_CASE_PROOF</x:t>
        </x:is>
      </x:c>
      <x:c r="F639" s="49" t="inlineStr">
        <x:is>
          <x:t xml:space="preserve">PENDING_NOT_RUN</x:t>
        </x:is>
      </x:c>
      <x:c r="G639" s="49" t="inlineStr">
        <x:is>
          <x:t xml:space="preserve">NO_SORRY_OR_ADMIT_STATIC_SCAN</x:t>
        </x:is>
      </x:c>
      <x:c r="H639" s="49" t="inlineStr">
        <x:is>
          <x:t xml:space="preserve">UNIQUE_THEOREM_PENDING_COMPILE</x:t>
        </x:is>
      </x:c>
      <x:c r="I639" s="49" t="inlineStr">
        <x:is>
          <x:t xml:space="preserve">0</x:t>
        </x:is>
      </x:c>
      <x:c r="L639" s="56" t="n"/>
    </x:row>
    <x:row r="640" ht="15" customHeight="1">
      <x:c r="A640" s="55" t="inlineStr">
        <x:is>
          <x:t xml:space="preserve">offender_payment_fails_mercy_condition</x:t>
        </x:is>
      </x:c>
      <x:c r="B640" s="49" t="inlineStr">
        <x:is>
          <x:t xml:space="preserve">theorem</x:t>
        </x:is>
      </x:c>
      <x:c r="C640" s="49" t="inlineStr">
        <x:is>
          <x:t xml:space="preserve">theophysics-lean-main\theophysics-lean-main\Theophysics_Adversarial.lean</x:t>
        </x:is>
      </x:c>
      <x:c r="D640" s="49" t="inlineStr">
        <x:is>
          <x:t xml:space="preserve">474</x:t>
        </x:is>
      </x:c>
      <x:c r="E640" s="49" t="inlineStr">
        <x:is>
          <x:t xml:space="preserve">DEFINITIONAL_RFL</x:t>
        </x:is>
      </x:c>
      <x:c r="F640" s="49" t="inlineStr">
        <x:is>
          <x:t xml:space="preserve">PENDING_NOT_RUN</x:t>
        </x:is>
      </x:c>
      <x:c r="G640" s="49" t="inlineStr">
        <x:is>
          <x:t xml:space="preserve">NO_SORRY_OR_ADMIT_STATIC_SCAN</x:t>
        </x:is>
      </x:c>
      <x:c r="H640" s="49" t="inlineStr">
        <x:is>
          <x:t xml:space="preserve">CANONICAL_THEOREM_DEDUPED_PENDING_COMPILE</x:t>
        </x:is>
      </x:c>
      <x:c r="I640" s="49" t="inlineStr">
        <x:is>
          <x:t xml:space="preserve">3</x:t>
        </x:is>
      </x:c>
      <x:c r="J640" s="49" t="inlineStr">
        <x:is>
          <x:t xml:space="preserve">LEAN_DERIVATION_CHAIN:115</x:t>
        </x:is>
      </x:c>
      <x:c r="K640" s="49" t="inlineStr">
        <x:is>
          <x:t xml:space="preserve">REJECTION: Offender-pays fails the mercy axis. Self-payment is not mercy.</x:t>
        </x:is>
      </x:c>
      <x:c r="L640" s="56" t="inlineStr">
        <x:is>
          <x:t xml:space="preserve">justice_mercy_math</x:t>
        </x:is>
      </x:c>
    </x:row>
    <x:row r="641" ht="15" customHeight="1">
      <x:c r="A641" s="55" t="inlineStr">
        <x:is>
          <x:t xml:space="preserve">only_christ_marker_passes</x:t>
        </x:is>
      </x:c>
      <x:c r="B641" s="49" t="inlineStr">
        <x:is>
          <x:t xml:space="preserve">theorem</x:t>
        </x:is>
      </x:c>
      <x:c r="C641" s="49" t="inlineStr">
        <x:is>
          <x:t xml:space="preserve">theophysics-lean-main\theophysics-lean-main\Theophysics_GodTest.lean</x:t>
        </x:is>
      </x:c>
      <x:c r="D641" s="49" t="inlineStr">
        <x:is>
          <x:t xml:space="preserve">278</x:t>
        </x:is>
      </x:c>
      <x:c r="E641" s="49" t="inlineStr">
        <x:is>
          <x:t xml:space="preserve">WRAPPER_OR_IMPORTED</x:t>
        </x:is>
      </x:c>
      <x:c r="F641" s="49" t="inlineStr">
        <x:is>
          <x:t xml:space="preserve">PENDING_NOT_RUN</x:t>
        </x:is>
      </x:c>
      <x:c r="G641" s="49" t="inlineStr">
        <x:is>
          <x:t xml:space="preserve">NO_SORRY_OR_ADMIT_STATIC_SCAN</x:t>
        </x:is>
      </x:c>
      <x:c r="H641" s="49" t="inlineStr">
        <x:is>
          <x:t xml:space="preserve">UNIQUE_THEOREM_PENDING_COMPILE</x:t>
        </x:is>
      </x:c>
      <x:c r="I641" s="49" t="inlineStr">
        <x:is>
          <x:t xml:space="preserve">0</x:t>
        </x:is>
      </x:c>
      <x:c r="L641" s="56" t="n"/>
    </x:row>
    <x:row r="642" ht="15" customHeight="1">
      <x:c r="A642" s="55" t="inlineStr">
        <x:is>
          <x:t xml:space="preserve">only_quaternion_preserves_coupling_invariant</x:t>
        </x:is>
      </x:c>
      <x:c r="B642" s="49" t="inlineStr">
        <x:is>
          <x:t xml:space="preserve">theorem</x:t>
        </x:is>
      </x:c>
      <x:c r="C642" s="49" t="inlineStr">
        <x:is>
          <x:t xml:space="preserve">theophysics-lean-main\theophysics-lean-main\Theophysics_MaxwellTrinity.lean</x:t>
        </x:is>
      </x:c>
      <x:c r="D642" s="49" t="inlineStr">
        <x:is>
          <x:t xml:space="preserve">44</x:t>
        </x:is>
      </x:c>
      <x:c r="E642" s="49" t="inlineStr">
        <x:is>
          <x:t xml:space="preserve">SIMPLIFICATION</x:t>
        </x:is>
      </x:c>
      <x:c r="F642" s="49" t="inlineStr">
        <x:is>
          <x:t xml:space="preserve">PENDING_NOT_RUN</x:t>
        </x:is>
      </x:c>
      <x:c r="G642" s="49" t="inlineStr">
        <x:is>
          <x:t xml:space="preserve">NO_SORRY_OR_ADMIT_STATIC_SCAN</x:t>
        </x:is>
      </x:c>
      <x:c r="H642" s="49" t="inlineStr">
        <x:is>
          <x:t xml:space="preserve">UNIQUE_THEOREM_PENDING_COMPILE</x:t>
        </x:is>
      </x:c>
      <x:c r="I642" s="49" t="inlineStr">
        <x:is>
          <x:t xml:space="preserve">0</x:t>
        </x:is>
      </x:c>
      <x:c r="L642" s="56" t="inlineStr">
        <x:is>
          <x:t xml:space="preserve">heaviside_content_loss | load_bearing_controls | variable_coupling</x:t>
        </x:is>
      </x:c>
    </x:row>
    <x:row r="643" ht="15" customHeight="1">
      <x:c r="A643" s="55" t="inlineStr">
        <x:is>
          <x:t xml:space="preserve">only_quaternion_trinity_structure_valid</x:t>
        </x:is>
      </x:c>
      <x:c r="B643" s="49" t="inlineStr">
        <x:is>
          <x:t xml:space="preserve">theorem</x:t>
        </x:is>
      </x:c>
      <x:c r="C643" s="49" t="inlineStr">
        <x:is>
          <x:t xml:space="preserve">theophysics-lean-main\theophysics-lean-main\Theophysics_MaxwellTrinity.lean</x:t>
        </x:is>
      </x:c>
      <x:c r="D643" s="49" t="inlineStr">
        <x:is>
          <x:t xml:space="preserve">49</x:t>
        </x:is>
      </x:c>
      <x:c r="E643" s="49" t="inlineStr">
        <x:is>
          <x:t xml:space="preserve">SIMPLIFICATION</x:t>
        </x:is>
      </x:c>
      <x:c r="F643" s="49" t="inlineStr">
        <x:is>
          <x:t xml:space="preserve">PENDING_NOT_RUN</x:t>
        </x:is>
      </x:c>
      <x:c r="G643" s="49" t="inlineStr">
        <x:is>
          <x:t xml:space="preserve">NO_SORRY_OR_ADMIT_STATIC_SCAN</x:t>
        </x:is>
      </x:c>
      <x:c r="H643" s="49" t="inlineStr">
        <x:is>
          <x:t xml:space="preserve">UNIQUE_THEOREM_PENDING_COMPILE</x:t>
        </x:is>
      </x:c>
      <x:c r="I643" s="49" t="inlineStr">
        <x:is>
          <x:t xml:space="preserve">0</x:t>
        </x:is>
      </x:c>
      <x:c r="L643" s="56" t="inlineStr">
        <x:is>
          <x:t xml:space="preserve">load_bearing_controls | variable_coupling</x:t>
        </x:is>
      </x:c>
    </x:row>
    <x:row r="644" ht="15" customHeight="1">
      <x:c r="A644" s="55" t="inlineStr">
        <x:is>
          <x:t xml:space="preserve">only_three_operator_resolves_delayed_choice_gate</x:t>
        </x:is>
      </x:c>
      <x:c r="B644" s="49" t="inlineStr">
        <x:is>
          <x:t xml:space="preserve">theorem</x:t>
        </x:is>
      </x:c>
      <x:c r="C644" s="49" t="inlineStr">
        <x:is>
          <x:t xml:space="preserve">theophysics-lean-main\theophysics-lean-main\Theophysics_DelayedChoice.lean</x:t>
        </x:is>
      </x:c>
      <x:c r="D644" s="49" t="inlineStr">
        <x:is>
          <x:t xml:space="preserve">162</x:t>
        </x:is>
      </x:c>
      <x:c r="E644" s="49" t="inlineStr">
        <x:is>
          <x:t xml:space="preserve">SIMPLIFICATION</x:t>
        </x:is>
      </x:c>
      <x:c r="F644" s="49" t="inlineStr">
        <x:is>
          <x:t xml:space="preserve">PENDING_NOT_RUN</x:t>
        </x:is>
      </x:c>
      <x:c r="G644" s="49" t="inlineStr">
        <x:is>
          <x:t xml:space="preserve">NO_SORRY_OR_ADMIT_STATIC_SCAN</x:t>
        </x:is>
      </x:c>
      <x:c r="H644" s="49" t="inlineStr">
        <x:is>
          <x:t xml:space="preserve">UNIQUE_THEOREM_PENDING_COMPILE</x:t>
        </x:is>
      </x:c>
      <x:c r="I644" s="49" t="inlineStr">
        <x:is>
          <x:t xml:space="preserve">0</x:t>
        </x:is>
      </x:c>
      <x:c r="L644" s="56" t="n"/>
    </x:row>
    <x:row r="645" ht="15" customHeight="1">
      <x:c r="A645" s="55" t="inlineStr">
        <x:is>
          <x:t xml:space="preserve">only_zero_debt_passes</x:t>
        </x:is>
      </x:c>
      <x:c r="B645" s="49" t="inlineStr">
        <x:is>
          <x:t xml:space="preserve">theorem</x:t>
        </x:is>
      </x:c>
      <x:c r="C645" s="49" t="inlineStr">
        <x:is>
          <x:t xml:space="preserve">theophysics-lean-main\theophysics-lean-main\Theophysics_DeathTest.lean</x:t>
        </x:is>
      </x:c>
      <x:c r="D645" s="49" t="inlineStr">
        <x:is>
          <x:t xml:space="preserve">150</x:t>
        </x:is>
      </x:c>
      <x:c r="E645" s="49" t="inlineStr">
        <x:is>
          <x:t xml:space="preserve">SIMPLIFICATION</x:t>
        </x:is>
      </x:c>
      <x:c r="F645" s="49" t="inlineStr">
        <x:is>
          <x:t xml:space="preserve">PENDING_NOT_RUN</x:t>
        </x:is>
      </x:c>
      <x:c r="G645" s="49" t="inlineStr">
        <x:is>
          <x:t xml:space="preserve">NO_SORRY_OR_ADMIT_STATIC_SCAN</x:t>
        </x:is>
      </x:c>
      <x:c r="H645" s="49" t="inlineStr">
        <x:is>
          <x:t xml:space="preserve">UNIQUE_THEOREM_PENDING_COMPILE</x:t>
        </x:is>
      </x:c>
      <x:c r="I645" s="49" t="inlineStr">
        <x:is>
          <x:t xml:space="preserve">0</x:t>
        </x:is>
      </x:c>
      <x:c r="L645" s="56" t="n"/>
    </x:row>
    <x:row r="646" ht="15" customHeight="1">
      <x:c r="A646" s="55" t="inlineStr">
        <x:is>
          <x:t xml:space="preserve">openWithPaidInput</x:t>
        </x:is>
      </x:c>
      <x:c r="B646" s="49" t="inlineStr">
        <x:is>
          <x:t xml:space="preserve">def</x:t>
        </x:is>
      </x:c>
      <x:c r="C646" s="49" t="inlineStr">
        <x:is>
          <x:t xml:space="preserve">theophysics-lean-main\theophysics-lean-main\Theophysics_Coherence.lean</x:t>
        </x:is>
      </x:c>
      <x:c r="D646" s="49" t="inlineStr">
        <x:is>
          <x:t xml:space="preserve">135</x:t>
        </x:is>
      </x:c>
      <x:c r="E646" s="49" t="inlineStr">
        <x:is>
          <x:t xml:space="preserve">DECLARATION_OR_UNKNOWN</x:t>
        </x:is>
      </x:c>
      <x:c r="F646" s="49" t="inlineStr">
        <x:is>
          <x:t xml:space="preserve">PENDING_NOT_RUN</x:t>
        </x:is>
      </x:c>
      <x:c r="G646" s="49" t="inlineStr">
        <x:is>
          <x:t xml:space="preserve">NO_SORRY_OR_ADMIT_STATIC_SCAN</x:t>
        </x:is>
      </x:c>
      <x:c r="H646" s="49" t="inlineStr">
        <x:is>
          <x:t xml:space="preserve">SCAFFOLDING_NOT_PUBLIC_COUNT</x:t>
        </x:is>
      </x:c>
      <x:c r="I646" s="49" t="inlineStr">
        <x:is>
          <x:t xml:space="preserve">3</x:t>
        </x:is>
      </x:c>
      <x:c r="L646" s="56" t="n"/>
    </x:row>
    <x:row r="647" ht="15" customHeight="1">
      <x:c r="A647" s="55" t="inlineStr">
        <x:is>
          <x:t xml:space="preserve">open_with_paid_input_can_restore</x:t>
        </x:is>
      </x:c>
      <x:c r="B647" s="49" t="inlineStr">
        <x:is>
          <x:t xml:space="preserve">theorem</x:t>
        </x:is>
      </x:c>
      <x:c r="C647" s="49" t="inlineStr">
        <x:is>
          <x:t xml:space="preserve">theophysics-lean-main\theophysics-lean-main\Theophysics_Coherence.lean</x:t>
        </x:is>
      </x:c>
      <x:c r="D647" s="49" t="inlineStr">
        <x:is>
          <x:t xml:space="preserve">169</x:t>
        </x:is>
      </x:c>
      <x:c r="E647" s="49" t="inlineStr">
        <x:is>
          <x:t xml:space="preserve">DEFINITIONAL_RFL</x:t>
        </x:is>
      </x:c>
      <x:c r="F647" s="49" t="inlineStr">
        <x:is>
          <x:t xml:space="preserve">PENDING_NOT_RUN</x:t>
        </x:is>
      </x:c>
      <x:c r="G647" s="49" t="inlineStr">
        <x:is>
          <x:t xml:space="preserve">NO_SORRY_OR_ADMIT_STATIC_SCAN</x:t>
        </x:is>
      </x:c>
      <x:c r="H647" s="49" t="inlineStr">
        <x:is>
          <x:t xml:space="preserve">CANONICAL_THEOREM_DEDUPED_PENDING_COMPILE</x:t>
        </x:is>
      </x:c>
      <x:c r="I647" s="49" t="inlineStr">
        <x:is>
          <x:t xml:space="preserve">3</x:t>
        </x:is>
      </x:c>
      <x:c r="L647" s="56" t="n"/>
    </x:row>
    <x:row r="648" ht="15" customHeight="1">
      <x:c r="A648" s="55" t="inlineStr">
        <x:is>
          <x:t xml:space="preserve">partial_attempt_does_not_count_as_hit</x:t>
        </x:is>
      </x:c>
      <x:c r="B648" s="49" t="inlineStr">
        <x:is>
          <x:t xml:space="preserve">theorem</x:t>
        </x:is>
      </x:c>
      <x:c r="C648" s="49" t="inlineStr">
        <x:is>
          <x:t xml:space="preserve">theophysics-lean-main\theophysics-lean-main\Theophysics_Adversarial.lean</x:t>
        </x:is>
      </x:c>
      <x:c r="D648" s="49" t="inlineStr">
        <x:is>
          <x:t xml:space="preserve">577</x:t>
        </x:is>
      </x:c>
      <x:c r="E648" s="49" t="inlineStr">
        <x:is>
          <x:t xml:space="preserve">DEFINITIONAL_RFL</x:t>
        </x:is>
      </x:c>
      <x:c r="F648" s="49" t="inlineStr">
        <x:is>
          <x:t xml:space="preserve">PENDING_NOT_RUN</x:t>
        </x:is>
      </x:c>
      <x:c r="G648" s="49" t="inlineStr">
        <x:is>
          <x:t xml:space="preserve">NO_SORRY_OR_ADMIT_STATIC_SCAN</x:t>
        </x:is>
      </x:c>
      <x:c r="H648" s="49" t="inlineStr">
        <x:is>
          <x:t xml:space="preserve">CANONICAL_THEOREM_DEDUPED_PENDING_COMPILE</x:t>
        </x:is>
      </x:c>
      <x:c r="I648" s="49" t="inlineStr">
        <x:is>
          <x:t xml:space="preserve">3</x:t>
        </x:is>
      </x:c>
      <x:c r="J648" s="49" t="inlineStr">
        <x:is>
          <x:t xml:space="preserve">LEAN_DERIVATION_CHAIN:202</x:t>
        </x:is>
      </x:c>
      <x:c r="K648" s="49" t="inlineStr">
        <x:is>
          <x:t xml:space="preserve">REJECTION: Partials are not hits. Close enough is not enough.</x:t>
        </x:is>
      </x:c>
      <x:c r="L648" s="56" t="n"/>
    </x:row>
    <x:row r="649" ht="15" customHeight="1">
      <x:c r="A649" s="55" t="inlineStr">
        <x:is>
          <x:t xml:space="preserve">partial_restoration_without_mediation_fails</x:t>
        </x:is>
      </x:c>
      <x:c r="B649" s="49" t="inlineStr">
        <x:is>
          <x:t xml:space="preserve">theorem</x:t>
        </x:is>
      </x:c>
      <x:c r="C649" s="49" t="inlineStr">
        <x:is>
          <x:t xml:space="preserve">Faith-Thru-Physics-Lean-4--main\Faith-Thru-Physics-Lean-4--main\Theophysics_NegativeInventory.lean</x:t>
        </x:is>
      </x:c>
      <x:c r="D649" s="49" t="inlineStr">
        <x:is>
          <x:t xml:space="preserve">58</x:t>
        </x:is>
      </x:c>
      <x:c r="E649" s="49" t="inlineStr">
        <x:is>
          <x:t xml:space="preserve">DECLARATION_OR_UNKNOWN</x:t>
        </x:is>
      </x:c>
      <x:c r="F649" s="49" t="inlineStr">
        <x:is>
          <x:t xml:space="preserve">PENDING_NOT_RUN</x:t>
        </x:is>
      </x:c>
      <x:c r="G649" s="49" t="inlineStr">
        <x:is>
          <x:t xml:space="preserve">NO_SORRY_OR_ADMIT_STATIC_SCAN</x:t>
        </x:is>
      </x:c>
      <x:c r="H649" s="49" t="inlineStr">
        <x:is>
          <x:t xml:space="preserve">UNIQUE_THEOREM_PENDING_COMPILE</x:t>
        </x:is>
      </x:c>
      <x:c r="I649" s="49" t="inlineStr">
        <x:is>
          <x:t xml:space="preserve">0</x:t>
        </x:is>
      </x:c>
      <x:c r="J649" s="49" t="inlineStr">
        <x:is>
          <x:t xml:space="preserve">LEAN_DERIVATION_CHAIN:220</x:t>
        </x:is>
      </x:c>
      <x:c r="K649" s="49" t="inlineStr">
        <x:is>
          <x:t xml:space="preserve">Effort with mediation channel K closed leaves chi=0</x:t>
        </x:is>
      </x:c>
      <x:c r="L649" s="56" t="n"/>
    </x:row>
    <x:row r="650" ht="15" customHeight="1">
      <x:c r="A650" s="55" t="inlineStr">
        <x:is>
          <x:t xml:space="preserve">passesGodMarker</x:t>
        </x:is>
      </x:c>
      <x:c r="B650" s="49" t="inlineStr">
        <x:is>
          <x:t xml:space="preserve">def</x:t>
        </x:is>
      </x:c>
      <x:c r="C650" s="49" t="inlineStr">
        <x:is>
          <x:t xml:space="preserve">theophysics-lean-main\theophysics-lean-main\Theophysics_GodTest.lean</x:t>
        </x:is>
      </x:c>
      <x:c r="D650" s="49" t="inlineStr">
        <x:is>
          <x:t xml:space="preserve">206</x:t>
        </x:is>
      </x:c>
      <x:c r="E650" s="49" t="inlineStr">
        <x:is>
          <x:t xml:space="preserve">DECLARATION_OR_UNKNOWN</x:t>
        </x:is>
      </x:c>
      <x:c r="F650" s="49" t="inlineStr">
        <x:is>
          <x:t xml:space="preserve">PENDING_NOT_RUN</x:t>
        </x:is>
      </x:c>
      <x:c r="G650" s="49" t="inlineStr">
        <x:is>
          <x:t xml:space="preserve">NO_SORRY_OR_ADMIT_STATIC_SCAN</x:t>
        </x:is>
      </x:c>
      <x:c r="H650" s="49" t="inlineStr">
        <x:is>
          <x:t xml:space="preserve">SCAFFOLDING_NOT_PUBLIC_COUNT</x:t>
        </x:is>
      </x:c>
      <x:c r="I650" s="49" t="inlineStr">
        <x:is>
          <x:t xml:space="preserve">0</x:t>
        </x:is>
      </x:c>
      <x:c r="L650" s="56" t="n"/>
    </x:row>
    <x:row r="651" ht="15" customHeight="1">
      <x:c r="A651" s="55" t="inlineStr">
        <x:is>
          <x:t xml:space="preserve">passiveEntropySlope</x:t>
        </x:is>
      </x:c>
      <x:c r="B651" s="49" t="inlineStr">
        <x:is>
          <x:t xml:space="preserve">def</x:t>
        </x:is>
      </x:c>
      <x:c r="C651" s="49" t="inlineStr">
        <x:is>
          <x:t xml:space="preserve">theophysics-lean-main\theophysics-lean-main\Theophysics_Coherence.lean</x:t>
        </x:is>
      </x:c>
      <x:c r="D651" s="49" t="inlineStr">
        <x:is>
          <x:t xml:space="preserve">98</x:t>
        </x:is>
      </x:c>
      <x:c r="E651" s="49" t="inlineStr">
        <x:is>
          <x:t xml:space="preserve">DECLARATION_OR_UNKNOWN</x:t>
        </x:is>
      </x:c>
      <x:c r="F651" s="49" t="inlineStr">
        <x:is>
          <x:t xml:space="preserve">PENDING_NOT_RUN</x:t>
        </x:is>
      </x:c>
      <x:c r="G651" s="49" t="inlineStr">
        <x:is>
          <x:t xml:space="preserve">NO_SORRY_OR_ADMIT_STATIC_SCAN</x:t>
        </x:is>
      </x:c>
      <x:c r="H651" s="49" t="inlineStr">
        <x:is>
          <x:t xml:space="preserve">SCAFFOLDING_NOT_PUBLIC_COUNT</x:t>
        </x:is>
      </x:c>
      <x:c r="I651" s="49" t="inlineStr">
        <x:is>
          <x:t xml:space="preserve">3</x:t>
        </x:is>
      </x:c>
      <x:c r="L651" s="56" t="n"/>
    </x:row>
    <x:row r="652" ht="15" customHeight="1">
      <x:c r="A652" s="55" t="inlineStr">
        <x:is>
          <x:t xml:space="preserve">passive_decay_is_not_active_discoherence</x:t>
        </x:is>
      </x:c>
      <x:c r="B652" s="49" t="inlineStr">
        <x:is>
          <x:t xml:space="preserve">theorem</x:t>
        </x:is>
      </x:c>
      <x:c r="C652" s="49" t="inlineStr">
        <x:is>
          <x:t xml:space="preserve">theophysics-lean-main\theophysics-lean-main\Theophysics_Coherence.lean</x:t>
        </x:is>
      </x:c>
      <x:c r="D652" s="49" t="inlineStr">
        <x:is>
          <x:t xml:space="preserve">157</x:t>
        </x:is>
      </x:c>
      <x:c r="E652" s="49" t="inlineStr">
        <x:is>
          <x:t xml:space="preserve">DEFINITIONAL_RFL</x:t>
        </x:is>
      </x:c>
      <x:c r="F652" s="49" t="inlineStr">
        <x:is>
          <x:t xml:space="preserve">PENDING_NOT_RUN</x:t>
        </x:is>
      </x:c>
      <x:c r="G652" s="49" t="inlineStr">
        <x:is>
          <x:t xml:space="preserve">NO_SORRY_OR_ADMIT_STATIC_SCAN</x:t>
        </x:is>
      </x:c>
      <x:c r="H652" s="49" t="inlineStr">
        <x:is>
          <x:t xml:space="preserve">CANONICAL_THEOREM_DEDUPED_PENDING_COMPILE</x:t>
        </x:is>
      </x:c>
      <x:c r="I652" s="49" t="inlineStr">
        <x:is>
          <x:t xml:space="preserve">3</x:t>
        </x:is>
      </x:c>
      <x:c r="L652" s="56" t="n"/>
    </x:row>
    <x:row r="653" ht="15" customHeight="1">
      <x:c r="A653" s="55" t="inlineStr">
        <x:is>
          <x:t xml:space="preserve">passive_decay_is_not_moral_agency</x:t>
        </x:is>
      </x:c>
      <x:c r="B653" s="49" t="inlineStr">
        <x:is>
          <x:t xml:space="preserve">theorem</x:t>
        </x:is>
      </x:c>
      <x:c r="C653" s="49" t="inlineStr">
        <x:is>
          <x:t xml:space="preserve">theophysics-lean-main\theophysics-lean-main\Theophysics_Core.lean</x:t>
        </x:is>
      </x:c>
      <x:c r="D653" s="49" t="inlineStr">
        <x:is>
          <x:t xml:space="preserve">63</x:t>
        </x:is>
      </x:c>
      <x:c r="E653" s="49" t="inlineStr">
        <x:is>
          <x:t xml:space="preserve">DECLARATION_OR_UNKNOWN</x:t>
        </x:is>
      </x:c>
      <x:c r="F653" s="49" t="inlineStr">
        <x:is>
          <x:t xml:space="preserve">PENDING_NOT_RUN</x:t>
        </x:is>
      </x:c>
      <x:c r="G653" s="49" t="inlineStr">
        <x:is>
          <x:t xml:space="preserve">NO_SORRY_OR_ADMIT_STATIC_SCAN</x:t>
        </x:is>
      </x:c>
      <x:c r="H653" s="49" t="inlineStr">
        <x:is>
          <x:t xml:space="preserve">CANONICAL_THEOREM_DEDUPED_PENDING_COMPILE</x:t>
        </x:is>
      </x:c>
      <x:c r="I653" s="49" t="inlineStr">
        <x:is>
          <x:t xml:space="preserve">3</x:t>
        </x:is>
      </x:c>
      <x:c r="L653" s="56" t="n"/>
    </x:row>
    <x:row r="654" ht="15" customHeight="1">
      <x:c r="A654" s="55" t="inlineStr">
        <x:is>
          <x:t xml:space="preserve">patience_mem</x:t>
        </x:is>
      </x:c>
      <x:c r="B654" s="49" t="inlineStr">
        <x:is>
          <x:t xml:space="preserve">theorem</x:t>
        </x:is>
      </x:c>
      <x:c r="C654" s="49" t="inlineStr">
        <x:is>
          <x:t xml:space="preserve">Lean-4-Proofs-main\Lean-4-Proofs-main\theophysics-lean-verification-package\FruitsGraceKernel.lean</x:t>
        </x:is>
      </x:c>
      <x:c r="D654" s="49" t="inlineStr">
        <x:is>
          <x:t xml:space="preserve">47</x:t>
        </x:is>
      </x:c>
      <x:c r="E654" s="49" t="inlineStr">
        <x:is>
          <x:t xml:space="preserve">FINITE_DECIDABLE</x:t>
        </x:is>
      </x:c>
      <x:c r="F654" s="49" t="inlineStr">
        <x:is>
          <x:t xml:space="preserve">PENDING_NOT_RUN</x:t>
        </x:is>
      </x:c>
      <x:c r="G654" s="49" t="inlineStr">
        <x:is>
          <x:t xml:space="preserve">NO_SORRY_OR_ADMIT_STATIC_SCAN</x:t>
        </x:is>
      </x:c>
      <x:c r="H654" s="49" t="inlineStr">
        <x:is>
          <x:t xml:space="preserve">UNIQUE_THEOREM_PENDING_COMPILE</x:t>
        </x:is>
      </x:c>
      <x:c r="I654" s="49" t="inlineStr">
        <x:is>
          <x:t xml:space="preserve">0</x:t>
        </x:is>
      </x:c>
      <x:c r="L654" s="56" t="n"/>
    </x:row>
    <x:row r="655" ht="15" customHeight="1">
      <x:c r="A655" s="55" t="inlineStr">
        <x:is>
          <x:t xml:space="preserve">peace_mem</x:t>
        </x:is>
      </x:c>
      <x:c r="B655" s="49" t="inlineStr">
        <x:is>
          <x:t xml:space="preserve">theorem</x:t>
        </x:is>
      </x:c>
      <x:c r="C655" s="49" t="inlineStr">
        <x:is>
          <x:t xml:space="preserve">Lean-4-Proofs-main\Lean-4-Proofs-main\theophysics-lean-verification-package\FruitsGraceKernel.lean</x:t>
        </x:is>
      </x:c>
      <x:c r="D655" s="49" t="inlineStr">
        <x:is>
          <x:t xml:space="preserve">46</x:t>
        </x:is>
      </x:c>
      <x:c r="E655" s="49" t="inlineStr">
        <x:is>
          <x:t xml:space="preserve">FINITE_DECIDABLE</x:t>
        </x:is>
      </x:c>
      <x:c r="F655" s="49" t="inlineStr">
        <x:is>
          <x:t xml:space="preserve">PENDING_NOT_RUN</x:t>
        </x:is>
      </x:c>
      <x:c r="G655" s="49" t="inlineStr">
        <x:is>
          <x:t xml:space="preserve">NO_SORRY_OR_ADMIT_STATIC_SCAN</x:t>
        </x:is>
      </x:c>
      <x:c r="H655" s="49" t="inlineStr">
        <x:is>
          <x:t xml:space="preserve">UNIQUE_THEOREM_PENDING_COMPILE</x:t>
        </x:is>
      </x:c>
      <x:c r="I655" s="49" t="inlineStr">
        <x:is>
          <x:t xml:space="preserve">0</x:t>
        </x:is>
      </x:c>
      <x:c r="L655" s="56" t="n"/>
    </x:row>
    <x:row r="656" ht="15" customHeight="1">
      <x:c r="A656" s="55" t="inlineStr">
        <x:is>
          <x:t xml:space="preserve">peacefulOutput</x:t>
        </x:is>
      </x:c>
      <x:c r="B656" s="49" t="inlineStr">
        <x:is>
          <x:t xml:space="preserve">def</x:t>
        </x:is>
      </x:c>
      <x:c r="C656" s="49" t="inlineStr">
        <x:is>
          <x:t xml:space="preserve">theophysics-lean-main\theophysics-lean-main\Theophysics_ChiEvaluator.lean</x:t>
        </x:is>
      </x:c>
      <x:c r="D656" s="49" t="inlineStr">
        <x:is>
          <x:t xml:space="preserve">340</x:t>
        </x:is>
      </x:c>
      <x:c r="E656" s="49" t="inlineStr">
        <x:is>
          <x:t xml:space="preserve">DECLARATION_OR_UNKNOWN</x:t>
        </x:is>
      </x:c>
      <x:c r="F656" s="49" t="inlineStr">
        <x:is>
          <x:t xml:space="preserve">PENDING_NOT_RUN</x:t>
        </x:is>
      </x:c>
      <x:c r="G656" s="49" t="inlineStr">
        <x:is>
          <x:t xml:space="preserve">NO_SORRY_OR_ADMIT_STATIC_SCAN</x:t>
        </x:is>
      </x:c>
      <x:c r="H656" s="49" t="inlineStr">
        <x:is>
          <x:t xml:space="preserve">SCAFFOLDING_NOT_PUBLIC_COUNT</x:t>
        </x:is>
      </x:c>
      <x:c r="I656" s="49" t="inlineStr">
        <x:is>
          <x:t xml:space="preserve">3</x:t>
        </x:is>
      </x:c>
      <x:c r="L656" s="56" t="n"/>
    </x:row>
    <x:row r="657" ht="15" customHeight="1">
      <x:c r="A657" s="55" t="inlineStr">
        <x:is>
          <x:t xml:space="preserve">peaceful_output_fruit_dominates</x:t>
        </x:is>
      </x:c>
      <x:c r="B657" s="49" t="inlineStr">
        <x:is>
          <x:t xml:space="preserve">theorem</x:t>
        </x:is>
      </x:c>
      <x:c r="C657" s="49" t="inlineStr">
        <x:is>
          <x:t xml:space="preserve">theophysics-lean-main\theophysics-lean-main\Theophysics_ChiEvaluator.lean</x:t>
        </x:is>
      </x:c>
      <x:c r="D657" s="49" t="inlineStr">
        <x:is>
          <x:t xml:space="preserve">348</x:t>
        </x:is>
      </x:c>
      <x:c r="E657" s="49" t="inlineStr">
        <x:is>
          <x:t xml:space="preserve">DEFINITIONAL_RFL</x:t>
        </x:is>
      </x:c>
      <x:c r="F657" s="49" t="inlineStr">
        <x:is>
          <x:t xml:space="preserve">PENDING_NOT_RUN</x:t>
        </x:is>
      </x:c>
      <x:c r="G657" s="49" t="inlineStr">
        <x:is>
          <x:t xml:space="preserve">NO_SORRY_OR_ADMIT_STATIC_SCAN</x:t>
        </x:is>
      </x:c>
      <x:c r="H657" s="49" t="inlineStr">
        <x:is>
          <x:t xml:space="preserve">CANONICAL_THEOREM_DEDUPED_PENDING_COMPILE</x:t>
        </x:is>
      </x:c>
      <x:c r="I657" s="49" t="inlineStr">
        <x:is>
          <x:t xml:space="preserve">3</x:t>
        </x:is>
      </x:c>
      <x:c r="L657" s="56" t="n"/>
    </x:row>
    <x:row r="658" ht="15" customHeight="1">
      <x:c r="A658" s="55" t="inlineStr">
        <x:is>
          <x:t xml:space="preserve">perfectScore</x:t>
        </x:is>
      </x:c>
      <x:c r="B658" s="49" t="inlineStr">
        <x:is>
          <x:t xml:space="preserve">def</x:t>
        </x:is>
      </x:c>
      <x:c r="C658" s="49" t="inlineStr">
        <x:is>
          <x:t xml:space="preserve">theophysics-lean-main\theophysics-lean-main\Theophysics_ChiEvaluator.lean</x:t>
        </x:is>
      </x:c>
      <x:c r="D658" s="49" t="inlineStr">
        <x:is>
          <x:t xml:space="preserve">104</x:t>
        </x:is>
      </x:c>
      <x:c r="E658" s="49" t="inlineStr">
        <x:is>
          <x:t xml:space="preserve">DECLARATION_OR_UNKNOWN</x:t>
        </x:is>
      </x:c>
      <x:c r="F658" s="49" t="inlineStr">
        <x:is>
          <x:t xml:space="preserve">PENDING_NOT_RUN</x:t>
        </x:is>
      </x:c>
      <x:c r="G658" s="49" t="inlineStr">
        <x:is>
          <x:t xml:space="preserve">NO_SORRY_OR_ADMIT_STATIC_SCAN</x:t>
        </x:is>
      </x:c>
      <x:c r="H658" s="49" t="inlineStr">
        <x:is>
          <x:t xml:space="preserve">SCAFFOLDING_NOT_PUBLIC_COUNT</x:t>
        </x:is>
      </x:c>
      <x:c r="I658" s="49" t="inlineStr">
        <x:is>
          <x:t xml:space="preserve">3</x:t>
        </x:is>
      </x:c>
      <x:c r="L658" s="56" t="n"/>
    </x:row>
    <x:row r="659" ht="15" customHeight="1">
      <x:c r="A659" s="55" t="inlineStr">
        <x:is>
          <x:t xml:space="preserve">perfect_score_effective</x:t>
        </x:is>
      </x:c>
      <x:c r="B659" s="49" t="inlineStr">
        <x:is>
          <x:t xml:space="preserve">theorem</x:t>
        </x:is>
      </x:c>
      <x:c r="C659" s="49" t="inlineStr">
        <x:is>
          <x:t xml:space="preserve">theophysics-lean-main\theophysics-lean-main\Theophysics_ChiEvaluator.lean</x:t>
        </x:is>
      </x:c>
      <x:c r="D659" s="49" t="inlineStr">
        <x:is>
          <x:t xml:space="preserve">118</x:t>
        </x:is>
      </x:c>
      <x:c r="E659" s="49" t="inlineStr">
        <x:is>
          <x:t xml:space="preserve">DEFINITIONAL_RFL</x:t>
        </x:is>
      </x:c>
      <x:c r="F659" s="49" t="inlineStr">
        <x:is>
          <x:t xml:space="preserve">PENDING_NOT_RUN</x:t>
        </x:is>
      </x:c>
      <x:c r="G659" s="49" t="inlineStr">
        <x:is>
          <x:t xml:space="preserve">NO_SORRY_OR_ADMIT_STATIC_SCAN</x:t>
        </x:is>
      </x:c>
      <x:c r="H659" s="49" t="inlineStr">
        <x:is>
          <x:t xml:space="preserve">CANONICAL_THEOREM_DEDUPED_PENDING_COMPILE</x:t>
        </x:is>
      </x:c>
      <x:c r="I659" s="49" t="inlineStr">
        <x:is>
          <x:t xml:space="preserve">3</x:t>
        </x:is>
      </x:c>
      <x:c r="L659" s="56" t="n"/>
    </x:row>
    <x:row r="660" ht="15" customHeight="1">
      <x:c r="A660" s="55" t="inlineStr">
        <x:is>
          <x:t xml:space="preserve">physicalToSpiritual</x:t>
        </x:is>
      </x:c>
      <x:c r="B660" s="49" t="inlineStr">
        <x:is>
          <x:t xml:space="preserve">def</x:t>
        </x:is>
      </x:c>
      <x:c r="C660" s="49" t="inlineStr">
        <x:is>
          <x:t xml:space="preserve">theophysics-lean-main\theophysics-lean-main\Final_Lean4_From_Excel.lean</x:t>
        </x:is>
      </x:c>
      <x:c r="D660" s="49" t="inlineStr">
        <x:is>
          <x:t xml:space="preserve">217</x:t>
        </x:is>
      </x:c>
      <x:c r="E660" s="49" t="inlineStr">
        <x:is>
          <x:t xml:space="preserve">DECLARATION_OR_UNKNOWN</x:t>
        </x:is>
      </x:c>
      <x:c r="F660" s="49" t="inlineStr">
        <x:is>
          <x:t xml:space="preserve">PENDING_NOT_RUN</x:t>
        </x:is>
      </x:c>
      <x:c r="G660" s="49" t="inlineStr">
        <x:is>
          <x:t xml:space="preserve">NO_SORRY_OR_ADMIT_STATIC_SCAN</x:t>
        </x:is>
      </x:c>
      <x:c r="H660" s="49" t="inlineStr">
        <x:is>
          <x:t xml:space="preserve">SCAFFOLDING_NOT_PUBLIC_COUNT</x:t>
        </x:is>
      </x:c>
      <x:c r="I660" s="49" t="inlineStr">
        <x:is>
          <x:t xml:space="preserve">3</x:t>
        </x:is>
      </x:c>
      <x:c r="L660" s="56" t="n"/>
    </x:row>
    <x:row r="661" ht="15" customHeight="1">
      <x:c r="A661" s="55" t="inlineStr">
        <x:is>
          <x:t xml:space="preserve">pipeline_all_the_way_through</x:t>
        </x:is>
      </x:c>
      <x:c r="B661" s="49" t="inlineStr">
        <x:is>
          <x:t xml:space="preserve">theorem</x:t>
        </x:is>
      </x:c>
      <x:c r="C661" s="49" t="inlineStr">
        <x:is>
          <x:t xml:space="preserve">theophysics-lean-main\theophysics-lean-main\Final_Lean4_From_Excel.lean</x:t>
        </x:is>
      </x:c>
      <x:c r="D661" s="49" t="inlineStr">
        <x:is>
          <x:t xml:space="preserve">345</x:t>
        </x:is>
      </x:c>
      <x:c r="E661" s="49" t="inlineStr">
        <x:is>
          <x:t xml:space="preserve">WRAPPER_OR_IMPORTED</x:t>
        </x:is>
      </x:c>
      <x:c r="F661" s="49" t="inlineStr">
        <x:is>
          <x:t xml:space="preserve">PENDING_NOT_RUN</x:t>
        </x:is>
      </x:c>
      <x:c r="G661" s="49" t="inlineStr">
        <x:is>
          <x:t xml:space="preserve">NO_SORRY_OR_ADMIT_STATIC_SCAN</x:t>
        </x:is>
      </x:c>
      <x:c r="H661" s="49" t="inlineStr">
        <x:is>
          <x:t xml:space="preserve">CANONICAL_THEOREM_DEDUPED_PENDING_COMPILE</x:t>
        </x:is>
      </x:c>
      <x:c r="I661" s="49" t="inlineStr">
        <x:is>
          <x:t xml:space="preserve">3</x:t>
        </x:is>
      </x:c>
      <x:c r="L661" s="56" t="n"/>
    </x:row>
    <x:row r="662" ht="15" customHeight="1">
      <x:c r="A662" s="55" t="inlineStr">
        <x:is>
          <x:t xml:space="preserve">pointwise_sEff_decreases</x:t>
        </x:is>
      </x:c>
      <x:c r="B662" s="49" t="inlineStr">
        <x:is>
          <x:t xml:space="preserve">theorem</x:t>
        </x:is>
      </x:c>
      <x:c r="C662" s="49" t="inlineStr">
        <x:is>
          <x:t xml:space="preserve">Lean-4-Proofs-main\Lean-4-Proofs-main\theophysics-lean-verification-package\CorrectedEntropyKernel.lean</x:t>
        </x:is>
      </x:c>
      <x:c r="D662" s="49" t="inlineStr">
        <x:is>
          <x:t xml:space="preserve">227</x:t>
        </x:is>
      </x:c>
      <x:c r="E662" s="49" t="inlineStr">
        <x:is>
          <x:t xml:space="preserve">DECLARATION_OR_UNKNOWN</x:t>
        </x:is>
      </x:c>
      <x:c r="F662" s="49" t="inlineStr">
        <x:is>
          <x:t xml:space="preserve">PENDING_NOT_RUN</x:t>
        </x:is>
      </x:c>
      <x:c r="G662" s="49" t="inlineStr">
        <x:is>
          <x:t xml:space="preserve">NO_SORRY_OR_ADMIT_STATIC_SCAN</x:t>
        </x:is>
      </x:c>
      <x:c r="H662" s="49" t="inlineStr">
        <x:is>
          <x:t xml:space="preserve">UNIQUE_THEOREM_PENDING_COMPILE</x:t>
        </x:is>
      </x:c>
      <x:c r="I662" s="49" t="inlineStr">
        <x:is>
          <x:t xml:space="preserve">0</x:t>
        </x:is>
      </x:c>
      <x:c r="L662" s="56" t="n"/>
    </x:row>
    <x:row r="663" ht="15" customHeight="1">
      <x:c r="A663" s="55" t="inlineStr">
        <x:is>
          <x:t xml:space="preserve">power_does_not_pass_death_test</x:t>
        </x:is>
      </x:c>
      <x:c r="B663" s="49" t="inlineStr">
        <x:is>
          <x:t xml:space="preserve">theorem</x:t>
        </x:is>
      </x:c>
      <x:c r="C663" s="49" t="inlineStr">
        <x:is>
          <x:t xml:space="preserve">theophysics-lean-main\theophysics-lean-main\Theophysics_DeathTest.lean</x:t>
        </x:is>
      </x:c>
      <x:c r="D663" s="49" t="inlineStr">
        <x:is>
          <x:t xml:space="preserve">102</x:t>
        </x:is>
      </x:c>
      <x:c r="E663" s="49" t="inlineStr">
        <x:is>
          <x:t xml:space="preserve">DEFINITIONAL_RFL</x:t>
        </x:is>
      </x:c>
      <x:c r="F663" s="49" t="inlineStr">
        <x:is>
          <x:t xml:space="preserve">PENDING_NOT_RUN</x:t>
        </x:is>
      </x:c>
      <x:c r="G663" s="49" t="inlineStr">
        <x:is>
          <x:t xml:space="preserve">NO_SORRY_OR_ADMIT_STATIC_SCAN</x:t>
        </x:is>
      </x:c>
      <x:c r="H663" s="49" t="inlineStr">
        <x:is>
          <x:t xml:space="preserve">UNIQUE_THEOREM_PENDING_COMPILE</x:t>
        </x:is>
      </x:c>
      <x:c r="I663" s="49" t="inlineStr">
        <x:is>
          <x:t xml:space="preserve">0</x:t>
        </x:is>
      </x:c>
      <x:c r="L663" s="56" t="n"/>
    </x:row>
    <x:row r="664" ht="15" customHeight="1">
      <x:c r="A664" s="55" t="inlineStr">
        <x:is>
          <x:t xml:space="preserve">powerfulBeing</x:t>
        </x:is>
      </x:c>
      <x:c r="B664" s="49" t="inlineStr">
        <x:is>
          <x:t xml:space="preserve">def</x:t>
        </x:is>
      </x:c>
      <x:c r="C664" s="49" t="inlineStr">
        <x:is>
          <x:t xml:space="preserve">theophysics-lean-main\theophysics-lean-main\Theophysics_DeathTest.lean</x:t>
        </x:is>
      </x:c>
      <x:c r="D664" s="49" t="inlineStr">
        <x:is>
          <x:t xml:space="preserve">55</x:t>
        </x:is>
      </x:c>
      <x:c r="E664" s="49" t="inlineStr">
        <x:is>
          <x:t xml:space="preserve">DECLARATION_OR_UNKNOWN</x:t>
        </x:is>
      </x:c>
      <x:c r="F664" s="49" t="inlineStr">
        <x:is>
          <x:t xml:space="preserve">PENDING_NOT_RUN</x:t>
        </x:is>
      </x:c>
      <x:c r="G664" s="49" t="inlineStr">
        <x:is>
          <x:t xml:space="preserve">NO_SORRY_OR_ADMIT_STATIC_SCAN</x:t>
        </x:is>
      </x:c>
      <x:c r="H664" s="49" t="inlineStr">
        <x:is>
          <x:t xml:space="preserve">SCAFFOLDING_NOT_PUBLIC_COUNT</x:t>
        </x:is>
      </x:c>
      <x:c r="I664" s="49" t="inlineStr">
        <x:is>
          <x:t xml:space="preserve">0</x:t>
        </x:is>
      </x:c>
      <x:c r="L664" s="56" t="n"/>
    </x:row>
    <x:row r="665" ht="15" customHeight="1">
      <x:c r="A665" s="55" t="inlineStr">
        <x:is>
          <x:t xml:space="preserve">preFallCoherence</x:t>
        </x:is>
      </x:c>
      <x:c r="B665" s="49" t="inlineStr">
        <x:is>
          <x:t xml:space="preserve">def</x:t>
        </x:is>
      </x:c>
      <x:c r="C665" s="49" t="inlineStr">
        <x:is>
          <x:t xml:space="preserve">theophysics-lean-main\theophysics-lean-main\Theophysics_Fall.lean</x:t>
        </x:is>
      </x:c>
      <x:c r="D665" s="49" t="inlineStr">
        <x:is>
          <x:t xml:space="preserve">56</x:t>
        </x:is>
      </x:c>
      <x:c r="E665" s="49" t="inlineStr">
        <x:is>
          <x:t xml:space="preserve">DECLARATION_OR_UNKNOWN</x:t>
        </x:is>
      </x:c>
      <x:c r="F665" s="49" t="inlineStr">
        <x:is>
          <x:t xml:space="preserve">PENDING_NOT_RUN</x:t>
        </x:is>
      </x:c>
      <x:c r="G665" s="49" t="inlineStr">
        <x:is>
          <x:t xml:space="preserve">NO_SORRY_OR_ADMIT_STATIC_SCAN</x:t>
        </x:is>
      </x:c>
      <x:c r="H665" s="49" t="inlineStr">
        <x:is>
          <x:t xml:space="preserve">SCAFFOLDING_NOT_PUBLIC_COUNT</x:t>
        </x:is>
      </x:c>
      <x:c r="I665" s="49" t="inlineStr">
        <x:is>
          <x:t xml:space="preserve">3</x:t>
        </x:is>
      </x:c>
      <x:c r="L665" s="56" t="n"/>
    </x:row>
    <x:row r="666" ht="15" customHeight="1">
      <x:c r="A666" s="55" t="inlineStr">
        <x:is>
          <x:t xml:space="preserve">pre_fall_is_not_fall</x:t>
        </x:is>
      </x:c>
      <x:c r="B666" s="49" t="inlineStr">
        <x:is>
          <x:t xml:space="preserve">theorem</x:t>
        </x:is>
      </x:c>
      <x:c r="C666" s="49" t="inlineStr">
        <x:is>
          <x:t xml:space="preserve">theophysics-lean-main\theophysics-lean-main\Theophysics_Fall.lean</x:t>
        </x:is>
      </x:c>
      <x:c r="D666" s="49" t="inlineStr">
        <x:is>
          <x:t xml:space="preserve">108</x:t>
        </x:is>
      </x:c>
      <x:c r="E666" s="49" t="inlineStr">
        <x:is>
          <x:t xml:space="preserve">DEFINITIONAL_RFL</x:t>
        </x:is>
      </x:c>
      <x:c r="F666" s="49" t="inlineStr">
        <x:is>
          <x:t xml:space="preserve">PENDING_NOT_RUN</x:t>
        </x:is>
      </x:c>
      <x:c r="G666" s="49" t="inlineStr">
        <x:is>
          <x:t xml:space="preserve">NO_SORRY_OR_ADMIT_STATIC_SCAN</x:t>
        </x:is>
      </x:c>
      <x:c r="H666" s="49" t="inlineStr">
        <x:is>
          <x:t xml:space="preserve">CANONICAL_THEOREM_DEDUPED_PENDING_COMPILE</x:t>
        </x:is>
      </x:c>
      <x:c r="I666" s="49" t="inlineStr">
        <x:is>
          <x:t xml:space="preserve">3</x:t>
        </x:is>
      </x:c>
      <x:c r="L666" s="56" t="n"/>
    </x:row>
    <x:row r="667" ht="15" customHeight="1">
      <x:c r="A667" s="55" t="inlineStr">
        <x:is>
          <x:t xml:space="preserve">preserved_subsets_are_not_interference_like</x:t>
        </x:is>
      </x:c>
      <x:c r="B667" s="49" t="inlineStr">
        <x:is>
          <x:t xml:space="preserve">theorem</x:t>
        </x:is>
      </x:c>
      <x:c r="C667" s="49" t="inlineStr">
        <x:is>
          <x:t xml:space="preserve">theophysics-lean-main\theophysics-lean-main\Theophysics_DelayedChoice.lean</x:t>
        </x:is>
      </x:c>
      <x:c r="D667" s="49" t="inlineStr">
        <x:is>
          <x:t xml:space="preserve">95</x:t>
        </x:is>
      </x:c>
      <x:c r="E667" s="49" t="inlineStr">
        <x:is>
          <x:t xml:space="preserve">SIMPLIFICATION</x:t>
        </x:is>
      </x:c>
      <x:c r="F667" s="49" t="inlineStr">
        <x:is>
          <x:t xml:space="preserve">PENDING_NOT_RUN</x:t>
        </x:is>
      </x:c>
      <x:c r="G667" s="49" t="inlineStr">
        <x:is>
          <x:t xml:space="preserve">NO_SORRY_OR_ADMIT_STATIC_SCAN</x:t>
        </x:is>
      </x:c>
      <x:c r="H667" s="49" t="inlineStr">
        <x:is>
          <x:t xml:space="preserve">UNIQUE_THEOREM_PENDING_COMPILE</x:t>
        </x:is>
      </x:c>
      <x:c r="I667" s="49" t="inlineStr">
        <x:is>
          <x:t xml:space="preserve">0</x:t>
        </x:is>
      </x:c>
      <x:c r="L667" s="56" t="n"/>
    </x:row>
    <x:row r="668" ht="15" customHeight="1">
      <x:c r="A668" s="55" t="inlineStr">
        <x:is>
          <x:t xml:space="preserve">preservesCouplingInvariant</x:t>
        </x:is>
      </x:c>
      <x:c r="B668" s="49" t="inlineStr">
        <x:is>
          <x:t xml:space="preserve">def</x:t>
        </x:is>
      </x:c>
      <x:c r="C668" s="49" t="inlineStr">
        <x:is>
          <x:t xml:space="preserve">theophysics-lean-main\theophysics-lean-main\Theophysics_MaxwellTrinity.lean</x:t>
        </x:is>
      </x:c>
      <x:c r="D668" s="49" t="inlineStr">
        <x:is>
          <x:t xml:space="preserve">25</x:t>
        </x:is>
      </x:c>
      <x:c r="E668" s="49" t="inlineStr">
        <x:is>
          <x:t xml:space="preserve">DECLARATION_OR_UNKNOWN</x:t>
        </x:is>
      </x:c>
      <x:c r="F668" s="49" t="inlineStr">
        <x:is>
          <x:t xml:space="preserve">PENDING_NOT_RUN</x:t>
        </x:is>
      </x:c>
      <x:c r="G668" s="49" t="inlineStr">
        <x:is>
          <x:t xml:space="preserve">NO_SORRY_OR_ADMIT_STATIC_SCAN</x:t>
        </x:is>
      </x:c>
      <x:c r="H668" s="49" t="inlineStr">
        <x:is>
          <x:t xml:space="preserve">SCAFFOLDING_NOT_PUBLIC_COUNT</x:t>
        </x:is>
      </x:c>
      <x:c r="I668" s="49" t="inlineStr">
        <x:is>
          <x:t xml:space="preserve">3</x:t>
        </x:is>
      </x:c>
      <x:c r="L668" s="56" t="inlineStr">
        <x:is>
          <x:t xml:space="preserve">heaviside_content_loss | variable_coupling</x:t>
        </x:is>
      </x:c>
    </x:row>
    <x:row r="669" ht="15" customHeight="1">
      <x:c r="A669" s="55" t="inlineStr">
        <x:is>
          <x:t xml:space="preserve">pressureDecays</x:t>
        </x:is>
      </x:c>
      <x:c r="B669" s="49" t="inlineStr">
        <x:is>
          <x:t xml:space="preserve">def</x:t>
        </x:is>
      </x:c>
      <x:c r="C669" s="49" t="inlineStr">
        <x:is>
          <x:t xml:space="preserve">theophysics-lean-main\theophysics-lean-main\Theophysics_ChiEvaluator.lean</x:t>
        </x:is>
      </x:c>
      <x:c r="D669" s="49" t="inlineStr">
        <x:is>
          <x:t xml:space="preserve">297</x:t>
        </x:is>
      </x:c>
      <x:c r="E669" s="49" t="inlineStr">
        <x:is>
          <x:t xml:space="preserve">DECLARATION_OR_UNKNOWN</x:t>
        </x:is>
      </x:c>
      <x:c r="F669" s="49" t="inlineStr">
        <x:is>
          <x:t xml:space="preserve">PENDING_NOT_RUN</x:t>
        </x:is>
      </x:c>
      <x:c r="G669" s="49" t="inlineStr">
        <x:is>
          <x:t xml:space="preserve">NO_SORRY_OR_ADMIT_STATIC_SCAN</x:t>
        </x:is>
      </x:c>
      <x:c r="H669" s="49" t="inlineStr">
        <x:is>
          <x:t xml:space="preserve">SCAFFOLDING_NOT_PUBLIC_COUNT</x:t>
        </x:is>
      </x:c>
      <x:c r="I669" s="49" t="inlineStr">
        <x:is>
          <x:t xml:space="preserve">3</x:t>
        </x:is>
      </x:c>
      <x:c r="L669" s="56" t="n"/>
    </x:row>
    <x:row r="670" ht="15" customHeight="1">
      <x:c r="A670" s="55" t="inlineStr">
        <x:is>
          <x:t xml:space="preserve">pressureImproves</x:t>
        </x:is>
      </x:c>
      <x:c r="B670" s="49" t="inlineStr">
        <x:is>
          <x:t xml:space="preserve">def</x:t>
        </x:is>
      </x:c>
      <x:c r="C670" s="49" t="inlineStr">
        <x:is>
          <x:t xml:space="preserve">theophysics-lean-main\theophysics-lean-main\Theophysics_ChiEvaluator.lean</x:t>
        </x:is>
      </x:c>
      <x:c r="D670" s="49" t="inlineStr">
        <x:is>
          <x:t xml:space="preserve">294</x:t>
        </x:is>
      </x:c>
      <x:c r="E670" s="49" t="inlineStr">
        <x:is>
          <x:t xml:space="preserve">DECLARATION_OR_UNKNOWN</x:t>
        </x:is>
      </x:c>
      <x:c r="F670" s="49" t="inlineStr">
        <x:is>
          <x:t xml:space="preserve">PENDING_NOT_RUN</x:t>
        </x:is>
      </x:c>
      <x:c r="G670" s="49" t="inlineStr">
        <x:is>
          <x:t xml:space="preserve">NO_SORRY_OR_ADMIT_STATIC_SCAN</x:t>
        </x:is>
      </x:c>
      <x:c r="H670" s="49" t="inlineStr">
        <x:is>
          <x:t xml:space="preserve">SCAFFOLDING_NOT_PUBLIC_COUNT</x:t>
        </x:is>
      </x:c>
      <x:c r="I670" s="49" t="inlineStr">
        <x:is>
          <x:t xml:space="preserve">3</x:t>
        </x:is>
      </x:c>
      <x:c r="L670" s="56" t="n"/>
    </x:row>
    <x:row r="671" ht="15" customHeight="1">
      <x:c r="A671" s="55" t="inlineStr">
        <x:is>
          <x:t xml:space="preserve">private_innocence_fails</x:t>
        </x:is>
      </x:c>
      <x:c r="B671" s="49" t="inlineStr">
        <x:is>
          <x:t xml:space="preserve">theorem</x:t>
        </x:is>
      </x:c>
      <x:c r="C671" s="49" t="inlineStr">
        <x:is>
          <x:t xml:space="preserve">theophysics-lean-main\theophysics-lean-main\Theophysics_GodTest.lean</x:t>
        </x:is>
      </x:c>
      <x:c r="D671" s="49" t="inlineStr">
        <x:is>
          <x:t xml:space="preserve">258</x:t>
        </x:is>
      </x:c>
      <x:c r="E671" s="49" t="inlineStr">
        <x:is>
          <x:t xml:space="preserve">DEFINITIONAL_RFL</x:t>
        </x:is>
      </x:c>
      <x:c r="F671" s="49" t="inlineStr">
        <x:is>
          <x:t xml:space="preserve">PENDING_NOT_RUN</x:t>
        </x:is>
      </x:c>
      <x:c r="G671" s="49" t="inlineStr">
        <x:is>
          <x:t xml:space="preserve">NO_SORRY_OR_ADMIT_STATIC_SCAN</x:t>
        </x:is>
      </x:c>
      <x:c r="H671" s="49" t="inlineStr">
        <x:is>
          <x:t xml:space="preserve">UNIQUE_THEOREM_PENDING_COMPILE</x:t>
        </x:is>
      </x:c>
      <x:c r="I671" s="49" t="inlineStr">
        <x:is>
          <x:t xml:space="preserve">0</x:t>
        </x:is>
      </x:c>
      <x:c r="L671" s="56" t="n"/>
    </x:row>
    <x:row r="672" ht="15" customHeight="1">
      <x:c r="A672" s="55" t="inlineStr">
        <x:is>
          <x:t xml:space="preserve">productOnlyDetectsSignatureSwap</x:t>
        </x:is>
      </x:c>
      <x:c r="B672" s="49" t="inlineStr">
        <x:is>
          <x:t xml:space="preserve">def</x:t>
        </x:is>
      </x:c>
      <x:c r="C672" s="49" t="inlineStr">
        <x:is>
          <x:t xml:space="preserve">theophysics-lean-main\theophysics-lean-main\Theophysics_Adversarial.lean</x:t>
        </x:is>
      </x:c>
      <x:c r="D672" s="49" t="inlineStr">
        <x:is>
          <x:t xml:space="preserve">202</x:t>
        </x:is>
      </x:c>
      <x:c r="E672" s="49" t="inlineStr">
        <x:is>
          <x:t xml:space="preserve">DECLARATION_OR_UNKNOWN</x:t>
        </x:is>
      </x:c>
      <x:c r="F672" s="49" t="inlineStr">
        <x:is>
          <x:t xml:space="preserve">PENDING_NOT_RUN</x:t>
        </x:is>
      </x:c>
      <x:c r="G672" s="49" t="inlineStr">
        <x:is>
          <x:t xml:space="preserve">NO_SORRY_OR_ADMIT_STATIC_SCAN</x:t>
        </x:is>
      </x:c>
      <x:c r="H672" s="49" t="inlineStr">
        <x:is>
          <x:t xml:space="preserve">SCAFFOLDING_NOT_PUBLIC_COUNT</x:t>
        </x:is>
      </x:c>
      <x:c r="I672" s="49" t="inlineStr">
        <x:is>
          <x:t xml:space="preserve">3</x:t>
        </x:is>
      </x:c>
      <x:c r="L672" s="56" t="n"/>
    </x:row>
    <x:row r="673" ht="15" customHeight="1">
      <x:c r="A673" s="55" t="inlineStr">
        <x:is>
          <x:t xml:space="preserve">product_only_does_not_detect_grace_faith_swap</x:t>
        </x:is>
      </x:c>
      <x:c r="B673" s="49" t="inlineStr">
        <x:is>
          <x:t xml:space="preserve">theorem</x:t>
        </x:is>
      </x:c>
      <x:c r="C673" s="49" t="inlineStr">
        <x:is>
          <x:t xml:space="preserve">theophysics-lean-main\theophysics-lean-main\Theophysics_Adversarial.lean</x:t>
        </x:is>
      </x:c>
      <x:c r="D673" s="49" t="inlineStr">
        <x:is>
          <x:t xml:space="preserve">358</x:t>
        </x:is>
      </x:c>
      <x:c r="E673" s="49" t="inlineStr">
        <x:is>
          <x:t xml:space="preserve">DEFINITIONAL_RFL</x:t>
        </x:is>
      </x:c>
      <x:c r="F673" s="49" t="inlineStr">
        <x:is>
          <x:t xml:space="preserve">PENDING_NOT_RUN</x:t>
        </x:is>
      </x:c>
      <x:c r="G673" s="49" t="inlineStr">
        <x:is>
          <x:t xml:space="preserve">NO_SORRY_OR_ADMIT_STATIC_SCAN</x:t>
        </x:is>
      </x:c>
      <x:c r="H673" s="49" t="inlineStr">
        <x:is>
          <x:t xml:space="preserve">CANONICAL_THEOREM_DEDUPED_PENDING_COMPILE</x:t>
        </x:is>
      </x:c>
      <x:c r="I673" s="49" t="inlineStr">
        <x:is>
          <x:t xml:space="preserve">3</x:t>
        </x:is>
      </x:c>
      <x:c r="J673" s="49" t="inlineStr">
        <x:is>
          <x:t xml:space="preserve">LEAN_DERIVATION_CHAIN:46</x:t>
        </x:is>
      </x:c>
      <x:c r="K673" s="49" t="inlineStr">
        <x:is>
          <x:t xml:space="preserve">REJECTION FAILURE: Product alone is BLIND to semantic swaps. Grace↔Faith swap passes product check.</x:t>
        </x:is>
      </x:c>
      <x:c r="L673" s="56" t="n"/>
    </x:row>
    <x:row r="674" ht="15" customHeight="1">
      <x:c r="A674" s="55" t="inlineStr">
        <x:is>
          <x:t xml:space="preserve">promiseParallelWithDeathAndJudgment</x:t>
        </x:is>
      </x:c>
      <x:c r="B674" s="49" t="inlineStr">
        <x:is>
          <x:t xml:space="preserve">def</x:t>
        </x:is>
      </x:c>
      <x:c r="C674" s="49" t="inlineStr">
        <x:is>
          <x:t xml:space="preserve">theophysics-lean-main\theophysics-lean-main\Theophysics_Adversarial.lean</x:t>
        </x:is>
      </x:c>
      <x:c r="D674" s="49" t="inlineStr">
        <x:is>
          <x:t xml:space="preserve">292</x:t>
        </x:is>
      </x:c>
      <x:c r="E674" s="49" t="inlineStr">
        <x:is>
          <x:t xml:space="preserve">DECLARATION_OR_UNKNOWN</x:t>
        </x:is>
      </x:c>
      <x:c r="F674" s="49" t="inlineStr">
        <x:is>
          <x:t xml:space="preserve">PENDING_NOT_RUN</x:t>
        </x:is>
      </x:c>
      <x:c r="G674" s="49" t="inlineStr">
        <x:is>
          <x:t xml:space="preserve">NO_SORRY_OR_ADMIT_STATIC_SCAN</x:t>
        </x:is>
      </x:c>
      <x:c r="H674" s="49" t="inlineStr">
        <x:is>
          <x:t xml:space="preserve">SCAFFOLDING_NOT_PUBLIC_COUNT</x:t>
        </x:is>
      </x:c>
      <x:c r="I674" s="49" t="inlineStr">
        <x:is>
          <x:t xml:space="preserve">3</x:t>
        </x:is>
      </x:c>
      <x:c r="L674" s="56" t="n"/>
    </x:row>
    <x:row r="675" ht="15" customHeight="1">
      <x:c r="A675" s="55" t="inlineStr">
        <x:is>
          <x:t xml:space="preserve">psychologyIntegrationSignature</x:t>
        </x:is>
      </x:c>
      <x:c r="B675" s="49" t="inlineStr">
        <x:is>
          <x:t xml:space="preserve">def</x:t>
        </x:is>
      </x:c>
      <x:c r="C675" s="49" t="inlineStr">
        <x:is>
          <x:t xml:space="preserve">theophysics-lean-main\theophysics-lean-main\Theophysics_Universality.lean</x:t>
        </x:is>
      </x:c>
      <x:c r="D675" s="49" t="inlineStr">
        <x:is>
          <x:t xml:space="preserve">110</x:t>
        </x:is>
      </x:c>
      <x:c r="E675" s="49" t="inlineStr">
        <x:is>
          <x:t xml:space="preserve">DECLARATION_OR_UNKNOWN</x:t>
        </x:is>
      </x:c>
      <x:c r="F675" s="49" t="inlineStr">
        <x:is>
          <x:t xml:space="preserve">PENDING_NOT_RUN</x:t>
        </x:is>
      </x:c>
      <x:c r="G675" s="49" t="inlineStr">
        <x:is>
          <x:t xml:space="preserve">NO_SORRY_OR_ADMIT_STATIC_SCAN</x:t>
        </x:is>
      </x:c>
      <x:c r="H675" s="49" t="inlineStr">
        <x:is>
          <x:t xml:space="preserve">SCAFFOLDING_NOT_PUBLIC_COUNT</x:t>
        </x:is>
      </x:c>
      <x:c r="I675" s="49" t="inlineStr">
        <x:is>
          <x:t xml:space="preserve">0</x:t>
        </x:is>
      </x:c>
      <x:c r="L675" s="56" t="n"/>
    </x:row>
    <x:row r="676" ht="15" customHeight="1">
      <x:c r="A676" s="55" t="inlineStr">
        <x:is>
          <x:t xml:space="preserve">psychology_economics_compsci_same_cd_class</x:t>
        </x:is>
      </x:c>
      <x:c r="B676" s="49" t="inlineStr">
        <x:is>
          <x:t xml:space="preserve">theorem</x:t>
        </x:is>
      </x:c>
      <x:c r="C676" s="49" t="inlineStr">
        <x:is>
          <x:t xml:space="preserve">theophysics-lean-main\theophysics-lean-main\Theophysics_Universality.lean</x:t>
        </x:is>
      </x:c>
      <x:c r="D676" s="49" t="inlineStr">
        <x:is>
          <x:t xml:space="preserve">299</x:t>
        </x:is>
      </x:c>
      <x:c r="E676" s="49" t="inlineStr">
        <x:is>
          <x:t xml:space="preserve">WRAPPER_OR_IMPORTED</x:t>
        </x:is>
      </x:c>
      <x:c r="F676" s="49" t="inlineStr">
        <x:is>
          <x:t xml:space="preserve">PENDING_NOT_RUN</x:t>
        </x:is>
      </x:c>
      <x:c r="G676" s="49" t="inlineStr">
        <x:is>
          <x:t xml:space="preserve">NO_SORRY_OR_ADMIT_STATIC_SCAN</x:t>
        </x:is>
      </x:c>
      <x:c r="H676" s="49" t="inlineStr">
        <x:is>
          <x:t xml:space="preserve">UNIQUE_THEOREM_PENDING_COMPILE</x:t>
        </x:is>
      </x:c>
      <x:c r="I676" s="49" t="inlineStr">
        <x:is>
          <x:t xml:space="preserve">0</x:t>
        </x:is>
      </x:c>
      <x:c r="L676" s="56" t="n"/>
    </x:row>
    <x:row r="677" ht="15" customHeight="1">
      <x:c r="A677" s="55" t="inlineStr">
        <x:is>
          <x:t xml:space="preserve">psychology_integration_is_strong_cd_class</x:t>
        </x:is>
      </x:c>
      <x:c r="B677" s="49" t="inlineStr">
        <x:is>
          <x:t xml:space="preserve">theorem</x:t>
        </x:is>
      </x:c>
      <x:c r="C677" s="49" t="inlineStr">
        <x:is>
          <x:t xml:space="preserve">theophysics-lean-main\theophysics-lean-main\Theophysics_Universality.lean</x:t>
        </x:is>
      </x:c>
      <x:c r="D677" s="49" t="inlineStr">
        <x:is>
          <x:t xml:space="preserve">245</x:t>
        </x:is>
      </x:c>
      <x:c r="E677" s="49" t="inlineStr">
        <x:is>
          <x:t xml:space="preserve">DEFINITIONAL_RFL</x:t>
        </x:is>
      </x:c>
      <x:c r="F677" s="49" t="inlineStr">
        <x:is>
          <x:t xml:space="preserve">PENDING_NOT_RUN</x:t>
        </x:is>
      </x:c>
      <x:c r="G677" s="49" t="inlineStr">
        <x:is>
          <x:t xml:space="preserve">NO_SORRY_OR_ADMIT_STATIC_SCAN</x:t>
        </x:is>
      </x:c>
      <x:c r="H677" s="49" t="inlineStr">
        <x:is>
          <x:t xml:space="preserve">UNIQUE_THEOREM_PENDING_COMPILE</x:t>
        </x:is>
      </x:c>
      <x:c r="I677" s="49" t="inlineStr">
        <x:is>
          <x:t xml:space="preserve">0</x:t>
        </x:is>
      </x:c>
      <x:c r="L677" s="56" t="n"/>
    </x:row>
    <x:row r="678" ht="15" customHeight="1">
      <x:c r="A678" s="55" t="inlineStr">
        <x:is>
          <x:t xml:space="preserve">pureRepairWithoutReturn</x:t>
        </x:is>
      </x:c>
      <x:c r="B678" s="49" t="inlineStr">
        <x:is>
          <x:t xml:space="preserve">def</x:t>
        </x:is>
      </x:c>
      <x:c r="C678" s="49" t="inlineStr">
        <x:is>
          <x:t xml:space="preserve">Faith-Thru-Physics-Lean-4--main\Faith-Thru-Physics-Lean-4--main\Theophysics_NegativeInventory.lean</x:t>
        </x:is>
      </x:c>
      <x:c r="D678" s="49" t="inlineStr">
        <x:is>
          <x:t xml:space="preserve">226</x:t>
        </x:is>
      </x:c>
      <x:c r="E678" s="49" t="inlineStr">
        <x:is>
          <x:t xml:space="preserve">DECLARATION_OR_UNKNOWN</x:t>
        </x:is>
      </x:c>
      <x:c r="F678" s="49" t="inlineStr">
        <x:is>
          <x:t xml:space="preserve">PENDING_NOT_RUN</x:t>
        </x:is>
      </x:c>
      <x:c r="G678" s="49" t="inlineStr">
        <x:is>
          <x:t xml:space="preserve">NO_SORRY_OR_ADMIT_STATIC_SCAN</x:t>
        </x:is>
      </x:c>
      <x:c r="H678" s="49" t="inlineStr">
        <x:is>
          <x:t xml:space="preserve">SCAFFOLDING_NOT_PUBLIC_COUNT</x:t>
        </x:is>
      </x:c>
      <x:c r="I678" s="49" t="inlineStr">
        <x:is>
          <x:t xml:space="preserve">0</x:t>
        </x:is>
      </x:c>
      <x:c r="L678" s="56" t="n"/>
    </x:row>
    <x:row r="679" ht="15" customHeight="1">
      <x:c r="A679" s="55" t="inlineStr">
        <x:is>
          <x:t xml:space="preserve">pure_repair_without_return_rejected</x:t>
        </x:is>
      </x:c>
      <x:c r="B679" s="49" t="inlineStr">
        <x:is>
          <x:t xml:space="preserve">theorem</x:t>
        </x:is>
      </x:c>
      <x:c r="C679" s="49" t="inlineStr">
        <x:is>
          <x:t xml:space="preserve">Faith-Thru-Physics-Lean-4--main\Faith-Thru-Physics-Lean-4--main\Theophysics_NegativeInventory.lean</x:t>
        </x:is>
      </x:c>
      <x:c r="D679" s="49" t="inlineStr">
        <x:is>
          <x:t xml:space="preserve">241</x:t>
        </x:is>
      </x:c>
      <x:c r="E679" s="49" t="inlineStr">
        <x:is>
          <x:t xml:space="preserve">FINITE_DECIDABLE</x:t>
        </x:is>
      </x:c>
      <x:c r="F679" s="49" t="inlineStr">
        <x:is>
          <x:t xml:space="preserve">PENDING_NOT_RUN</x:t>
        </x:is>
      </x:c>
      <x:c r="G679" s="49" t="inlineStr">
        <x:is>
          <x:t xml:space="preserve">NO_SORRY_OR_ADMIT_STATIC_SCAN</x:t>
        </x:is>
      </x:c>
      <x:c r="H679" s="49" t="inlineStr">
        <x:is>
          <x:t xml:space="preserve">UNIQUE_THEOREM_PENDING_COMPILE</x:t>
        </x:is>
      </x:c>
      <x:c r="I679" s="49" t="inlineStr">
        <x:is>
          <x:t xml:space="preserve">0</x:t>
        </x:is>
      </x:c>
      <x:c r="J679" s="49" t="inlineStr">
        <x:is>
          <x:t xml:space="preserve">LEAN_DERIVATION_CHAIN:234</x:t>
        </x:is>
      </x:c>
      <x:c r="K679" s="49" t="inlineStr">
        <x:is>
          <x:t xml:space="preserve">Repair-in-place with no return structure is not resurrection</x:t>
        </x:is>
      </x:c>
      <x:c r="L679" s="56" t="n"/>
    </x:row>
    <x:row r="680" ht="15" customHeight="1">
      <x:c r="A680" s="55" t="inlineStr">
        <x:is>
          <x:t xml:space="preserve">q_zero_kills_chi</x:t>
        </x:is>
      </x:c>
      <x:c r="B680" s="49" t="inlineStr">
        <x:is>
          <x:t xml:space="preserve">theorem</x:t>
        </x:is>
      </x:c>
      <x:c r="C680" s="49" t="inlineStr">
        <x:is>
          <x:t xml:space="preserve">theophysics-lean-main\theophysics-lean-main\Theophysics_Core.lean</x:t>
        </x:is>
      </x:c>
      <x:c r="D680" s="49" t="inlineStr">
        <x:is>
          <x:t xml:space="preserve">250</x:t>
        </x:is>
      </x:c>
      <x:c r="E680" s="49" t="inlineStr">
        <x:is>
          <x:t xml:space="preserve">DECLARATION_OR_UNKNOWN</x:t>
        </x:is>
      </x:c>
      <x:c r="F680" s="49" t="inlineStr">
        <x:is>
          <x:t xml:space="preserve">PENDING_NOT_RUN</x:t>
        </x:is>
      </x:c>
      <x:c r="G680" s="49" t="inlineStr">
        <x:is>
          <x:t xml:space="preserve">NO_SORRY_OR_ADMIT_STATIC_SCAN</x:t>
        </x:is>
      </x:c>
      <x:c r="H680" s="49" t="inlineStr">
        <x:is>
          <x:t xml:space="preserve">CANONICAL_THEOREM_DEDUPED_PENDING_COMPILE</x:t>
        </x:is>
      </x:c>
      <x:c r="I680" s="49" t="inlineStr">
        <x:is>
          <x:t xml:space="preserve">3</x:t>
        </x:is>
      </x:c>
      <x:c r="L680" s="56" t="n"/>
    </x:row>
    <x:row r="681" ht="15" customHeight="1">
      <x:c r="A681" s="55" t="inlineStr">
        <x:is>
          <x:t xml:space="preserve">quantumSignature</x:t>
        </x:is>
      </x:c>
      <x:c r="B681" s="49" t="inlineStr">
        <x:is>
          <x:t xml:space="preserve">def</x:t>
        </x:is>
      </x:c>
      <x:c r="C681" s="49" t="inlineStr">
        <x:is>
          <x:t xml:space="preserve">theophysics-lean-main\theophysics-lean-main\Theophysics_Universality.lean</x:t>
        </x:is>
      </x:c>
      <x:c r="D681" s="49" t="inlineStr">
        <x:is>
          <x:t xml:space="preserve">65</x:t>
        </x:is>
      </x:c>
      <x:c r="E681" s="49" t="inlineStr">
        <x:is>
          <x:t xml:space="preserve">DECLARATION_OR_UNKNOWN</x:t>
        </x:is>
      </x:c>
      <x:c r="F681" s="49" t="inlineStr">
        <x:is>
          <x:t xml:space="preserve">PENDING_NOT_RUN</x:t>
        </x:is>
      </x:c>
      <x:c r="G681" s="49" t="inlineStr">
        <x:is>
          <x:t xml:space="preserve">NO_SORRY_OR_ADMIT_STATIC_SCAN</x:t>
        </x:is>
      </x:c>
      <x:c r="H681" s="49" t="inlineStr">
        <x:is>
          <x:t xml:space="preserve">SCAFFOLDING_NOT_PUBLIC_COUNT</x:t>
        </x:is>
      </x:c>
      <x:c r="I681" s="49" t="inlineStr">
        <x:is>
          <x:t xml:space="preserve">0</x:t>
        </x:is>
      </x:c>
      <x:c r="L681" s="56" t="n"/>
    </x:row>
    <x:row r="682" ht="15" customHeight="1">
      <x:c r="A682" s="55" t="inlineStr">
        <x:is>
          <x:t xml:space="preserve">quantum_control_system_same_cd_class</x:t>
        </x:is>
      </x:c>
      <x:c r="B682" s="49" t="inlineStr">
        <x:is>
          <x:t xml:space="preserve">theorem</x:t>
        </x:is>
      </x:c>
      <x:c r="C682" s="49" t="inlineStr">
        <x:is>
          <x:t xml:space="preserve">theophysics-lean-main\theophysics-lean-main\Theophysics_Universality.lean</x:t>
        </x:is>
      </x:c>
      <x:c r="D682" s="49" t="inlineStr">
        <x:is>
          <x:t xml:space="preserve">281</x:t>
        </x:is>
      </x:c>
      <x:c r="E682" s="49" t="inlineStr">
        <x:is>
          <x:t xml:space="preserve">WRAPPER_OR_IMPORTED</x:t>
        </x:is>
      </x:c>
      <x:c r="F682" s="49" t="inlineStr">
        <x:is>
          <x:t xml:space="preserve">PENDING_NOT_RUN</x:t>
        </x:is>
      </x:c>
      <x:c r="G682" s="49" t="inlineStr">
        <x:is>
          <x:t xml:space="preserve">NO_SORRY_OR_ADMIT_STATIC_SCAN</x:t>
        </x:is>
      </x:c>
      <x:c r="H682" s="49" t="inlineStr">
        <x:is>
          <x:t xml:space="preserve">UNIQUE_THEOREM_PENDING_COMPILE</x:t>
        </x:is>
      </x:c>
      <x:c r="I682" s="49" t="inlineStr">
        <x:is>
          <x:t xml:space="preserve">0</x:t>
        </x:is>
      </x:c>
      <x:c r="L682" s="56" t="n"/>
    </x:row>
    <x:row r="683" ht="15" customHeight="1">
      <x:c r="A683" s="55" t="inlineStr">
        <x:is>
          <x:t xml:space="preserve">quantum_is_strong_cd_class</x:t>
        </x:is>
      </x:c>
      <x:c r="B683" s="49" t="inlineStr">
        <x:is>
          <x:t xml:space="preserve">theorem</x:t>
        </x:is>
      </x:c>
      <x:c r="C683" s="49" t="inlineStr">
        <x:is>
          <x:t xml:space="preserve">theophysics-lean-main\theophysics-lean-main\Theophysics_Universality.lean</x:t>
        </x:is>
      </x:c>
      <x:c r="D683" s="49" t="inlineStr">
        <x:is>
          <x:t xml:space="preserve">225</x:t>
        </x:is>
      </x:c>
      <x:c r="E683" s="49" t="inlineStr">
        <x:is>
          <x:t xml:space="preserve">DEFINITIONAL_RFL</x:t>
        </x:is>
      </x:c>
      <x:c r="F683" s="49" t="inlineStr">
        <x:is>
          <x:t xml:space="preserve">PENDING_NOT_RUN</x:t>
        </x:is>
      </x:c>
      <x:c r="G683" s="49" t="inlineStr">
        <x:is>
          <x:t xml:space="preserve">NO_SORRY_OR_ADMIT_STATIC_SCAN</x:t>
        </x:is>
      </x:c>
      <x:c r="H683" s="49" t="inlineStr">
        <x:is>
          <x:t xml:space="preserve">UNIQUE_THEOREM_PENDING_COMPILE</x:t>
        </x:is>
      </x:c>
      <x:c r="I683" s="49" t="inlineStr">
        <x:is>
          <x:t xml:space="preserve">0</x:t>
        </x:is>
      </x:c>
      <x:c r="L683" s="56" t="n"/>
    </x:row>
    <x:row r="684" ht="15" customHeight="1">
      <x:c r="A684" s="55" t="inlineStr">
        <x:is>
          <x:t xml:space="preserve">quantum_relativity_same_cd_class</x:t>
        </x:is>
      </x:c>
      <x:c r="B684" s="49" t="inlineStr">
        <x:is>
          <x:t xml:space="preserve">theorem</x:t>
        </x:is>
      </x:c>
      <x:c r="C684" s="49" t="inlineStr">
        <x:is>
          <x:t xml:space="preserve">theophysics-lean-main\theophysics-lean-main\Theophysics_Universality.lean</x:t>
        </x:is>
      </x:c>
      <x:c r="D684" s="49" t="inlineStr">
        <x:is>
          <x:t xml:space="preserve">273</x:t>
        </x:is>
      </x:c>
      <x:c r="E684" s="49" t="inlineStr">
        <x:is>
          <x:t xml:space="preserve">WRAPPER_OR_IMPORTED</x:t>
        </x:is>
      </x:c>
      <x:c r="F684" s="49" t="inlineStr">
        <x:is>
          <x:t xml:space="preserve">PENDING_NOT_RUN</x:t>
        </x:is>
      </x:c>
      <x:c r="G684" s="49" t="inlineStr">
        <x:is>
          <x:t xml:space="preserve">NO_SORRY_OR_ADMIT_STATIC_SCAN</x:t>
        </x:is>
      </x:c>
      <x:c r="H684" s="49" t="inlineStr">
        <x:is>
          <x:t xml:space="preserve">UNIQUE_THEOREM_PENDING_COMPILE</x:t>
        </x:is>
      </x:c>
      <x:c r="I684" s="49" t="inlineStr">
        <x:is>
          <x:t xml:space="preserve">0</x:t>
        </x:is>
      </x:c>
      <x:c r="L684" s="56" t="n"/>
    </x:row>
    <x:row r="685" ht="15" customHeight="1">
      <x:c r="A685" s="55" t="inlineStr">
        <x:is>
          <x:t xml:space="preserve">quaternionEM_valid</x:t>
        </x:is>
      </x:c>
      <x:c r="B685" s="49" t="inlineStr">
        <x:is>
          <x:t xml:space="preserve">theorem</x:t>
        </x:is>
      </x:c>
      <x:c r="C685" s="49" t="inlineStr">
        <x:is>
          <x:t xml:space="preserve">theophysics-lean-main\theophysics-lean-main\Theophysics_Core.lean</x:t>
        </x:is>
      </x:c>
      <x:c r="D685" s="49" t="inlineStr">
        <x:is>
          <x:t xml:space="preserve">224</x:t>
        </x:is>
      </x:c>
      <x:c r="E685" s="49" t="inlineStr">
        <x:is>
          <x:t xml:space="preserve">DECLARATION_OR_UNKNOWN</x:t>
        </x:is>
      </x:c>
      <x:c r="F685" s="49" t="inlineStr">
        <x:is>
          <x:t xml:space="preserve">PENDING_NOT_RUN</x:t>
        </x:is>
      </x:c>
      <x:c r="G685" s="49" t="inlineStr">
        <x:is>
          <x:t xml:space="preserve">NO_SORRY_OR_ADMIT_STATIC_SCAN</x:t>
        </x:is>
      </x:c>
      <x:c r="H685" s="49" t="inlineStr">
        <x:is>
          <x:t xml:space="preserve">CANONICAL_THEOREM_DEDUPED_PENDING_COMPILE</x:t>
        </x:is>
      </x:c>
      <x:c r="I685" s="49" t="inlineStr">
        <x:is>
          <x:t xml:space="preserve">4</x:t>
        </x:is>
      </x:c>
      <x:c r="J685" s="49" t="inlineStr">
        <x:is>
          <x:t xml:space="preserve">LEAN_DERIVATION_CHAIN:99</x:t>
        </x:is>
      </x:c>
      <x:c r="K685" s="49" t="inlineStr">
        <x:is>
          <x:t xml:space="preserve">Quaternion EM model passes all 5 ValidTriadic conditions</x:t>
        </x:is>
      </x:c>
      <x:c r="L685" s="56" t="inlineStr">
        <x:is>
          <x:t xml:space="preserve">load_bearing_controls | variable_coupling</x:t>
        </x:is>
      </x:c>
    </x:row>
    <x:row r="686" ht="15" customHeight="1">
      <x:c r="A686" s="55" t="inlineStr">
        <x:is>
          <x:t xml:space="preserve">quaternionTrinityIso</x:t>
        </x:is>
      </x:c>
      <x:c r="B686" s="49" t="inlineStr">
        <x:is>
          <x:t xml:space="preserve">theorem</x:t>
        </x:is>
      </x:c>
      <x:c r="C686" s="49" t="inlineStr">
        <x:is>
          <x:t xml:space="preserve">theophysics-lean-main\theophysics-lean-main\Theophysics_Core.lean</x:t>
        </x:is>
      </x:c>
      <x:c r="D686" s="49" t="inlineStr">
        <x:is>
          <x:t xml:space="preserve">228</x:t>
        </x:is>
      </x:c>
      <x:c r="E686" s="49" t="inlineStr">
        <x:is>
          <x:t xml:space="preserve">DECLARATION_OR_UNKNOWN</x:t>
        </x:is>
      </x:c>
      <x:c r="F686" s="49" t="inlineStr">
        <x:is>
          <x:t xml:space="preserve">PENDING_NOT_RUN</x:t>
        </x:is>
      </x:c>
      <x:c r="G686" s="49" t="inlineStr">
        <x:is>
          <x:t xml:space="preserve">NO_SORRY_OR_ADMIT_STATIC_SCAN</x:t>
        </x:is>
      </x:c>
      <x:c r="H686" s="49" t="inlineStr">
        <x:is>
          <x:t xml:space="preserve">CANONICAL_THEOREM_DEDUPED_PENDING_COMPILE</x:t>
        </x:is>
      </x:c>
      <x:c r="I686" s="49" t="inlineStr">
        <x:is>
          <x:t xml:space="preserve">4</x:t>
        </x:is>
      </x:c>
      <x:c r="J686" s="49" t="inlineStr">
        <x:is>
          <x:t xml:space="preserve">LEAN_DERIVATION_CHAIN:101</x:t>
        </x:is>
      </x:c>
      <x:c r="K686" s="49" t="inlineStr">
        <x:is>
          <x:t xml:space="preserve">Quaternion EM ≅ Trinity (TriadicIso — full structural isomorphism)</x:t>
        </x:is>
      </x:c>
      <x:c r="L686" s="56" t="inlineStr">
        <x:is>
          <x:t xml:space="preserve">load_bearing_controls | variable_coupling</x:t>
        </x:is>
      </x:c>
    </x:row>
    <x:row r="687" ht="15" customHeight="1">
      <x:c r="A687" s="55" t="inlineStr">
        <x:is>
          <x:t xml:space="preserve">quaternion_preserves_coupling_invariant</x:t>
        </x:is>
      </x:c>
      <x:c r="B687" s="49" t="inlineStr">
        <x:is>
          <x:t xml:space="preserve">theorem</x:t>
        </x:is>
      </x:c>
      <x:c r="C687" s="49" t="inlineStr">
        <x:is>
          <x:t xml:space="preserve">theophysics-lean-main\theophysics-lean-main\Theophysics_MaxwellTrinity.lean</x:t>
        </x:is>
      </x:c>
      <x:c r="D687" s="49" t="inlineStr">
        <x:is>
          <x:t xml:space="preserve">36</x:t>
        </x:is>
      </x:c>
      <x:c r="E687" s="49" t="inlineStr">
        <x:is>
          <x:t xml:space="preserve">DEFINITIONAL_RFL</x:t>
        </x:is>
      </x:c>
      <x:c r="F687" s="49" t="inlineStr">
        <x:is>
          <x:t xml:space="preserve">PENDING_NOT_RUN</x:t>
        </x:is>
      </x:c>
      <x:c r="G687" s="49" t="inlineStr">
        <x:is>
          <x:t xml:space="preserve">NO_SORRY_OR_ADMIT_STATIC_SCAN</x:t>
        </x:is>
      </x:c>
      <x:c r="H687" s="49" t="inlineStr">
        <x:is>
          <x:t xml:space="preserve">UNIQUE_THEOREM_PENDING_COMPILE</x:t>
        </x:is>
      </x:c>
      <x:c r="I687" s="49" t="inlineStr">
        <x:is>
          <x:t xml:space="preserve">0</x:t>
        </x:is>
      </x:c>
      <x:c r="L687" s="56" t="inlineStr">
        <x:is>
          <x:t xml:space="preserve">heaviside_content_loss | load_bearing_controls | variable_coupling</x:t>
        </x:is>
      </x:c>
    </x:row>
    <x:row r="688" ht="15" customHeight="1">
      <x:c r="A688" s="55" t="inlineStr">
        <x:is>
          <x:t xml:space="preserve">quaternion_trinity_structure_valid</x:t>
        </x:is>
      </x:c>
      <x:c r="B688" s="49" t="inlineStr">
        <x:is>
          <x:t xml:space="preserve">theorem</x:t>
        </x:is>
      </x:c>
      <x:c r="C688" s="49" t="inlineStr">
        <x:is>
          <x:t xml:space="preserve">theophysics-lean-main\theophysics-lean-main\Theophysics_MaxwellTrinity.lean</x:t>
        </x:is>
      </x:c>
      <x:c r="D688" s="49" t="inlineStr">
        <x:is>
          <x:t xml:space="preserve">40</x:t>
        </x:is>
      </x:c>
      <x:c r="E688" s="49" t="inlineStr">
        <x:is>
          <x:t xml:space="preserve">DEFINITIONAL_RFL</x:t>
        </x:is>
      </x:c>
      <x:c r="F688" s="49" t="inlineStr">
        <x:is>
          <x:t xml:space="preserve">PENDING_NOT_RUN</x:t>
        </x:is>
      </x:c>
      <x:c r="G688" s="49" t="inlineStr">
        <x:is>
          <x:t xml:space="preserve">NO_SORRY_OR_ADMIT_STATIC_SCAN</x:t>
        </x:is>
      </x:c>
      <x:c r="H688" s="49" t="inlineStr">
        <x:is>
          <x:t xml:space="preserve">UNIQUE_THEOREM_PENDING_COMPILE</x:t>
        </x:is>
      </x:c>
      <x:c r="I688" s="49" t="inlineStr">
        <x:is>
          <x:t xml:space="preserve">0</x:t>
        </x:is>
      </x:c>
      <x:c r="L688" s="56" t="inlineStr">
        <x:is>
          <x:t xml:space="preserve">load_bearing_controls | variable_coupling</x:t>
        </x:is>
      </x:c>
    </x:row>
    <x:row r="689" ht="15" customHeight="1">
      <x:c r="A689" s="55" t="inlineStr">
        <x:is>
          <x:t xml:space="preserve">r_zero_kills_chi</x:t>
        </x:is>
      </x:c>
      <x:c r="B689" s="49" t="inlineStr">
        <x:is>
          <x:t xml:space="preserve">theorem</x:t>
        </x:is>
      </x:c>
      <x:c r="C689" s="49" t="inlineStr">
        <x:is>
          <x:t xml:space="preserve">theophysics-lean-main\theophysics-lean-main\Theophysics_Core.lean</x:t>
        </x:is>
      </x:c>
      <x:c r="D689" s="49" t="inlineStr">
        <x:is>
          <x:t xml:space="preserve">257</x:t>
        </x:is>
      </x:c>
      <x:c r="E689" s="49" t="inlineStr">
        <x:is>
          <x:t xml:space="preserve">DECLARATION_OR_UNKNOWN</x:t>
        </x:is>
      </x:c>
      <x:c r="F689" s="49" t="inlineStr">
        <x:is>
          <x:t xml:space="preserve">PENDING_NOT_RUN</x:t>
        </x:is>
      </x:c>
      <x:c r="G689" s="49" t="inlineStr">
        <x:is>
          <x:t xml:space="preserve">NO_SORRY_OR_ADMIT_STATIC_SCAN</x:t>
        </x:is>
      </x:c>
      <x:c r="H689" s="49" t="inlineStr">
        <x:is>
          <x:t xml:space="preserve">CANONICAL_THEOREM_DEDUPED_PENDING_COMPILE</x:t>
        </x:is>
      </x:c>
      <x:c r="I689" s="49" t="inlineStr">
        <x:is>
          <x:t xml:space="preserve">3</x:t>
        </x:is>
      </x:c>
      <x:c r="L689" s="56" t="n"/>
    </x:row>
    <x:row r="690" ht="15" customHeight="1">
      <x:c r="A690" s="55" t="inlineStr">
        <x:is>
          <x:t xml:space="preserve">randomGap</x:t>
        </x:is>
      </x:c>
      <x:c r="B690" s="49" t="inlineStr">
        <x:is>
          <x:t xml:space="preserve">def</x:t>
        </x:is>
      </x:c>
      <x:c r="C690" s="49" t="inlineStr">
        <x:is>
          <x:t xml:space="preserve">theophysics-lean-main\theophysics-lean-main\Theophysics_Fracture.lean</x:t>
        </x:is>
      </x:c>
      <x:c r="D690" s="49" t="inlineStr">
        <x:is>
          <x:t xml:space="preserve">43</x:t>
        </x:is>
      </x:c>
      <x:c r="E690" s="49" t="inlineStr">
        <x:is>
          <x:t xml:space="preserve">DECLARATION_OR_UNKNOWN</x:t>
        </x:is>
      </x:c>
      <x:c r="F690" s="49" t="inlineStr">
        <x:is>
          <x:t xml:space="preserve">PENDING_NOT_RUN</x:t>
        </x:is>
      </x:c>
      <x:c r="G690" s="49" t="inlineStr">
        <x:is>
          <x:t xml:space="preserve">NO_SORRY_OR_ADMIT_STATIC_SCAN</x:t>
        </x:is>
      </x:c>
      <x:c r="H690" s="49" t="inlineStr">
        <x:is>
          <x:t xml:space="preserve">SCAFFOLDING_NOT_PUBLIC_COUNT</x:t>
        </x:is>
      </x:c>
      <x:c r="I690" s="49" t="inlineStr">
        <x:is>
          <x:t xml:space="preserve">3</x:t>
        </x:is>
      </x:c>
      <x:c r="L690" s="56" t="n"/>
    </x:row>
    <x:row r="691" ht="15" customHeight="1">
      <x:c r="A691" s="55" t="inlineStr">
        <x:is>
          <x:t xml:space="preserve">random_gap_is_not_structured_scar</x:t>
        </x:is>
      </x:c>
      <x:c r="B691" s="49" t="inlineStr">
        <x:is>
          <x:t xml:space="preserve">theorem</x:t>
        </x:is>
      </x:c>
      <x:c r="C691" s="49" t="inlineStr">
        <x:is>
          <x:t xml:space="preserve">theophysics-lean-main\theophysics-lean-main\Theophysics_Fracture.lean</x:t>
        </x:is>
      </x:c>
      <x:c r="D691" s="49" t="inlineStr">
        <x:is>
          <x:t xml:space="preserve">102</x:t>
        </x:is>
      </x:c>
      <x:c r="E691" s="49" t="inlineStr">
        <x:is>
          <x:t xml:space="preserve">DEFINITIONAL_RFL</x:t>
        </x:is>
      </x:c>
      <x:c r="F691" s="49" t="inlineStr">
        <x:is>
          <x:t xml:space="preserve">PENDING_NOT_RUN</x:t>
        </x:is>
      </x:c>
      <x:c r="G691" s="49" t="inlineStr">
        <x:is>
          <x:t xml:space="preserve">NO_SORRY_OR_ADMIT_STATIC_SCAN</x:t>
        </x:is>
      </x:c>
      <x:c r="H691" s="49" t="inlineStr">
        <x:is>
          <x:t xml:space="preserve">CANONICAL_THEOREM_DEDUPED_PENDING_COMPILE</x:t>
        </x:is>
      </x:c>
      <x:c r="I691" s="49" t="inlineStr">
        <x:is>
          <x:t xml:space="preserve">3</x:t>
        </x:is>
      </x:c>
      <x:c r="L691" s="56" t="n"/>
    </x:row>
    <x:row r="692" ht="15" customHeight="1">
      <x:c r="A692" s="55" t="inlineStr">
        <x:is>
          <x:t xml:space="preserve">rawChi</x:t>
        </x:is>
      </x:c>
      <x:c r="B692" s="49" t="inlineStr">
        <x:is>
          <x:t xml:space="preserve">def</x:t>
        </x:is>
      </x:c>
      <x:c r="C692" s="49" t="inlineStr">
        <x:is>
          <x:t xml:space="preserve">Lean-4-Proofs-main\Lean-4-Proofs-main\theophysics-lean-verification-package\TheophysicsProductionKernel.lean</x:t>
        </x:is>
      </x:c>
      <x:c r="D692" s="49" t="inlineStr">
        <x:is>
          <x:t xml:space="preserve">261</x:t>
        </x:is>
      </x:c>
      <x:c r="E692" s="49" t="inlineStr">
        <x:is>
          <x:t xml:space="preserve">DECLARATION_OR_UNKNOWN</x:t>
        </x:is>
      </x:c>
      <x:c r="F692" s="49" t="inlineStr">
        <x:is>
          <x:t xml:space="preserve">PENDING_NOT_RUN</x:t>
        </x:is>
      </x:c>
      <x:c r="G692" s="49" t="inlineStr">
        <x:is>
          <x:t xml:space="preserve">NO_SORRY_OR_ADMIT_STATIC_SCAN</x:t>
        </x:is>
      </x:c>
      <x:c r="H692" s="49" t="inlineStr">
        <x:is>
          <x:t xml:space="preserve">SCAFFOLDING_NOT_PUBLIC_COUNT</x:t>
        </x:is>
      </x:c>
      <x:c r="I692" s="49" t="inlineStr">
        <x:is>
          <x:t xml:space="preserve">0</x:t>
        </x:is>
      </x:c>
      <x:c r="L692" s="56" t="n"/>
    </x:row>
    <x:row r="693" ht="15" customHeight="1">
      <x:c r="A693" s="55" t="inlineStr">
        <x:is>
          <x:t xml:space="preserve">rawChi_nonzero_if_all_factors_nonzero</x:t>
        </x:is>
      </x:c>
      <x:c r="B693" s="49" t="inlineStr">
        <x:is>
          <x:t xml:space="preserve">theorem</x:t>
        </x:is>
      </x:c>
      <x:c r="C693" s="49" t="inlineStr">
        <x:is>
          <x:t xml:space="preserve">Lean-4-Proofs-main\Lean-4-Proofs-main\theophysics-lean-verification-package\TheophysicsProductionKernel.lean</x:t>
        </x:is>
      </x:c>
      <x:c r="D693" s="49" t="inlineStr">
        <x:is>
          <x:t xml:space="preserve">281</x:t>
        </x:is>
      </x:c>
      <x:c r="E693" s="49" t="inlineStr">
        <x:is>
          <x:t xml:space="preserve">WRAPPER_OR_IMPORTED</x:t>
        </x:is>
      </x:c>
      <x:c r="F693" s="49" t="inlineStr">
        <x:is>
          <x:t xml:space="preserve">PENDING_NOT_RUN</x:t>
        </x:is>
      </x:c>
      <x:c r="G693" s="49" t="inlineStr">
        <x:is>
          <x:t xml:space="preserve">NO_SORRY_OR_ADMIT_STATIC_SCAN</x:t>
        </x:is>
      </x:c>
      <x:c r="H693" s="49" t="inlineStr">
        <x:is>
          <x:t xml:space="preserve">UNIQUE_THEOREM_PENDING_COMPILE</x:t>
        </x:is>
      </x:c>
      <x:c r="I693" s="49" t="inlineStr">
        <x:is>
          <x:t xml:space="preserve">0</x:t>
        </x:is>
      </x:c>
      <x:c r="L693" s="56" t="n"/>
    </x:row>
    <x:row r="694" ht="15" customHeight="1">
      <x:c r="A694" s="55" t="inlineStr">
        <x:is>
          <x:t xml:space="preserve">rawChi_zero_iff</x:t>
        </x:is>
      </x:c>
      <x:c r="B694" s="49" t="inlineStr">
        <x:is>
          <x:t xml:space="preserve">theorem</x:t>
        </x:is>
      </x:c>
      <x:c r="C694" s="49" t="inlineStr">
        <x:is>
          <x:t xml:space="preserve">Lean-4-Proofs-main\Lean-4-Proofs-main\theophysics-lean-verification-package\TheophysicsProductionKernel.lean</x:t>
        </x:is>
      </x:c>
      <x:c r="D694" s="49" t="inlineStr">
        <x:is>
          <x:t xml:space="preserve">269</x:t>
        </x:is>
      </x:c>
      <x:c r="E694" s="49" t="inlineStr">
        <x:is>
          <x:t xml:space="preserve">DECLARATION_OR_UNKNOWN</x:t>
        </x:is>
      </x:c>
      <x:c r="F694" s="49" t="inlineStr">
        <x:is>
          <x:t xml:space="preserve">PENDING_NOT_RUN</x:t>
        </x:is>
      </x:c>
      <x:c r="G694" s="49" t="inlineStr">
        <x:is>
          <x:t xml:space="preserve">NO_SORRY_OR_ADMIT_STATIC_SCAN</x:t>
        </x:is>
      </x:c>
      <x:c r="H694" s="49" t="inlineStr">
        <x:is>
          <x:t xml:space="preserve">UNIQUE_THEOREM_PENDING_COMPILE</x:t>
        </x:is>
      </x:c>
      <x:c r="I694" s="49" t="inlineStr">
        <x:is>
          <x:t xml:space="preserve">0</x:t>
        </x:is>
      </x:c>
      <x:c r="L694" s="56" t="n"/>
    </x:row>
    <x:row r="695" ht="15" customHeight="1">
      <x:c r="A695" s="55" t="inlineStr">
        <x:is>
          <x:t xml:space="preserve">rawM_can_make_chi_negative</x:t>
        </x:is>
      </x:c>
      <x:c r="B695" s="49" t="inlineStr">
        <x:is>
          <x:t xml:space="preserve">theorem</x:t>
        </x:is>
      </x:c>
      <x:c r="C695" s="49" t="inlineStr">
        <x:is>
          <x:t xml:space="preserve">Lean-4-Proofs-main\Lean-4-Proofs-main\theophysics-lean-verification-package\narrow_product_test\NarrowProductTest\Basic.lean</x:t>
        </x:is>
      </x:c>
      <x:c r="D695" s="49" t="inlineStr">
        <x:is>
          <x:t xml:space="preserve">175</x:t>
        </x:is>
      </x:c>
      <x:c r="E695" s="49" t="inlineStr">
        <x:is>
          <x:t xml:space="preserve">WRAPPER_OR_IMPORTED</x:t>
        </x:is>
      </x:c>
      <x:c r="F695" s="49" t="inlineStr">
        <x:is>
          <x:t xml:space="preserve">PENDING_NOT_RUN</x:t>
        </x:is>
      </x:c>
      <x:c r="G695" s="49" t="inlineStr">
        <x:is>
          <x:t xml:space="preserve">NO_SORRY_OR_ADMIT_STATIC_SCAN</x:t>
        </x:is>
      </x:c>
      <x:c r="H695" s="49" t="inlineStr">
        <x:is>
          <x:t xml:space="preserve">UNIQUE_THEOREM_PENDING_COMPILE</x:t>
        </x:is>
      </x:c>
      <x:c r="I695" s="49" t="inlineStr">
        <x:is>
          <x:t xml:space="preserve">0</x:t>
        </x:is>
      </x:c>
      <x:c r="L695" s="56" t="n"/>
    </x:row>
    <x:row r="696" ht="15" customHeight="1">
      <x:c r="A696" s="55" t="inlineStr">
        <x:is>
          <x:t xml:space="preserve">rawSignalPattern</x:t>
        </x:is>
      </x:c>
      <x:c r="B696" s="49" t="inlineStr">
        <x:is>
          <x:t xml:space="preserve">def</x:t>
        </x:is>
      </x:c>
      <x:c r="C696" s="49" t="inlineStr">
        <x:is>
          <x:t xml:space="preserve">theophysics-lean-main\theophysics-lean-main\Theophysics_DelayedChoice.lean</x:t>
        </x:is>
      </x:c>
      <x:c r="D696" s="49" t="inlineStr">
        <x:is>
          <x:t xml:space="preserve">65</x:t>
        </x:is>
      </x:c>
      <x:c r="E696" s="49" t="inlineStr">
        <x:is>
          <x:t xml:space="preserve">DECLARATION_OR_UNKNOWN</x:t>
        </x:is>
      </x:c>
      <x:c r="F696" s="49" t="inlineStr">
        <x:is>
          <x:t xml:space="preserve">PENDING_NOT_RUN</x:t>
        </x:is>
      </x:c>
      <x:c r="G696" s="49" t="inlineStr">
        <x:is>
          <x:t xml:space="preserve">NO_SORRY_OR_ADMIT_STATIC_SCAN</x:t>
        </x:is>
      </x:c>
      <x:c r="H696" s="49" t="inlineStr">
        <x:is>
          <x:t xml:space="preserve">SCAFFOLDING_NOT_PUBLIC_COUNT</x:t>
        </x:is>
      </x:c>
      <x:c r="I696" s="49" t="inlineStr">
        <x:is>
          <x:t xml:space="preserve">0</x:t>
        </x:is>
      </x:c>
      <x:c r="L696" s="56" t="n"/>
    </x:row>
    <x:row r="697" ht="15" customHeight="1">
      <x:c r="A697" s="55" t="inlineStr">
        <x:is>
          <x:t xml:space="preserve">raw_power_fails</x:t>
        </x:is>
      </x:c>
      <x:c r="B697" s="49" t="inlineStr">
        <x:is>
          <x:t xml:space="preserve">theorem</x:t>
        </x:is>
      </x:c>
      <x:c r="C697" s="49" t="inlineStr">
        <x:is>
          <x:t xml:space="preserve">theophysics-lean-main\theophysics-lean-main\Theophysics_GodTest.lean</x:t>
        </x:is>
      </x:c>
      <x:c r="D697" s="49" t="inlineStr">
        <x:is>
          <x:t xml:space="preserve">222</x:t>
        </x:is>
      </x:c>
      <x:c r="E697" s="49" t="inlineStr">
        <x:is>
          <x:t xml:space="preserve">DEFINITIONAL_RFL</x:t>
        </x:is>
      </x:c>
      <x:c r="F697" s="49" t="inlineStr">
        <x:is>
          <x:t xml:space="preserve">PENDING_NOT_RUN</x:t>
        </x:is>
      </x:c>
      <x:c r="G697" s="49" t="inlineStr">
        <x:is>
          <x:t xml:space="preserve">NO_SORRY_OR_ADMIT_STATIC_SCAN</x:t>
        </x:is>
      </x:c>
      <x:c r="H697" s="49" t="inlineStr">
        <x:is>
          <x:t xml:space="preserve">UNIQUE_THEOREM_PENDING_COMPILE</x:t>
        </x:is>
      </x:c>
      <x:c r="I697" s="49" t="inlineStr">
        <x:is>
          <x:t xml:space="preserve">0</x:t>
        </x:is>
      </x:c>
      <x:c r="L697" s="56" t="n"/>
    </x:row>
    <x:row r="698" ht="15" customHeight="1">
      <x:c r="A698" s="55" t="inlineStr">
        <x:is>
          <x:t xml:space="preserve">raw_signal_pattern_invariant_under_later_idler_classification</x:t>
        </x:is>
      </x:c>
      <x:c r="B698" s="49" t="inlineStr">
        <x:is>
          <x:t xml:space="preserve">theorem</x:t>
        </x:is>
      </x:c>
      <x:c r="C698" s="49" t="inlineStr">
        <x:is>
          <x:t xml:space="preserve">theophysics-lean-main\theophysics-lean-main\Theophysics_DelayedChoice.lean</x:t>
        </x:is>
      </x:c>
      <x:c r="D698" s="49" t="inlineStr">
        <x:is>
          <x:t xml:space="preserve">101</x:t>
        </x:is>
      </x:c>
      <x:c r="E698" s="49" t="inlineStr">
        <x:is>
          <x:t xml:space="preserve">DEFINITIONAL_RFL</x:t>
        </x:is>
      </x:c>
      <x:c r="F698" s="49" t="inlineStr">
        <x:is>
          <x:t xml:space="preserve">PENDING_NOT_RUN</x:t>
        </x:is>
      </x:c>
      <x:c r="G698" s="49" t="inlineStr">
        <x:is>
          <x:t xml:space="preserve">NO_SORRY_OR_ADMIT_STATIC_SCAN</x:t>
        </x:is>
      </x:c>
      <x:c r="H698" s="49" t="inlineStr">
        <x:is>
          <x:t xml:space="preserve">UNIQUE_THEOREM_PENDING_COMPILE</x:t>
        </x:is>
      </x:c>
      <x:c r="I698" s="49" t="inlineStr">
        <x:is>
          <x:t xml:space="preserve">0</x:t>
        </x:is>
      </x:c>
      <x:c r="L698" s="56" t="n"/>
    </x:row>
    <x:row r="699" ht="15" customHeight="1">
      <x:c r="A699" s="55" t="inlineStr">
        <x:is>
          <x:t xml:space="preserve">raw_two_negatives_multiply_positive</x:t>
        </x:is>
      </x:c>
      <x:c r="B699" s="49" t="inlineStr">
        <x:is>
          <x:t xml:space="preserve">theorem</x:t>
        </x:is>
      </x:c>
      <x:c r="C699" s="49" t="inlineStr">
        <x:is>
          <x:t xml:space="preserve">theophysics-lean-main\theophysics-lean-main\Theophysics_Core.lean</x:t>
        </x:is>
      </x:c>
      <x:c r="D699" s="49" t="inlineStr">
        <x:is>
          <x:t xml:space="preserve">50</x:t>
        </x:is>
      </x:c>
      <x:c r="E699" s="49" t="inlineStr">
        <x:is>
          <x:t xml:space="preserve">TRIVIAL_TRUE</x:t>
        </x:is>
      </x:c>
      <x:c r="F699" s="49" t="inlineStr">
        <x:is>
          <x:t xml:space="preserve">PENDING_NOT_RUN</x:t>
        </x:is>
      </x:c>
      <x:c r="G699" s="49" t="inlineStr">
        <x:is>
          <x:t xml:space="preserve">NO_SORRY_OR_ADMIT_STATIC_SCAN</x:t>
        </x:is>
      </x:c>
      <x:c r="H699" s="49" t="inlineStr">
        <x:is>
          <x:t xml:space="preserve">LOW_CONTENT_TRUE_NOT_PUBLIC_COUNT</x:t>
        </x:is>
      </x:c>
      <x:c r="I699" s="49" t="inlineStr">
        <x:is>
          <x:t xml:space="preserve">3</x:t>
        </x:is>
      </x:c>
      <x:c r="J699" s="49" t="inlineStr">
        <x:is>
          <x:t xml:space="preserve">LEAN_DERIVATION_CHAIN:131</x:t>
        </x:is>
      </x:c>
      <x:c r="K699" s="49" t="inlineStr">
        <x:is>
          <x:t xml:space="preserve">Arithmetic: (-1)×(-1) = 1. Raw math says yes.</x:t>
        </x:is>
      </x:c>
      <x:c r="L699" s="56" t="n"/>
    </x:row>
    <x:row r="700" ht="15" customHeight="1">
      <x:c r="A700" s="55" t="inlineStr">
        <x:is>
          <x:t xml:space="preserve">reaches_localization_from_pre</x:t>
        </x:is>
      </x:c>
      <x:c r="B700" s="49" t="inlineStr">
        <x:is>
          <x:t xml:space="preserve">theorem</x:t>
        </x:is>
      </x:c>
      <x:c r="C700" s="49" t="inlineStr">
        <x:is>
          <x:t xml:space="preserve">theophysics-lean-main\theophysics-lean-main\Theophysics_Core.lean</x:t>
        </x:is>
      </x:c>
      <x:c r="D700" s="49" t="inlineStr">
        <x:is>
          <x:t xml:space="preserve">36</x:t>
        </x:is>
      </x:c>
      <x:c r="E700" s="49" t="inlineStr">
        <x:is>
          <x:t xml:space="preserve">TRIVIAL_TRUE</x:t>
        </x:is>
      </x:c>
      <x:c r="F700" s="49" t="inlineStr">
        <x:is>
          <x:t xml:space="preserve">PENDING_NOT_RUN</x:t>
        </x:is>
      </x:c>
      <x:c r="G700" s="49" t="inlineStr">
        <x:is>
          <x:t xml:space="preserve">NO_SORRY_OR_ADMIT_STATIC_SCAN</x:t>
        </x:is>
      </x:c>
      <x:c r="H700" s="49" t="inlineStr">
        <x:is>
          <x:t xml:space="preserve">LOW_CONTENT_TRUE_NOT_PUBLIC_COUNT</x:t>
        </x:is>
      </x:c>
      <x:c r="I700" s="49" t="inlineStr">
        <x:is>
          <x:t xml:space="preserve">3</x:t>
        </x:is>
      </x:c>
      <x:c r="J700" s="49" t="inlineStr">
        <x:is>
          <x:t xml:space="preserve">LEAN_DERIVATION_CHAIN:9</x:t>
        </x:is>
      </x:c>
      <x:c r="K700" s="49" t="inlineStr">
        <x:is>
          <x:t xml:space="preserve">preLocalization can reach localization</x:t>
        </x:is>
      </x:c>
      <x:c r="L700" s="56" t="n"/>
    </x:row>
    <x:row r="701" ht="15" customHeight="1">
      <x:c r="A701" s="55" t="inlineStr">
        <x:is>
          <x:t xml:space="preserve">reaches_redistribution_from_pre</x:t>
        </x:is>
      </x:c>
      <x:c r="B701" s="49" t="inlineStr">
        <x:is>
          <x:t xml:space="preserve">theorem</x:t>
        </x:is>
      </x:c>
      <x:c r="C701" s="49" t="inlineStr">
        <x:is>
          <x:t xml:space="preserve">theophysics-lean-main\theophysics-lean-main\Theophysics_Core.lean</x:t>
        </x:is>
      </x:c>
      <x:c r="D701" s="49" t="inlineStr">
        <x:is>
          <x:t xml:space="preserve">37</x:t>
        </x:is>
      </x:c>
      <x:c r="E701" s="49" t="inlineStr">
        <x:is>
          <x:t xml:space="preserve">TRIVIAL_TRUE</x:t>
        </x:is>
      </x:c>
      <x:c r="F701" s="49" t="inlineStr">
        <x:is>
          <x:t xml:space="preserve">PENDING_NOT_RUN</x:t>
        </x:is>
      </x:c>
      <x:c r="G701" s="49" t="inlineStr">
        <x:is>
          <x:t xml:space="preserve">NO_SORRY_OR_ADMIT_STATIC_SCAN</x:t>
        </x:is>
      </x:c>
      <x:c r="H701" s="49" t="inlineStr">
        <x:is>
          <x:t xml:space="preserve">LOW_CONTENT_TRUE_NOT_PUBLIC_COUNT</x:t>
        </x:is>
      </x:c>
      <x:c r="I701" s="49" t="inlineStr">
        <x:is>
          <x:t xml:space="preserve">3</x:t>
        </x:is>
      </x:c>
      <x:c r="J701" s="49" t="inlineStr">
        <x:is>
          <x:t xml:space="preserve">LEAN_DERIVATION_CHAIN:10</x:t>
        </x:is>
      </x:c>
      <x:c r="K701" s="49" t="inlineStr">
        <x:is>
          <x:t xml:space="preserve">Full 5-step sequence is reachable from preLocalization to redistribution</x:t>
        </x:is>
      </x:c>
      <x:c r="L701" s="56" t="n"/>
    </x:row>
    <x:row r="702" ht="15" customHeight="1">
      <x:c r="A702" s="55" t="inlineStr">
        <x:is>
          <x:t xml:space="preserve">reanimationOnly</x:t>
        </x:is>
      </x:c>
      <x:c r="B702" s="49" t="inlineStr">
        <x:is>
          <x:t xml:space="preserve">def</x:t>
        </x:is>
      </x:c>
      <x:c r="C702" s="49" t="inlineStr">
        <x:is>
          <x:t xml:space="preserve">Faith-Thru-Physics-Lean-4--main\Faith-Thru-Physics-Lean-4--main\Theophysics_NegativeInventory.lean</x:t>
        </x:is>
      </x:c>
      <x:c r="D702" s="49" t="inlineStr">
        <x:is>
          <x:t xml:space="preserve">214</x:t>
        </x:is>
      </x:c>
      <x:c r="E702" s="49" t="inlineStr">
        <x:is>
          <x:t xml:space="preserve">DECLARATION_OR_UNKNOWN</x:t>
        </x:is>
      </x:c>
      <x:c r="F702" s="49" t="inlineStr">
        <x:is>
          <x:t xml:space="preserve">PENDING_NOT_RUN</x:t>
        </x:is>
      </x:c>
      <x:c r="G702" s="49" t="inlineStr">
        <x:is>
          <x:t xml:space="preserve">NO_SORRY_OR_ADMIT_STATIC_SCAN</x:t>
        </x:is>
      </x:c>
      <x:c r="H702" s="49" t="inlineStr">
        <x:is>
          <x:t xml:space="preserve">SCAFFOLDING_NOT_PUBLIC_COUNT</x:t>
        </x:is>
      </x:c>
      <x:c r="I702" s="49" t="inlineStr">
        <x:is>
          <x:t xml:space="preserve">0</x:t>
        </x:is>
      </x:c>
      <x:c r="L702" s="56" t="n"/>
    </x:row>
    <x:row r="703" ht="15" customHeight="1">
      <x:c r="A703" s="55" t="inlineStr">
        <x:is>
          <x:t xml:space="preserve">reanimation_only_rejected</x:t>
        </x:is>
      </x:c>
      <x:c r="B703" s="49" t="inlineStr">
        <x:is>
          <x:t xml:space="preserve">theorem</x:t>
        </x:is>
      </x:c>
      <x:c r="C703" s="49" t="inlineStr">
        <x:is>
          <x:t xml:space="preserve">Faith-Thru-Physics-Lean-4--main\Faith-Thru-Physics-Lean-4--main\Theophysics_NegativeInventory.lean</x:t>
        </x:is>
      </x:c>
      <x:c r="D703" s="49" t="inlineStr">
        <x:is>
          <x:t xml:space="preserve">229</x:t>
        </x:is>
      </x:c>
      <x:c r="E703" s="49" t="inlineStr">
        <x:is>
          <x:t xml:space="preserve">FINITE_DECIDABLE</x:t>
        </x:is>
      </x:c>
      <x:c r="F703" s="49" t="inlineStr">
        <x:is>
          <x:t xml:space="preserve">PENDING_NOT_RUN</x:t>
        </x:is>
      </x:c>
      <x:c r="G703" s="49" t="inlineStr">
        <x:is>
          <x:t xml:space="preserve">NO_SORRY_OR_ADMIT_STATIC_SCAN</x:t>
        </x:is>
      </x:c>
      <x:c r="H703" s="49" t="inlineStr">
        <x:is>
          <x:t xml:space="preserve">UNIQUE_THEOREM_PENDING_COMPILE</x:t>
        </x:is>
      </x:c>
      <x:c r="I703" s="49" t="inlineStr">
        <x:is>
          <x:t xml:space="preserve">0</x:t>
        </x:is>
      </x:c>
      <x:c r="J703" s="49" t="inlineStr">
        <x:is>
          <x:t xml:space="preserve">LEAN_DERIVATION_CHAIN:230</x:t>
        </x:is>
      </x:c>
      <x:c r="K703" s="49" t="inlineStr">
        <x:is>
          <x:t xml:space="preserve">Reanimation without mission structure is not resurrection</x:t>
        </x:is>
      </x:c>
      <x:c r="L703" s="56" t="n"/>
    </x:row>
    <x:row r="704" ht="15" customHeight="1">
      <x:c r="A704" s="55" t="inlineStr">
        <x:is>
          <x:t xml:space="preserve">reconciliation_gamma_one</x:t>
        </x:is>
      </x:c>
      <x:c r="B704" s="49" t="inlineStr">
        <x:is>
          <x:t xml:space="preserve">theorem</x:t>
        </x:is>
      </x:c>
      <x:c r="C704" s="49" t="inlineStr">
        <x:is>
          <x:t xml:space="preserve">theophysics-lean-main\theophysics-lean-main\Theophysics_Canonization.lean</x:t>
        </x:is>
      </x:c>
      <x:c r="D704" s="49" t="inlineStr">
        <x:is>
          <x:t xml:space="preserve">340</x:t>
        </x:is>
      </x:c>
      <x:c r="E704" s="49" t="inlineStr">
        <x:is>
          <x:t xml:space="preserve">SIMPLIFICATION</x:t>
        </x:is>
      </x:c>
      <x:c r="F704" s="49" t="inlineStr">
        <x:is>
          <x:t xml:space="preserve">PENDING_NOT_RUN</x:t>
        </x:is>
      </x:c>
      <x:c r="G704" s="49" t="inlineStr">
        <x:is>
          <x:t xml:space="preserve">NO_SORRY_OR_ADMIT_STATIC_SCAN</x:t>
        </x:is>
      </x:c>
      <x:c r="H704" s="49" t="inlineStr">
        <x:is>
          <x:t xml:space="preserve">UNIQUE_THEOREM_PENDING_COMPILE</x:t>
        </x:is>
      </x:c>
      <x:c r="I704" s="49" t="inlineStr">
        <x:is>
          <x:t xml:space="preserve">0</x:t>
        </x:is>
      </x:c>
      <x:c r="J704" s="49" t="inlineStr">
        <x:is>
          <x:t xml:space="preserve">LEAN_DERIVATION_CHAIN:256</x:t>
        </x:is>
      </x:c>
      <x:c r="K704" s="49" t="inlineStr">
        <x:is>
          <x:t xml:space="preserve">v=0 implies gamma=1: all frame distortion eliminated</x:t>
        </x:is>
      </x:c>
      <x:c r="L704" s="56" t="n"/>
    </x:row>
    <x:row r="705" ht="15" customHeight="1">
      <x:c r="A705" s="55" t="inlineStr">
        <x:is>
          <x:t xml:space="preserve">recorded_and_christ_coherent_forces_retention</x:t>
        </x:is>
      </x:c>
      <x:c r="B705" s="49" t="inlineStr">
        <x:is>
          <x:t xml:space="preserve">theorem</x:t>
        </x:is>
      </x:c>
      <x:c r="C705" s="49" t="inlineStr">
        <x:is>
          <x:t xml:space="preserve">theophysics-lean-main\theophysics-lean-main\Theophysics_Core.lean</x:t>
        </x:is>
      </x:c>
      <x:c r="D705" s="49" t="inlineStr">
        <x:is>
          <x:t xml:space="preserve">150</x:t>
        </x:is>
      </x:c>
      <x:c r="E705" s="49" t="inlineStr">
        <x:is>
          <x:t xml:space="preserve">TRIVIAL_TRUE</x:t>
        </x:is>
      </x:c>
      <x:c r="F705" s="49" t="inlineStr">
        <x:is>
          <x:t xml:space="preserve">PENDING_NOT_RUN</x:t>
        </x:is>
      </x:c>
      <x:c r="G705" s="49" t="inlineStr">
        <x:is>
          <x:t xml:space="preserve">NO_SORRY_OR_ADMIT_STATIC_SCAN</x:t>
        </x:is>
      </x:c>
      <x:c r="H705" s="49" t="inlineStr">
        <x:is>
          <x:t xml:space="preserve">LOW_CONTENT_TRUE_NOT_PUBLIC_COUNT</x:t>
        </x:is>
      </x:c>
      <x:c r="I705" s="49" t="inlineStr">
        <x:is>
          <x:t xml:space="preserve">3</x:t>
        </x:is>
      </x:c>
      <x:c r="J705" s="49" t="inlineStr">
        <x:is>
          <x:t xml:space="preserve">LEAN_DERIVATION_CHAIN:168</x:t>
        </x:is>
      </x:c>
      <x:c r="K705" s="49" t="inlineStr">
        <x:is>
          <x:t xml:space="preserve">∀ m, recorded ∧ coherent → retention = 1</x:t>
        </x:is>
      </x:c>
      <x:c r="L705" s="56" t="n"/>
    </x:row>
    <x:row r="706" ht="15" customHeight="1">
      <x:c r="A706" s="55" t="inlineStr">
        <x:is>
          <x:t xml:space="preserve">relabeledRoleSystem_invalid</x:t>
        </x:is>
      </x:c>
      <x:c r="B706" s="49" t="inlineStr">
        <x:is>
          <x:t xml:space="preserve">theorem</x:t>
        </x:is>
      </x:c>
      <x:c r="C706" s="49" t="inlineStr">
        <x:is>
          <x:t xml:space="preserve">theophysics-lean-main\theophysics-lean-main\Theophysics_Adversarial.lean</x:t>
        </x:is>
      </x:c>
      <x:c r="D706" s="49" t="inlineStr">
        <x:is>
          <x:t xml:space="preserve">469</x:t>
        </x:is>
      </x:c>
      <x:c r="E706" s="49" t="inlineStr">
        <x:is>
          <x:t xml:space="preserve">WRAPPER_OR_IMPORTED</x:t>
        </x:is>
      </x:c>
      <x:c r="F706" s="49" t="inlineStr">
        <x:is>
          <x:t xml:space="preserve">PENDING_NOT_RUN</x:t>
        </x:is>
      </x:c>
      <x:c r="G706" s="49" t="inlineStr">
        <x:is>
          <x:t xml:space="preserve">NO_SORRY_OR_ADMIT_STATIC_SCAN</x:t>
        </x:is>
      </x:c>
      <x:c r="H706" s="49" t="inlineStr">
        <x:is>
          <x:t xml:space="preserve">CANONICAL_THEOREM_DEDUPED_PENDING_COMPILE</x:t>
        </x:is>
      </x:c>
      <x:c r="I706" s="49" t="inlineStr">
        <x:is>
          <x:t xml:space="preserve">4</x:t>
        </x:is>
      </x:c>
      <x:c r="J706" s="49" t="inlineStr">
        <x:is>
          <x:t xml:space="preserve">LEAN_DERIVATION_CHAIN:106</x:t>
        </x:is>
      </x:c>
      <x:c r="K706" s="49" t="inlineStr">
        <x:is>
          <x:t xml:space="preserve">REJECTION: Relabeled roles fail — labels ≠ profiles</x:t>
        </x:is>
      </x:c>
      <x:c r="L706" s="56" t="inlineStr">
        <x:is>
          <x:t xml:space="preserve">load_bearing_controls | variable_coupling</x:t>
        </x:is>
      </x:c>
    </x:row>
    <x:row r="707" ht="15" customHeight="1">
      <x:c r="A707" s="55" t="inlineStr">
        <x:is>
          <x:t xml:space="preserve">relabeled_roles_pass_if_profile_guard_removed</x:t>
        </x:is>
      </x:c>
      <x:c r="B707" s="49" t="inlineStr">
        <x:is>
          <x:t xml:space="preserve">theorem</x:t>
        </x:is>
      </x:c>
      <x:c r="C707" s="49" t="inlineStr">
        <x:is>
          <x:t xml:space="preserve">theophysics-lean-main\theophysics-lean-main\Theophysics_Core.lean</x:t>
        </x:is>
      </x:c>
      <x:c r="D707" s="49" t="inlineStr">
        <x:is>
          <x:t xml:space="preserve">237</x:t>
        </x:is>
      </x:c>
      <x:c r="E707" s="49" t="inlineStr">
        <x:is>
          <x:t xml:space="preserve">TRIVIAL_TRUE</x:t>
        </x:is>
      </x:c>
      <x:c r="F707" s="49" t="inlineStr">
        <x:is>
          <x:t xml:space="preserve">PENDING_NOT_RUN</x:t>
        </x:is>
      </x:c>
      <x:c r="G707" s="49" t="inlineStr">
        <x:is>
          <x:t xml:space="preserve">NO_SORRY_OR_ADMIT_STATIC_SCAN</x:t>
        </x:is>
      </x:c>
      <x:c r="H707" s="49" t="inlineStr">
        <x:is>
          <x:t xml:space="preserve">LOW_CONTENT_TRUE_NOT_PUBLIC_COUNT</x:t>
        </x:is>
      </x:c>
      <x:c r="I707" s="49" t="inlineStr">
        <x:is>
          <x:t xml:space="preserve">3</x:t>
        </x:is>
      </x:c>
      <x:c r="L707" s="56" t="inlineStr">
        <x:is>
          <x:t xml:space="preserve">load_bearing_controls | variable_coupling</x:t>
        </x:is>
      </x:c>
    </x:row>
    <x:row r="708" ht="15" customHeight="1">
      <x:c r="A708" s="55" t="inlineStr">
        <x:is>
          <x:t xml:space="preserve">relativitySignature</x:t>
        </x:is>
      </x:c>
      <x:c r="B708" s="49" t="inlineStr">
        <x:is>
          <x:t xml:space="preserve">def</x:t>
        </x:is>
      </x:c>
      <x:c r="C708" s="49" t="inlineStr">
        <x:is>
          <x:t xml:space="preserve">theophysics-lean-main\theophysics-lean-main\Theophysics_Universality.lean</x:t>
        </x:is>
      </x:c>
      <x:c r="D708" s="49" t="inlineStr">
        <x:is>
          <x:t xml:space="preserve">74</x:t>
        </x:is>
      </x:c>
      <x:c r="E708" s="49" t="inlineStr">
        <x:is>
          <x:t xml:space="preserve">DECLARATION_OR_UNKNOWN</x:t>
        </x:is>
      </x:c>
      <x:c r="F708" s="49" t="inlineStr">
        <x:is>
          <x:t xml:space="preserve">PENDING_NOT_RUN</x:t>
        </x:is>
      </x:c>
      <x:c r="G708" s="49" t="inlineStr">
        <x:is>
          <x:t xml:space="preserve">NO_SORRY_OR_ADMIT_STATIC_SCAN</x:t>
        </x:is>
      </x:c>
      <x:c r="H708" s="49" t="inlineStr">
        <x:is>
          <x:t xml:space="preserve">SCAFFOLDING_NOT_PUBLIC_COUNT</x:t>
        </x:is>
      </x:c>
      <x:c r="I708" s="49" t="inlineStr">
        <x:is>
          <x:t xml:space="preserve">0</x:t>
        </x:is>
      </x:c>
      <x:c r="L708" s="56" t="n"/>
    </x:row>
    <x:row r="709" ht="15" customHeight="1">
      <x:c r="A709" s="55" t="inlineStr">
        <x:is>
          <x:t xml:space="preserve">relativity_is_strong_cd_class</x:t>
        </x:is>
      </x:c>
      <x:c r="B709" s="49" t="inlineStr">
        <x:is>
          <x:t xml:space="preserve">theorem</x:t>
        </x:is>
      </x:c>
      <x:c r="C709" s="49" t="inlineStr">
        <x:is>
          <x:t xml:space="preserve">theophysics-lean-main\theophysics-lean-main\Theophysics_Universality.lean</x:t>
        </x:is>
      </x:c>
      <x:c r="D709" s="49" t="inlineStr">
        <x:is>
          <x:t xml:space="preserve">229</x:t>
        </x:is>
      </x:c>
      <x:c r="E709" s="49" t="inlineStr">
        <x:is>
          <x:t xml:space="preserve">DEFINITIONAL_RFL</x:t>
        </x:is>
      </x:c>
      <x:c r="F709" s="49" t="inlineStr">
        <x:is>
          <x:t xml:space="preserve">PENDING_NOT_RUN</x:t>
        </x:is>
      </x:c>
      <x:c r="G709" s="49" t="inlineStr">
        <x:is>
          <x:t xml:space="preserve">NO_SORRY_OR_ADMIT_STATIC_SCAN</x:t>
        </x:is>
      </x:c>
      <x:c r="H709" s="49" t="inlineStr">
        <x:is>
          <x:t xml:space="preserve">UNIQUE_THEOREM_PENDING_COMPILE</x:t>
        </x:is>
      </x:c>
      <x:c r="I709" s="49" t="inlineStr">
        <x:is>
          <x:t xml:space="preserve">0</x:t>
        </x:is>
      </x:c>
      <x:c r="L709" s="56" t="n"/>
    </x:row>
    <x:row r="710" ht="15" customHeight="1">
      <x:c r="A710" s="55" t="inlineStr">
        <x:is>
          <x:t xml:space="preserve">reoriented_incoherent_memory_becomes_retained</x:t>
        </x:is>
      </x:c>
      <x:c r="B710" s="49" t="inlineStr">
        <x:is>
          <x:t xml:space="preserve">theorem</x:t>
        </x:is>
      </x:c>
      <x:c r="C710" s="49" t="inlineStr">
        <x:is>
          <x:t xml:space="preserve">theophysics-lean-main\theophysics-lean-main\Theophysics_Core.lean</x:t>
        </x:is>
      </x:c>
      <x:c r="D710" s="49" t="inlineStr">
        <x:is>
          <x:t xml:space="preserve">151</x:t>
        </x:is>
      </x:c>
      <x:c r="E710" s="49" t="inlineStr">
        <x:is>
          <x:t xml:space="preserve">TRIVIAL_TRUE</x:t>
        </x:is>
      </x:c>
      <x:c r="F710" s="49" t="inlineStr">
        <x:is>
          <x:t xml:space="preserve">PENDING_NOT_RUN</x:t>
        </x:is>
      </x:c>
      <x:c r="G710" s="49" t="inlineStr">
        <x:is>
          <x:t xml:space="preserve">NO_SORRY_OR_ADMIT_STATIC_SCAN</x:t>
        </x:is>
      </x:c>
      <x:c r="H710" s="49" t="inlineStr">
        <x:is>
          <x:t xml:space="preserve">LOW_CONTENT_TRUE_NOT_PUBLIC_COUNT</x:t>
        </x:is>
      </x:c>
      <x:c r="I710" s="49" t="inlineStr">
        <x:is>
          <x:t xml:space="preserve">3</x:t>
        </x:is>
      </x:c>
      <x:c r="J710" s="49" t="inlineStr">
        <x:is>
          <x:t xml:space="preserve">LEAN_DERIVATION_CHAIN:171</x:t>
        </x:is>
      </x:c>
      <x:c r="K710" s="49" t="inlineStr">
        <x:is>
          <x:t xml:space="preserve">Reorientation to Christ → retention restored. Conversion works.</x:t>
        </x:is>
      </x:c>
      <x:c r="L710" s="56" t="n"/>
    </x:row>
    <x:row r="711" ht="15" customHeight="1">
      <x:c r="A711" s="55" t="inlineStr">
        <x:is>
          <x:t xml:space="preserve">repair_requires_fracture</x:t>
        </x:is>
      </x:c>
      <x:c r="B711" s="49" t="inlineStr">
        <x:is>
          <x:t xml:space="preserve">theorem</x:t>
        </x:is>
      </x:c>
      <x:c r="C711" s="49" t="inlineStr">
        <x:is>
          <x:t xml:space="preserve">theophysics-lean-main\theophysics-lean-main\Theophysics_Fracture.lean</x:t>
        </x:is>
      </x:c>
      <x:c r="D711" s="49" t="inlineStr">
        <x:is>
          <x:t xml:space="preserve">130</x:t>
        </x:is>
      </x:c>
      <x:c r="E711" s="49" t="inlineStr">
        <x:is>
          <x:t xml:space="preserve">SIMPLIFICATION</x:t>
        </x:is>
      </x:c>
      <x:c r="F711" s="49" t="inlineStr">
        <x:is>
          <x:t xml:space="preserve">PENDING_NOT_RUN</x:t>
        </x:is>
      </x:c>
      <x:c r="G711" s="49" t="inlineStr">
        <x:is>
          <x:t xml:space="preserve">NO_SORRY_OR_ADMIT_STATIC_SCAN</x:t>
        </x:is>
      </x:c>
      <x:c r="H711" s="49" t="inlineStr">
        <x:is>
          <x:t xml:space="preserve">CANONICAL_THEOREM_DEDUPED_PENDING_COMPILE</x:t>
        </x:is>
      </x:c>
      <x:c r="I711" s="49" t="inlineStr">
        <x:is>
          <x:t xml:space="preserve">3</x:t>
        </x:is>
      </x:c>
      <x:c r="L711" s="56" t="n"/>
    </x:row>
    <x:row r="712" ht="15" customHeight="1">
      <x:c r="A712" s="55" t="inlineStr">
        <x:is>
          <x:t xml:space="preserve">repair_requires_restoration_input</x:t>
        </x:is>
      </x:c>
      <x:c r="B712" s="49" t="inlineStr">
        <x:is>
          <x:t xml:space="preserve">theorem</x:t>
        </x:is>
      </x:c>
      <x:c r="C712" s="49" t="inlineStr">
        <x:is>
          <x:t xml:space="preserve">theophysics-lean-main\theophysics-lean-main\Theophysics_Fracture.lean</x:t>
        </x:is>
      </x:c>
      <x:c r="D712" s="49" t="inlineStr">
        <x:is>
          <x:t xml:space="preserve">136</x:t>
        </x:is>
      </x:c>
      <x:c r="E712" s="49" t="inlineStr">
        <x:is>
          <x:t xml:space="preserve">SIMPLIFICATION</x:t>
        </x:is>
      </x:c>
      <x:c r="F712" s="49" t="inlineStr">
        <x:is>
          <x:t xml:space="preserve">PENDING_NOT_RUN</x:t>
        </x:is>
      </x:c>
      <x:c r="G712" s="49" t="inlineStr">
        <x:is>
          <x:t xml:space="preserve">NO_SORRY_OR_ADMIT_STATIC_SCAN</x:t>
        </x:is>
      </x:c>
      <x:c r="H712" s="49" t="inlineStr">
        <x:is>
          <x:t xml:space="preserve">CANONICAL_THEOREM_DEDUPED_PENDING_COMPILE</x:t>
        </x:is>
      </x:c>
      <x:c r="I712" s="49" t="inlineStr">
        <x:is>
          <x:t xml:space="preserve">3</x:t>
        </x:is>
      </x:c>
      <x:c r="L712" s="56" t="n"/>
    </x:row>
    <x:row r="713" ht="15" customHeight="1">
      <x:c r="A713" s="55" t="inlineStr">
        <x:is>
          <x:t xml:space="preserve">repairable</x:t>
        </x:is>
      </x:c>
      <x:c r="B713" s="49" t="inlineStr">
        <x:is>
          <x:t xml:space="preserve">def</x:t>
        </x:is>
      </x:c>
      <x:c r="C713" s="49" t="inlineStr">
        <x:is>
          <x:t xml:space="preserve">theophysics-lean-main\theophysics-lean-main\Theophysics_Fracture.lean</x:t>
        </x:is>
      </x:c>
      <x:c r="D713" s="49" t="inlineStr">
        <x:is>
          <x:t xml:space="preserve">71</x:t>
        </x:is>
      </x:c>
      <x:c r="E713" s="49" t="inlineStr">
        <x:is>
          <x:t xml:space="preserve">DECLARATION_OR_UNKNOWN</x:t>
        </x:is>
      </x:c>
      <x:c r="F713" s="49" t="inlineStr">
        <x:is>
          <x:t xml:space="preserve">PENDING_NOT_RUN</x:t>
        </x:is>
      </x:c>
      <x:c r="G713" s="49" t="inlineStr">
        <x:is>
          <x:t xml:space="preserve">NO_SORRY_OR_ADMIT_STATIC_SCAN</x:t>
        </x:is>
      </x:c>
      <x:c r="H713" s="49" t="inlineStr">
        <x:is>
          <x:t xml:space="preserve">SCAFFOLDING_NOT_PUBLIC_COUNT</x:t>
        </x:is>
      </x:c>
      <x:c r="I713" s="49" t="inlineStr">
        <x:is>
          <x:t xml:space="preserve">3</x:t>
        </x:is>
      </x:c>
      <x:c r="L713" s="56" t="n"/>
    </x:row>
    <x:row r="714" ht="15" customHeight="1">
      <x:c r="A714" s="55" t="inlineStr">
        <x:is>
          <x:t xml:space="preserve">repairableFracture</x:t>
        </x:is>
      </x:c>
      <x:c r="B714" s="49" t="inlineStr">
        <x:is>
          <x:t xml:space="preserve">def</x:t>
        </x:is>
      </x:c>
      <x:c r="C714" s="49" t="inlineStr">
        <x:is>
          <x:t xml:space="preserve">theophysics-lean-main\theophysics-lean-main\Theophysics_Fracture.lean</x:t>
        </x:is>
      </x:c>
      <x:c r="D714" s="49" t="inlineStr">
        <x:is>
          <x:t xml:space="preserve">95</x:t>
        </x:is>
      </x:c>
      <x:c r="E714" s="49" t="inlineStr">
        <x:is>
          <x:t xml:space="preserve">DECLARATION_OR_UNKNOWN</x:t>
        </x:is>
      </x:c>
      <x:c r="F714" s="49" t="inlineStr">
        <x:is>
          <x:t xml:space="preserve">PENDING_NOT_RUN</x:t>
        </x:is>
      </x:c>
      <x:c r="G714" s="49" t="inlineStr">
        <x:is>
          <x:t xml:space="preserve">NO_SORRY_OR_ADMIT_STATIC_SCAN</x:t>
        </x:is>
      </x:c>
      <x:c r="H714" s="49" t="inlineStr">
        <x:is>
          <x:t xml:space="preserve">SCAFFOLDING_NOT_PUBLIC_COUNT</x:t>
        </x:is>
      </x:c>
      <x:c r="I714" s="49" t="inlineStr">
        <x:is>
          <x:t xml:space="preserve">3</x:t>
        </x:is>
      </x:c>
      <x:c r="L714" s="56" t="n"/>
    </x:row>
    <x:row r="715" ht="15" customHeight="1">
      <x:c r="A715" s="55" t="inlineStr">
        <x:is>
          <x:t xml:space="preserve">resisting_without_grace_not_valid_conversion</x:t>
        </x:is>
      </x:c>
      <x:c r="B715" s="49" t="inlineStr">
        <x:is>
          <x:t xml:space="preserve">theorem</x:t>
        </x:is>
      </x:c>
      <x:c r="C715" s="49" t="inlineStr">
        <x:is>
          <x:t xml:space="preserve">theophysics-lean-main\theophysics-lean-main\Theophysics_Adversarial.lean</x:t>
        </x:is>
      </x:c>
      <x:c r="D715" s="49" t="inlineStr">
        <x:is>
          <x:t xml:space="preserve">544</x:t>
        </x:is>
      </x:c>
      <x:c r="E715" s="49" t="inlineStr">
        <x:is>
          <x:t xml:space="preserve">DEFINITIONAL_RFL</x:t>
        </x:is>
      </x:c>
      <x:c r="F715" s="49" t="inlineStr">
        <x:is>
          <x:t xml:space="preserve">PENDING_NOT_RUN</x:t>
        </x:is>
      </x:c>
      <x:c r="G715" s="49" t="inlineStr">
        <x:is>
          <x:t xml:space="preserve">NO_SORRY_OR_ADMIT_STATIC_SCAN</x:t>
        </x:is>
      </x:c>
      <x:c r="H715" s="49" t="inlineStr">
        <x:is>
          <x:t xml:space="preserve">CANONICAL_THEOREM_DEDUPED_PENDING_COMPILE</x:t>
        </x:is>
      </x:c>
      <x:c r="I715" s="49" t="inlineStr">
        <x:is>
          <x:t xml:space="preserve">3</x:t>
        </x:is>
      </x:c>
      <x:c r="J715" s="49" t="inlineStr">
        <x:is>
          <x:t xml:space="preserve">LEAN_DERIVATION_CHAIN:179</x:t>
        </x:is>
      </x:c>
      <x:c r="K715" s="49" t="inlineStr">
        <x:is>
          <x:t xml:space="preserve">REJECTION: Resisting without grace = invalid. Will alone is not enough.</x:t>
        </x:is>
      </x:c>
      <x:c r="L715" s="56" t="n"/>
    </x:row>
    <x:row r="716" ht="15" customHeight="1">
      <x:c r="A716" s="55" t="inlineStr">
        <x:is>
          <x:t xml:space="preserve">resolvesDelayedChoiceGate</x:t>
        </x:is>
      </x:c>
      <x:c r="B716" s="49" t="inlineStr">
        <x:is>
          <x:t xml:space="preserve">def</x:t>
        </x:is>
      </x:c>
      <x:c r="C716" s="49" t="inlineStr">
        <x:is>
          <x:t xml:space="preserve">theophysics-lean-main\theophysics-lean-main\Theophysics_DelayedChoice.lean</x:t>
        </x:is>
      </x:c>
      <x:c r="D716" s="49" t="inlineStr">
        <x:is>
          <x:t xml:space="preserve">155</x:t>
        </x:is>
      </x:c>
      <x:c r="E716" s="49" t="inlineStr">
        <x:is>
          <x:t xml:space="preserve">DECLARATION_OR_UNKNOWN</x:t>
        </x:is>
      </x:c>
      <x:c r="F716" s="49" t="inlineStr">
        <x:is>
          <x:t xml:space="preserve">PENDING_NOT_RUN</x:t>
        </x:is>
      </x:c>
      <x:c r="G716" s="49" t="inlineStr">
        <x:is>
          <x:t xml:space="preserve">NO_SORRY_OR_ADMIT_STATIC_SCAN</x:t>
        </x:is>
      </x:c>
      <x:c r="H716" s="49" t="inlineStr">
        <x:is>
          <x:t xml:space="preserve">SCAFFOLDING_NOT_PUBLIC_COUNT</x:t>
        </x:is>
      </x:c>
      <x:c r="I716" s="49" t="inlineStr">
        <x:is>
          <x:t xml:space="preserve">0</x:t>
        </x:is>
      </x:c>
      <x:c r="L716" s="56" t="n"/>
    </x:row>
    <x:row r="717" ht="15" customHeight="1">
      <x:c r="A717" s="55" t="inlineStr">
        <x:is>
          <x:t xml:space="preserve">restForG</x:t>
        </x:is>
      </x:c>
      <x:c r="B717" s="49" t="inlineStr">
        <x:is>
          <x:t xml:space="preserve">def</x:t>
        </x:is>
      </x:c>
      <x:c r="C717" s="49" t="inlineStr">
        <x:is>
          <x:t xml:space="preserve">Lean-4-Proofs-main\Lean-4-Proofs-main\theophysics-lean-verification-package\narrow_product_test\NarrowProductTest\Basic.lean</x:t>
        </x:is>
      </x:c>
      <x:c r="D717" s="49" t="inlineStr">
        <x:is>
          <x:t xml:space="preserve">37</x:t>
        </x:is>
      </x:c>
      <x:c r="E717" s="49" t="inlineStr">
        <x:is>
          <x:t xml:space="preserve">DECLARATION_OR_UNKNOWN</x:t>
        </x:is>
      </x:c>
      <x:c r="F717" s="49" t="inlineStr">
        <x:is>
          <x:t xml:space="preserve">PENDING_NOT_RUN</x:t>
        </x:is>
      </x:c>
      <x:c r="G717" s="49" t="inlineStr">
        <x:is>
          <x:t xml:space="preserve">NO_SORRY_OR_ADMIT_STATIC_SCAN</x:t>
        </x:is>
      </x:c>
      <x:c r="H717" s="49" t="inlineStr">
        <x:is>
          <x:t xml:space="preserve">SCAFFOLDING_NOT_PUBLIC_COUNT</x:t>
        </x:is>
      </x:c>
      <x:c r="I717" s="49" t="inlineStr">
        <x:is>
          <x:t xml:space="preserve">1</x:t>
        </x:is>
      </x:c>
      <x:c r="L717" s="56" t="n"/>
    </x:row>
    <x:row r="718" ht="15" customHeight="1">
      <x:c r="A718" s="55" t="inlineStr">
        <x:is>
          <x:t xml:space="preserve">restForG_nonneg</x:t>
        </x:is>
      </x:c>
      <x:c r="B718" s="49" t="inlineStr">
        <x:is>
          <x:t xml:space="preserve">theorem</x:t>
        </x:is>
      </x:c>
      <x:c r="C718" s="49" t="inlineStr">
        <x:is>
          <x:t xml:space="preserve">Lean-4-Proofs-main\Lean-4-Proofs-main\theophysics-lean-verification-package\narrow_product_test\NarrowProductTest\Basic.lean</x:t>
        </x:is>
      </x:c>
      <x:c r="D718" s="49" t="inlineStr">
        <x:is>
          <x:t xml:space="preserve">100</x:t>
        </x:is>
      </x:c>
      <x:c r="E718" s="49" t="inlineStr">
        <x:is>
          <x:t xml:space="preserve">SUBSTANTIVE_OR_CASE_PROOF</x:t>
        </x:is>
      </x:c>
      <x:c r="F718" s="49" t="inlineStr">
        <x:is>
          <x:t xml:space="preserve">PENDING_NOT_RUN</x:t>
        </x:is>
      </x:c>
      <x:c r="G718" s="49" t="inlineStr">
        <x:is>
          <x:t xml:space="preserve">NO_SORRY_OR_ADMIT_STATIC_SCAN</x:t>
        </x:is>
      </x:c>
      <x:c r="H718" s="49" t="inlineStr">
        <x:is>
          <x:t xml:space="preserve">CANONICAL_THEOREM_DEDUPED_PENDING_COMPILE</x:t>
        </x:is>
      </x:c>
      <x:c r="I718" s="49" t="inlineStr">
        <x:is>
          <x:t xml:space="preserve">1</x:t>
        </x:is>
      </x:c>
      <x:c r="L718" s="56" t="n"/>
    </x:row>
    <x:row r="719" ht="15" customHeight="1">
      <x:c r="A719" s="55" t="inlineStr">
        <x:is>
          <x:t xml:space="preserve">restForSProd</x:t>
        </x:is>
      </x:c>
      <x:c r="B719" s="49" t="inlineStr">
        <x:is>
          <x:t xml:space="preserve">def</x:t>
        </x:is>
      </x:c>
      <x:c r="C719" s="49" t="inlineStr">
        <x:is>
          <x:t xml:space="preserve">Lean-4-Proofs-main\Lean-4-Proofs-main\theophysics-lean-verification-package\narrow_product_test\NarrowProductTest\Basic.lean</x:t>
        </x:is>
      </x:c>
      <x:c r="D719" s="49" t="inlineStr">
        <x:is>
          <x:t xml:space="preserve">41</x:t>
        </x:is>
      </x:c>
      <x:c r="E719" s="49" t="inlineStr">
        <x:is>
          <x:t xml:space="preserve">DECLARATION_OR_UNKNOWN</x:t>
        </x:is>
      </x:c>
      <x:c r="F719" s="49" t="inlineStr">
        <x:is>
          <x:t xml:space="preserve">PENDING_NOT_RUN</x:t>
        </x:is>
      </x:c>
      <x:c r="G719" s="49" t="inlineStr">
        <x:is>
          <x:t xml:space="preserve">NO_SORRY_OR_ADMIT_STATIC_SCAN</x:t>
        </x:is>
      </x:c>
      <x:c r="H719" s="49" t="inlineStr">
        <x:is>
          <x:t xml:space="preserve">SCAFFOLDING_NOT_PUBLIC_COUNT</x:t>
        </x:is>
      </x:c>
      <x:c r="I719" s="49" t="inlineStr">
        <x:is>
          <x:t xml:space="preserve">1</x:t>
        </x:is>
      </x:c>
      <x:c r="L719" s="56" t="n"/>
    </x:row>
    <x:row r="720" ht="15" customHeight="1">
      <x:c r="A720" s="55" t="inlineStr">
        <x:is>
          <x:t xml:space="preserve">restForSProd_nonneg</x:t>
        </x:is>
      </x:c>
      <x:c r="B720" s="49" t="inlineStr">
        <x:is>
          <x:t xml:space="preserve">theorem</x:t>
        </x:is>
      </x:c>
      <x:c r="C720" s="49" t="inlineStr">
        <x:is>
          <x:t xml:space="preserve">Lean-4-Proofs-main\Lean-4-Proofs-main\theophysics-lean-verification-package\narrow_product_test\NarrowProductTest\Basic.lean</x:t>
        </x:is>
      </x:c>
      <x:c r="D720" s="49" t="inlineStr">
        <x:is>
          <x:t xml:space="preserve">126</x:t>
        </x:is>
      </x:c>
      <x:c r="E720" s="49" t="inlineStr">
        <x:is>
          <x:t xml:space="preserve">SUBSTANTIVE_OR_CASE_PROOF</x:t>
        </x:is>
      </x:c>
      <x:c r="F720" s="49" t="inlineStr">
        <x:is>
          <x:t xml:space="preserve">PENDING_NOT_RUN</x:t>
        </x:is>
      </x:c>
      <x:c r="G720" s="49" t="inlineStr">
        <x:is>
          <x:t xml:space="preserve">NO_SORRY_OR_ADMIT_STATIC_SCAN</x:t>
        </x:is>
      </x:c>
      <x:c r="H720" s="49" t="inlineStr">
        <x:is>
          <x:t xml:space="preserve">CANONICAL_THEOREM_DEDUPED_PENDING_COMPILE</x:t>
        </x:is>
      </x:c>
      <x:c r="I720" s="49" t="inlineStr">
        <x:is>
          <x:t xml:space="preserve">1</x:t>
        </x:is>
      </x:c>
      <x:c r="L720" s="56" t="n"/>
    </x:row>
    <x:row r="721" ht="15" customHeight="1">
      <x:c r="A721" s="55" t="inlineStr">
        <x:is>
          <x:t xml:space="preserve">restorationLanguageOnlyCandidate</x:t>
        </x:is>
      </x:c>
      <x:c r="B721" s="49" t="inlineStr">
        <x:is>
          <x:t xml:space="preserve">def</x:t>
        </x:is>
      </x:c>
      <x:c r="C721" s="49" t="inlineStr">
        <x:is>
          <x:t xml:space="preserve">theophysics-lean-main\theophysics-lean-main\Theophysics_Universality.lean</x:t>
        </x:is>
      </x:c>
      <x:c r="D721" s="49" t="inlineStr">
        <x:is>
          <x:t xml:space="preserve">200</x:t>
        </x:is>
      </x:c>
      <x:c r="E721" s="49" t="inlineStr">
        <x:is>
          <x:t xml:space="preserve">DECLARATION_OR_UNKNOWN</x:t>
        </x:is>
      </x:c>
      <x:c r="F721" s="49" t="inlineStr">
        <x:is>
          <x:t xml:space="preserve">PENDING_NOT_RUN</x:t>
        </x:is>
      </x:c>
      <x:c r="G721" s="49" t="inlineStr">
        <x:is>
          <x:t xml:space="preserve">NO_SORRY_OR_ADMIT_STATIC_SCAN</x:t>
        </x:is>
      </x:c>
      <x:c r="H721" s="49" t="inlineStr">
        <x:is>
          <x:t xml:space="preserve">SCAFFOLDING_NOT_PUBLIC_COUNT</x:t>
        </x:is>
      </x:c>
      <x:c r="I721" s="49" t="inlineStr">
        <x:is>
          <x:t xml:space="preserve">0</x:t>
        </x:is>
      </x:c>
      <x:c r="L721" s="56" t="n"/>
    </x:row>
    <x:row r="722" ht="15" customHeight="1">
      <x:c r="A722" s="55" t="inlineStr">
        <x:is>
          <x:t xml:space="preserve">restoration_language_only_candidate_is_not_strong_cd_class</x:t>
        </x:is>
      </x:c>
      <x:c r="B722" s="49" t="inlineStr">
        <x:is>
          <x:t xml:space="preserve">theorem</x:t>
        </x:is>
      </x:c>
      <x:c r="C722" s="49" t="inlineStr">
        <x:is>
          <x:t xml:space="preserve">theophysics-lean-main\theophysics-lean-main\Theophysics_Universality.lean</x:t>
        </x:is>
      </x:c>
      <x:c r="D722" s="49" t="inlineStr">
        <x:is>
          <x:t xml:space="preserve">430</x:t>
        </x:is>
      </x:c>
      <x:c r="E722" s="49" t="inlineStr">
        <x:is>
          <x:t xml:space="preserve">DEFINITIONAL_RFL</x:t>
        </x:is>
      </x:c>
      <x:c r="F722" s="49" t="inlineStr">
        <x:is>
          <x:t xml:space="preserve">PENDING_NOT_RUN</x:t>
        </x:is>
      </x:c>
      <x:c r="G722" s="49" t="inlineStr">
        <x:is>
          <x:t xml:space="preserve">NO_SORRY_OR_ADMIT_STATIC_SCAN</x:t>
        </x:is>
      </x:c>
      <x:c r="H722" s="49" t="inlineStr">
        <x:is>
          <x:t xml:space="preserve">UNIQUE_THEOREM_PENDING_COMPILE</x:t>
        </x:is>
      </x:c>
      <x:c r="I722" s="49" t="inlineStr">
        <x:is>
          <x:t xml:space="preserve">0</x:t>
        </x:is>
      </x:c>
      <x:c r="L722" s="56" t="n"/>
    </x:row>
    <x:row r="723" ht="15" customHeight="1">
      <x:c r="A723" s="55" t="inlineStr">
        <x:is>
          <x:t xml:space="preserve">restoration_language_only_not_theology_class</x:t>
        </x:is>
      </x:c>
      <x:c r="B723" s="49" t="inlineStr">
        <x:is>
          <x:t xml:space="preserve">theorem</x:t>
        </x:is>
      </x:c>
      <x:c r="C723" s="49" t="inlineStr">
        <x:is>
          <x:t xml:space="preserve">theophysics-lean-main\theophysics-lean-main\Theophysics_Universality.lean</x:t>
        </x:is>
      </x:c>
      <x:c r="D723" s="49" t="inlineStr">
        <x:is>
          <x:t xml:space="preserve">473</x:t>
        </x:is>
      </x:c>
      <x:c r="E723" s="49" t="inlineStr">
        <x:is>
          <x:t xml:space="preserve">SUBSTANTIVE_OR_CASE_PROOF</x:t>
        </x:is>
      </x:c>
      <x:c r="F723" s="49" t="inlineStr">
        <x:is>
          <x:t xml:space="preserve">PENDING_NOT_RUN</x:t>
        </x:is>
      </x:c>
      <x:c r="G723" s="49" t="inlineStr">
        <x:is>
          <x:t xml:space="preserve">NO_SORRY_OR_ADMIT_STATIC_SCAN</x:t>
        </x:is>
      </x:c>
      <x:c r="H723" s="49" t="inlineStr">
        <x:is>
          <x:t xml:space="preserve">UNIQUE_THEOREM_PENDING_COMPILE</x:t>
        </x:is>
      </x:c>
      <x:c r="I723" s="49" t="inlineStr">
        <x:is>
          <x:t xml:space="preserve">0</x:t>
        </x:is>
      </x:c>
      <x:c r="L723" s="56" t="n"/>
    </x:row>
    <x:row r="724" ht="15" customHeight="1">
      <x:c r="A724" s="55" t="inlineStr">
        <x:is>
          <x:t xml:space="preserve">restoration_needs_open_system_input_cost_and_memory</x:t>
        </x:is>
      </x:c>
      <x:c r="B724" s="49" t="inlineStr">
        <x:is>
          <x:t xml:space="preserve">theorem</x:t>
        </x:is>
      </x:c>
      <x:c r="C724" s="49" t="inlineStr">
        <x:is>
          <x:t xml:space="preserve">theophysics-lean-main\theophysics-lean-main\Theophysics_Core.lean</x:t>
        </x:is>
      </x:c>
      <x:c r="D724" s="49" t="inlineStr">
        <x:is>
          <x:t xml:space="preserve">66</x:t>
        </x:is>
      </x:c>
      <x:c r="E724" s="49" t="inlineStr">
        <x:is>
          <x:t xml:space="preserve">WRAPPER_OR_IMPORTED</x:t>
        </x:is>
      </x:c>
      <x:c r="F724" s="49" t="inlineStr">
        <x:is>
          <x:t xml:space="preserve">PENDING_NOT_RUN</x:t>
        </x:is>
      </x:c>
      <x:c r="G724" s="49" t="inlineStr">
        <x:is>
          <x:t xml:space="preserve">NO_SORRY_OR_ADMIT_STATIC_SCAN</x:t>
        </x:is>
      </x:c>
      <x:c r="H724" s="49" t="inlineStr">
        <x:is>
          <x:t xml:space="preserve">CANONICAL_THEOREM_DEDUPED_PENDING_COMPILE</x:t>
        </x:is>
      </x:c>
      <x:c r="I724" s="49" t="inlineStr">
        <x:is>
          <x:t xml:space="preserve">3</x:t>
        </x:is>
      </x:c>
      <x:c r="L724" s="56" t="n"/>
    </x:row>
    <x:row r="725" ht="15" customHeight="1">
      <x:c r="A725" s="55" t="inlineStr">
        <x:is>
          <x:t xml:space="preserve">restoration_requires_external_input</x:t>
        </x:is>
      </x:c>
      <x:c r="B725" s="49" t="inlineStr">
        <x:is>
          <x:t xml:space="preserve">theorem</x:t>
        </x:is>
      </x:c>
      <x:c r="C725" s="49" t="inlineStr">
        <x:is>
          <x:t xml:space="preserve">theophysics-lean-main\theophysics-lean-main\Theophysics_Coherence.lean</x:t>
        </x:is>
      </x:c>
      <x:c r="D725" s="49" t="inlineStr">
        <x:is>
          <x:t xml:space="preserve">181</x:t>
        </x:is>
      </x:c>
      <x:c r="E725" s="49" t="inlineStr">
        <x:is>
          <x:t xml:space="preserve">SIMPLIFICATION</x:t>
        </x:is>
      </x:c>
      <x:c r="F725" s="49" t="inlineStr">
        <x:is>
          <x:t xml:space="preserve">PENDING_NOT_RUN</x:t>
        </x:is>
      </x:c>
      <x:c r="G725" s="49" t="inlineStr">
        <x:is>
          <x:t xml:space="preserve">NO_SORRY_OR_ADMIT_STATIC_SCAN</x:t>
        </x:is>
      </x:c>
      <x:c r="H725" s="49" t="inlineStr">
        <x:is>
          <x:t xml:space="preserve">CANONICAL_THEOREM_DEDUPED_PENDING_COMPILE</x:t>
        </x:is>
      </x:c>
      <x:c r="I725" s="49" t="inlineStr">
        <x:is>
          <x:t xml:space="preserve">3</x:t>
        </x:is>
      </x:c>
      <x:c r="L725" s="56" t="n"/>
    </x:row>
    <x:row r="726" ht="15" customHeight="1">
      <x:c r="A726" s="55" t="inlineStr">
        <x:is>
          <x:t xml:space="preserve">restoration_requires_information_preservation</x:t>
        </x:is>
      </x:c>
      <x:c r="B726" s="49" t="inlineStr">
        <x:is>
          <x:t xml:space="preserve">theorem</x:t>
        </x:is>
      </x:c>
      <x:c r="C726" s="49" t="inlineStr">
        <x:is>
          <x:t xml:space="preserve">theophysics-lean-main\theophysics-lean-main\Theophysics_Coherence.lean</x:t>
        </x:is>
      </x:c>
      <x:c r="D726" s="49" t="inlineStr">
        <x:is>
          <x:t xml:space="preserve">197</x:t>
        </x:is>
      </x:c>
      <x:c r="E726" s="49" t="inlineStr">
        <x:is>
          <x:t xml:space="preserve">SIMPLIFICATION</x:t>
        </x:is>
      </x:c>
      <x:c r="F726" s="49" t="inlineStr">
        <x:is>
          <x:t xml:space="preserve">PENDING_NOT_RUN</x:t>
        </x:is>
      </x:c>
      <x:c r="G726" s="49" t="inlineStr">
        <x:is>
          <x:t xml:space="preserve">NO_SORRY_OR_ADMIT_STATIC_SCAN</x:t>
        </x:is>
      </x:c>
      <x:c r="H726" s="49" t="inlineStr">
        <x:is>
          <x:t xml:space="preserve">CANONICAL_THEOREM_DEDUPED_PENDING_COMPILE</x:t>
        </x:is>
      </x:c>
      <x:c r="I726" s="49" t="inlineStr">
        <x:is>
          <x:t xml:space="preserve">3</x:t>
        </x:is>
      </x:c>
      <x:c r="L726" s="56" t="n"/>
    </x:row>
    <x:row r="727" ht="15" customHeight="1">
      <x:c r="A727" s="55" t="inlineStr">
        <x:is>
          <x:t xml:space="preserve">restoration_requires_open_boundary</x:t>
        </x:is>
      </x:c>
      <x:c r="B727" s="49" t="inlineStr">
        <x:is>
          <x:t xml:space="preserve">theorem</x:t>
        </x:is>
      </x:c>
      <x:c r="C727" s="49" t="inlineStr">
        <x:is>
          <x:t xml:space="preserve">theophysics-lean-main\theophysics-lean-main\Theophysics_Coherence.lean</x:t>
        </x:is>
      </x:c>
      <x:c r="D727" s="49" t="inlineStr">
        <x:is>
          <x:t xml:space="preserve">173</x:t>
        </x:is>
      </x:c>
      <x:c r="E727" s="49" t="inlineStr">
        <x:is>
          <x:t xml:space="preserve">SIMPLIFICATION</x:t>
        </x:is>
      </x:c>
      <x:c r="F727" s="49" t="inlineStr">
        <x:is>
          <x:t xml:space="preserve">PENDING_NOT_RUN</x:t>
        </x:is>
      </x:c>
      <x:c r="G727" s="49" t="inlineStr">
        <x:is>
          <x:t xml:space="preserve">NO_SORRY_OR_ADMIT_STATIC_SCAN</x:t>
        </x:is>
      </x:c>
      <x:c r="H727" s="49" t="inlineStr">
        <x:is>
          <x:t xml:space="preserve">CANONICAL_THEOREM_DEDUPED_PENDING_COMPILE</x:t>
        </x:is>
      </x:c>
      <x:c r="I727" s="49" t="inlineStr">
        <x:is>
          <x:t xml:space="preserve">3</x:t>
        </x:is>
      </x:c>
      <x:c r="L727" s="56" t="n"/>
    </x:row>
    <x:row r="728" ht="15" customHeight="1">
      <x:c r="A728" s="55" t="inlineStr">
        <x:is>
          <x:t xml:space="preserve">restoration_requires_paid_cost</x:t>
        </x:is>
      </x:c>
      <x:c r="B728" s="49" t="inlineStr">
        <x:is>
          <x:t xml:space="preserve">theorem</x:t>
        </x:is>
      </x:c>
      <x:c r="C728" s="49" t="inlineStr">
        <x:is>
          <x:t xml:space="preserve">theophysics-lean-main\theophysics-lean-main\Theophysics_Coherence.lean</x:t>
        </x:is>
      </x:c>
      <x:c r="D728" s="49" t="inlineStr">
        <x:is>
          <x:t xml:space="preserve">189</x:t>
        </x:is>
      </x:c>
      <x:c r="E728" s="49" t="inlineStr">
        <x:is>
          <x:t xml:space="preserve">SIMPLIFICATION</x:t>
        </x:is>
      </x:c>
      <x:c r="F728" s="49" t="inlineStr">
        <x:is>
          <x:t xml:space="preserve">PENDING_NOT_RUN</x:t>
        </x:is>
      </x:c>
      <x:c r="G728" s="49" t="inlineStr">
        <x:is>
          <x:t xml:space="preserve">NO_SORRY_OR_ADMIT_STATIC_SCAN</x:t>
        </x:is>
      </x:c>
      <x:c r="H728" s="49" t="inlineStr">
        <x:is>
          <x:t xml:space="preserve">CANONICAL_THEOREM_DEDUPED_PENDING_COMPILE</x:t>
        </x:is>
      </x:c>
      <x:c r="I728" s="49" t="inlineStr">
        <x:is>
          <x:t xml:space="preserve">3</x:t>
        </x:is>
      </x:c>
      <x:c r="L728" s="56" t="n"/>
    </x:row>
    <x:row r="729" ht="15" customHeight="1">
      <x:c r="A729" s="55" t="inlineStr">
        <x:is>
          <x:t xml:space="preserve">resurrectionIdenticalToPreincarnateVisibleRecord</x:t>
        </x:is>
      </x:c>
      <x:c r="B729" s="49" t="inlineStr">
        <x:is>
          <x:t xml:space="preserve">def</x:t>
        </x:is>
      </x:c>
      <x:c r="C729" s="49" t="inlineStr">
        <x:is>
          <x:t xml:space="preserve">theophysics-lean-main\theophysics-lean-main\Theophysics_Adversarial.lean</x:t>
        </x:is>
      </x:c>
      <x:c r="D729" s="49" t="inlineStr">
        <x:is>
          <x:t xml:space="preserve">273</x:t>
        </x:is>
      </x:c>
      <x:c r="E729" s="49" t="inlineStr">
        <x:is>
          <x:t xml:space="preserve">DECLARATION_OR_UNKNOWN</x:t>
        </x:is>
      </x:c>
      <x:c r="F729" s="49" t="inlineStr">
        <x:is>
          <x:t xml:space="preserve">PENDING_NOT_RUN</x:t>
        </x:is>
      </x:c>
      <x:c r="G729" s="49" t="inlineStr">
        <x:is>
          <x:t xml:space="preserve">NO_SORRY_OR_ADMIT_STATIC_SCAN</x:t>
        </x:is>
      </x:c>
      <x:c r="H729" s="49" t="inlineStr">
        <x:is>
          <x:t xml:space="preserve">SCAFFOLDING_NOT_PUBLIC_COUNT</x:t>
        </x:is>
      </x:c>
      <x:c r="I729" s="49" t="inlineStr">
        <x:is>
          <x:t xml:space="preserve">3</x:t>
        </x:is>
      </x:c>
      <x:c r="L729" s="56" t="n"/>
    </x:row>
    <x:row r="730" ht="15" customHeight="1">
      <x:c r="A730" s="55" t="inlineStr">
        <x:is>
          <x:t xml:space="preserve">resurrection_certifies_capacity</x:t>
        </x:is>
      </x:c>
      <x:c r="B730" s="49" t="inlineStr">
        <x:is>
          <x:t xml:space="preserve">theorem</x:t>
        </x:is>
      </x:c>
      <x:c r="C730" s="49" t="inlineStr">
        <x:is>
          <x:t xml:space="preserve">theophysics-lean-main\theophysics-lean-main\Theophysics_Canonization.lean</x:t>
        </x:is>
      </x:c>
      <x:c r="D730" s="49" t="inlineStr">
        <x:is>
          <x:t xml:space="preserve">563</x:t>
        </x:is>
      </x:c>
      <x:c r="E730" s="49" t="inlineStr">
        <x:is>
          <x:t xml:space="preserve">DECLARATION_OR_UNKNOWN</x:t>
        </x:is>
      </x:c>
      <x:c r="F730" s="49" t="inlineStr">
        <x:is>
          <x:t xml:space="preserve">PENDING_NOT_RUN</x:t>
        </x:is>
      </x:c>
      <x:c r="G730" s="49" t="inlineStr">
        <x:is>
          <x:t xml:space="preserve">NO_SORRY_OR_ADMIT_STATIC_SCAN</x:t>
        </x:is>
      </x:c>
      <x:c r="H730" s="49" t="inlineStr">
        <x:is>
          <x:t xml:space="preserve">UNIQUE_THEOREM_PENDING_COMPILE</x:t>
        </x:is>
      </x:c>
      <x:c r="I730" s="49" t="inlineStr">
        <x:is>
          <x:t xml:space="preserve">0</x:t>
        </x:is>
      </x:c>
      <x:c r="J730" s="49" t="inlineStr">
        <x:is>
          <x:t xml:space="preserve">LEAN_DERIVATION_CHAIN:271</x:t>
        </x:is>
      </x:c>
      <x:c r="K730" s="49" t="inlineStr">
        <x:is>
          <x:t xml:space="preserve">Unbounded capacity implies no finite delta_total exhausts it (structural marker)</x:t>
        </x:is>
      </x:c>
      <x:c r="L730" s="56" t="n"/>
    </x:row>
    <x:row r="731" ht="15" customHeight="1">
      <x:c r="A731" s="55" t="inlineStr">
        <x:is>
          <x:t xml:space="preserve">resurrection_is_not_identical_to_preincarnate_visible_record</x:t>
        </x:is>
      </x:c>
      <x:c r="B731" s="49" t="inlineStr">
        <x:is>
          <x:t xml:space="preserve">theorem</x:t>
        </x:is>
      </x:c>
      <x:c r="C731" s="49" t="inlineStr">
        <x:is>
          <x:t xml:space="preserve">theophysics-lean-main\theophysics-lean-main\Theophysics_Adversarial.lean</x:t>
        </x:is>
      </x:c>
      <x:c r="D731" s="49" t="inlineStr">
        <x:is>
          <x:t xml:space="preserve">520</x:t>
        </x:is>
      </x:c>
      <x:c r="E731" s="49" t="inlineStr">
        <x:is>
          <x:t xml:space="preserve">DEFINITIONAL_RFL</x:t>
        </x:is>
      </x:c>
      <x:c r="F731" s="49" t="inlineStr">
        <x:is>
          <x:t xml:space="preserve">PENDING_NOT_RUN</x:t>
        </x:is>
      </x:c>
      <x:c r="G731" s="49" t="inlineStr">
        <x:is>
          <x:t xml:space="preserve">NO_SORRY_OR_ADMIT_STATIC_SCAN</x:t>
        </x:is>
      </x:c>
      <x:c r="H731" s="49" t="inlineStr">
        <x:is>
          <x:t xml:space="preserve">CANONICAL_THEOREM_DEDUPED_PENDING_COMPILE</x:t>
        </x:is>
      </x:c>
      <x:c r="I731" s="49" t="inlineStr">
        <x:is>
          <x:t xml:space="preserve">3</x:t>
        </x:is>
      </x:c>
      <x:c r="J731" s="49" t="inlineStr">
        <x:is>
          <x:t xml:space="preserve">LEAN_DERIVATION_CHAIN:160</x:t>
        </x:is>
      </x:c>
      <x:c r="K731" s="49" t="inlineStr">
        <x:is>
          <x:t xml:space="preserve">REJECTION: Post-resurrection ≠ pre-incarnate. It is RICHER — not a reset.</x:t>
        </x:is>
      </x:c>
      <x:c r="L731" s="56" t="n"/>
    </x:row>
    <x:row r="732" ht="15" customHeight="1">
      <x:c r="A732" s="55" t="inlineStr">
        <x:is>
          <x:t xml:space="preserve">resurrection_preserves_substrate_identity</x:t>
        </x:is>
      </x:c>
      <x:c r="B732" s="49" t="inlineStr">
        <x:is>
          <x:t xml:space="preserve">theorem</x:t>
        </x:is>
      </x:c>
      <x:c r="C732" s="49" t="inlineStr">
        <x:is>
          <x:t xml:space="preserve">theophysics-lean-main\theophysics-lean-main\Theophysics_Core.lean</x:t>
        </x:is>
      </x:c>
      <x:c r="D732" s="49" t="inlineStr">
        <x:is>
          <x:t xml:space="preserve">144</x:t>
        </x:is>
      </x:c>
      <x:c r="E732" s="49" t="inlineStr">
        <x:is>
          <x:t xml:space="preserve">TRIVIAL_TRUE</x:t>
        </x:is>
      </x:c>
      <x:c r="F732" s="49" t="inlineStr">
        <x:is>
          <x:t xml:space="preserve">PENDING_NOT_RUN</x:t>
        </x:is>
      </x:c>
      <x:c r="G732" s="49" t="inlineStr">
        <x:is>
          <x:t xml:space="preserve">NO_SORRY_OR_ADMIT_STATIC_SCAN</x:t>
        </x:is>
      </x:c>
      <x:c r="H732" s="49" t="inlineStr">
        <x:is>
          <x:t xml:space="preserve">LOW_CONTENT_TRUE_NOT_PUBLIC_COUNT</x:t>
        </x:is>
      </x:c>
      <x:c r="I732" s="49" t="inlineStr">
        <x:is>
          <x:t xml:space="preserve">3</x:t>
        </x:is>
      </x:c>
      <x:c r="J732" s="49" t="inlineStr">
        <x:is>
          <x:t xml:space="preserve">LEAN_DERIVATION_CHAIN:155</x:t>
        </x:is>
      </x:c>
      <x:c r="K732" s="49" t="inlineStr">
        <x:is>
          <x:t xml:space="preserve">Substrate ID unchanged through resurrection</x:t>
        </x:is>
      </x:c>
      <x:c r="L732" s="56" t="n"/>
    </x:row>
    <x:row r="733" ht="15" customHeight="1">
      <x:c r="A733" s="55" t="inlineStr">
        <x:is>
          <x:t xml:space="preserve">resurrection_returns_to_infinite_resolution</x:t>
        </x:is>
      </x:c>
      <x:c r="B733" s="49" t="inlineStr">
        <x:is>
          <x:t xml:space="preserve">theorem</x:t>
        </x:is>
      </x:c>
      <x:c r="C733" s="49" t="inlineStr">
        <x:is>
          <x:t xml:space="preserve">theophysics-lean-main\theophysics-lean-main\Theophysics_Core.lean</x:t>
        </x:is>
      </x:c>
      <x:c r="D733" s="49" t="inlineStr">
        <x:is>
          <x:t xml:space="preserve">145</x:t>
        </x:is>
      </x:c>
      <x:c r="E733" s="49" t="inlineStr">
        <x:is>
          <x:t xml:space="preserve">TRIVIAL_TRUE</x:t>
        </x:is>
      </x:c>
      <x:c r="F733" s="49" t="inlineStr">
        <x:is>
          <x:t xml:space="preserve">PENDING_NOT_RUN</x:t>
        </x:is>
      </x:c>
      <x:c r="G733" s="49" t="inlineStr">
        <x:is>
          <x:t xml:space="preserve">NO_SORRY_OR_ADMIT_STATIC_SCAN</x:t>
        </x:is>
      </x:c>
      <x:c r="H733" s="49" t="inlineStr">
        <x:is>
          <x:t xml:space="preserve">LOW_CONTENT_TRUE_NOT_PUBLIC_COUNT</x:t>
        </x:is>
      </x:c>
      <x:c r="I733" s="49" t="inlineStr">
        <x:is>
          <x:t xml:space="preserve">3</x:t>
        </x:is>
      </x:c>
      <x:c r="J733" s="49" t="inlineStr">
        <x:is>
          <x:t xml:space="preserve">LEAN_DERIVATION_CHAIN:157</x:t>
        </x:is>
      </x:c>
      <x:c r="K733" s="49" t="inlineStr">
        <x:is>
          <x:t xml:space="preserve">Resurrection = resolution returns to infinite</x:t>
        </x:is>
      </x:c>
      <x:c r="L733" s="56" t="n"/>
    </x:row>
    <x:row r="734" ht="15" customHeight="1">
      <x:c r="A734" s="55" t="inlineStr">
        <x:is>
          <x:t xml:space="preserve">resurrection_same_substrate_richer_expression</x:t>
        </x:is>
      </x:c>
      <x:c r="B734" s="49" t="inlineStr">
        <x:is>
          <x:t xml:space="preserve">theorem</x:t>
        </x:is>
      </x:c>
      <x:c r="C734" s="49" t="inlineStr">
        <x:is>
          <x:t xml:space="preserve">theophysics-lean-main\theophysics-lean-main\Theophysics_Core.lean</x:t>
        </x:is>
      </x:c>
      <x:c r="D734" s="49" t="inlineStr">
        <x:is>
          <x:t xml:space="preserve">146</x:t>
        </x:is>
      </x:c>
      <x:c r="E734" s="49" t="inlineStr">
        <x:is>
          <x:t xml:space="preserve">TRIVIAL_TRUE</x:t>
        </x:is>
      </x:c>
      <x:c r="F734" s="49" t="inlineStr">
        <x:is>
          <x:t xml:space="preserve">PENDING_NOT_RUN</x:t>
        </x:is>
      </x:c>
      <x:c r="G734" s="49" t="inlineStr">
        <x:is>
          <x:t xml:space="preserve">NO_SORRY_OR_ADMIT_STATIC_SCAN</x:t>
        </x:is>
      </x:c>
      <x:c r="H734" s="49" t="inlineStr">
        <x:is>
          <x:t xml:space="preserve">LOW_CONTENT_TRUE_NOT_PUBLIC_COUNT</x:t>
        </x:is>
      </x:c>
      <x:c r="I734" s="49" t="inlineStr">
        <x:is>
          <x:t xml:space="preserve">3</x:t>
        </x:is>
      </x:c>
      <x:c r="J734" s="49" t="inlineStr">
        <x:is>
          <x:t xml:space="preserve">LEAN_DERIVATION_CHAIN:161</x:t>
        </x:is>
      </x:c>
      <x:c r="K734" s="49" t="inlineStr">
        <x:is>
          <x:t xml:space="preserve">Same substrate + finite record carried = richer than before</x:t>
        </x:is>
      </x:c>
      <x:c r="L734" s="56" t="n"/>
    </x:row>
    <x:row r="735" ht="15" customHeight="1">
      <x:c r="A735" s="55" t="inlineStr">
        <x:is>
          <x:t xml:space="preserve">retainedMemory</x:t>
        </x:is>
      </x:c>
      <x:c r="B735" s="49" t="inlineStr">
        <x:is>
          <x:t xml:space="preserve">def</x:t>
        </x:is>
      </x:c>
      <x:c r="C735" s="49" t="inlineStr">
        <x:is>
          <x:t xml:space="preserve">theophysics-lean-main\theophysics-lean-main\Theophysics_Adversarial.lean</x:t>
        </x:is>
      </x:c>
      <x:c r="D735" s="49" t="inlineStr">
        <x:is>
          <x:t xml:space="preserve">283</x:t>
        </x:is>
      </x:c>
      <x:c r="E735" s="49" t="inlineStr">
        <x:is>
          <x:t xml:space="preserve">DECLARATION_OR_UNKNOWN</x:t>
        </x:is>
      </x:c>
      <x:c r="F735" s="49" t="inlineStr">
        <x:is>
          <x:t xml:space="preserve">PENDING_NOT_RUN</x:t>
        </x:is>
      </x:c>
      <x:c r="G735" s="49" t="inlineStr">
        <x:is>
          <x:t xml:space="preserve">NO_SORRY_OR_ADMIT_STATIC_SCAN</x:t>
        </x:is>
      </x:c>
      <x:c r="H735" s="49" t="inlineStr">
        <x:is>
          <x:t xml:space="preserve">SCAFFOLDING_NOT_PUBLIC_COUNT</x:t>
        </x:is>
      </x:c>
      <x:c r="I735" s="49" t="inlineStr">
        <x:is>
          <x:t xml:space="preserve">3</x:t>
        </x:is>
      </x:c>
      <x:c r="L735" s="56" t="n"/>
    </x:row>
    <x:row r="736" ht="15" customHeight="1">
      <x:c r="A736" s="55" t="inlineStr">
        <x:is>
          <x:t xml:space="preserve">richIsoToNaturalCoin</x:t>
        </x:is>
      </x:c>
      <x:c r="B736" s="49" t="inlineStr">
        <x:is>
          <x:t xml:space="preserve">def</x:t>
        </x:is>
      </x:c>
      <x:c r="C736" s="49" t="inlineStr">
        <x:is>
          <x:t xml:space="preserve">theophysics-lean-main\theophysics-lean-main\Theophysics_Adversarial.lean</x:t>
        </x:is>
      </x:c>
      <x:c r="D736" s="49" t="inlineStr">
        <x:is>
          <x:t xml:space="preserve">230</x:t>
        </x:is>
      </x:c>
      <x:c r="E736" s="49" t="inlineStr">
        <x:is>
          <x:t xml:space="preserve">DECLARATION_OR_UNKNOWN</x:t>
        </x:is>
      </x:c>
      <x:c r="F736" s="49" t="inlineStr">
        <x:is>
          <x:t xml:space="preserve">PENDING_NOT_RUN</x:t>
        </x:is>
      </x:c>
      <x:c r="G736" s="49" t="inlineStr">
        <x:is>
          <x:t xml:space="preserve">NO_SORRY_OR_ADMIT_STATIC_SCAN</x:t>
        </x:is>
      </x:c>
      <x:c r="H736" s="49" t="inlineStr">
        <x:is>
          <x:t xml:space="preserve">SCAFFOLDING_NOT_PUBLIC_COUNT</x:t>
        </x:is>
      </x:c>
      <x:c r="I736" s="49" t="inlineStr">
        <x:is>
          <x:t xml:space="preserve">3</x:t>
        </x:is>
      </x:c>
      <x:c r="L736" s="56" t="n"/>
    </x:row>
    <x:row r="737" ht="15" customHeight="1">
      <x:c r="A737" s="55" t="inlineStr">
        <x:is>
          <x:t xml:space="preserve">richLaw4Iso</x:t>
        </x:is>
      </x:c>
      <x:c r="B737" s="49" t="inlineStr">
        <x:is>
          <x:t xml:space="preserve">theorem</x:t>
        </x:is>
      </x:c>
      <x:c r="C737" s="49" t="inlineStr">
        <x:is>
          <x:t xml:space="preserve">theophysics-lean-main\theophysics-lean-main\Theophysics_Core.lean</x:t>
        </x:is>
      </x:c>
      <x:c r="D737" s="49" t="inlineStr">
        <x:is>
          <x:t xml:space="preserve">218</x:t>
        </x:is>
      </x:c>
      <x:c r="E737" s="49" t="inlineStr">
        <x:is>
          <x:t xml:space="preserve">TRIVIAL_TRUE</x:t>
        </x:is>
      </x:c>
      <x:c r="F737" s="49" t="inlineStr">
        <x:is>
          <x:t xml:space="preserve">PENDING_NOT_RUN</x:t>
        </x:is>
      </x:c>
      <x:c r="G737" s="49" t="inlineStr">
        <x:is>
          <x:t xml:space="preserve">NO_SORRY_OR_ADMIT_STATIC_SCAN</x:t>
        </x:is>
      </x:c>
      <x:c r="H737" s="49" t="inlineStr">
        <x:is>
          <x:t xml:space="preserve">LOW_CONTENT_TRUE_NOT_PUBLIC_COUNT</x:t>
        </x:is>
      </x:c>
      <x:c r="I737" s="49" t="inlineStr">
        <x:is>
          <x:t xml:space="preserve">3</x:t>
        </x:is>
      </x:c>
      <x:c r="J737" s="49" t="inlineStr">
        <x:is>
          <x:t xml:space="preserve">LEAN_DERIVATION_CHAIN:86</x:t>
        </x:is>
      </x:c>
      <x:c r="K737" s="49" t="inlineStr">
        <x:is>
          <x:t xml:space="preserve">StrongForce ≅ Love under RichLawIso (roles + transitions preserved). Stronger level.</x:t>
        </x:is>
      </x:c>
      <x:c r="L737" s="56" t="n"/>
    </x:row>
    <x:row r="738" ht="15" customHeight="1">
      <x:c r="A738" s="55" t="inlineStr">
        <x:is>
          <x:t xml:space="preserve">richRelabeledCoinIso</x:t>
        </x:is>
      </x:c>
      <x:c r="B738" s="49" t="inlineStr">
        <x:is>
          <x:t xml:space="preserve">theorem</x:t>
        </x:is>
      </x:c>
      <x:c r="C738" s="49" t="inlineStr">
        <x:is>
          <x:t xml:space="preserve">theophysics-lean-main\theophysics-lean-main\Theophysics_Adversarial.lean</x:t>
        </x:is>
      </x:c>
      <x:c r="D738" s="49" t="inlineStr">
        <x:is>
          <x:t xml:space="preserve">420</x:t>
        </x:is>
      </x:c>
      <x:c r="E738" s="49" t="inlineStr">
        <x:is>
          <x:t xml:space="preserve">DEFINITIONAL_RFL</x:t>
        </x:is>
      </x:c>
      <x:c r="F738" s="49" t="inlineStr">
        <x:is>
          <x:t xml:space="preserve">PENDING_NOT_RUN</x:t>
        </x:is>
      </x:c>
      <x:c r="G738" s="49" t="inlineStr">
        <x:is>
          <x:t xml:space="preserve">NO_SORRY_OR_ADMIT_STATIC_SCAN</x:t>
        </x:is>
      </x:c>
      <x:c r="H738" s="49" t="inlineStr">
        <x:is>
          <x:t xml:space="preserve">CANONICAL_THEOREM_DEDUPED_PENDING_COMPILE</x:t>
        </x:is>
      </x:c>
      <x:c r="I738" s="49" t="inlineStr">
        <x:is>
          <x:t xml:space="preserve">3</x:t>
        </x:is>
      </x:c>
      <x:c r="J738" s="49" t="inlineStr">
        <x:is>
          <x:t xml:space="preserve">LEAN_DERIVATION_CHAIN:88</x:t>
        </x:is>
      </x:c>
      <x:c r="K738" s="49" t="inlineStr">
        <x:is>
          <x:t xml:space="preserve">BOUNDARY: Relabeled coin PASSES — deliberately adversarial. Lean cannot verify label honesty.</x:t>
        </x:is>
      </x:c>
      <x:c r="L738" s="56" t="inlineStr">
        <x:is>
          <x:t xml:space="preserve">load_bearing_controls | variable_coupling</x:t>
        </x:is>
      </x:c>
    </x:row>
    <x:row r="739" ht="15" customHeight="1">
      <x:c r="A739" s="55" t="inlineStr">
        <x:is>
          <x:t xml:space="preserve">richRelabeledCoinIsoBoundary</x:t>
        </x:is>
      </x:c>
      <x:c r="B739" s="49" t="inlineStr">
        <x:is>
          <x:t xml:space="preserve">def</x:t>
        </x:is>
      </x:c>
      <x:c r="C739" s="49" t="inlineStr">
        <x:is>
          <x:t xml:space="preserve">theophysics-lean-main\theophysics-lean-main\Theophysics_Adversarial.lean</x:t>
        </x:is>
      </x:c>
      <x:c r="D739" s="49" t="inlineStr">
        <x:is>
          <x:t xml:space="preserve">231</x:t>
        </x:is>
      </x:c>
      <x:c r="E739" s="49" t="inlineStr">
        <x:is>
          <x:t xml:space="preserve">DECLARATION_OR_UNKNOWN</x:t>
        </x:is>
      </x:c>
      <x:c r="F739" s="49" t="inlineStr">
        <x:is>
          <x:t xml:space="preserve">PENDING_NOT_RUN</x:t>
        </x:is>
      </x:c>
      <x:c r="G739" s="49" t="inlineStr">
        <x:is>
          <x:t xml:space="preserve">NO_SORRY_OR_ADMIT_STATIC_SCAN</x:t>
        </x:is>
      </x:c>
      <x:c r="H739" s="49" t="inlineStr">
        <x:is>
          <x:t xml:space="preserve">SCAFFOLDING_NOT_PUBLIC_COUNT</x:t>
        </x:is>
      </x:c>
      <x:c r="I739" s="49" t="inlineStr">
        <x:is>
          <x:t xml:space="preserve">3</x:t>
        </x:is>
      </x:c>
      <x:c r="L739" s="56" t="n"/>
    </x:row>
    <x:row r="740" ht="15" customHeight="1">
      <x:c r="A740" s="55" t="inlineStr">
        <x:is>
          <x:t xml:space="preserve">sEff</x:t>
        </x:is>
      </x:c>
      <x:c r="B740" s="49" t="inlineStr">
        <x:is>
          <x:t xml:space="preserve">def</x:t>
        </x:is>
      </x:c>
      <x:c r="C740" s="49" t="inlineStr">
        <x:is>
          <x:t xml:space="preserve">Lean-4-Proofs-main\Lean-4-Proofs-main\theophysics-lean-verification-package\narrow_product_test\NarrowProductTest\Basic.lean</x:t>
        </x:is>
      </x:c>
      <x:c r="D740" s="49" t="inlineStr">
        <x:is>
          <x:t xml:space="preserve">30</x:t>
        </x:is>
      </x:c>
      <x:c r="E740" s="49" t="inlineStr">
        <x:is>
          <x:t xml:space="preserve">DECLARATION_OR_UNKNOWN</x:t>
        </x:is>
      </x:c>
      <x:c r="F740" s="49" t="inlineStr">
        <x:is>
          <x:t xml:space="preserve">PENDING_NOT_RUN</x:t>
        </x:is>
      </x:c>
      <x:c r="G740" s="49" t="inlineStr">
        <x:is>
          <x:t xml:space="preserve">NO_SORRY_OR_ADMIT_STATIC_SCAN</x:t>
        </x:is>
      </x:c>
      <x:c r="H740" s="49" t="inlineStr">
        <x:is>
          <x:t xml:space="preserve">SCAFFOLDING_NOT_PUBLIC_COUNT</x:t>
        </x:is>
      </x:c>
      <x:c r="I740" s="49" t="inlineStr">
        <x:is>
          <x:t xml:space="preserve">1</x:t>
        </x:is>
      </x:c>
      <x:c r="L740" s="56" t="n"/>
    </x:row>
    <x:row r="741" ht="15" customHeight="1">
      <x:c r="A741" s="55" t="inlineStr">
        <x:is>
          <x:t xml:space="preserve">sEff_antitone</x:t>
        </x:is>
      </x:c>
      <x:c r="B741" s="49" t="inlineStr">
        <x:is>
          <x:t xml:space="preserve">theorem</x:t>
        </x:is>
      </x:c>
      <x:c r="C741" s="49" t="inlineStr">
        <x:is>
          <x:t xml:space="preserve">Lean-4-Proofs-main\Lean-4-Proofs-main\theophysics-lean-verification-package\narrow_product_test\NarrowProductTest\Basic.lean</x:t>
        </x:is>
      </x:c>
      <x:c r="D741" s="49" t="inlineStr">
        <x:is>
          <x:t xml:space="preserve">55</x:t>
        </x:is>
      </x:c>
      <x:c r="E741" s="49" t="inlineStr">
        <x:is>
          <x:t xml:space="preserve">WRAPPER_OR_IMPORTED</x:t>
        </x:is>
      </x:c>
      <x:c r="F741" s="49" t="inlineStr">
        <x:is>
          <x:t xml:space="preserve">PENDING_NOT_RUN</x:t>
        </x:is>
      </x:c>
      <x:c r="G741" s="49" t="inlineStr">
        <x:is>
          <x:t xml:space="preserve">NO_SORRY_OR_ADMIT_STATIC_SCAN</x:t>
        </x:is>
      </x:c>
      <x:c r="H741" s="49" t="inlineStr">
        <x:is>
          <x:t xml:space="preserve">CANONICAL_THEOREM_DEDUPED_PENDING_COMPILE</x:t>
        </x:is>
      </x:c>
      <x:c r="I741" s="49" t="inlineStr">
        <x:is>
          <x:t xml:space="preserve">1</x:t>
        </x:is>
      </x:c>
      <x:c r="L741" s="56" t="n"/>
    </x:row>
    <x:row r="742" ht="15" customHeight="1">
      <x:c r="A742" s="55" t="inlineStr">
        <x:is>
          <x:t xml:space="preserve">sEff_decreases</x:t>
        </x:is>
      </x:c>
      <x:c r="B742" s="49" t="inlineStr">
        <x:is>
          <x:t xml:space="preserve">theorem</x:t>
        </x:is>
      </x:c>
      <x:c r="C742" s="49" t="inlineStr">
        <x:is>
          <x:t xml:space="preserve">Lean-4-Proofs-main\Lean-4-Proofs-main\theophysics-lean-verification-package\CorrectedEntropyKernel.lean</x:t>
        </x:is>
      </x:c>
      <x:c r="D742" s="49" t="inlineStr">
        <x:is>
          <x:t xml:space="preserve">221</x:t>
        </x:is>
      </x:c>
      <x:c r="E742" s="49" t="inlineStr">
        <x:is>
          <x:t xml:space="preserve">DECLARATION_OR_UNKNOWN</x:t>
        </x:is>
      </x:c>
      <x:c r="F742" s="49" t="inlineStr">
        <x:is>
          <x:t xml:space="preserve">PENDING_NOT_RUN</x:t>
        </x:is>
      </x:c>
      <x:c r="G742" s="49" t="inlineStr">
        <x:is>
          <x:t xml:space="preserve">NO_SORRY_OR_ADMIT_STATIC_SCAN</x:t>
        </x:is>
      </x:c>
      <x:c r="H742" s="49" t="inlineStr">
        <x:is>
          <x:t xml:space="preserve">UNIQUE_THEOREM_PENDING_COMPILE</x:t>
        </x:is>
      </x:c>
      <x:c r="I742" s="49" t="inlineStr">
        <x:is>
          <x:t xml:space="preserve">0</x:t>
        </x:is>
      </x:c>
      <x:c r="L742" s="56" t="n"/>
    </x:row>
    <x:row r="743" ht="15" customHeight="1">
      <x:c r="A743" s="55" t="inlineStr">
        <x:is>
          <x:t xml:space="preserve">sEff_le_one</x:t>
        </x:is>
      </x:c>
      <x:c r="B743" s="49" t="inlineStr">
        <x:is>
          <x:t xml:space="preserve">theorem</x:t>
        </x:is>
      </x:c>
      <x:c r="C743" s="49" t="inlineStr">
        <x:is>
          <x:t xml:space="preserve">Lean-4-Proofs-main\Lean-4-Proofs-main\theophysics-lean-verification-package\narrow_product_test\NarrowProductTest\Basic.lean</x:t>
        </x:is>
      </x:c>
      <x:c r="D743" s="49" t="inlineStr">
        <x:is>
          <x:t xml:space="preserve">48</x:t>
        </x:is>
      </x:c>
      <x:c r="E743" s="49" t="inlineStr">
        <x:is>
          <x:t xml:space="preserve">WRAPPER_OR_IMPORTED</x:t>
        </x:is>
      </x:c>
      <x:c r="F743" s="49" t="inlineStr">
        <x:is>
          <x:t xml:space="preserve">PENDING_NOT_RUN</x:t>
        </x:is>
      </x:c>
      <x:c r="G743" s="49" t="inlineStr">
        <x:is>
          <x:t xml:space="preserve">NO_SORRY_OR_ADMIT_STATIC_SCAN</x:t>
        </x:is>
      </x:c>
      <x:c r="H743" s="49" t="inlineStr">
        <x:is>
          <x:t xml:space="preserve">CANONICAL_THEOREM_DEDUPED_PENDING_COMPILE</x:t>
        </x:is>
      </x:c>
      <x:c r="I743" s="49" t="inlineStr">
        <x:is>
          <x:t xml:space="preserve">1</x:t>
        </x:is>
      </x:c>
      <x:c r="L743" s="56" t="n"/>
    </x:row>
    <x:row r="744" ht="15" customHeight="1">
      <x:c r="A744" s="55" t="inlineStr">
        <x:is>
          <x:t xml:space="preserve">sEff_pos</x:t>
        </x:is>
      </x:c>
      <x:c r="B744" s="49" t="inlineStr">
        <x:is>
          <x:t xml:space="preserve">theorem</x:t>
        </x:is>
      </x:c>
      <x:c r="C744" s="49" t="inlineStr">
        <x:is>
          <x:t xml:space="preserve">Lean-4-Proofs-main\Lean-4-Proofs-main\theophysics-lean-verification-package\narrow_product_test\NarrowProductTest\Basic.lean</x:t>
        </x:is>
      </x:c>
      <x:c r="D744" s="49" t="inlineStr">
        <x:is>
          <x:t xml:space="preserve">45</x:t>
        </x:is>
      </x:c>
      <x:c r="E744" s="49" t="inlineStr">
        <x:is>
          <x:t xml:space="preserve">WRAPPER_OR_IMPORTED</x:t>
        </x:is>
      </x:c>
      <x:c r="F744" s="49" t="inlineStr">
        <x:is>
          <x:t xml:space="preserve">PENDING_NOT_RUN</x:t>
        </x:is>
      </x:c>
      <x:c r="G744" s="49" t="inlineStr">
        <x:is>
          <x:t xml:space="preserve">NO_SORRY_OR_ADMIT_STATIC_SCAN</x:t>
        </x:is>
      </x:c>
      <x:c r="H744" s="49" t="inlineStr">
        <x:is>
          <x:t xml:space="preserve">CANONICAL_THEOREM_DEDUPED_PENDING_COMPILE</x:t>
        </x:is>
      </x:c>
      <x:c r="I744" s="49" t="inlineStr">
        <x:is>
          <x:t xml:space="preserve">1</x:t>
        </x:is>
      </x:c>
      <x:c r="L744" s="56" t="n"/>
    </x:row>
    <x:row r="745" ht="15" customHeight="1">
      <x:c r="A745" s="55" t="inlineStr">
        <x:is>
          <x:t xml:space="preserve">s_zero_kills_chi</x:t>
        </x:is>
      </x:c>
      <x:c r="B745" s="49" t="inlineStr">
        <x:is>
          <x:t xml:space="preserve">theorem</x:t>
        </x:is>
      </x:c>
      <x:c r="C745" s="49" t="inlineStr">
        <x:is>
          <x:t xml:space="preserve">theophysics-lean-main\theophysics-lean-main\Theophysics_Core.lean</x:t>
        </x:is>
      </x:c>
      <x:c r="D745" s="49" t="inlineStr">
        <x:is>
          <x:t xml:space="preserve">254</x:t>
        </x:is>
      </x:c>
      <x:c r="E745" s="49" t="inlineStr">
        <x:is>
          <x:t xml:space="preserve">DECLARATION_OR_UNKNOWN</x:t>
        </x:is>
      </x:c>
      <x:c r="F745" s="49" t="inlineStr">
        <x:is>
          <x:t xml:space="preserve">PENDING_NOT_RUN</x:t>
        </x:is>
      </x:c>
      <x:c r="G745" s="49" t="inlineStr">
        <x:is>
          <x:t xml:space="preserve">NO_SORRY_OR_ADMIT_STATIC_SCAN</x:t>
        </x:is>
      </x:c>
      <x:c r="H745" s="49" t="inlineStr">
        <x:is>
          <x:t xml:space="preserve">CANONICAL_THEOREM_DEDUPED_PENDING_COMPILE</x:t>
        </x:is>
      </x:c>
      <x:c r="I745" s="49" t="inlineStr">
        <x:is>
          <x:t xml:space="preserve">3</x:t>
        </x:is>
      </x:c>
      <x:c r="L745" s="56" t="n"/>
    </x:row>
    <x:row r="746" ht="15" customHeight="1">
      <x:c r="A746" s="55" t="inlineStr">
        <x:is>
          <x:t xml:space="preserve">salvationSpontaneous</x:t>
        </x:is>
      </x:c>
      <x:c r="B746" s="49" t="inlineStr">
        <x:is>
          <x:t xml:space="preserve">def</x:t>
        </x:is>
      </x:c>
      <x:c r="C746" s="49" t="inlineStr">
        <x:is>
          <x:t xml:space="preserve">theophysics-lean-main\theophysics-lean-main\Theophysics_Canonization.lean</x:t>
        </x:is>
      </x:c>
      <x:c r="D746" s="49" t="inlineStr">
        <x:is>
          <x:t xml:space="preserve">595</x:t>
        </x:is>
      </x:c>
      <x:c r="E746" s="49" t="inlineStr">
        <x:is>
          <x:t xml:space="preserve">DECLARATION_OR_UNKNOWN</x:t>
        </x:is>
      </x:c>
      <x:c r="F746" s="49" t="inlineStr">
        <x:is>
          <x:t xml:space="preserve">PENDING_NOT_RUN</x:t>
        </x:is>
      </x:c>
      <x:c r="G746" s="49" t="inlineStr">
        <x:is>
          <x:t xml:space="preserve">NO_SORRY_OR_ADMIT_STATIC_SCAN</x:t>
        </x:is>
      </x:c>
      <x:c r="H746" s="49" t="inlineStr">
        <x:is>
          <x:t xml:space="preserve">SCAFFOLDING_NOT_PUBLIC_COUNT</x:t>
        </x:is>
      </x:c>
      <x:c r="I746" s="49" t="inlineStr">
        <x:is>
          <x:t xml:space="preserve">0</x:t>
        </x:is>
      </x:c>
      <x:c r="L746" s="56" t="n"/>
    </x:row>
    <x:row r="747" ht="15" customHeight="1">
      <x:c r="A747" s="55" t="inlineStr">
        <x:is>
          <x:t xml:space="preserve">sameDotCrossDeterminesQuaternionProduct</x:t>
        </x:is>
      </x:c>
      <x:c r="B747" s="49" t="inlineStr">
        <x:is>
          <x:t xml:space="preserve">def</x:t>
        </x:is>
      </x:c>
      <x:c r="C747" s="49" t="inlineStr">
        <x:is>
          <x:t xml:space="preserve">theophysics-lean-main\theophysics-lean-main\Theophysics_MaxwellTrinity.lean</x:t>
        </x:is>
      </x:c>
      <x:c r="D747" s="49" t="inlineStr">
        <x:is>
          <x:t xml:space="preserve">34</x:t>
        </x:is>
      </x:c>
      <x:c r="E747" s="49" t="inlineStr">
        <x:is>
          <x:t xml:space="preserve">DECLARATION_OR_UNKNOWN</x:t>
        </x:is>
      </x:c>
      <x:c r="F747" s="49" t="inlineStr">
        <x:is>
          <x:t xml:space="preserve">PENDING_NOT_RUN</x:t>
        </x:is>
      </x:c>
      <x:c r="G747" s="49" t="inlineStr">
        <x:is>
          <x:t xml:space="preserve">NO_SORRY_OR_ADMIT_STATIC_SCAN</x:t>
        </x:is>
      </x:c>
      <x:c r="H747" s="49" t="inlineStr">
        <x:is>
          <x:t xml:space="preserve">SCAFFOLDING_NOT_PUBLIC_COUNT</x:t>
        </x:is>
      </x:c>
      <x:c r="I747" s="49" t="inlineStr">
        <x:is>
          <x:t xml:space="preserve">3</x:t>
        </x:is>
      </x:c>
      <x:c r="L747" s="56" t="n"/>
    </x:row>
    <x:row r="748" ht="15" customHeight="1">
      <x:c r="A748" s="55" t="inlineStr">
        <x:is>
          <x:t xml:space="preserve">sameUniversalityClass</x:t>
        </x:is>
      </x:c>
      <x:c r="B748" s="49" t="inlineStr">
        <x:is>
          <x:t xml:space="preserve">def</x:t>
        </x:is>
      </x:c>
      <x:c r="C748" s="49" t="inlineStr">
        <x:is>
          <x:t xml:space="preserve">theophysics-lean-main\theophysics-lean-main\Theophysics_Universality.lean</x:t>
        </x:is>
      </x:c>
      <x:c r="D748" s="49" t="inlineStr">
        <x:is>
          <x:t xml:space="preserve">47</x:t>
        </x:is>
      </x:c>
      <x:c r="E748" s="49" t="inlineStr">
        <x:is>
          <x:t xml:space="preserve">DECLARATION_OR_UNKNOWN</x:t>
        </x:is>
      </x:c>
      <x:c r="F748" s="49" t="inlineStr">
        <x:is>
          <x:t xml:space="preserve">PENDING_NOT_RUN</x:t>
        </x:is>
      </x:c>
      <x:c r="G748" s="49" t="inlineStr">
        <x:is>
          <x:t xml:space="preserve">NO_SORRY_OR_ADMIT_STATIC_SCAN</x:t>
        </x:is>
      </x:c>
      <x:c r="H748" s="49" t="inlineStr">
        <x:is>
          <x:t xml:space="preserve">SCAFFOLDING_NOT_PUBLIC_COUNT</x:t>
        </x:is>
      </x:c>
      <x:c r="I748" s="49" t="inlineStr">
        <x:is>
          <x:t xml:space="preserve">0</x:t>
        </x:is>
      </x:c>
      <x:c r="L748" s="56" t="n"/>
    </x:row>
    <x:row r="749" ht="15" customHeight="1">
      <x:c r="A749" s="55" t="inlineStr">
        <x:is>
          <x:t xml:space="preserve">same_class_preserves_asymmetry</x:t>
        </x:is>
      </x:c>
      <x:c r="B749" s="49" t="inlineStr">
        <x:is>
          <x:t xml:space="preserve">theorem</x:t>
        </x:is>
      </x:c>
      <x:c r="C749" s="49" t="inlineStr">
        <x:is>
          <x:t xml:space="preserve">theophysics-lean-main\theophysics-lean-main\Theophysics_Universality.lean</x:t>
        </x:is>
      </x:c>
      <x:c r="D749" s="49" t="inlineStr">
        <x:is>
          <x:t xml:space="preserve">379</x:t>
        </x:is>
      </x:c>
      <x:c r="E749" s="49" t="inlineStr">
        <x:is>
          <x:t xml:space="preserve">WRAPPER_OR_IMPORTED</x:t>
        </x:is>
      </x:c>
      <x:c r="F749" s="49" t="inlineStr">
        <x:is>
          <x:t xml:space="preserve">PENDING_NOT_RUN</x:t>
        </x:is>
      </x:c>
      <x:c r="G749" s="49" t="inlineStr">
        <x:is>
          <x:t xml:space="preserve">NO_SORRY_OR_ADMIT_STATIC_SCAN</x:t>
        </x:is>
      </x:c>
      <x:c r="H749" s="49" t="inlineStr">
        <x:is>
          <x:t xml:space="preserve">UNIQUE_THEOREM_PENDING_COMPILE</x:t>
        </x:is>
      </x:c>
      <x:c r="I749" s="49" t="inlineStr">
        <x:is>
          <x:t xml:space="preserve">0</x:t>
        </x:is>
      </x:c>
      <x:c r="L749" s="56" t="n"/>
    </x:row>
    <x:row r="750" ht="15" customHeight="1">
      <x:c r="A750" s="55" t="inlineStr">
        <x:is>
          <x:t xml:space="preserve">same_class_preserves_collapse_behavior</x:t>
        </x:is>
      </x:c>
      <x:c r="B750" s="49" t="inlineStr">
        <x:is>
          <x:t xml:space="preserve">theorem</x:t>
        </x:is>
      </x:c>
      <x:c r="C750" s="49" t="inlineStr">
        <x:is>
          <x:t xml:space="preserve">theophysics-lean-main\theophysics-lean-main\Theophysics_Universality.lean</x:t>
        </x:is>
      </x:c>
      <x:c r="D750" s="49" t="inlineStr">
        <x:is>
          <x:t xml:space="preserve">400</x:t>
        </x:is>
      </x:c>
      <x:c r="E750" s="49" t="inlineStr">
        <x:is>
          <x:t xml:space="preserve">WRAPPER_OR_IMPORTED</x:t>
        </x:is>
      </x:c>
      <x:c r="F750" s="49" t="inlineStr">
        <x:is>
          <x:t xml:space="preserve">PENDING_NOT_RUN</x:t>
        </x:is>
      </x:c>
      <x:c r="G750" s="49" t="inlineStr">
        <x:is>
          <x:t xml:space="preserve">NO_SORRY_OR_ADMIT_STATIC_SCAN</x:t>
        </x:is>
      </x:c>
      <x:c r="H750" s="49" t="inlineStr">
        <x:is>
          <x:t xml:space="preserve">UNIQUE_THEOREM_PENDING_COMPILE</x:t>
        </x:is>
      </x:c>
      <x:c r="I750" s="49" t="inlineStr">
        <x:is>
          <x:t xml:space="preserve">0</x:t>
        </x:is>
      </x:c>
      <x:c r="L750" s="56" t="n"/>
    </x:row>
    <x:row r="751" ht="15" customHeight="1">
      <x:c r="A751" s="55" t="inlineStr">
        <x:is>
          <x:t xml:space="preserve">same_class_preserves_measurement</x:t>
        </x:is>
      </x:c>
      <x:c r="B751" s="49" t="inlineStr">
        <x:is>
          <x:t xml:space="preserve">theorem</x:t>
        </x:is>
      </x:c>
      <x:c r="C751" s="49" t="inlineStr">
        <x:is>
          <x:t xml:space="preserve">theophysics-lean-main\theophysics-lean-main\Theophysics_Universality.lean</x:t>
        </x:is>
      </x:c>
      <x:c r="D751" s="49" t="inlineStr">
        <x:is>
          <x:t xml:space="preserve">393</x:t>
        </x:is>
      </x:c>
      <x:c r="E751" s="49" t="inlineStr">
        <x:is>
          <x:t xml:space="preserve">WRAPPER_OR_IMPORTED</x:t>
        </x:is>
      </x:c>
      <x:c r="F751" s="49" t="inlineStr">
        <x:is>
          <x:t xml:space="preserve">PENDING_NOT_RUN</x:t>
        </x:is>
      </x:c>
      <x:c r="G751" s="49" t="inlineStr">
        <x:is>
          <x:t xml:space="preserve">NO_SORRY_OR_ADMIT_STATIC_SCAN</x:t>
        </x:is>
      </x:c>
      <x:c r="H751" s="49" t="inlineStr">
        <x:is>
          <x:t xml:space="preserve">UNIQUE_THEOREM_PENDING_COMPILE</x:t>
        </x:is>
      </x:c>
      <x:c r="I751" s="49" t="inlineStr">
        <x:is>
          <x:t xml:space="preserve">0</x:t>
        </x:is>
      </x:c>
      <x:c r="L751" s="56" t="n"/>
    </x:row>
    <x:row r="752" ht="15" customHeight="1">
      <x:c r="A752" s="55" t="inlineStr">
        <x:is>
          <x:t xml:space="preserve">same_class_preserves_restoration</x:t>
        </x:is>
      </x:c>
      <x:c r="B752" s="49" t="inlineStr">
        <x:is>
          <x:t xml:space="preserve">theorem</x:t>
        </x:is>
      </x:c>
      <x:c r="C752" s="49" t="inlineStr">
        <x:is>
          <x:t xml:space="preserve">theophysics-lean-main\theophysics-lean-main\Theophysics_Universality.lean</x:t>
        </x:is>
      </x:c>
      <x:c r="D752" s="49" t="inlineStr">
        <x:is>
          <x:t xml:space="preserve">386</x:t>
        </x:is>
      </x:c>
      <x:c r="E752" s="49" t="inlineStr">
        <x:is>
          <x:t xml:space="preserve">WRAPPER_OR_IMPORTED</x:t>
        </x:is>
      </x:c>
      <x:c r="F752" s="49" t="inlineStr">
        <x:is>
          <x:t xml:space="preserve">PENDING_NOT_RUN</x:t>
        </x:is>
      </x:c>
      <x:c r="G752" s="49" t="inlineStr">
        <x:is>
          <x:t xml:space="preserve">NO_SORRY_OR_ADMIT_STATIC_SCAN</x:t>
        </x:is>
      </x:c>
      <x:c r="H752" s="49" t="inlineStr">
        <x:is>
          <x:t xml:space="preserve">UNIQUE_THEOREM_PENDING_COMPILE</x:t>
        </x:is>
      </x:c>
      <x:c r="I752" s="49" t="inlineStr">
        <x:is>
          <x:t xml:space="preserve">0</x:t>
        </x:is>
      </x:c>
      <x:c r="L752" s="56" t="n"/>
    </x:row>
    <x:row r="753" ht="15" customHeight="1">
      <x:c r="A753" s="55" t="inlineStr">
        <x:is>
          <x:t xml:space="preserve">same_class_preserves_threshold</x:t>
        </x:is>
      </x:c>
      <x:c r="B753" s="49" t="inlineStr">
        <x:is>
          <x:t xml:space="preserve">theorem</x:t>
        </x:is>
      </x:c>
      <x:c r="C753" s="49" t="inlineStr">
        <x:is>
          <x:t xml:space="preserve">theophysics-lean-main\theophysics-lean-main\Theophysics_Universality.lean</x:t>
        </x:is>
      </x:c>
      <x:c r="D753" s="49" t="inlineStr">
        <x:is>
          <x:t xml:space="preserve">372</x:t>
        </x:is>
      </x:c>
      <x:c r="E753" s="49" t="inlineStr">
        <x:is>
          <x:t xml:space="preserve">WRAPPER_OR_IMPORTED</x:t>
        </x:is>
      </x:c>
      <x:c r="F753" s="49" t="inlineStr">
        <x:is>
          <x:t xml:space="preserve">PENDING_NOT_RUN</x:t>
        </x:is>
      </x:c>
      <x:c r="G753" s="49" t="inlineStr">
        <x:is>
          <x:t xml:space="preserve">NO_SORRY_OR_ADMIT_STATIC_SCAN</x:t>
        </x:is>
      </x:c>
      <x:c r="H753" s="49" t="inlineStr">
        <x:is>
          <x:t xml:space="preserve">UNIQUE_THEOREM_PENDING_COMPILE</x:t>
        </x:is>
      </x:c>
      <x:c r="I753" s="49" t="inlineStr">
        <x:is>
          <x:t xml:space="preserve">0</x:t>
        </x:is>
      </x:c>
      <x:c r="L753" s="56" t="n"/>
    </x:row>
    <x:row r="754" ht="15" customHeight="1">
      <x:c r="A754" s="55" t="inlineStr">
        <x:is>
          <x:t xml:space="preserve">same_dot_cross_but_different_quaternion_product</x:t>
        </x:is>
      </x:c>
      <x:c r="B754" s="49" t="inlineStr">
        <x:is>
          <x:t xml:space="preserve">theorem</x:t>
        </x:is>
      </x:c>
      <x:c r="C754" s="49" t="inlineStr">
        <x:is>
          <x:t xml:space="preserve">theophysics-lean-main\theophysics-lean-main\Theophysics_Adversarial.lean</x:t>
        </x:is>
      </x:c>
      <x:c r="D754" s="49" t="inlineStr">
        <x:is>
          <x:t xml:space="preserve">449</x:t>
        </x:is>
      </x:c>
      <x:c r="E754" s="49" t="inlineStr">
        <x:is>
          <x:t xml:space="preserve">WRAPPER_OR_IMPORTED</x:t>
        </x:is>
      </x:c>
      <x:c r="F754" s="49" t="inlineStr">
        <x:is>
          <x:t xml:space="preserve">PENDING_NOT_RUN</x:t>
        </x:is>
      </x:c>
      <x:c r="G754" s="49" t="inlineStr">
        <x:is>
          <x:t xml:space="preserve">NO_SORRY_OR_ADMIT_STATIC_SCAN</x:t>
        </x:is>
      </x:c>
      <x:c r="H754" s="49" t="inlineStr">
        <x:is>
          <x:t xml:space="preserve">CANONICAL_THEOREM_DEDUPED_PENDING_COMPILE</x:t>
        </x:is>
      </x:c>
      <x:c r="I754" s="49" t="inlineStr">
        <x:is>
          <x:t xml:space="preserve">4</x:t>
        </x:is>
      </x:c>
      <x:c r="J754" s="49" t="inlineStr">
        <x:is>
          <x:t xml:space="preserve">LEAN_DERIVATION_CHAIN:98</x:t>
        </x:is>
      </x:c>
      <x:c r="K754" s="49" t="inlineStr">
        <x:is>
          <x:t xml:space="preserve">REJECTION: Same dot+cross ≠ same quaternion product. Scalar coupling matters.</x:t>
        </x:is>
      </x:c>
      <x:c r="L754" s="56" t="inlineStr">
        <x:is>
          <x:t xml:space="preserve">load_bearing_controls | variable_coupling</x:t>
        </x:is>
      </x:c>
    </x:row>
    <x:row r="755" ht="15" customHeight="1">
      <x:c r="A755" s="55" t="inlineStr">
        <x:is>
          <x:t xml:space="preserve">sanctification_is_channel_healing</x:t>
        </x:is>
      </x:c>
      <x:c r="B755" s="49" t="inlineStr">
        <x:is>
          <x:t xml:space="preserve">theorem</x:t>
        </x:is>
      </x:c>
      <x:c r="C755" s="49" t="inlineStr">
        <x:is>
          <x:t xml:space="preserve">theophysics-lean-main\theophysics-lean-main\Theophysics_Canonization.lean</x:t>
        </x:is>
      </x:c>
      <x:c r="D755" s="49" t="inlineStr">
        <x:is>
          <x:t xml:space="preserve">528</x:t>
        </x:is>
      </x:c>
      <x:c r="E755" s="49" t="inlineStr">
        <x:is>
          <x:t xml:space="preserve">WRAPPER_OR_IMPORTED</x:t>
        </x:is>
      </x:c>
      <x:c r="F755" s="49" t="inlineStr">
        <x:is>
          <x:t xml:space="preserve">PENDING_NOT_RUN</x:t>
        </x:is>
      </x:c>
      <x:c r="G755" s="49" t="inlineStr">
        <x:is>
          <x:t xml:space="preserve">NO_SORRY_OR_ADMIT_STATIC_SCAN</x:t>
        </x:is>
      </x:c>
      <x:c r="H755" s="49" t="inlineStr">
        <x:is>
          <x:t xml:space="preserve">UNIQUE_THEOREM_PENDING_COMPILE</x:t>
        </x:is>
      </x:c>
      <x:c r="I755" s="49" t="inlineStr">
        <x:is>
          <x:t xml:space="preserve">0</x:t>
        </x:is>
      </x:c>
      <x:c r="J755" s="49" t="inlineStr">
        <x:is>
          <x:t xml:space="preserve">LEAN_DERIVATION_CHAIN:270</x:t>
        </x:is>
      </x:c>
      <x:c r="K755" s="49" t="inlineStr">
        <x:is>
          <x:t xml:space="preserve">D-&gt;0 grows received capacity past every bound; source infinite, channel finite</x:t>
        </x:is>
      </x:c>
      <x:c r="L755" s="56" t="n"/>
    </x:row>
    <x:row r="756" ht="15" customHeight="1">
      <x:c r="A756" s="55" t="inlineStr">
        <x:is>
          <x:t xml:space="preserve">satisfiesJustice</x:t>
        </x:is>
      </x:c>
      <x:c r="B756" s="49" t="inlineStr">
        <x:is>
          <x:t xml:space="preserve">def</x:t>
        </x:is>
      </x:c>
      <x:c r="C756" s="49" t="inlineStr">
        <x:is>
          <x:t xml:space="preserve">theophysics-lean-main\theophysics-lean-main\Theophysics_Adversarial.lean</x:t>
        </x:is>
      </x:c>
      <x:c r="D756" s="49" t="inlineStr">
        <x:is>
          <x:t xml:space="preserve">251</x:t>
        </x:is>
      </x:c>
      <x:c r="E756" s="49" t="inlineStr">
        <x:is>
          <x:t xml:space="preserve">DECLARATION_OR_UNKNOWN</x:t>
        </x:is>
      </x:c>
      <x:c r="F756" s="49" t="inlineStr">
        <x:is>
          <x:t xml:space="preserve">PENDING_NOT_RUN</x:t>
        </x:is>
      </x:c>
      <x:c r="G756" s="49" t="inlineStr">
        <x:is>
          <x:t xml:space="preserve">NO_SORRY_OR_ADMIT_STATIC_SCAN</x:t>
        </x:is>
      </x:c>
      <x:c r="H756" s="49" t="inlineStr">
        <x:is>
          <x:t xml:space="preserve">SCAFFOLDING_NOT_PUBLIC_COUNT</x:t>
        </x:is>
      </x:c>
      <x:c r="I756" s="49" t="inlineStr">
        <x:is>
          <x:t xml:space="preserve">3</x:t>
        </x:is>
      </x:c>
      <x:c r="L756" s="56" t="inlineStr">
        <x:is>
          <x:t xml:space="preserve">justice_mercy_math</x:t>
        </x:is>
      </x:c>
    </x:row>
    <x:row r="757" ht="15" customHeight="1">
      <x:c r="A757" s="55" t="inlineStr">
        <x:is>
          <x:t xml:space="preserve">satisfiesMercy</x:t>
        </x:is>
      </x:c>
      <x:c r="B757" s="49" t="inlineStr">
        <x:is>
          <x:t xml:space="preserve">def</x:t>
        </x:is>
      </x:c>
      <x:c r="C757" s="49" t="inlineStr">
        <x:is>
          <x:t xml:space="preserve">theophysics-lean-main\theophysics-lean-main\Theophysics_Adversarial.lean</x:t>
        </x:is>
      </x:c>
      <x:c r="D757" s="49" t="inlineStr">
        <x:is>
          <x:t xml:space="preserve">248</x:t>
        </x:is>
      </x:c>
      <x:c r="E757" s="49" t="inlineStr">
        <x:is>
          <x:t xml:space="preserve">DECLARATION_OR_UNKNOWN</x:t>
        </x:is>
      </x:c>
      <x:c r="F757" s="49" t="inlineStr">
        <x:is>
          <x:t xml:space="preserve">PENDING_NOT_RUN</x:t>
        </x:is>
      </x:c>
      <x:c r="G757" s="49" t="inlineStr">
        <x:is>
          <x:t xml:space="preserve">NO_SORRY_OR_ADMIT_STATIC_SCAN</x:t>
        </x:is>
      </x:c>
      <x:c r="H757" s="49" t="inlineStr">
        <x:is>
          <x:t xml:space="preserve">SCAFFOLDING_NOT_PUBLIC_COUNT</x:t>
        </x:is>
      </x:c>
      <x:c r="I757" s="49" t="inlineStr">
        <x:is>
          <x:t xml:space="preserve">3</x:t>
        </x:is>
      </x:c>
      <x:c r="L757" s="56" t="inlineStr">
        <x:is>
          <x:t xml:space="preserve">justice_mercy_math</x:t>
        </x:is>
      </x:c>
    </x:row>
    <x:row r="758" ht="15" customHeight="1">
      <x:c r="A758" s="55" t="inlineStr">
        <x:is>
          <x:t xml:space="preserve">scalarOne_scalarTwo_same_vector_part</x:t>
        </x:is>
      </x:c>
      <x:c r="B758" s="49" t="inlineStr">
        <x:is>
          <x:t xml:space="preserve">theorem</x:t>
        </x:is>
      </x:c>
      <x:c r="C758" s="49" t="inlineStr">
        <x:is>
          <x:t xml:space="preserve">theophysics-lean-main\theophysics-lean-main\Theophysics_Core.lean</x:t>
        </x:is>
      </x:c>
      <x:c r="D758" s="49" t="inlineStr">
        <x:is>
          <x:t xml:space="preserve">223</x:t>
        </x:is>
      </x:c>
      <x:c r="E758" s="49" t="inlineStr">
        <x:is>
          <x:t xml:space="preserve">TRIVIAL_TRUE</x:t>
        </x:is>
      </x:c>
      <x:c r="F758" s="49" t="inlineStr">
        <x:is>
          <x:t xml:space="preserve">PENDING_NOT_RUN</x:t>
        </x:is>
      </x:c>
      <x:c r="G758" s="49" t="inlineStr">
        <x:is>
          <x:t xml:space="preserve">NO_SORRY_OR_ADMIT_STATIC_SCAN</x:t>
        </x:is>
      </x:c>
      <x:c r="H758" s="49" t="inlineStr">
        <x:is>
          <x:t xml:space="preserve">LOW_CONTENT_TRUE_NOT_PUBLIC_COUNT</x:t>
        </x:is>
      </x:c>
      <x:c r="I758" s="49" t="inlineStr">
        <x:is>
          <x:t xml:space="preserve">3</x:t>
        </x:is>
      </x:c>
      <x:c r="L758" s="56" t="n"/>
    </x:row>
    <x:row r="759" ht="15" customHeight="1">
      <x:c r="A759" s="55" t="inlineStr">
        <x:is>
          <x:t xml:space="preserve">science_of_gaps_marker</x:t>
        </x:is>
      </x:c>
      <x:c r="B759" s="49" t="inlineStr">
        <x:is>
          <x:t xml:space="preserve">theorem</x:t>
        </x:is>
      </x:c>
      <x:c r="C759" s="49" t="inlineStr">
        <x:is>
          <x:t xml:space="preserve">theophysics-lean-main\theophysics-lean-main\Theophysics_Fracture.lean</x:t>
        </x:is>
      </x:c>
      <x:c r="D759" s="49" t="inlineStr">
        <x:is>
          <x:t xml:space="preserve">142</x:t>
        </x:is>
      </x:c>
      <x:c r="E759" s="49" t="inlineStr">
        <x:is>
          <x:t xml:space="preserve">WRAPPER_OR_IMPORTED</x:t>
        </x:is>
      </x:c>
      <x:c r="F759" s="49" t="inlineStr">
        <x:is>
          <x:t xml:space="preserve">PENDING_NOT_RUN</x:t>
        </x:is>
      </x:c>
      <x:c r="G759" s="49" t="inlineStr">
        <x:is>
          <x:t xml:space="preserve">NO_SORRY_OR_ADMIT_STATIC_SCAN</x:t>
        </x:is>
      </x:c>
      <x:c r="H759" s="49" t="inlineStr">
        <x:is>
          <x:t xml:space="preserve">CANONICAL_THEOREM_DEDUPED_PENDING_COMPILE</x:t>
        </x:is>
      </x:c>
      <x:c r="I759" s="49" t="inlineStr">
        <x:is>
          <x:t xml:space="preserve">3</x:t>
        </x:is>
      </x:c>
      <x:c r="L759" s="56" t="n"/>
    </x:row>
    <x:row r="760" ht="15" customHeight="1">
      <x:c r="A760" s="55" t="inlineStr">
        <x:is>
          <x:t xml:space="preserve">scoreGate</x:t>
        </x:is>
      </x:c>
      <x:c r="B760" s="49" t="inlineStr">
        <x:is>
          <x:t xml:space="preserve">def</x:t>
        </x:is>
      </x:c>
      <x:c r="C760" s="49" t="inlineStr">
        <x:is>
          <x:t xml:space="preserve">theophysics-lean-main\theophysics-lean-main\Theophysics_Adversarial.lean</x:t>
        </x:is>
      </x:c>
      <x:c r="D760" s="49" t="inlineStr">
        <x:is>
          <x:t xml:space="preserve">224</x:t>
        </x:is>
      </x:c>
      <x:c r="E760" s="49" t="inlineStr">
        <x:is>
          <x:t xml:space="preserve">DECLARATION_OR_UNKNOWN</x:t>
        </x:is>
      </x:c>
      <x:c r="F760" s="49" t="inlineStr">
        <x:is>
          <x:t xml:space="preserve">PENDING_NOT_RUN</x:t>
        </x:is>
      </x:c>
      <x:c r="G760" s="49" t="inlineStr">
        <x:is>
          <x:t xml:space="preserve">NO_SORRY_OR_ADMIT_STATIC_SCAN</x:t>
        </x:is>
      </x:c>
      <x:c r="H760" s="49" t="inlineStr">
        <x:is>
          <x:t xml:space="preserve">SCAFFOLDING_NOT_PUBLIC_COUNT</x:t>
        </x:is>
      </x:c>
      <x:c r="I760" s="49" t="inlineStr">
        <x:is>
          <x:t xml:space="preserve">3</x:t>
        </x:is>
      </x:c>
      <x:c r="L760" s="56" t="n"/>
    </x:row>
    <x:row r="761" ht="15" customHeight="1">
      <x:c r="A761" s="55" t="inlineStr">
        <x:is>
          <x:t xml:space="preserve">selfControl_mem</x:t>
        </x:is>
      </x:c>
      <x:c r="B761" s="49" t="inlineStr">
        <x:is>
          <x:t xml:space="preserve">theorem</x:t>
        </x:is>
      </x:c>
      <x:c r="C761" s="49" t="inlineStr">
        <x:is>
          <x:t xml:space="preserve">Lean-4-Proofs-main\Lean-4-Proofs-main\theophysics-lean-verification-package\FruitsGraceKernel.lean</x:t>
        </x:is>
      </x:c>
      <x:c r="D761" s="49" t="inlineStr">
        <x:is>
          <x:t xml:space="preserve">52</x:t>
        </x:is>
      </x:c>
      <x:c r="E761" s="49" t="inlineStr">
        <x:is>
          <x:t xml:space="preserve">WRAPPER_OR_IMPORTED</x:t>
        </x:is>
      </x:c>
      <x:c r="F761" s="49" t="inlineStr">
        <x:is>
          <x:t xml:space="preserve">PENDING_NOT_RUN</x:t>
        </x:is>
      </x:c>
      <x:c r="G761" s="49" t="inlineStr">
        <x:is>
          <x:t xml:space="preserve">NO_SORRY_OR_ADMIT_STATIC_SCAN</x:t>
        </x:is>
      </x:c>
      <x:c r="H761" s="49" t="inlineStr">
        <x:is>
          <x:t xml:space="preserve">UNIQUE_THEOREM_PENDING_COMPILE</x:t>
        </x:is>
      </x:c>
      <x:c r="I761" s="49" t="inlineStr">
        <x:is>
          <x:t xml:space="preserve">0</x:t>
        </x:is>
      </x:c>
      <x:c r="L761" s="56" t="n"/>
    </x:row>
    <x:row r="762" ht="15" customHeight="1">
      <x:c r="A762" s="55" t="inlineStr">
        <x:is>
          <x:t xml:space="preserve">selfSealingClaim</x:t>
        </x:is>
      </x:c>
      <x:c r="B762" s="49" t="inlineStr">
        <x:is>
          <x:t xml:space="preserve">def</x:t>
        </x:is>
      </x:c>
      <x:c r="C762" s="49" t="inlineStr">
        <x:is>
          <x:t xml:space="preserve">theophysics-lean-main\theophysics-lean-main\Theophysics_ChiEvaluator.lean</x:t>
        </x:is>
      </x:c>
      <x:c r="D762" s="49" t="inlineStr">
        <x:is>
          <x:t xml:space="preserve">186</x:t>
        </x:is>
      </x:c>
      <x:c r="E762" s="49" t="inlineStr">
        <x:is>
          <x:t xml:space="preserve">DECLARATION_OR_UNKNOWN</x:t>
        </x:is>
      </x:c>
      <x:c r="F762" s="49" t="inlineStr">
        <x:is>
          <x:t xml:space="preserve">PENDING_NOT_RUN</x:t>
        </x:is>
      </x:c>
      <x:c r="G762" s="49" t="inlineStr">
        <x:is>
          <x:t xml:space="preserve">NO_SORRY_OR_ADMIT_STATIC_SCAN</x:t>
        </x:is>
      </x:c>
      <x:c r="H762" s="49" t="inlineStr">
        <x:is>
          <x:t xml:space="preserve">SCAFFOLDING_NOT_PUBLIC_COUNT</x:t>
        </x:is>
      </x:c>
      <x:c r="I762" s="49" t="inlineStr">
        <x:is>
          <x:t xml:space="preserve">3</x:t>
        </x:is>
      </x:c>
      <x:c r="L762" s="56" t="n"/>
    </x:row>
    <x:row r="763" ht="15" customHeight="1">
      <x:c r="A763" s="55" t="inlineStr">
        <x:is>
          <x:t xml:space="preserve">self_salvation_fails</x:t>
        </x:is>
      </x:c>
      <x:c r="B763" s="49" t="inlineStr">
        <x:is>
          <x:t xml:space="preserve">theorem</x:t>
        </x:is>
      </x:c>
      <x:c r="C763" s="49" t="inlineStr">
        <x:is>
          <x:t xml:space="preserve">theophysics-lean-main\theophysics-lean-main\Theophysics_GodTest.lean</x:t>
        </x:is>
      </x:c>
      <x:c r="D763" s="49" t="inlineStr">
        <x:is>
          <x:t xml:space="preserve">270</x:t>
        </x:is>
      </x:c>
      <x:c r="E763" s="49" t="inlineStr">
        <x:is>
          <x:t xml:space="preserve">DEFINITIONAL_RFL</x:t>
        </x:is>
      </x:c>
      <x:c r="F763" s="49" t="inlineStr">
        <x:is>
          <x:t xml:space="preserve">PENDING_NOT_RUN</x:t>
        </x:is>
      </x:c>
      <x:c r="G763" s="49" t="inlineStr">
        <x:is>
          <x:t xml:space="preserve">NO_SORRY_OR_ADMIT_STATIC_SCAN</x:t>
        </x:is>
      </x:c>
      <x:c r="H763" s="49" t="inlineStr">
        <x:is>
          <x:t xml:space="preserve">UNIQUE_THEOREM_PENDING_COMPILE</x:t>
        </x:is>
      </x:c>
      <x:c r="I763" s="49" t="inlineStr">
        <x:is>
          <x:t xml:space="preserve">0</x:t>
        </x:is>
      </x:c>
      <x:c r="L763" s="56" t="n"/>
    </x:row>
    <x:row r="764" ht="15" customHeight="1">
      <x:c r="A764" s="55" t="inlineStr">
        <x:is>
          <x:t xml:space="preserve">self_sealing_claim_collapses</x:t>
        </x:is>
      </x:c>
      <x:c r="B764" s="49" t="inlineStr">
        <x:is>
          <x:t xml:space="preserve">theorem</x:t>
        </x:is>
      </x:c>
      <x:c r="C764" s="49" t="inlineStr">
        <x:is>
          <x:t xml:space="preserve">theophysics-lean-main\theophysics-lean-main\Theophysics_ChiEvaluator.lean</x:t>
        </x:is>
      </x:c>
      <x:c r="D764" s="49" t="inlineStr">
        <x:is>
          <x:t xml:space="preserve">273</x:t>
        </x:is>
      </x:c>
      <x:c r="E764" s="49" t="inlineStr">
        <x:is>
          <x:t xml:space="preserve">DEFINITIONAL_RFL</x:t>
        </x:is>
      </x:c>
      <x:c r="F764" s="49" t="inlineStr">
        <x:is>
          <x:t xml:space="preserve">PENDING_NOT_RUN</x:t>
        </x:is>
      </x:c>
      <x:c r="G764" s="49" t="inlineStr">
        <x:is>
          <x:t xml:space="preserve">NO_SORRY_OR_ADMIT_STATIC_SCAN</x:t>
        </x:is>
      </x:c>
      <x:c r="H764" s="49" t="inlineStr">
        <x:is>
          <x:t xml:space="preserve">CANONICAL_THEOREM_DEDUPED_PENDING_COMPILE</x:t>
        </x:is>
      </x:c>
      <x:c r="I764" s="49" t="inlineStr">
        <x:is>
          <x:t xml:space="preserve">3</x:t>
        </x:is>
      </x:c>
      <x:c r="L764" s="56" t="n"/>
    </x:row>
    <x:row r="765" ht="15" customHeight="1">
      <x:c r="A765" s="55" t="inlineStr">
        <x:is>
          <x:t xml:space="preserve">self_sourced_conversion_fails</x:t>
        </x:is>
      </x:c>
      <x:c r="B765" s="49" t="inlineStr">
        <x:is>
          <x:t xml:space="preserve">theorem</x:t>
        </x:is>
      </x:c>
      <x:c r="C765" s="49" t="inlineStr">
        <x:is>
          <x:t xml:space="preserve">Faith-Thru-Physics-Lean-4--main\Faith-Thru-Physics-Lean-4--main\Theophysics_NegativeInventory.lean</x:t>
        </x:is>
      </x:c>
      <x:c r="D765" s="49" t="inlineStr">
        <x:is>
          <x:t xml:space="preserve">177</x:t>
        </x:is>
      </x:c>
      <x:c r="E765" s="49" t="inlineStr">
        <x:is>
          <x:t xml:space="preserve">SIMPLIFICATION</x:t>
        </x:is>
      </x:c>
      <x:c r="F765" s="49" t="inlineStr">
        <x:is>
          <x:t xml:space="preserve">PENDING_NOT_RUN</x:t>
        </x:is>
      </x:c>
      <x:c r="G765" s="49" t="inlineStr">
        <x:is>
          <x:t xml:space="preserve">NO_SORRY_OR_ADMIT_STATIC_SCAN</x:t>
        </x:is>
      </x:c>
      <x:c r="H765" s="49" t="inlineStr">
        <x:is>
          <x:t xml:space="preserve">UNIQUE_THEOREM_PENDING_COMPILE</x:t>
        </x:is>
      </x:c>
      <x:c r="I765" s="49" t="inlineStr">
        <x:is>
          <x:t xml:space="preserve">0</x:t>
        </x:is>
      </x:c>
      <x:c r="J765" s="49" t="inlineStr">
        <x:is>
          <x:t xml:space="preserve">LEAN_DERIVATION_CHAIN:227</x:t>
        </x:is>
      </x:c>
      <x:c r="K765" s="49" t="inlineStr">
        <x:is>
          <x:t xml:space="preserve">Self-sourced conversion changes nothing - negative stays negative</x:t>
        </x:is>
      </x:c>
      <x:c r="L765" s="56" t="n"/>
    </x:row>
    <x:row r="766" ht="15" customHeight="1">
      <x:c r="A766" s="55" t="inlineStr">
        <x:is>
          <x:t xml:space="preserve">separatedOnly</x:t>
        </x:is>
      </x:c>
      <x:c r="B766" s="49" t="inlineStr">
        <x:is>
          <x:t xml:space="preserve">def</x:t>
        </x:is>
      </x:c>
      <x:c r="C766" s="49" t="inlineStr">
        <x:is>
          <x:t xml:space="preserve">theophysics-lean-main\theophysics-lean-main\Theophysics_Fall.lean</x:t>
        </x:is>
      </x:c>
      <x:c r="D766" s="49" t="inlineStr">
        <x:is>
          <x:t xml:space="preserve">65</x:t>
        </x:is>
      </x:c>
      <x:c r="E766" s="49" t="inlineStr">
        <x:is>
          <x:t xml:space="preserve">DECLARATION_OR_UNKNOWN</x:t>
        </x:is>
      </x:c>
      <x:c r="F766" s="49" t="inlineStr">
        <x:is>
          <x:t xml:space="preserve">PENDING_NOT_RUN</x:t>
        </x:is>
      </x:c>
      <x:c r="G766" s="49" t="inlineStr">
        <x:is>
          <x:t xml:space="preserve">NO_SORRY_OR_ADMIT_STATIC_SCAN</x:t>
        </x:is>
      </x:c>
      <x:c r="H766" s="49" t="inlineStr">
        <x:is>
          <x:t xml:space="preserve">SCAFFOLDING_NOT_PUBLIC_COUNT</x:t>
        </x:is>
      </x:c>
      <x:c r="I766" s="49" t="inlineStr">
        <x:is>
          <x:t xml:space="preserve">3</x:t>
        </x:is>
      </x:c>
      <x:c r="L766" s="56" t="n"/>
    </x:row>
    <x:row r="767" ht="15" customHeight="1">
      <x:c r="A767" s="55" t="inlineStr">
        <x:is>
          <x:t xml:space="preserve">separation_alone_is_not_fall</x:t>
        </x:is>
      </x:c>
      <x:c r="B767" s="49" t="inlineStr">
        <x:is>
          <x:t xml:space="preserve">theorem</x:t>
        </x:is>
      </x:c>
      <x:c r="C767" s="49" t="inlineStr">
        <x:is>
          <x:t xml:space="preserve">theophysics-lean-main\theophysics-lean-main\Theophysics_Fall.lean</x:t>
        </x:is>
      </x:c>
      <x:c r="D767" s="49" t="inlineStr">
        <x:is>
          <x:t xml:space="preserve">112</x:t>
        </x:is>
      </x:c>
      <x:c r="E767" s="49" t="inlineStr">
        <x:is>
          <x:t xml:space="preserve">DEFINITIONAL_RFL</x:t>
        </x:is>
      </x:c>
      <x:c r="F767" s="49" t="inlineStr">
        <x:is>
          <x:t xml:space="preserve">PENDING_NOT_RUN</x:t>
        </x:is>
      </x:c>
      <x:c r="G767" s="49" t="inlineStr">
        <x:is>
          <x:t xml:space="preserve">NO_SORRY_OR_ADMIT_STATIC_SCAN</x:t>
        </x:is>
      </x:c>
      <x:c r="H767" s="49" t="inlineStr">
        <x:is>
          <x:t xml:space="preserve">CANONICAL_THEOREM_DEDUPED_PENDING_COMPILE</x:t>
        </x:is>
      </x:c>
      <x:c r="I767" s="49" t="inlineStr">
        <x:is>
          <x:t xml:space="preserve">3</x:t>
        </x:is>
      </x:c>
      <x:c r="L767" s="56" t="n"/>
    </x:row>
    <x:row r="768" ht="15" customHeight="1">
      <x:c r="A768" s="55" t="inlineStr">
        <x:is>
          <x:t xml:space="preserve">shared_cost_fails_mercy_condition</x:t>
        </x:is>
      </x:c>
      <x:c r="B768" s="49" t="inlineStr">
        <x:is>
          <x:t xml:space="preserve">theorem</x:t>
        </x:is>
      </x:c>
      <x:c r="C768" s="49" t="inlineStr">
        <x:is>
          <x:t xml:space="preserve">theophysics-lean-main\theophysics-lean-main\Theophysics_Adversarial.lean</x:t>
        </x:is>
      </x:c>
      <x:c r="D768" s="49" t="inlineStr">
        <x:is>
          <x:t xml:space="preserve">490</x:t>
        </x:is>
      </x:c>
      <x:c r="E768" s="49" t="inlineStr">
        <x:is>
          <x:t xml:space="preserve">DEFINITIONAL_RFL</x:t>
        </x:is>
      </x:c>
      <x:c r="F768" s="49" t="inlineStr">
        <x:is>
          <x:t xml:space="preserve">PENDING_NOT_RUN</x:t>
        </x:is>
      </x:c>
      <x:c r="G768" s="49" t="inlineStr">
        <x:is>
          <x:t xml:space="preserve">NO_SORRY_OR_ADMIT_STATIC_SCAN</x:t>
        </x:is>
      </x:c>
      <x:c r="H768" s="49" t="inlineStr">
        <x:is>
          <x:t xml:space="preserve">CANONICAL_THEOREM_DEDUPED_PENDING_COMPILE</x:t>
        </x:is>
      </x:c>
      <x:c r="I768" s="49" t="inlineStr">
        <x:is>
          <x:t xml:space="preserve">3</x:t>
        </x:is>
      </x:c>
      <x:c r="J768" s="49" t="inlineStr">
        <x:is>
          <x:t xml:space="preserve">LEAN_DERIVATION_CHAIN:119</x:t>
        </x:is>
      </x:c>
      <x:c r="K768" s="49" t="inlineStr">
        <x:is>
          <x:t xml:space="preserve">REJECTION: Shared cost fails mercy (offender still pays)</x:t>
        </x:is>
      </x:c>
      <x:c r="L768" s="56" t="inlineStr">
        <x:is>
          <x:t xml:space="preserve">justice_mercy_math</x:t>
        </x:is>
      </x:c>
    </x:row>
    <x:row r="769" ht="15" customHeight="1">
      <x:c r="A769" s="55" t="inlineStr">
        <x:is>
          <x:t xml:space="preserve">shield_strictly_reduces</x:t>
        </x:is>
      </x:c>
      <x:c r="B769" s="49" t="inlineStr">
        <x:is>
          <x:t xml:space="preserve">theorem</x:t>
        </x:is>
      </x:c>
      <x:c r="C769" s="49" t="inlineStr">
        <x:is>
          <x:t xml:space="preserve">theophysics-lean-main\theophysics-lean-main\Theophysics_Canonization.lean</x:t>
        </x:is>
      </x:c>
      <x:c r="D769" s="49" t="inlineStr">
        <x:is>
          <x:t xml:space="preserve">304</x:t>
        </x:is>
      </x:c>
      <x:c r="E769" s="49" t="inlineStr">
        <x:is>
          <x:t xml:space="preserve">WRAPPER_OR_IMPORTED</x:t>
        </x:is>
      </x:c>
      <x:c r="F769" s="49" t="inlineStr">
        <x:is>
          <x:t xml:space="preserve">PENDING_NOT_RUN</x:t>
        </x:is>
      </x:c>
      <x:c r="G769" s="49" t="inlineStr">
        <x:is>
          <x:t xml:space="preserve">NO_SORRY_OR_ADMIT_STATIC_SCAN</x:t>
        </x:is>
      </x:c>
      <x:c r="H769" s="49" t="inlineStr">
        <x:is>
          <x:t xml:space="preserve">UNIQUE_THEOREM_PENDING_COMPILE</x:t>
        </x:is>
      </x:c>
      <x:c r="I769" s="49" t="inlineStr">
        <x:is>
          <x:t xml:space="preserve">0</x:t>
        </x:is>
      </x:c>
      <x:c r="J769" s="49" t="inlineStr">
        <x:is>
          <x:t xml:space="preserve">LEAN_DERIVATION_CHAIN:255</x:t>
        </x:is>
      </x:c>
      <x:c r="K769" s="49" t="inlineStr">
        <x:is>
          <x:t xml:space="preserve">Any nonzero shielding strictly reduces decoherence rate</x:t>
        </x:is>
      </x:c>
      <x:c r="L769" s="56" t="n"/>
    </x:row>
    <x:row r="770" ht="15" customHeight="1">
      <x:c r="A770" s="55" t="inlineStr">
        <x:is>
          <x:t xml:space="preserve">shieldedRate</x:t>
        </x:is>
      </x:c>
      <x:c r="B770" s="49" t="inlineStr">
        <x:is>
          <x:t xml:space="preserve">def</x:t>
        </x:is>
      </x:c>
      <x:c r="C770" s="49" t="inlineStr">
        <x:is>
          <x:t xml:space="preserve">theophysics-lean-main\theophysics-lean-main\Theophysics_Canonization.lean</x:t>
        </x:is>
      </x:c>
      <x:c r="D770" s="49" t="inlineStr">
        <x:is>
          <x:t xml:space="preserve">301</x:t>
        </x:is>
      </x:c>
      <x:c r="E770" s="49" t="inlineStr">
        <x:is>
          <x:t xml:space="preserve">DECLARATION_OR_UNKNOWN</x:t>
        </x:is>
      </x:c>
      <x:c r="F770" s="49" t="inlineStr">
        <x:is>
          <x:t xml:space="preserve">PENDING_NOT_RUN</x:t>
        </x:is>
      </x:c>
      <x:c r="G770" s="49" t="inlineStr">
        <x:is>
          <x:t xml:space="preserve">NO_SORRY_OR_ADMIT_STATIC_SCAN</x:t>
        </x:is>
      </x:c>
      <x:c r="H770" s="49" t="inlineStr">
        <x:is>
          <x:t xml:space="preserve">SCAFFOLDING_NOT_PUBLIC_COUNT</x:t>
        </x:is>
      </x:c>
      <x:c r="I770" s="49" t="inlineStr">
        <x:is>
          <x:t xml:space="preserve">0</x:t>
        </x:is>
      </x:c>
      <x:c r="L770" s="56" t="n"/>
    </x:row>
    <x:row r="771" ht="15" customHeight="1">
      <x:c r="A771" s="55" t="inlineStr">
        <x:is>
          <x:t xml:space="preserve">signAddGate</x:t>
        </x:is>
      </x:c>
      <x:c r="B771" s="49" t="inlineStr">
        <x:is>
          <x:t xml:space="preserve">def</x:t>
        </x:is>
      </x:c>
      <x:c r="C771" s="49" t="inlineStr">
        <x:is>
          <x:t xml:space="preserve">theophysics-lean-main\theophysics-lean-main\Theophysics_Adversarial.lean</x:t>
        </x:is>
      </x:c>
      <x:c r="D771" s="49" t="inlineStr">
        <x:is>
          <x:t xml:space="preserve">260</x:t>
        </x:is>
      </x:c>
      <x:c r="E771" s="49" t="inlineStr">
        <x:is>
          <x:t xml:space="preserve">DECLARATION_OR_UNKNOWN</x:t>
        </x:is>
      </x:c>
      <x:c r="F771" s="49" t="inlineStr">
        <x:is>
          <x:t xml:space="preserve">PENDING_NOT_RUN</x:t>
        </x:is>
      </x:c>
      <x:c r="G771" s="49" t="inlineStr">
        <x:is>
          <x:t xml:space="preserve">NO_SORRY_OR_ADMIT_STATIC_SCAN</x:t>
        </x:is>
      </x:c>
      <x:c r="H771" s="49" t="inlineStr">
        <x:is>
          <x:t xml:space="preserve">SCAFFOLDING_NOT_PUBLIC_COUNT</x:t>
        </x:is>
      </x:c>
      <x:c r="I771" s="49" t="inlineStr">
        <x:is>
          <x:t xml:space="preserve">3</x:t>
        </x:is>
      </x:c>
      <x:c r="L771" s="56" t="n"/>
    </x:row>
    <x:row r="772" ht="15" customHeight="1">
      <x:c r="A772" s="55" t="inlineStr">
        <x:is>
          <x:t xml:space="preserve">signatureLayerDetectsGraceFaithSwap</x:t>
        </x:is>
      </x:c>
      <x:c r="B772" s="49" t="inlineStr">
        <x:is>
          <x:t xml:space="preserve">def</x:t>
        </x:is>
      </x:c>
      <x:c r="C772" s="49" t="inlineStr">
        <x:is>
          <x:t xml:space="preserve">theophysics-lean-main\theophysics-lean-main\Theophysics_Adversarial.lean</x:t>
        </x:is>
      </x:c>
      <x:c r="D772" s="49" t="inlineStr">
        <x:is>
          <x:t xml:space="preserve">203</x:t>
        </x:is>
      </x:c>
      <x:c r="E772" s="49" t="inlineStr">
        <x:is>
          <x:t xml:space="preserve">DECLARATION_OR_UNKNOWN</x:t>
        </x:is>
      </x:c>
      <x:c r="F772" s="49" t="inlineStr">
        <x:is>
          <x:t xml:space="preserve">PENDING_NOT_RUN</x:t>
        </x:is>
      </x:c>
      <x:c r="G772" s="49" t="inlineStr">
        <x:is>
          <x:t xml:space="preserve">NO_SORRY_OR_ADMIT_STATIC_SCAN</x:t>
        </x:is>
      </x:c>
      <x:c r="H772" s="49" t="inlineStr">
        <x:is>
          <x:t xml:space="preserve">SCAFFOLDING_NOT_PUBLIC_COUNT</x:t>
        </x:is>
      </x:c>
      <x:c r="I772" s="49" t="inlineStr">
        <x:is>
          <x:t xml:space="preserve">3</x:t>
        </x:is>
      </x:c>
      <x:c r="L772" s="56" t="n"/>
    </x:row>
    <x:row r="773" ht="15" customHeight="1">
      <x:c r="A773" s="55" t="inlineStr">
        <x:is>
          <x:t xml:space="preserve">signatureOfFactor</x:t>
        </x:is>
      </x:c>
      <x:c r="B773" s="49" t="inlineStr">
        <x:is>
          <x:t xml:space="preserve">def</x:t>
        </x:is>
      </x:c>
      <x:c r="C773" s="49" t="inlineStr">
        <x:is>
          <x:t xml:space="preserve">theophysics-lean-main\theophysics-lean-main\Final_Lean4_From_Excel.lean</x:t>
        </x:is>
      </x:c>
      <x:c r="D773" s="49" t="inlineStr">
        <x:is>
          <x:t xml:space="preserve">154</x:t>
        </x:is>
      </x:c>
      <x:c r="E773" s="49" t="inlineStr">
        <x:is>
          <x:t xml:space="preserve">DECLARATION_OR_UNKNOWN</x:t>
        </x:is>
      </x:c>
      <x:c r="F773" s="49" t="inlineStr">
        <x:is>
          <x:t xml:space="preserve">PENDING_NOT_RUN</x:t>
        </x:is>
      </x:c>
      <x:c r="G773" s="49" t="inlineStr">
        <x:is>
          <x:t xml:space="preserve">NO_SORRY_OR_ADMIT_STATIC_SCAN</x:t>
        </x:is>
      </x:c>
      <x:c r="H773" s="49" t="inlineStr">
        <x:is>
          <x:t xml:space="preserve">SCAFFOLDING_NOT_PUBLIC_COUNT</x:t>
        </x:is>
      </x:c>
      <x:c r="I773" s="49" t="inlineStr">
        <x:is>
          <x:t xml:space="preserve">3</x:t>
        </x:is>
      </x:c>
      <x:c r="L773" s="56" t="n"/>
    </x:row>
    <x:row r="774" ht="15" customHeight="1">
      <x:c r="A774" s="55" t="inlineStr">
        <x:is>
          <x:t xml:space="preserve">signature_layer_rejects_grace_faith_swap</x:t>
        </x:is>
      </x:c>
      <x:c r="B774" s="49" t="inlineStr">
        <x:is>
          <x:t xml:space="preserve">theorem</x:t>
        </x:is>
      </x:c>
      <x:c r="C774" s="49" t="inlineStr">
        <x:is>
          <x:t xml:space="preserve">theophysics-lean-main\theophysics-lean-main\Theophysics_Adversarial.lean</x:t>
        </x:is>
      </x:c>
      <x:c r="D774" s="49" t="inlineStr">
        <x:is>
          <x:t xml:space="preserve">362</x:t>
        </x:is>
      </x:c>
      <x:c r="E774" s="49" t="inlineStr">
        <x:is>
          <x:t xml:space="preserve">DEFINITIONAL_RFL</x:t>
        </x:is>
      </x:c>
      <x:c r="F774" s="49" t="inlineStr">
        <x:is>
          <x:t xml:space="preserve">PENDING_NOT_RUN</x:t>
        </x:is>
      </x:c>
      <x:c r="G774" s="49" t="inlineStr">
        <x:is>
          <x:t xml:space="preserve">NO_SORRY_OR_ADMIT_STATIC_SCAN</x:t>
        </x:is>
      </x:c>
      <x:c r="H774" s="49" t="inlineStr">
        <x:is>
          <x:t xml:space="preserve">CANONICAL_THEOREM_DEDUPED_PENDING_COMPILE</x:t>
        </x:is>
      </x:c>
      <x:c r="I774" s="49" t="inlineStr">
        <x:is>
          <x:t xml:space="preserve">3</x:t>
        </x:is>
      </x:c>
      <x:c r="J774" s="49" t="inlineStr">
        <x:is>
          <x:t xml:space="preserve">LEAN_DERIVATION_CHAIN:47</x:t>
        </x:is>
      </x:c>
      <x:c r="K774" s="49" t="inlineStr">
        <x:is>
          <x:t xml:space="preserve">REJECTION: But the signature layer catches Grace↔Faith swap that product missed</x:t>
        </x:is>
      </x:c>
      <x:c r="L774" s="56" t="n"/>
    </x:row>
    <x:row r="775" ht="15" customHeight="1">
      <x:c r="A775" s="55" t="inlineStr">
        <x:is>
          <x:t xml:space="preserve">single_operator_delayed_choice_invalid</x:t>
        </x:is>
      </x:c>
      <x:c r="B775" s="49" t="inlineStr">
        <x:is>
          <x:t xml:space="preserve">theorem</x:t>
        </x:is>
      </x:c>
      <x:c r="C775" s="49" t="inlineStr">
        <x:is>
          <x:t xml:space="preserve">theophysics-lean-main\theophysics-lean-main\Theophysics_DelayedChoice.lean</x:t>
        </x:is>
      </x:c>
      <x:c r="D775" s="49" t="inlineStr">
        <x:is>
          <x:t xml:space="preserve">169</x:t>
        </x:is>
      </x:c>
      <x:c r="E775" s="49" t="inlineStr">
        <x:is>
          <x:t xml:space="preserve">DEFINITIONAL_RFL</x:t>
        </x:is>
      </x:c>
      <x:c r="F775" s="49" t="inlineStr">
        <x:is>
          <x:t xml:space="preserve">PENDING_NOT_RUN</x:t>
        </x:is>
      </x:c>
      <x:c r="G775" s="49" t="inlineStr">
        <x:is>
          <x:t xml:space="preserve">NO_SORRY_OR_ADMIT_STATIC_SCAN</x:t>
        </x:is>
      </x:c>
      <x:c r="H775" s="49" t="inlineStr">
        <x:is>
          <x:t xml:space="preserve">UNIQUE_THEOREM_PENDING_COMPILE</x:t>
        </x:is>
      </x:c>
      <x:c r="I775" s="49" t="inlineStr">
        <x:is>
          <x:t xml:space="preserve">0</x:t>
        </x:is>
      </x:c>
      <x:c r="L775" s="56" t="n"/>
    </x:row>
    <x:row r="776" ht="15" customHeight="1">
      <x:c r="A776" s="55" t="inlineStr">
        <x:is>
          <x:t xml:space="preserve">someMissing</x:t>
        </x:is>
      </x:c>
      <x:c r="B776" s="49" t="inlineStr">
        <x:is>
          <x:t xml:space="preserve">def</x:t>
        </x:is>
      </x:c>
      <x:c r="C776" s="49" t="inlineStr">
        <x:is>
          <x:t xml:space="preserve">Lean-4-Proofs-main\Lean-4-Proofs-main\theophysics-lean-verification-package\FruitsGraceKernel.lean</x:t>
        </x:is>
      </x:c>
      <x:c r="D776" s="49" t="inlineStr">
        <x:is>
          <x:t xml:space="preserve">70</x:t>
        </x:is>
      </x:c>
      <x:c r="E776" s="49" t="inlineStr">
        <x:is>
          <x:t xml:space="preserve">DECLARATION_OR_UNKNOWN</x:t>
        </x:is>
      </x:c>
      <x:c r="F776" s="49" t="inlineStr">
        <x:is>
          <x:t xml:space="preserve">PENDING_NOT_RUN</x:t>
        </x:is>
      </x:c>
      <x:c r="G776" s="49" t="inlineStr">
        <x:is>
          <x:t xml:space="preserve">NO_SORRY_OR_ADMIT_STATIC_SCAN</x:t>
        </x:is>
      </x:c>
      <x:c r="H776" s="49" t="inlineStr">
        <x:is>
          <x:t xml:space="preserve">SCAFFOLDING_NOT_PUBLIC_COUNT</x:t>
        </x:is>
      </x:c>
      <x:c r="I776" s="49" t="inlineStr">
        <x:is>
          <x:t xml:space="preserve">0</x:t>
        </x:is>
      </x:c>
      <x:c r="L776" s="56" t="n"/>
    </x:row>
    <x:row r="777" ht="15" customHeight="1">
      <x:c r="A777" s="55" t="inlineStr">
        <x:is>
          <x:t xml:space="preserve">someMissing_of_missing_love</x:t>
        </x:is>
      </x:c>
      <x:c r="B777" s="49" t="inlineStr">
        <x:is>
          <x:t xml:space="preserve">theorem</x:t>
        </x:is>
      </x:c>
      <x:c r="C777" s="49" t="inlineStr">
        <x:is>
          <x:t xml:space="preserve">Lean-4-Proofs-main\Lean-4-Proofs-main\theophysics-lean-verification-package\FruitsGraceKernel.lean</x:t>
        </x:is>
      </x:c>
      <x:c r="D777" s="49" t="inlineStr">
        <x:is>
          <x:t xml:space="preserve">96</x:t>
        </x:is>
      </x:c>
      <x:c r="E777" s="49" t="inlineStr">
        <x:is>
          <x:t xml:space="preserve">WRAPPER_OR_IMPORTED</x:t>
        </x:is>
      </x:c>
      <x:c r="F777" s="49" t="inlineStr">
        <x:is>
          <x:t xml:space="preserve">PENDING_NOT_RUN</x:t>
        </x:is>
      </x:c>
      <x:c r="G777" s="49" t="inlineStr">
        <x:is>
          <x:t xml:space="preserve">NO_SORRY_OR_ADMIT_STATIC_SCAN</x:t>
        </x:is>
      </x:c>
      <x:c r="H777" s="49" t="inlineStr">
        <x:is>
          <x:t xml:space="preserve">UNIQUE_THEOREM_PENDING_COMPILE</x:t>
        </x:is>
      </x:c>
      <x:c r="I777" s="49" t="inlineStr">
        <x:is>
          <x:t xml:space="preserve">0</x:t>
        </x:is>
      </x:c>
      <x:c r="L777" s="56" t="n"/>
    </x:row>
    <x:row r="778" ht="15" customHeight="1">
      <x:c r="A778" s="55" t="inlineStr">
        <x:is>
          <x:t xml:space="preserve">spirit_anti_sum_zero</x:t>
        </x:is>
      </x:c>
      <x:c r="B778" s="49" t="inlineStr">
        <x:is>
          <x:t xml:space="preserve">theorem</x:t>
        </x:is>
      </x:c>
      <x:c r="C778" s="49" t="inlineStr">
        <x:is>
          <x:t xml:space="preserve">theophysics-lean-main\theophysics-lean-main\Theophysics_Canonization.lean</x:t>
        </x:is>
      </x:c>
      <x:c r="D778" s="49" t="inlineStr">
        <x:is>
          <x:t xml:space="preserve">117</x:t>
        </x:is>
      </x:c>
      <x:c r="E778" s="49" t="inlineStr">
        <x:is>
          <x:t xml:space="preserve">WRAPPER_OR_IMPORTED</x:t>
        </x:is>
      </x:c>
      <x:c r="F778" s="49" t="inlineStr">
        <x:is>
          <x:t xml:space="preserve">PENDING_NOT_RUN</x:t>
        </x:is>
      </x:c>
      <x:c r="G778" s="49" t="inlineStr">
        <x:is>
          <x:t xml:space="preserve">NO_SORRY_OR_ADMIT_STATIC_SCAN</x:t>
        </x:is>
      </x:c>
      <x:c r="H778" s="49" t="inlineStr">
        <x:is>
          <x:t xml:space="preserve">UNIQUE_THEOREM_PENDING_COMPILE</x:t>
        </x:is>
      </x:c>
      <x:c r="I778" s="49" t="inlineStr">
        <x:is>
          <x:t xml:space="preserve">0</x:t>
        </x:is>
      </x:c>
      <x:c r="J778" s="49" t="inlineStr">
        <x:is>
          <x:t xml:space="preserve">LEAN_DERIVATION_CHAIN:245</x:t>
        </x:is>
      </x:c>
      <x:c r="K778" s="49" t="inlineStr">
        <x:is>
          <x:t xml:space="preserve">Spirit + Anti = 0: evil has no independent grammar, only inversion</x:t>
        </x:is>
      </x:c>
      <x:c r="L778" s="56" t="n"/>
    </x:row>
    <x:row r="779" ht="15" customHeight="1">
      <x:c r="A779" s="55" t="inlineStr">
        <x:is>
          <x:t xml:space="preserve">spirit_dies_at_zero_coherence</x:t>
        </x:is>
      </x:c>
      <x:c r="B779" s="49" t="inlineStr">
        <x:is>
          <x:t xml:space="preserve">theorem</x:t>
        </x:is>
      </x:c>
      <x:c r="C779" s="49" t="inlineStr">
        <x:is>
          <x:t xml:space="preserve">theophysics-lean-main\theophysics-lean-main\Theophysics_Canonization.lean</x:t>
        </x:is>
      </x:c>
      <x:c r="D779" s="49" t="inlineStr">
        <x:is>
          <x:t xml:space="preserve">88</x:t>
        </x:is>
      </x:c>
      <x:c r="E779" s="49" t="inlineStr">
        <x:is>
          <x:t xml:space="preserve">SIMPLIFICATION</x:t>
        </x:is>
      </x:c>
      <x:c r="F779" s="49" t="inlineStr">
        <x:is>
          <x:t xml:space="preserve">PENDING_NOT_RUN</x:t>
        </x:is>
      </x:c>
      <x:c r="G779" s="49" t="inlineStr">
        <x:is>
          <x:t xml:space="preserve">NO_SORRY_OR_ADMIT_STATIC_SCAN</x:t>
        </x:is>
      </x:c>
      <x:c r="H779" s="49" t="inlineStr">
        <x:is>
          <x:t xml:space="preserve">UNIQUE_THEOREM_PENDING_COMPILE</x:t>
        </x:is>
      </x:c>
      <x:c r="I779" s="49" t="inlineStr">
        <x:is>
          <x:t xml:space="preserve">0</x:t>
        </x:is>
      </x:c>
      <x:c r="J779" s="49" t="inlineStr">
        <x:is>
          <x:t xml:space="preserve">LEAN_DERIVATION_CHAIN:242</x:t>
        </x:is>
      </x:c>
      <x:c r="K779" s="49" t="inlineStr">
        <x:is>
          <x:t xml:space="preserve">chi=0 kills kinetic and penalty terms simultaneously</x:t>
        </x:is>
      </x:c>
      <x:c r="L779" s="56" t="n"/>
    </x:row>
    <x:row r="780" ht="15" customHeight="1">
      <x:c r="A780" s="55" t="inlineStr">
        <x:is>
          <x:t xml:space="preserve">spirit_factors</x:t>
        </x:is>
      </x:c>
      <x:c r="B780" s="49" t="inlineStr">
        <x:is>
          <x:t xml:space="preserve">theorem</x:t>
        </x:is>
      </x:c>
      <x:c r="C780" s="49" t="inlineStr">
        <x:is>
          <x:t xml:space="preserve">theophysics-lean-main\theophysics-lean-main\Theophysics_Canonization.lean</x:t>
        </x:is>
      </x:c>
      <x:c r="D780" s="49" t="inlineStr">
        <x:is>
          <x:t xml:space="preserve">84</x:t>
        </x:is>
      </x:c>
      <x:c r="E780" s="49" t="inlineStr">
        <x:is>
          <x:t xml:space="preserve">SIMPLIFICATION</x:t>
        </x:is>
      </x:c>
      <x:c r="F780" s="49" t="inlineStr">
        <x:is>
          <x:t xml:space="preserve">PENDING_NOT_RUN</x:t>
        </x:is>
      </x:c>
      <x:c r="G780" s="49" t="inlineStr">
        <x:is>
          <x:t xml:space="preserve">NO_SORRY_OR_ADMIT_STATIC_SCAN</x:t>
        </x:is>
      </x:c>
      <x:c r="H780" s="49" t="inlineStr">
        <x:is>
          <x:t xml:space="preserve">UNIQUE_THEOREM_PENDING_COMPILE</x:t>
        </x:is>
      </x:c>
      <x:c r="I780" s="49" t="inlineStr">
        <x:is>
          <x:t xml:space="preserve">0</x:t>
        </x:is>
      </x:c>
      <x:c r="J780" s="49" t="inlineStr">
        <x:is>
          <x:t xml:space="preserve">LEAN_DERIVATION_CHAIN:241</x:t>
        </x:is>
      </x:c>
      <x:c r="K780" s="49" t="inlineStr">
        <x:is>
          <x:t xml:space="preserve">L_spirit = chi*(v^2 - Se) - coherence weight factors out</x:t>
        </x:is>
      </x:c>
      <x:c r="L780" s="56" t="n"/>
    </x:row>
    <x:row r="781" ht="15" customHeight="1">
      <x:c r="A781" s="55" t="inlineStr">
        <x:is>
          <x:t xml:space="preserve">spirit_positive_iff</x:t>
        </x:is>
      </x:c>
      <x:c r="B781" s="49" t="inlineStr">
        <x:is>
          <x:t xml:space="preserve">theorem</x:t>
        </x:is>
      </x:c>
      <x:c r="C781" s="49" t="inlineStr">
        <x:is>
          <x:t xml:space="preserve">theophysics-lean-main\theophysics-lean-main\Theophysics_Canonization.lean</x:t>
        </x:is>
      </x:c>
      <x:c r="D781" s="49" t="inlineStr">
        <x:is>
          <x:t xml:space="preserve">93</x:t>
        </x:is>
      </x:c>
      <x:c r="E781" s="49" t="inlineStr">
        <x:is>
          <x:t xml:space="preserve">SUBSTANTIVE_OR_CASE_PROOF</x:t>
        </x:is>
      </x:c>
      <x:c r="F781" s="49" t="inlineStr">
        <x:is>
          <x:t xml:space="preserve">PENDING_NOT_RUN</x:t>
        </x:is>
      </x:c>
      <x:c r="G781" s="49" t="inlineStr">
        <x:is>
          <x:t xml:space="preserve">NO_SORRY_OR_ADMIT_STATIC_SCAN</x:t>
        </x:is>
      </x:c>
      <x:c r="H781" s="49" t="inlineStr">
        <x:is>
          <x:t xml:space="preserve">UNIQUE_THEOREM_PENDING_COMPILE</x:t>
        </x:is>
      </x:c>
      <x:c r="I781" s="49" t="inlineStr">
        <x:is>
          <x:t xml:space="preserve">0</x:t>
        </x:is>
      </x:c>
      <x:c r="J781" s="49" t="inlineStr">
        <x:is>
          <x:t xml:space="preserve">LEAN_DERIVATION_CHAIN:243</x:t>
        </x:is>
      </x:c>
      <x:c r="K781" s="49" t="inlineStr">
        <x:is>
          <x:t xml:space="preserve">For chi&gt;0: L_spirit &gt; 0 iff Se &lt; v^2</x:t>
        </x:is>
      </x:c>
      <x:c r="L781" s="56" t="n"/>
    </x:row>
    <x:row r="782" ht="15" customHeight="1">
      <x:c r="A782" s="55" t="inlineStr">
        <x:is>
          <x:t xml:space="preserve">stateWithC</x:t>
        </x:is>
      </x:c>
      <x:c r="B782" s="49" t="inlineStr">
        <x:is>
          <x:t xml:space="preserve">def</x:t>
        </x:is>
      </x:c>
      <x:c r="C782" s="49" t="inlineStr">
        <x:is>
          <x:t xml:space="preserve">theophysics-lean-main\theophysics-lean-main\Theophysics_LawMechanisms.lean</x:t>
        </x:is>
      </x:c>
      <x:c r="D782" s="49" t="inlineStr">
        <x:is>
          <x:t xml:space="preserve">28</x:t>
        </x:is>
      </x:c>
      <x:c r="E782" s="49" t="inlineStr">
        <x:is>
          <x:t xml:space="preserve">DECLARATION_OR_UNKNOWN</x:t>
        </x:is>
      </x:c>
      <x:c r="F782" s="49" t="inlineStr">
        <x:is>
          <x:t xml:space="preserve">PENDING_NOT_RUN</x:t>
        </x:is>
      </x:c>
      <x:c r="G782" s="49" t="inlineStr">
        <x:is>
          <x:t xml:space="preserve">NO_SORRY_OR_ADMIT_STATIC_SCAN</x:t>
        </x:is>
      </x:c>
      <x:c r="H782" s="49" t="inlineStr">
        <x:is>
          <x:t xml:space="preserve">SCAFFOLDING_NOT_PUBLIC_COUNT</x:t>
        </x:is>
      </x:c>
      <x:c r="I782" s="49" t="inlineStr">
        <x:is>
          <x:t xml:space="preserve">0</x:t>
        </x:is>
      </x:c>
      <x:c r="L782" s="56" t="n"/>
    </x:row>
    <x:row r="783" ht="15" customHeight="1">
      <x:c r="A783" s="55" t="inlineStr">
        <x:is>
          <x:t xml:space="preserve">stateWithF</x:t>
        </x:is>
      </x:c>
      <x:c r="B783" s="49" t="inlineStr">
        <x:is>
          <x:t xml:space="preserve">def</x:t>
        </x:is>
      </x:c>
      <x:c r="C783" s="49" t="inlineStr">
        <x:is>
          <x:t xml:space="preserve">theophysics-lean-main\theophysics-lean-main\Theophysics_LawMechanisms.lean</x:t>
        </x:is>
      </x:c>
      <x:c r="D783" s="49" t="inlineStr">
        <x:is>
          <x:t xml:space="preserve">25</x:t>
        </x:is>
      </x:c>
      <x:c r="E783" s="49" t="inlineStr">
        <x:is>
          <x:t xml:space="preserve">DECLARATION_OR_UNKNOWN</x:t>
        </x:is>
      </x:c>
      <x:c r="F783" s="49" t="inlineStr">
        <x:is>
          <x:t xml:space="preserve">PENDING_NOT_RUN</x:t>
        </x:is>
      </x:c>
      <x:c r="G783" s="49" t="inlineStr">
        <x:is>
          <x:t xml:space="preserve">NO_SORRY_OR_ADMIT_STATIC_SCAN</x:t>
        </x:is>
      </x:c>
      <x:c r="H783" s="49" t="inlineStr">
        <x:is>
          <x:t xml:space="preserve">SCAFFOLDING_NOT_PUBLIC_COUNT</x:t>
        </x:is>
      </x:c>
      <x:c r="I783" s="49" t="inlineStr">
        <x:is>
          <x:t xml:space="preserve">0</x:t>
        </x:is>
      </x:c>
      <x:c r="L783" s="56" t="n"/>
    </x:row>
    <x:row r="784" ht="15" customHeight="1">
      <x:c r="A784" s="55" t="inlineStr">
        <x:is>
          <x:t xml:space="preserve">stateWithG</x:t>
        </x:is>
      </x:c>
      <x:c r="B784" s="49" t="inlineStr">
        <x:is>
          <x:t xml:space="preserve">def</x:t>
        </x:is>
      </x:c>
      <x:c r="C784" s="49" t="inlineStr">
        <x:is>
          <x:t xml:space="preserve">theophysics-lean-main\theophysics-lean-main\Theophysics_LawMechanisms.lean</x:t>
        </x:is>
      </x:c>
      <x:c r="D784" s="49" t="inlineStr">
        <x:is>
          <x:t xml:space="preserve">19</x:t>
        </x:is>
      </x:c>
      <x:c r="E784" s="49" t="inlineStr">
        <x:is>
          <x:t xml:space="preserve">DECLARATION_OR_UNKNOWN</x:t>
        </x:is>
      </x:c>
      <x:c r="F784" s="49" t="inlineStr">
        <x:is>
          <x:t xml:space="preserve">PENDING_NOT_RUN</x:t>
        </x:is>
      </x:c>
      <x:c r="G784" s="49" t="inlineStr">
        <x:is>
          <x:t xml:space="preserve">NO_SORRY_OR_ADMIT_STATIC_SCAN</x:t>
        </x:is>
      </x:c>
      <x:c r="H784" s="49" t="inlineStr">
        <x:is>
          <x:t xml:space="preserve">SCAFFOLDING_NOT_PUBLIC_COUNT</x:t>
        </x:is>
      </x:c>
      <x:c r="I784" s="49" t="inlineStr">
        <x:is>
          <x:t xml:space="preserve">0</x:t>
        </x:is>
      </x:c>
      <x:c r="L784" s="56" t="n"/>
    </x:row>
    <x:row r="785" ht="15" customHeight="1">
      <x:c r="A785" s="55" t="inlineStr">
        <x:is>
          <x:t xml:space="preserve">stateWithM</x:t>
        </x:is>
      </x:c>
      <x:c r="B785" s="49" t="inlineStr">
        <x:is>
          <x:t xml:space="preserve">def</x:t>
        </x:is>
      </x:c>
      <x:c r="C785" s="49" t="inlineStr">
        <x:is>
          <x:t xml:space="preserve">theophysics-lean-main\theophysics-lean-main\Theophysics_LawMechanisms.lean</x:t>
        </x:is>
      </x:c>
      <x:c r="D785" s="49" t="inlineStr">
        <x:is>
          <x:t xml:space="preserve">22</x:t>
        </x:is>
      </x:c>
      <x:c r="E785" s="49" t="inlineStr">
        <x:is>
          <x:t xml:space="preserve">DECLARATION_OR_UNKNOWN</x:t>
        </x:is>
      </x:c>
      <x:c r="F785" s="49" t="inlineStr">
        <x:is>
          <x:t xml:space="preserve">PENDING_NOT_RUN</x:t>
        </x:is>
      </x:c>
      <x:c r="G785" s="49" t="inlineStr">
        <x:is>
          <x:t xml:space="preserve">NO_SORRY_OR_ADMIT_STATIC_SCAN</x:t>
        </x:is>
      </x:c>
      <x:c r="H785" s="49" t="inlineStr">
        <x:is>
          <x:t xml:space="preserve">SCAFFOLDING_NOT_PUBLIC_COUNT</x:t>
        </x:is>
      </x:c>
      <x:c r="I785" s="49" t="inlineStr">
        <x:is>
          <x:t xml:space="preserve">0</x:t>
        </x:is>
      </x:c>
      <x:c r="L785" s="56" t="n"/>
    </x:row>
    <x:row r="786" ht="15" customHeight="1">
      <x:c r="A786" s="55" t="inlineStr">
        <x:is>
          <x:t xml:space="preserve">staticChi</x:t>
        </x:is>
      </x:c>
      <x:c r="B786" s="49" t="inlineStr">
        <x:is>
          <x:t xml:space="preserve">def</x:t>
        </x:is>
      </x:c>
      <x:c r="C786" s="49" t="inlineStr">
        <x:is>
          <x:t xml:space="preserve">theophysics-lean-main\theophysics-lean-main\Theophysics_ChiEvaluator.lean</x:t>
        </x:is>
      </x:c>
      <x:c r="D786" s="49" t="inlineStr">
        <x:is>
          <x:t xml:space="preserve">148</x:t>
        </x:is>
      </x:c>
      <x:c r="E786" s="49" t="inlineStr">
        <x:is>
          <x:t xml:space="preserve">DECLARATION_OR_UNKNOWN</x:t>
        </x:is>
      </x:c>
      <x:c r="F786" s="49" t="inlineStr">
        <x:is>
          <x:t xml:space="preserve">PENDING_NOT_RUN</x:t>
        </x:is>
      </x:c>
      <x:c r="G786" s="49" t="inlineStr">
        <x:is>
          <x:t xml:space="preserve">NO_SORRY_OR_ADMIT_STATIC_SCAN</x:t>
        </x:is>
      </x:c>
      <x:c r="H786" s="49" t="inlineStr">
        <x:is>
          <x:t xml:space="preserve">SCAFFOLDING_NOT_PUBLIC_COUNT</x:t>
        </x:is>
      </x:c>
      <x:c r="I786" s="49" t="inlineStr">
        <x:is>
          <x:t xml:space="preserve">3</x:t>
        </x:is>
      </x:c>
      <x:c r="L786" s="56" t="n"/>
    </x:row>
    <x:row r="787" ht="15" customHeight="1">
      <x:c r="A787" s="55" t="inlineStr">
        <x:is>
          <x:t xml:space="preserve">staticSingleFieldEM_invalid</x:t>
        </x:is>
      </x:c>
      <x:c r="B787" s="49" t="inlineStr">
        <x:is>
          <x:t xml:space="preserve">theorem</x:t>
        </x:is>
      </x:c>
      <x:c r="C787" s="49" t="inlineStr">
        <x:is>
          <x:t xml:space="preserve">theophysics-lean-main\theophysics-lean-main\Theophysics_Adversarial.lean</x:t>
        </x:is>
      </x:c>
      <x:c r="D787" s="49" t="inlineStr">
        <x:is>
          <x:t xml:space="preserve">461</x:t>
        </x:is>
      </x:c>
      <x:c r="E787" s="49" t="inlineStr">
        <x:is>
          <x:t xml:space="preserve">WRAPPER_OR_IMPORTED</x:t>
        </x:is>
      </x:c>
      <x:c r="F787" s="49" t="inlineStr">
        <x:is>
          <x:t xml:space="preserve">PENDING_NOT_RUN</x:t>
        </x:is>
      </x:c>
      <x:c r="G787" s="49" t="inlineStr">
        <x:is>
          <x:t xml:space="preserve">NO_SORRY_OR_ADMIT_STATIC_SCAN</x:t>
        </x:is>
      </x:c>
      <x:c r="H787" s="49" t="inlineStr">
        <x:is>
          <x:t xml:space="preserve">CANONICAL_THEOREM_DEDUPED_PENDING_COMPILE</x:t>
        </x:is>
      </x:c>
      <x:c r="I787" s="49" t="inlineStr">
        <x:is>
          <x:t xml:space="preserve">4</x:t>
        </x:is>
      </x:c>
      <x:c r="J787" s="49" t="inlineStr">
        <x:is>
          <x:t xml:space="preserve">LEAN_DERIVATION_CHAIN:104</x:t>
        </x:is>
      </x:c>
      <x:c r="K787" s="49" t="inlineStr">
        <x:is>
          <x:t xml:space="preserve">REJECTION: Static single-field EM fails — not full dynamic</x:t>
        </x:is>
      </x:c>
      <x:c r="L787" s="56" t="inlineStr">
        <x:is>
          <x:t xml:space="preserve">load_bearing_controls | variable_coupling</x:t>
        </x:is>
      </x:c>
    </x:row>
    <x:row r="788" ht="15" customHeight="1">
      <x:c r="A788" s="55" t="inlineStr">
        <x:is>
          <x:t xml:space="preserve">static_chi_zero_if_C_zero</x:t>
        </x:is>
      </x:c>
      <x:c r="B788" s="49" t="inlineStr">
        <x:is>
          <x:t xml:space="preserve">theorem</x:t>
        </x:is>
      </x:c>
      <x:c r="C788" s="49" t="inlineStr">
        <x:is>
          <x:t xml:space="preserve">theophysics-lean-main\theophysics-lean-main\Theophysics_ChiEvaluator.lean</x:t>
        </x:is>
      </x:c>
      <x:c r="D788" s="49" t="inlineStr">
        <x:is>
          <x:t xml:space="preserve">265</x:t>
        </x:is>
      </x:c>
      <x:c r="E788" s="49" t="inlineStr">
        <x:is>
          <x:t xml:space="preserve">SIMPLIFICATION</x:t>
        </x:is>
      </x:c>
      <x:c r="F788" s="49" t="inlineStr">
        <x:is>
          <x:t xml:space="preserve">PENDING_NOT_RUN</x:t>
        </x:is>
      </x:c>
      <x:c r="G788" s="49" t="inlineStr">
        <x:is>
          <x:t xml:space="preserve">NO_SORRY_OR_ADMIT_STATIC_SCAN</x:t>
        </x:is>
      </x:c>
      <x:c r="H788" s="49" t="inlineStr">
        <x:is>
          <x:t xml:space="preserve">CANONICAL_THEOREM_DEDUPED_PENDING_COMPILE</x:t>
        </x:is>
      </x:c>
      <x:c r="I788" s="49" t="inlineStr">
        <x:is>
          <x:t xml:space="preserve">3</x:t>
        </x:is>
      </x:c>
      <x:c r="L788" s="56" t="inlineStr">
        <x:is>
          <x:t xml:space="preserve">load_bearing_controls | variable_coupling</x:t>
        </x:is>
      </x:c>
    </x:row>
    <x:row r="789" ht="15" customHeight="1">
      <x:c r="A789" s="55" t="inlineStr">
        <x:is>
          <x:t xml:space="preserve">static_chi_zero_if_E_zero</x:t>
        </x:is>
      </x:c>
      <x:c r="B789" s="49" t="inlineStr">
        <x:is>
          <x:t xml:space="preserve">theorem</x:t>
        </x:is>
      </x:c>
      <x:c r="C789" s="49" t="inlineStr">
        <x:is>
          <x:t xml:space="preserve">theophysics-lean-main\theophysics-lean-main\Theophysics_ChiEvaluator.lean</x:t>
        </x:is>
      </x:c>
      <x:c r="D789" s="49" t="inlineStr">
        <x:is>
          <x:t xml:space="preserve">237</x:t>
        </x:is>
      </x:c>
      <x:c r="E789" s="49" t="inlineStr">
        <x:is>
          <x:t xml:space="preserve">SIMPLIFICATION</x:t>
        </x:is>
      </x:c>
      <x:c r="F789" s="49" t="inlineStr">
        <x:is>
          <x:t xml:space="preserve">PENDING_NOT_RUN</x:t>
        </x:is>
      </x:c>
      <x:c r="G789" s="49" t="inlineStr">
        <x:is>
          <x:t xml:space="preserve">NO_SORRY_OR_ADMIT_STATIC_SCAN</x:t>
        </x:is>
      </x:c>
      <x:c r="H789" s="49" t="inlineStr">
        <x:is>
          <x:t xml:space="preserve">CANONICAL_THEOREM_DEDUPED_PENDING_COMPILE</x:t>
        </x:is>
      </x:c>
      <x:c r="I789" s="49" t="inlineStr">
        <x:is>
          <x:t xml:space="preserve">3</x:t>
        </x:is>
      </x:c>
      <x:c r="L789" s="56" t="inlineStr">
        <x:is>
          <x:t xml:space="preserve">load_bearing_controls | variable_coupling</x:t>
        </x:is>
      </x:c>
    </x:row>
    <x:row r="790" ht="15" customHeight="1">
      <x:c r="A790" s="55" t="inlineStr">
        <x:is>
          <x:t xml:space="preserve">static_chi_zero_if_F_zero</x:t>
        </x:is>
      </x:c>
      <x:c r="B790" s="49" t="inlineStr">
        <x:is>
          <x:t xml:space="preserve">theorem</x:t>
        </x:is>
      </x:c>
      <x:c r="C790" s="49" t="inlineStr">
        <x:is>
          <x:t xml:space="preserve">theophysics-lean-main\theophysics-lean-main\Theophysics_ChiEvaluator.lean</x:t>
        </x:is>
      </x:c>
      <x:c r="D790" s="49" t="inlineStr">
        <x:is>
          <x:t xml:space="preserve">261</x:t>
        </x:is>
      </x:c>
      <x:c r="E790" s="49" t="inlineStr">
        <x:is>
          <x:t xml:space="preserve">SIMPLIFICATION</x:t>
        </x:is>
      </x:c>
      <x:c r="F790" s="49" t="inlineStr">
        <x:is>
          <x:t xml:space="preserve">PENDING_NOT_RUN</x:t>
        </x:is>
      </x:c>
      <x:c r="G790" s="49" t="inlineStr">
        <x:is>
          <x:t xml:space="preserve">NO_SORRY_OR_ADMIT_STATIC_SCAN</x:t>
        </x:is>
      </x:c>
      <x:c r="H790" s="49" t="inlineStr">
        <x:is>
          <x:t xml:space="preserve">CANONICAL_THEOREM_DEDUPED_PENDING_COMPILE</x:t>
        </x:is>
      </x:c>
      <x:c r="I790" s="49" t="inlineStr">
        <x:is>
          <x:t xml:space="preserve">3</x:t>
        </x:is>
      </x:c>
      <x:c r="L790" s="56" t="inlineStr">
        <x:is>
          <x:t xml:space="preserve">load_bearing_controls | variable_coupling</x:t>
        </x:is>
      </x:c>
    </x:row>
    <x:row r="791" ht="15" customHeight="1">
      <x:c r="A791" s="55" t="inlineStr">
        <x:is>
          <x:t xml:space="preserve">static_chi_zero_if_G_zero</x:t>
        </x:is>
      </x:c>
      <x:c r="B791" s="49" t="inlineStr">
        <x:is>
          <x:t xml:space="preserve">theorem</x:t>
        </x:is>
      </x:c>
      <x:c r="C791" s="49" t="inlineStr">
        <x:is>
          <x:t xml:space="preserve">theophysics-lean-main\theophysics-lean-main\Theophysics_ChiEvaluator.lean</x:t>
        </x:is>
      </x:c>
      <x:c r="D791" s="49" t="inlineStr">
        <x:is>
          <x:t xml:space="preserve">229</x:t>
        </x:is>
      </x:c>
      <x:c r="E791" s="49" t="inlineStr">
        <x:is>
          <x:t xml:space="preserve">SIMPLIFICATION</x:t>
        </x:is>
      </x:c>
      <x:c r="F791" s="49" t="inlineStr">
        <x:is>
          <x:t xml:space="preserve">PENDING_NOT_RUN</x:t>
        </x:is>
      </x:c>
      <x:c r="G791" s="49" t="inlineStr">
        <x:is>
          <x:t xml:space="preserve">NO_SORRY_OR_ADMIT_STATIC_SCAN</x:t>
        </x:is>
      </x:c>
      <x:c r="H791" s="49" t="inlineStr">
        <x:is>
          <x:t xml:space="preserve">CANONICAL_THEOREM_DEDUPED_PENDING_COMPILE</x:t>
        </x:is>
      </x:c>
      <x:c r="I791" s="49" t="inlineStr">
        <x:is>
          <x:t xml:space="preserve">3</x:t>
        </x:is>
      </x:c>
      <x:c r="L791" s="56" t="inlineStr">
        <x:is>
          <x:t xml:space="preserve">load_bearing_controls | variable_coupling</x:t>
        </x:is>
      </x:c>
    </x:row>
    <x:row r="792" ht="15" customHeight="1">
      <x:c r="A792" s="55" t="inlineStr">
        <x:is>
          <x:t xml:space="preserve">static_chi_zero_if_K_zero</x:t>
        </x:is>
      </x:c>
      <x:c r="B792" s="49" t="inlineStr">
        <x:is>
          <x:t xml:space="preserve">theorem</x:t>
        </x:is>
      </x:c>
      <x:c r="C792" s="49" t="inlineStr">
        <x:is>
          <x:t xml:space="preserve">theophysics-lean-main\theophysics-lean-main\Theophysics_ChiEvaluator.lean</x:t>
        </x:is>
      </x:c>
      <x:c r="D792" s="49" t="inlineStr">
        <x:is>
          <x:t xml:space="preserve">249</x:t>
        </x:is>
      </x:c>
      <x:c r="E792" s="49" t="inlineStr">
        <x:is>
          <x:t xml:space="preserve">SIMPLIFICATION</x:t>
        </x:is>
      </x:c>
      <x:c r="F792" s="49" t="inlineStr">
        <x:is>
          <x:t xml:space="preserve">PENDING_NOT_RUN</x:t>
        </x:is>
      </x:c>
      <x:c r="G792" s="49" t="inlineStr">
        <x:is>
          <x:t xml:space="preserve">NO_SORRY_OR_ADMIT_STATIC_SCAN</x:t>
        </x:is>
      </x:c>
      <x:c r="H792" s="49" t="inlineStr">
        <x:is>
          <x:t xml:space="preserve">CANONICAL_THEOREM_DEDUPED_PENDING_COMPILE</x:t>
        </x:is>
      </x:c>
      <x:c r="I792" s="49" t="inlineStr">
        <x:is>
          <x:t xml:space="preserve">3</x:t>
        </x:is>
      </x:c>
      <x:c r="L792" s="56" t="inlineStr">
        <x:is>
          <x:t xml:space="preserve">load_bearing_controls | variable_coupling</x:t>
        </x:is>
      </x:c>
    </x:row>
    <x:row r="793" ht="15" customHeight="1">
      <x:c r="A793" s="55" t="inlineStr">
        <x:is>
          <x:t xml:space="preserve">static_chi_zero_if_M_zero</x:t>
        </x:is>
      </x:c>
      <x:c r="B793" s="49" t="inlineStr">
        <x:is>
          <x:t xml:space="preserve">theorem</x:t>
        </x:is>
      </x:c>
      <x:c r="C793" s="49" t="inlineStr">
        <x:is>
          <x:t xml:space="preserve">theophysics-lean-main\theophysics-lean-main\Theophysics_ChiEvaluator.lean</x:t>
        </x:is>
      </x:c>
      <x:c r="D793" s="49" t="inlineStr">
        <x:is>
          <x:t xml:space="preserve">233</x:t>
        </x:is>
      </x:c>
      <x:c r="E793" s="49" t="inlineStr">
        <x:is>
          <x:t xml:space="preserve">SIMPLIFICATION</x:t>
        </x:is>
      </x:c>
      <x:c r="F793" s="49" t="inlineStr">
        <x:is>
          <x:t xml:space="preserve">PENDING_NOT_RUN</x:t>
        </x:is>
      </x:c>
      <x:c r="G793" s="49" t="inlineStr">
        <x:is>
          <x:t xml:space="preserve">NO_SORRY_OR_ADMIT_STATIC_SCAN</x:t>
        </x:is>
      </x:c>
      <x:c r="H793" s="49" t="inlineStr">
        <x:is>
          <x:t xml:space="preserve">CANONICAL_THEOREM_DEDUPED_PENDING_COMPILE</x:t>
        </x:is>
      </x:c>
      <x:c r="I793" s="49" t="inlineStr">
        <x:is>
          <x:t xml:space="preserve">3</x:t>
        </x:is>
      </x:c>
      <x:c r="L793" s="56" t="inlineStr">
        <x:is>
          <x:t xml:space="preserve">load_bearing_controls | variable_coupling</x:t>
        </x:is>
      </x:c>
    </x:row>
    <x:row r="794" ht="15" customHeight="1">
      <x:c r="A794" s="55" t="inlineStr">
        <x:is>
          <x:t xml:space="preserve">static_chi_zero_if_Q_zero</x:t>
        </x:is>
      </x:c>
      <x:c r="B794" s="49" t="inlineStr">
        <x:is>
          <x:t xml:space="preserve">theorem</x:t>
        </x:is>
      </x:c>
      <x:c r="C794" s="49" t="inlineStr">
        <x:is>
          <x:t xml:space="preserve">theophysics-lean-main\theophysics-lean-main\Theophysics_ChiEvaluator.lean</x:t>
        </x:is>
      </x:c>
      <x:c r="D794" s="49" t="inlineStr">
        <x:is>
          <x:t xml:space="preserve">257</x:t>
        </x:is>
      </x:c>
      <x:c r="E794" s="49" t="inlineStr">
        <x:is>
          <x:t xml:space="preserve">SIMPLIFICATION</x:t>
        </x:is>
      </x:c>
      <x:c r="F794" s="49" t="inlineStr">
        <x:is>
          <x:t xml:space="preserve">PENDING_NOT_RUN</x:t>
        </x:is>
      </x:c>
      <x:c r="G794" s="49" t="inlineStr">
        <x:is>
          <x:t xml:space="preserve">NO_SORRY_OR_ADMIT_STATIC_SCAN</x:t>
        </x:is>
      </x:c>
      <x:c r="H794" s="49" t="inlineStr">
        <x:is>
          <x:t xml:space="preserve">CANONICAL_THEOREM_DEDUPED_PENDING_COMPILE</x:t>
        </x:is>
      </x:c>
      <x:c r="I794" s="49" t="inlineStr">
        <x:is>
          <x:t xml:space="preserve">3</x:t>
        </x:is>
      </x:c>
      <x:c r="L794" s="56" t="inlineStr">
        <x:is>
          <x:t xml:space="preserve">load_bearing_controls | variable_coupling</x:t>
        </x:is>
      </x:c>
    </x:row>
    <x:row r="795" ht="15" customHeight="1">
      <x:c r="A795" s="55" t="inlineStr">
        <x:is>
          <x:t xml:space="preserve">static_chi_zero_if_R_zero</x:t>
        </x:is>
      </x:c>
      <x:c r="B795" s="49" t="inlineStr">
        <x:is>
          <x:t xml:space="preserve">theorem</x:t>
        </x:is>
      </x:c>
      <x:c r="C795" s="49" t="inlineStr">
        <x:is>
          <x:t xml:space="preserve">theophysics-lean-main\theophysics-lean-main\Theophysics_ChiEvaluator.lean</x:t>
        </x:is>
      </x:c>
      <x:c r="D795" s="49" t="inlineStr">
        <x:is>
          <x:t xml:space="preserve">253</x:t>
        </x:is>
      </x:c>
      <x:c r="E795" s="49" t="inlineStr">
        <x:is>
          <x:t xml:space="preserve">SIMPLIFICATION</x:t>
        </x:is>
      </x:c>
      <x:c r="F795" s="49" t="inlineStr">
        <x:is>
          <x:t xml:space="preserve">PENDING_NOT_RUN</x:t>
        </x:is>
      </x:c>
      <x:c r="G795" s="49" t="inlineStr">
        <x:is>
          <x:t xml:space="preserve">NO_SORRY_OR_ADMIT_STATIC_SCAN</x:t>
        </x:is>
      </x:c>
      <x:c r="H795" s="49" t="inlineStr">
        <x:is>
          <x:t xml:space="preserve">CANONICAL_THEOREM_DEDUPED_PENDING_COMPILE</x:t>
        </x:is>
      </x:c>
      <x:c r="I795" s="49" t="inlineStr">
        <x:is>
          <x:t xml:space="preserve">3</x:t>
        </x:is>
      </x:c>
      <x:c r="L795" s="56" t="inlineStr">
        <x:is>
          <x:t xml:space="preserve">load_bearing_controls | variable_coupling</x:t>
        </x:is>
      </x:c>
    </x:row>
    <x:row r="796" ht="15" customHeight="1">
      <x:c r="A796" s="55" t="inlineStr">
        <x:is>
          <x:t xml:space="preserve">static_chi_zero_if_S_eff_zero</x:t>
        </x:is>
      </x:c>
      <x:c r="B796" s="49" t="inlineStr">
        <x:is>
          <x:t xml:space="preserve">theorem</x:t>
        </x:is>
      </x:c>
      <x:c r="C796" s="49" t="inlineStr">
        <x:is>
          <x:t xml:space="preserve">theophysics-lean-main\theophysics-lean-main\Theophysics_ChiEvaluator.lean</x:t>
        </x:is>
      </x:c>
      <x:c r="D796" s="49" t="inlineStr">
        <x:is>
          <x:t xml:space="preserve">241</x:t>
        </x:is>
      </x:c>
      <x:c r="E796" s="49" t="inlineStr">
        <x:is>
          <x:t xml:space="preserve">SIMPLIFICATION</x:t>
        </x:is>
      </x:c>
      <x:c r="F796" s="49" t="inlineStr">
        <x:is>
          <x:t xml:space="preserve">PENDING_NOT_RUN</x:t>
        </x:is>
      </x:c>
      <x:c r="G796" s="49" t="inlineStr">
        <x:is>
          <x:t xml:space="preserve">NO_SORRY_OR_ADMIT_STATIC_SCAN</x:t>
        </x:is>
      </x:c>
      <x:c r="H796" s="49" t="inlineStr">
        <x:is>
          <x:t xml:space="preserve">CANONICAL_THEOREM_DEDUPED_PENDING_COMPILE</x:t>
        </x:is>
      </x:c>
      <x:c r="I796" s="49" t="inlineStr">
        <x:is>
          <x:t xml:space="preserve">3</x:t>
        </x:is>
      </x:c>
      <x:c r="L796" s="56" t="inlineStr">
        <x:is>
          <x:t xml:space="preserve">load_bearing_controls | variable_coupling</x:t>
        </x:is>
      </x:c>
    </x:row>
    <x:row r="797" ht="15" customHeight="1">
      <x:c r="A797" s="55" t="inlineStr">
        <x:is>
          <x:t xml:space="preserve">static_chi_zero_if_T_zero</x:t>
        </x:is>
      </x:c>
      <x:c r="B797" s="49" t="inlineStr">
        <x:is>
          <x:t xml:space="preserve">theorem</x:t>
        </x:is>
      </x:c>
      <x:c r="C797" s="49" t="inlineStr">
        <x:is>
          <x:t xml:space="preserve">theophysics-lean-main\theophysics-lean-main\Theophysics_ChiEvaluator.lean</x:t>
        </x:is>
      </x:c>
      <x:c r="D797" s="49" t="inlineStr">
        <x:is>
          <x:t xml:space="preserve">245</x:t>
        </x:is>
      </x:c>
      <x:c r="E797" s="49" t="inlineStr">
        <x:is>
          <x:t xml:space="preserve">SIMPLIFICATION</x:t>
        </x:is>
      </x:c>
      <x:c r="F797" s="49" t="inlineStr">
        <x:is>
          <x:t xml:space="preserve">PENDING_NOT_RUN</x:t>
        </x:is>
      </x:c>
      <x:c r="G797" s="49" t="inlineStr">
        <x:is>
          <x:t xml:space="preserve">NO_SORRY_OR_ADMIT_STATIC_SCAN</x:t>
        </x:is>
      </x:c>
      <x:c r="H797" s="49" t="inlineStr">
        <x:is>
          <x:t xml:space="preserve">CANONICAL_THEOREM_DEDUPED_PENDING_COMPILE</x:t>
        </x:is>
      </x:c>
      <x:c r="I797" s="49" t="inlineStr">
        <x:is>
          <x:t xml:space="preserve">3</x:t>
        </x:is>
      </x:c>
      <x:c r="L797" s="56" t="inlineStr">
        <x:is>
          <x:t xml:space="preserve">load_bearing_controls | variable_coupling</x:t>
        </x:is>
      </x:c>
    </x:row>
    <x:row r="798" ht="15" customHeight="1">
      <x:c r="A798" s="55" t="inlineStr">
        <x:is>
          <x:t xml:space="preserve">static_single_field_passes_if_dynamic_guard_removed</x:t>
        </x:is>
      </x:c>
      <x:c r="B798" s="49" t="inlineStr">
        <x:is>
          <x:t xml:space="preserve">theorem</x:t>
        </x:is>
      </x:c>
      <x:c r="C798" s="49" t="inlineStr">
        <x:is>
          <x:t xml:space="preserve">theophysics-lean-main\theophysics-lean-main\Theophysics_Core.lean</x:t>
        </x:is>
      </x:c>
      <x:c r="D798" s="49" t="inlineStr">
        <x:is>
          <x:t xml:space="preserve">236</x:t>
        </x:is>
      </x:c>
      <x:c r="E798" s="49" t="inlineStr">
        <x:is>
          <x:t xml:space="preserve">TRIVIAL_TRUE</x:t>
        </x:is>
      </x:c>
      <x:c r="F798" s="49" t="inlineStr">
        <x:is>
          <x:t xml:space="preserve">PENDING_NOT_RUN</x:t>
        </x:is>
      </x:c>
      <x:c r="G798" s="49" t="inlineStr">
        <x:is>
          <x:t xml:space="preserve">NO_SORRY_OR_ADMIT_STATIC_SCAN</x:t>
        </x:is>
      </x:c>
      <x:c r="H798" s="49" t="inlineStr">
        <x:is>
          <x:t xml:space="preserve">LOW_CONTENT_TRUE_NOT_PUBLIC_COUNT</x:t>
        </x:is>
      </x:c>
      <x:c r="I798" s="49" t="inlineStr">
        <x:is>
          <x:t xml:space="preserve">3</x:t>
        </x:is>
      </x:c>
      <x:c r="L798" s="56" t="inlineStr">
        <x:is>
          <x:t xml:space="preserve">load_bearing_controls | variable_coupling</x:t>
        </x:is>
      </x:c>
    </x:row>
    <x:row r="799" ht="15" customHeight="1">
      <x:c r="A799" s="55" t="inlineStr">
        <x:is>
          <x:t xml:space="preserve">stepBackAllowed</x:t>
        </x:is>
      </x:c>
      <x:c r="B799" s="49" t="inlineStr">
        <x:is>
          <x:t xml:space="preserve">def</x:t>
        </x:is>
      </x:c>
      <x:c r="C799" s="49" t="inlineStr">
        <x:is>
          <x:t xml:space="preserve">theophysics-lean-main\theophysics-lean-main\Theophysics_Adversarial.lean</x:t>
        </x:is>
      </x:c>
      <x:c r="D799" s="49" t="inlineStr">
        <x:is>
          <x:t xml:space="preserve">177</x:t>
        </x:is>
      </x:c>
      <x:c r="E799" s="49" t="inlineStr">
        <x:is>
          <x:t xml:space="preserve">DECLARATION_OR_UNKNOWN</x:t>
        </x:is>
      </x:c>
      <x:c r="F799" s="49" t="inlineStr">
        <x:is>
          <x:t xml:space="preserve">PENDING_NOT_RUN</x:t>
        </x:is>
      </x:c>
      <x:c r="G799" s="49" t="inlineStr">
        <x:is>
          <x:t xml:space="preserve">NO_SORRY_OR_ADMIT_STATIC_SCAN</x:t>
        </x:is>
      </x:c>
      <x:c r="H799" s="49" t="inlineStr">
        <x:is>
          <x:t xml:space="preserve">SCAFFOLDING_NOT_PUBLIC_COUNT</x:t>
        </x:is>
      </x:c>
      <x:c r="I799" s="49" t="inlineStr">
        <x:is>
          <x:t xml:space="preserve">3</x:t>
        </x:is>
      </x:c>
      <x:c r="L799" s="56" t="n"/>
    </x:row>
    <x:row r="800" ht="15" customHeight="1">
      <x:c r="A800" s="55" t="inlineStr">
        <x:is>
          <x:t xml:space="preserve">strongButDecayingEnd</x:t>
        </x:is>
      </x:c>
      <x:c r="B800" s="49" t="inlineStr">
        <x:is>
          <x:t xml:space="preserve">def</x:t>
        </x:is>
      </x:c>
      <x:c r="C800" s="49" t="inlineStr">
        <x:is>
          <x:t xml:space="preserve">theophysics-lean-main\theophysics-lean-main\Theophysics_ChiEvaluator.lean</x:t>
        </x:is>
      </x:c>
      <x:c r="D800" s="49" t="inlineStr">
        <x:is>
          <x:t xml:space="preserve">317</x:t>
        </x:is>
      </x:c>
      <x:c r="E800" s="49" t="inlineStr">
        <x:is>
          <x:t xml:space="preserve">DECLARATION_OR_UNKNOWN</x:t>
        </x:is>
      </x:c>
      <x:c r="F800" s="49" t="inlineStr">
        <x:is>
          <x:t xml:space="preserve">PENDING_NOT_RUN</x:t>
        </x:is>
      </x:c>
      <x:c r="G800" s="49" t="inlineStr">
        <x:is>
          <x:t xml:space="preserve">NO_SORRY_OR_ADMIT_STATIC_SCAN</x:t>
        </x:is>
      </x:c>
      <x:c r="H800" s="49" t="inlineStr">
        <x:is>
          <x:t xml:space="preserve">SCAFFOLDING_NOT_PUBLIC_COUNT</x:t>
        </x:is>
      </x:c>
      <x:c r="I800" s="49" t="inlineStr">
        <x:is>
          <x:t xml:space="preserve">3</x:t>
        </x:is>
      </x:c>
      <x:c r="L800" s="56" t="n"/>
    </x:row>
    <x:row r="801" ht="15" customHeight="1">
      <x:c r="A801" s="55" t="inlineStr">
        <x:is>
          <x:t xml:space="preserve">strongButDecayingStart</x:t>
        </x:is>
      </x:c>
      <x:c r="B801" s="49" t="inlineStr">
        <x:is>
          <x:t xml:space="preserve">def</x:t>
        </x:is>
      </x:c>
      <x:c r="C801" s="49" t="inlineStr">
        <x:is>
          <x:t xml:space="preserve">theophysics-lean-main\theophysics-lean-main\Theophysics_ChiEvaluator.lean</x:t>
        </x:is>
      </x:c>
      <x:c r="D801" s="49" t="inlineStr">
        <x:is>
          <x:t xml:space="preserve">313</x:t>
        </x:is>
      </x:c>
      <x:c r="E801" s="49" t="inlineStr">
        <x:is>
          <x:t xml:space="preserve">DECLARATION_OR_UNKNOWN</x:t>
        </x:is>
      </x:c>
      <x:c r="F801" s="49" t="inlineStr">
        <x:is>
          <x:t xml:space="preserve">PENDING_NOT_RUN</x:t>
        </x:is>
      </x:c>
      <x:c r="G801" s="49" t="inlineStr">
        <x:is>
          <x:t xml:space="preserve">NO_SORRY_OR_ADMIT_STATIC_SCAN</x:t>
        </x:is>
      </x:c>
      <x:c r="H801" s="49" t="inlineStr">
        <x:is>
          <x:t xml:space="preserve">SCAFFOLDING_NOT_PUBLIC_COUNT</x:t>
        </x:is>
      </x:c>
      <x:c r="I801" s="49" t="inlineStr">
        <x:is>
          <x:t xml:space="preserve">3</x:t>
        </x:is>
      </x:c>
      <x:c r="L801" s="56" t="n"/>
    </x:row>
    <x:row r="802" ht="15" customHeight="1">
      <x:c r="A802" s="55" t="inlineStr">
        <x:is>
          <x:t xml:space="preserve">strongCDClass</x:t>
        </x:is>
      </x:c>
      <x:c r="B802" s="49" t="inlineStr">
        <x:is>
          <x:t xml:space="preserve">def</x:t>
        </x:is>
      </x:c>
      <x:c r="C802" s="49" t="inlineStr">
        <x:is>
          <x:t xml:space="preserve">theophysics-lean-main\theophysics-lean-main\Theophysics_Universality.lean</x:t>
        </x:is>
      </x:c>
      <x:c r="D802" s="49" t="inlineStr">
        <x:is>
          <x:t xml:space="preserve">38</x:t>
        </x:is>
      </x:c>
      <x:c r="E802" s="49" t="inlineStr">
        <x:is>
          <x:t xml:space="preserve">DECLARATION_OR_UNKNOWN</x:t>
        </x:is>
      </x:c>
      <x:c r="F802" s="49" t="inlineStr">
        <x:is>
          <x:t xml:space="preserve">PENDING_NOT_RUN</x:t>
        </x:is>
      </x:c>
      <x:c r="G802" s="49" t="inlineStr">
        <x:is>
          <x:t xml:space="preserve">NO_SORRY_OR_ADMIT_STATIC_SCAN</x:t>
        </x:is>
      </x:c>
      <x:c r="H802" s="49" t="inlineStr">
        <x:is>
          <x:t xml:space="preserve">SCAFFOLDING_NOT_PUBLIC_COUNT</x:t>
        </x:is>
      </x:c>
      <x:c r="I802" s="49" t="inlineStr">
        <x:is>
          <x:t xml:space="preserve">0</x:t>
        </x:is>
      </x:c>
      <x:c r="L802" s="56" t="n"/>
    </x:row>
    <x:row r="803" ht="15" customHeight="1">
      <x:c r="A803" s="55" t="inlineStr">
        <x:is>
          <x:t xml:space="preserve">strongForceCoinIso</x:t>
        </x:is>
      </x:c>
      <x:c r="B803" s="49" t="inlineStr">
        <x:is>
          <x:t xml:space="preserve">theorem</x:t>
        </x:is>
      </x:c>
      <x:c r="C803" s="49" t="inlineStr">
        <x:is>
          <x:t xml:space="preserve">theophysics-lean-main\theophysics-lean-main\Theophysics_Adversarial.lean</x:t>
        </x:is>
      </x:c>
      <x:c r="D803" s="49" t="inlineStr">
        <x:is>
          <x:t xml:space="preserve">412</x:t>
        </x:is>
      </x:c>
      <x:c r="E803" s="49" t="inlineStr">
        <x:is>
          <x:t xml:space="preserve">DEFINITIONAL_RFL</x:t>
        </x:is>
      </x:c>
      <x:c r="F803" s="49" t="inlineStr">
        <x:is>
          <x:t xml:space="preserve">PENDING_NOT_RUN</x:t>
        </x:is>
      </x:c>
      <x:c r="G803" s="49" t="inlineStr">
        <x:is>
          <x:t xml:space="preserve">NO_SORRY_OR_ADMIT_STATIC_SCAN</x:t>
        </x:is>
      </x:c>
      <x:c r="H803" s="49" t="inlineStr">
        <x:is>
          <x:t xml:space="preserve">CANONICAL_THEOREM_DEDUPED_PENDING_COMPILE</x:t>
        </x:is>
      </x:c>
      <x:c r="I803" s="49" t="inlineStr">
        <x:is>
          <x:t xml:space="preserve">3</x:t>
        </x:is>
      </x:c>
      <x:c r="J803" s="49" t="inlineStr">
        <x:is>
          <x:t xml:space="preserve">LEAN_DERIVATION_CHAIN:85</x:t>
        </x:is>
      </x:c>
      <x:c r="K803" s="49" t="inlineStr">
        <x:is>
          <x:t xml:space="preserve">BOUNDARY: Coin model ALSO passes LawIso. This is the adversarial boundary — basic isomorphism is too weak.</x:t>
        </x:is>
      </x:c>
      <x:c r="L803" s="56" t="n"/>
    </x:row>
    <x:row r="804" ht="15" customHeight="1">
      <x:c r="A804" s="55" t="inlineStr">
        <x:is>
          <x:t xml:space="preserve">strongForceCoinIsoBoundary</x:t>
        </x:is>
      </x:c>
      <x:c r="B804" s="49" t="inlineStr">
        <x:is>
          <x:t xml:space="preserve">def</x:t>
        </x:is>
      </x:c>
      <x:c r="C804" s="49" t="inlineStr">
        <x:is>
          <x:t xml:space="preserve">theophysics-lean-main\theophysics-lean-main\Theophysics_Adversarial.lean</x:t>
        </x:is>
      </x:c>
      <x:c r="D804" s="49" t="inlineStr">
        <x:is>
          <x:t xml:space="preserve">232</x:t>
        </x:is>
      </x:c>
      <x:c r="E804" s="49" t="inlineStr">
        <x:is>
          <x:t xml:space="preserve">DECLARATION_OR_UNKNOWN</x:t>
        </x:is>
      </x:c>
      <x:c r="F804" s="49" t="inlineStr">
        <x:is>
          <x:t xml:space="preserve">PENDING_NOT_RUN</x:t>
        </x:is>
      </x:c>
      <x:c r="G804" s="49" t="inlineStr">
        <x:is>
          <x:t xml:space="preserve">NO_SORRY_OR_ADMIT_STATIC_SCAN</x:t>
        </x:is>
      </x:c>
      <x:c r="H804" s="49" t="inlineStr">
        <x:is>
          <x:t xml:space="preserve">SCAFFOLDING_NOT_PUBLIC_COUNT</x:t>
        </x:is>
      </x:c>
      <x:c r="I804" s="49" t="inlineStr">
        <x:is>
          <x:t xml:space="preserve">3</x:t>
        </x:is>
      </x:c>
      <x:c r="L804" s="56" t="n"/>
    </x:row>
    <x:row r="805" ht="15" customHeight="1">
      <x:c r="A805" s="55" t="inlineStr">
        <x:is>
          <x:t xml:space="preserve">strong_Q_with_zero_R_gate_fails</x:t>
        </x:is>
      </x:c>
      <x:c r="B805" s="49" t="inlineStr">
        <x:is>
          <x:t xml:space="preserve">theorem</x:t>
        </x:is>
      </x:c>
      <x:c r="C805" s="49" t="inlineStr">
        <x:is>
          <x:t xml:space="preserve">Faith-Thru-Physics-Lean-4--main\Faith-Thru-Physics-Lean-4--main\Theophysics_NegativeInventory.lean</x:t>
        </x:is>
      </x:c>
      <x:c r="D805" s="49" t="inlineStr">
        <x:is>
          <x:t xml:space="preserve">35</x:t>
        </x:is>
      </x:c>
      <x:c r="E805" s="49" t="inlineStr">
        <x:is>
          <x:t xml:space="preserve">DECLARATION_OR_UNKNOWN</x:t>
        </x:is>
      </x:c>
      <x:c r="F805" s="49" t="inlineStr">
        <x:is>
          <x:t xml:space="preserve">PENDING_NOT_RUN</x:t>
        </x:is>
      </x:c>
      <x:c r="G805" s="49" t="inlineStr">
        <x:is>
          <x:t xml:space="preserve">NO_SORRY_OR_ADMIT_STATIC_SCAN</x:t>
        </x:is>
      </x:c>
      <x:c r="H805" s="49" t="inlineStr">
        <x:is>
          <x:t xml:space="preserve">UNIQUE_THEOREM_PENDING_COMPILE</x:t>
        </x:is>
      </x:c>
      <x:c r="I805" s="49" t="inlineStr">
        <x:is>
          <x:t xml:space="preserve">0</x:t>
        </x:is>
      </x:c>
      <x:c r="J805" s="49" t="inlineStr">
        <x:is>
          <x:t xml:space="preserve">LEAN_DERIVATION_CHAIN:216</x:t>
        </x:is>
      </x:c>
      <x:c r="K805" s="49" t="inlineStr">
        <x:is>
          <x:t xml:space="preserve">Strong Q with closed R gate still collapses - strength is not sufficiency</x:t>
        </x:is>
      </x:c>
      <x:c r="L805" s="56" t="n"/>
    </x:row>
    <x:row r="806" ht="15" customHeight="1">
      <x:c r="A806" s="55" t="inlineStr">
        <x:is>
          <x:t xml:space="preserve">strong_R_without_source_backing_fails</x:t>
        </x:is>
      </x:c>
      <x:c r="B806" s="49" t="inlineStr">
        <x:is>
          <x:t xml:space="preserve">theorem</x:t>
        </x:is>
      </x:c>
      <x:c r="C806" s="49" t="inlineStr">
        <x:is>
          <x:t xml:space="preserve">Faith-Thru-Physics-Lean-4--main\Faith-Thru-Physics-Lean-4--main\Theophysics_NegativeInventory.lean</x:t>
        </x:is>
      </x:c>
      <x:c r="D806" s="49" t="inlineStr">
        <x:is>
          <x:t xml:space="preserve">40</x:t>
        </x:is>
      </x:c>
      <x:c r="E806" s="49" t="inlineStr">
        <x:is>
          <x:t xml:space="preserve">DECLARATION_OR_UNKNOWN</x:t>
        </x:is>
      </x:c>
      <x:c r="F806" s="49" t="inlineStr">
        <x:is>
          <x:t xml:space="preserve">PENDING_NOT_RUN</x:t>
        </x:is>
      </x:c>
      <x:c r="G806" s="49" t="inlineStr">
        <x:is>
          <x:t xml:space="preserve">NO_SORRY_OR_ADMIT_STATIC_SCAN</x:t>
        </x:is>
      </x:c>
      <x:c r="H806" s="49" t="inlineStr">
        <x:is>
          <x:t xml:space="preserve">UNIQUE_THEOREM_PENDING_COMPILE</x:t>
        </x:is>
      </x:c>
      <x:c r="I806" s="49" t="inlineStr">
        <x:is>
          <x:t xml:space="preserve">0</x:t>
        </x:is>
      </x:c>
      <x:c r="J806" s="49" t="inlineStr">
        <x:is>
          <x:t xml:space="preserve">LEAN_DERIVATION_CHAIN:217</x:t>
        </x:is>
      </x:c>
      <x:c r="K806" s="49" t="inlineStr">
        <x:is>
          <x:t xml:space="preserve">Open R gate without source-backing (G=0) still collapses</x:t>
        </x:is>
      </x:c>
      <x:c r="L806" s="56" t="n"/>
    </x:row>
    <x:row r="807" ht="15" customHeight="1">
      <x:c r="A807" s="55" t="inlineStr">
        <x:is>
          <x:t xml:space="preserve">strong_but_decaying_has_negative_gradient</x:t>
        </x:is>
      </x:c>
      <x:c r="B807" s="49" t="inlineStr">
        <x:is>
          <x:t xml:space="preserve">theorem</x:t>
        </x:is>
      </x:c>
      <x:c r="C807" s="49" t="inlineStr">
        <x:is>
          <x:t xml:space="preserve">theophysics-lean-main\theophysics-lean-main\Theophysics_ChiEvaluator.lean</x:t>
        </x:is>
      </x:c>
      <x:c r="D807" s="49" t="inlineStr">
        <x:is>
          <x:t xml:space="preserve">325</x:t>
        </x:is>
      </x:c>
      <x:c r="E807" s="49" t="inlineStr">
        <x:is>
          <x:t xml:space="preserve">DEFINITIONAL_RFL</x:t>
        </x:is>
      </x:c>
      <x:c r="F807" s="49" t="inlineStr">
        <x:is>
          <x:t xml:space="preserve">PENDING_NOT_RUN</x:t>
        </x:is>
      </x:c>
      <x:c r="G807" s="49" t="inlineStr">
        <x:is>
          <x:t xml:space="preserve">NO_SORRY_OR_ADMIT_STATIC_SCAN</x:t>
        </x:is>
      </x:c>
      <x:c r="H807" s="49" t="inlineStr">
        <x:is>
          <x:t xml:space="preserve">CANONICAL_THEOREM_DEDUPED_PENDING_COMPILE</x:t>
        </x:is>
      </x:c>
      <x:c r="I807" s="49" t="inlineStr">
        <x:is>
          <x:t xml:space="preserve">3</x:t>
        </x:is>
      </x:c>
      <x:c r="L807" s="56" t="n"/>
    </x:row>
    <x:row r="808" ht="15" customHeight="1">
      <x:c r="A808" s="55" t="inlineStr">
        <x:is>
          <x:t xml:space="preserve">strong_law_mechanism_marker</x:t>
        </x:is>
      </x:c>
      <x:c r="B808" s="49" t="inlineStr">
        <x:is>
          <x:t xml:space="preserve">theorem</x:t>
        </x:is>
      </x:c>
      <x:c r="C808" s="49" t="inlineStr">
        <x:is>
          <x:t xml:space="preserve">theophysics-lean-main\theophysics-lean-main\Theophysics_LawMechanisms.lean</x:t>
        </x:is>
      </x:c>
      <x:c r="D808" s="49" t="inlineStr">
        <x:is>
          <x:t xml:space="preserve">399</x:t>
        </x:is>
      </x:c>
      <x:c r="E808" s="49" t="inlineStr">
        <x:is>
          <x:t xml:space="preserve">WRAPPER_OR_IMPORTED</x:t>
        </x:is>
      </x:c>
      <x:c r="F808" s="49" t="inlineStr">
        <x:is>
          <x:t xml:space="preserve">PENDING_NOT_RUN</x:t>
        </x:is>
      </x:c>
      <x:c r="G808" s="49" t="inlineStr">
        <x:is>
          <x:t xml:space="preserve">NO_SORRY_OR_ADMIT_STATIC_SCAN</x:t>
        </x:is>
      </x:c>
      <x:c r="H808" s="49" t="inlineStr">
        <x:is>
          <x:t xml:space="preserve">UNIQUE_THEOREM_PENDING_COMPILE</x:t>
        </x:is>
      </x:c>
      <x:c r="I808" s="49" t="inlineStr">
        <x:is>
          <x:t xml:space="preserve">0</x:t>
        </x:is>
      </x:c>
      <x:c r="L808" s="56" t="n"/>
    </x:row>
    <x:row r="809" ht="15" customHeight="1">
      <x:c r="A809" s="55" t="inlineStr">
        <x:is>
          <x:t xml:space="preserve">structuredFracture</x:t>
        </x:is>
      </x:c>
      <x:c r="B809" s="49" t="inlineStr">
        <x:is>
          <x:t xml:space="preserve">def</x:t>
        </x:is>
      </x:c>
      <x:c r="C809" s="49" t="inlineStr">
        <x:is>
          <x:t xml:space="preserve">theophysics-lean-main\theophysics-lean-main\Theophysics_Fracture.lean</x:t>
        </x:is>
      </x:c>
      <x:c r="D809" s="49" t="inlineStr">
        <x:is>
          <x:t xml:space="preserve">88</x:t>
        </x:is>
      </x:c>
      <x:c r="E809" s="49" t="inlineStr">
        <x:is>
          <x:t xml:space="preserve">DECLARATION_OR_UNKNOWN</x:t>
        </x:is>
      </x:c>
      <x:c r="F809" s="49" t="inlineStr">
        <x:is>
          <x:t xml:space="preserve">PENDING_NOT_RUN</x:t>
        </x:is>
      </x:c>
      <x:c r="G809" s="49" t="inlineStr">
        <x:is>
          <x:t xml:space="preserve">NO_SORRY_OR_ADMIT_STATIC_SCAN</x:t>
        </x:is>
      </x:c>
      <x:c r="H809" s="49" t="inlineStr">
        <x:is>
          <x:t xml:space="preserve">SCAFFOLDING_NOT_PUBLIC_COUNT</x:t>
        </x:is>
      </x:c>
      <x:c r="I809" s="49" t="inlineStr">
        <x:is>
          <x:t xml:space="preserve">3</x:t>
        </x:is>
      </x:c>
      <x:c r="L809" s="56" t="n"/>
    </x:row>
    <x:row r="810" ht="15" customHeight="1">
      <x:c r="A810" s="55" t="inlineStr">
        <x:is>
          <x:t xml:space="preserve">structuredScar</x:t>
        </x:is>
      </x:c>
      <x:c r="B810" s="49" t="inlineStr">
        <x:is>
          <x:t xml:space="preserve">def</x:t>
        </x:is>
      </x:c>
      <x:c r="C810" s="49" t="inlineStr">
        <x:is>
          <x:t xml:space="preserve">theophysics-lean-main\theophysics-lean-main\Theophysics_Fracture.lean</x:t>
        </x:is>
      </x:c>
      <x:c r="D810" s="49" t="inlineStr">
        <x:is>
          <x:t xml:space="preserve">36</x:t>
        </x:is>
      </x:c>
      <x:c r="E810" s="49" t="inlineStr">
        <x:is>
          <x:t xml:space="preserve">DECLARATION_OR_UNKNOWN</x:t>
        </x:is>
      </x:c>
      <x:c r="F810" s="49" t="inlineStr">
        <x:is>
          <x:t xml:space="preserve">PENDING_NOT_RUN</x:t>
        </x:is>
      </x:c>
      <x:c r="G810" s="49" t="inlineStr">
        <x:is>
          <x:t xml:space="preserve">NO_SORRY_OR_ADMIT_STATIC_SCAN</x:t>
        </x:is>
      </x:c>
      <x:c r="H810" s="49" t="inlineStr">
        <x:is>
          <x:t xml:space="preserve">SCAFFOLDING_NOT_PUBLIC_COUNT</x:t>
        </x:is>
      </x:c>
      <x:c r="I810" s="49" t="inlineStr">
        <x:is>
          <x:t xml:space="preserve">3</x:t>
        </x:is>
      </x:c>
      <x:c r="L810" s="56" t="n"/>
    </x:row>
    <x:row r="811" ht="15" customHeight="1">
      <x:c r="A811" s="55" t="inlineStr">
        <x:is>
          <x:t xml:space="preserve">structured_fracture_is_fractured</x:t>
        </x:is>
      </x:c>
      <x:c r="B811" s="49" t="inlineStr">
        <x:is>
          <x:t xml:space="preserve">theorem</x:t>
        </x:is>
      </x:c>
      <x:c r="C811" s="49" t="inlineStr">
        <x:is>
          <x:t xml:space="preserve">theophysics-lean-main\theophysics-lean-main\Theophysics_Fracture.lean</x:t>
        </x:is>
      </x:c>
      <x:c r="D811" s="49" t="inlineStr">
        <x:is>
          <x:t xml:space="preserve">118</x:t>
        </x:is>
      </x:c>
      <x:c r="E811" s="49" t="inlineStr">
        <x:is>
          <x:t xml:space="preserve">DEFINITIONAL_RFL</x:t>
        </x:is>
      </x:c>
      <x:c r="F811" s="49" t="inlineStr">
        <x:is>
          <x:t xml:space="preserve">PENDING_NOT_RUN</x:t>
        </x:is>
      </x:c>
      <x:c r="G811" s="49" t="inlineStr">
        <x:is>
          <x:t xml:space="preserve">NO_SORRY_OR_ADMIT_STATIC_SCAN</x:t>
        </x:is>
      </x:c>
      <x:c r="H811" s="49" t="inlineStr">
        <x:is>
          <x:t xml:space="preserve">CANONICAL_THEOREM_DEDUPED_PENDING_COMPILE</x:t>
        </x:is>
      </x:c>
      <x:c r="I811" s="49" t="inlineStr">
        <x:is>
          <x:t xml:space="preserve">3</x:t>
        </x:is>
      </x:c>
      <x:c r="L811" s="56" t="n"/>
    </x:row>
    <x:row r="812" ht="15" customHeight="1">
      <x:c r="A812" s="55" t="inlineStr">
        <x:is>
          <x:t xml:space="preserve">structurer_actualizer_without_generator_invalid</x:t>
        </x:is>
      </x:c>
      <x:c r="B812" s="49" t="inlineStr">
        <x:is>
          <x:t xml:space="preserve">theorem</x:t>
        </x:is>
      </x:c>
      <x:c r="C812" s="49" t="inlineStr">
        <x:is>
          <x:t xml:space="preserve">theophysics-lean-main\theophysics-lean-main\Theophysics_DelayedChoice.lean</x:t>
        </x:is>
      </x:c>
      <x:c r="D812" s="49" t="inlineStr">
        <x:is>
          <x:t xml:space="preserve">181</x:t>
        </x:is>
      </x:c>
      <x:c r="E812" s="49" t="inlineStr">
        <x:is>
          <x:t xml:space="preserve">DEFINITIONAL_RFL</x:t>
        </x:is>
      </x:c>
      <x:c r="F812" s="49" t="inlineStr">
        <x:is>
          <x:t xml:space="preserve">PENDING_NOT_RUN</x:t>
        </x:is>
      </x:c>
      <x:c r="G812" s="49" t="inlineStr">
        <x:is>
          <x:t xml:space="preserve">NO_SORRY_OR_ADMIT_STATIC_SCAN</x:t>
        </x:is>
      </x:c>
      <x:c r="H812" s="49" t="inlineStr">
        <x:is>
          <x:t xml:space="preserve">UNIQUE_THEOREM_PENDING_COMPILE</x:t>
        </x:is>
      </x:c>
      <x:c r="I812" s="49" t="inlineStr">
        <x:is>
          <x:t xml:space="preserve">0</x:t>
        </x:is>
      </x:c>
      <x:c r="L812" s="56" t="n"/>
    </x:row>
    <x:row r="813" ht="15" customHeight="1">
      <x:c r="A813" s="55" t="inlineStr">
        <x:is>
          <x:t xml:space="preserve">survival_without_entry_is_not_victory</x:t>
        </x:is>
      </x:c>
      <x:c r="B813" s="49" t="inlineStr">
        <x:is>
          <x:t xml:space="preserve">theorem</x:t>
        </x:is>
      </x:c>
      <x:c r="C813" s="49" t="inlineStr">
        <x:is>
          <x:t xml:space="preserve">theophysics-lean-main\theophysics-lean-main\Theophysics_DeathTest.lean</x:t>
        </x:is>
      </x:c>
      <x:c r="D813" s="49" t="inlineStr">
        <x:is>
          <x:t xml:space="preserve">121</x:t>
        </x:is>
      </x:c>
      <x:c r="E813" s="49" t="inlineStr">
        <x:is>
          <x:t xml:space="preserve">DEFINITIONAL_RFL</x:t>
        </x:is>
      </x:c>
      <x:c r="F813" s="49" t="inlineStr">
        <x:is>
          <x:t xml:space="preserve">PENDING_NOT_RUN</x:t>
        </x:is>
      </x:c>
      <x:c r="G813" s="49" t="inlineStr">
        <x:is>
          <x:t xml:space="preserve">NO_SORRY_OR_ADMIT_STATIC_SCAN</x:t>
        </x:is>
      </x:c>
      <x:c r="H813" s="49" t="inlineStr">
        <x:is>
          <x:t xml:space="preserve">UNIQUE_THEOREM_PENDING_COMPILE</x:t>
        </x:is>
      </x:c>
      <x:c r="I813" s="49" t="inlineStr">
        <x:is>
          <x:t xml:space="preserve">0</x:t>
        </x:is>
      </x:c>
      <x:c r="L813" s="56" t="n"/>
    </x:row>
    <x:row r="814" ht="15" customHeight="1">
      <x:c r="A814" s="55" t="inlineStr">
        <x:is>
          <x:t xml:space="preserve">sustainedAfterFall</x:t>
        </x:is>
      </x:c>
      <x:c r="B814" s="49" t="inlineStr">
        <x:is>
          <x:t xml:space="preserve">def</x:t>
        </x:is>
      </x:c>
      <x:c r="C814" s="49" t="inlineStr">
        <x:is>
          <x:t xml:space="preserve">theophysics-lean-main\theophysics-lean-main\Theophysics_Fall.lean</x:t>
        </x:is>
      </x:c>
      <x:c r="D814" s="49" t="inlineStr">
        <x:is>
          <x:t xml:space="preserve">53</x:t>
        </x:is>
      </x:c>
      <x:c r="E814" s="49" t="inlineStr">
        <x:is>
          <x:t xml:space="preserve">DECLARATION_OR_UNKNOWN</x:t>
        </x:is>
      </x:c>
      <x:c r="F814" s="49" t="inlineStr">
        <x:is>
          <x:t xml:space="preserve">PENDING_NOT_RUN</x:t>
        </x:is>
      </x:c>
      <x:c r="G814" s="49" t="inlineStr">
        <x:is>
          <x:t xml:space="preserve">NO_SORRY_OR_ADMIT_STATIC_SCAN</x:t>
        </x:is>
      </x:c>
      <x:c r="H814" s="49" t="inlineStr">
        <x:is>
          <x:t xml:space="preserve">SCAFFOLDING_NOT_PUBLIC_COUNT</x:t>
        </x:is>
      </x:c>
      <x:c r="I814" s="49" t="inlineStr">
        <x:is>
          <x:t xml:space="preserve">3</x:t>
        </x:is>
      </x:c>
      <x:c r="L814" s="56" t="n"/>
    </x:row>
    <x:row r="815" ht="15" customHeight="1">
      <x:c r="A815" s="55" t="inlineStr">
        <x:is>
          <x:t xml:space="preserve">sustained_after_fall_requires_grace_floor</x:t>
        </x:is>
      </x:c>
      <x:c r="B815" s="49" t="inlineStr">
        <x:is>
          <x:t xml:space="preserve">theorem</x:t>
        </x:is>
      </x:c>
      <x:c r="C815" s="49" t="inlineStr">
        <x:is>
          <x:t xml:space="preserve">theophysics-lean-main\theophysics-lean-main\Theophysics_Fall.lean</x:t>
        </x:is>
      </x:c>
      <x:c r="D815" s="49" t="inlineStr">
        <x:is>
          <x:t xml:space="preserve">138</x:t>
        </x:is>
      </x:c>
      <x:c r="E815" s="49" t="inlineStr">
        <x:is>
          <x:t xml:space="preserve">SIMPLIFICATION</x:t>
        </x:is>
      </x:c>
      <x:c r="F815" s="49" t="inlineStr">
        <x:is>
          <x:t xml:space="preserve">PENDING_NOT_RUN</x:t>
        </x:is>
      </x:c>
      <x:c r="G815" s="49" t="inlineStr">
        <x:is>
          <x:t xml:space="preserve">NO_SORRY_OR_ADMIT_STATIC_SCAN</x:t>
        </x:is>
      </x:c>
      <x:c r="H815" s="49" t="inlineStr">
        <x:is>
          <x:t xml:space="preserve">CANONICAL_THEOREM_DEDUPED_PENDING_COMPILE</x:t>
        </x:is>
      </x:c>
      <x:c r="I815" s="49" t="inlineStr">
        <x:is>
          <x:t xml:space="preserve">3</x:t>
        </x:is>
      </x:c>
      <x:c r="L815" s="56" t="n"/>
    </x:row>
    <x:row r="816" ht="15" customHeight="1">
      <x:c r="A816" s="55" t="inlineStr">
        <x:is>
          <x:t xml:space="preserve">symbolicOnly</x:t>
        </x:is>
      </x:c>
      <x:c r="B816" s="49" t="inlineStr">
        <x:is>
          <x:t xml:space="preserve">def</x:t>
        </x:is>
      </x:c>
      <x:c r="C816" s="49" t="inlineStr">
        <x:is>
          <x:t xml:space="preserve">Faith-Thru-Physics-Lean-4--main\Faith-Thru-Physics-Lean-4--main\Theophysics_NegativeInventory.lean</x:t>
        </x:is>
      </x:c>
      <x:c r="D816" s="49" t="inlineStr">
        <x:is>
          <x:t xml:space="preserve">220</x:t>
        </x:is>
      </x:c>
      <x:c r="E816" s="49" t="inlineStr">
        <x:is>
          <x:t xml:space="preserve">DECLARATION_OR_UNKNOWN</x:t>
        </x:is>
      </x:c>
      <x:c r="F816" s="49" t="inlineStr">
        <x:is>
          <x:t xml:space="preserve">PENDING_NOT_RUN</x:t>
        </x:is>
      </x:c>
      <x:c r="G816" s="49" t="inlineStr">
        <x:is>
          <x:t xml:space="preserve">NO_SORRY_OR_ADMIT_STATIC_SCAN</x:t>
        </x:is>
      </x:c>
      <x:c r="H816" s="49" t="inlineStr">
        <x:is>
          <x:t xml:space="preserve">SCAFFOLDING_NOT_PUBLIC_COUNT</x:t>
        </x:is>
      </x:c>
      <x:c r="I816" s="49" t="inlineStr">
        <x:is>
          <x:t xml:space="preserve">0</x:t>
        </x:is>
      </x:c>
      <x:c r="L816" s="56" t="n"/>
    </x:row>
    <x:row r="817" ht="15" customHeight="1">
      <x:c r="A817" s="55" t="inlineStr">
        <x:is>
          <x:t xml:space="preserve">symbolic_only_rejected</x:t>
        </x:is>
      </x:c>
      <x:c r="B817" s="49" t="inlineStr">
        <x:is>
          <x:t xml:space="preserve">theorem</x:t>
        </x:is>
      </x:c>
      <x:c r="C817" s="49" t="inlineStr">
        <x:is>
          <x:t xml:space="preserve">Faith-Thru-Physics-Lean-4--main\Faith-Thru-Physics-Lean-4--main\Theophysics_NegativeInventory.lean</x:t>
        </x:is>
      </x:c>
      <x:c r="D817" s="49" t="inlineStr">
        <x:is>
          <x:t xml:space="preserve">235</x:t>
        </x:is>
      </x:c>
      <x:c r="E817" s="49" t="inlineStr">
        <x:is>
          <x:t xml:space="preserve">FINITE_DECIDABLE</x:t>
        </x:is>
      </x:c>
      <x:c r="F817" s="49" t="inlineStr">
        <x:is>
          <x:t xml:space="preserve">PENDING_NOT_RUN</x:t>
        </x:is>
      </x:c>
      <x:c r="G817" s="49" t="inlineStr">
        <x:is>
          <x:t xml:space="preserve">NO_SORRY_OR_ADMIT_STATIC_SCAN</x:t>
        </x:is>
      </x:c>
      <x:c r="H817" s="49" t="inlineStr">
        <x:is>
          <x:t xml:space="preserve">UNIQUE_THEOREM_PENDING_COMPILE</x:t>
        </x:is>
      </x:c>
      <x:c r="I817" s="49" t="inlineStr">
        <x:is>
          <x:t xml:space="preserve">0</x:t>
        </x:is>
      </x:c>
      <x:c r="J817" s="49" t="inlineStr">
        <x:is>
          <x:t xml:space="preserve">LEAN_DERIVATION_CHAIN:232</x:t>
        </x:is>
      </x:c>
      <x:c r="K817" s="49" t="inlineStr">
        <x:is>
          <x:t xml:space="preserve">Lives-on-in-memory (no bodily return) is not resurrection</x:t>
        </x:is>
      </x:c>
      <x:c r="L817" s="56" t="n"/>
    </x:row>
    <x:row r="818" ht="15" customHeight="1">
      <x:c r="A818" s="55" t="inlineStr">
        <x:is>
          <x:t xml:space="preserve">symbolic_resurrection_fails</x:t>
        </x:is>
      </x:c>
      <x:c r="B818" s="49" t="inlineStr">
        <x:is>
          <x:t xml:space="preserve">theorem</x:t>
        </x:is>
      </x:c>
      <x:c r="C818" s="49" t="inlineStr">
        <x:is>
          <x:t xml:space="preserve">theophysics-lean-main\theophysics-lean-main\Theophysics_GodTest.lean</x:t>
        </x:is>
      </x:c>
      <x:c r="D818" s="49" t="inlineStr">
        <x:is>
          <x:t xml:space="preserve">266</x:t>
        </x:is>
      </x:c>
      <x:c r="E818" s="49" t="inlineStr">
        <x:is>
          <x:t xml:space="preserve">DEFINITIONAL_RFL</x:t>
        </x:is>
      </x:c>
      <x:c r="F818" s="49" t="inlineStr">
        <x:is>
          <x:t xml:space="preserve">PENDING_NOT_RUN</x:t>
        </x:is>
      </x:c>
      <x:c r="G818" s="49" t="inlineStr">
        <x:is>
          <x:t xml:space="preserve">NO_SORRY_OR_ADMIT_STATIC_SCAN</x:t>
        </x:is>
      </x:c>
      <x:c r="H818" s="49" t="inlineStr">
        <x:is>
          <x:t xml:space="preserve">UNIQUE_THEOREM_PENDING_COMPILE</x:t>
        </x:is>
      </x:c>
      <x:c r="I818" s="49" t="inlineStr">
        <x:is>
          <x:t xml:space="preserve">0</x:t>
        </x:is>
      </x:c>
      <x:c r="L818" s="56" t="n"/>
    </x:row>
    <x:row r="819" ht="15" customHeight="1">
      <x:c r="A819" s="55" t="inlineStr">
        <x:is>
          <x:t xml:space="preserve">symmetricNoArrowCandidate</x:t>
        </x:is>
      </x:c>
      <x:c r="B819" s="49" t="inlineStr">
        <x:is>
          <x:t xml:space="preserve">def</x:t>
        </x:is>
      </x:c>
      <x:c r="C819" s="49" t="inlineStr">
        <x:is>
          <x:t xml:space="preserve">theophysics-lean-main\theophysics-lean-main\Theophysics_Universality.lean</x:t>
        </x:is>
      </x:c>
      <x:c r="D819" s="49" t="inlineStr">
        <x:is>
          <x:t xml:space="preserve">182</x:t>
        </x:is>
      </x:c>
      <x:c r="E819" s="49" t="inlineStr">
        <x:is>
          <x:t xml:space="preserve">DECLARATION_OR_UNKNOWN</x:t>
        </x:is>
      </x:c>
      <x:c r="F819" s="49" t="inlineStr">
        <x:is>
          <x:t xml:space="preserve">PENDING_NOT_RUN</x:t>
        </x:is>
      </x:c>
      <x:c r="G819" s="49" t="inlineStr">
        <x:is>
          <x:t xml:space="preserve">NO_SORRY_OR_ADMIT_STATIC_SCAN</x:t>
        </x:is>
      </x:c>
      <x:c r="H819" s="49" t="inlineStr">
        <x:is>
          <x:t xml:space="preserve">SCAFFOLDING_NOT_PUBLIC_COUNT</x:t>
        </x:is>
      </x:c>
      <x:c r="I819" s="49" t="inlineStr">
        <x:is>
          <x:t xml:space="preserve">0</x:t>
        </x:is>
      </x:c>
      <x:c r="L819" s="56" t="n"/>
    </x:row>
    <x:row r="820" ht="15" customHeight="1">
      <x:c r="A820" s="55" t="inlineStr">
        <x:is>
          <x:t xml:space="preserve">symmetric_no_arrow_candidate_is_not_strong_cd_class</x:t>
        </x:is>
      </x:c>
      <x:c r="B820" s="49" t="inlineStr">
        <x:is>
          <x:t xml:space="preserve">theorem</x:t>
        </x:is>
      </x:c>
      <x:c r="C820" s="49" t="inlineStr">
        <x:is>
          <x:t xml:space="preserve">theophysics-lean-main\theophysics-lean-main\Theophysics_Universality.lean</x:t>
        </x:is>
      </x:c>
      <x:c r="D820" s="49" t="inlineStr">
        <x:is>
          <x:t xml:space="preserve">422</x:t>
        </x:is>
      </x:c>
      <x:c r="E820" s="49" t="inlineStr">
        <x:is>
          <x:t xml:space="preserve">DEFINITIONAL_RFL</x:t>
        </x:is>
      </x:c>
      <x:c r="F820" s="49" t="inlineStr">
        <x:is>
          <x:t xml:space="preserve">PENDING_NOT_RUN</x:t>
        </x:is>
      </x:c>
      <x:c r="G820" s="49" t="inlineStr">
        <x:is>
          <x:t xml:space="preserve">NO_SORRY_OR_ADMIT_STATIC_SCAN</x:t>
        </x:is>
      </x:c>
      <x:c r="H820" s="49" t="inlineStr">
        <x:is>
          <x:t xml:space="preserve">UNIQUE_THEOREM_PENDING_COMPILE</x:t>
        </x:is>
      </x:c>
      <x:c r="I820" s="49" t="inlineStr">
        <x:is>
          <x:t xml:space="preserve">0</x:t>
        </x:is>
      </x:c>
      <x:c r="L820" s="56" t="n"/>
    </x:row>
    <x:row r="821" ht="15" customHeight="1">
      <x:c r="A821" s="55" t="inlineStr">
        <x:is>
          <x:t xml:space="preserve">symmetric_no_arrow_not_thermodynamics_class</x:t>
        </x:is>
      </x:c>
      <x:c r="B821" s="49" t="inlineStr">
        <x:is>
          <x:t xml:space="preserve">theorem</x:t>
        </x:is>
      </x:c>
      <x:c r="C821" s="49" t="inlineStr">
        <x:is>
          <x:t xml:space="preserve">theophysics-lean-main\theophysics-lean-main\Theophysics_Universality.lean</x:t>
        </x:is>
      </x:c>
      <x:c r="D821" s="49" t="inlineStr">
        <x:is>
          <x:t xml:space="preserve">459</x:t>
        </x:is>
      </x:c>
      <x:c r="E821" s="49" t="inlineStr">
        <x:is>
          <x:t xml:space="preserve">SUBSTANTIVE_OR_CASE_PROOF</x:t>
        </x:is>
      </x:c>
      <x:c r="F821" s="49" t="inlineStr">
        <x:is>
          <x:t xml:space="preserve">PENDING_NOT_RUN</x:t>
        </x:is>
      </x:c>
      <x:c r="G821" s="49" t="inlineStr">
        <x:is>
          <x:t xml:space="preserve">NO_SORRY_OR_ADMIT_STATIC_SCAN</x:t>
        </x:is>
      </x:c>
      <x:c r="H821" s="49" t="inlineStr">
        <x:is>
          <x:t xml:space="preserve">UNIQUE_THEOREM_PENDING_COMPILE</x:t>
        </x:is>
      </x:c>
      <x:c r="I821" s="49" t="inlineStr">
        <x:is>
          <x:t xml:space="preserve">0</x:t>
        </x:is>
      </x:c>
      <x:c r="L821" s="56" t="n"/>
    </x:row>
    <x:row r="822" ht="15" customHeight="1">
      <x:c r="A822" s="55" t="inlineStr">
        <x:is>
          <x:t xml:space="preserve">t_zero_kills_chi</x:t>
        </x:is>
      </x:c>
      <x:c r="B822" s="49" t="inlineStr">
        <x:is>
          <x:t xml:space="preserve">theorem</x:t>
        </x:is>
      </x:c>
      <x:c r="C822" s="49" t="inlineStr">
        <x:is>
          <x:t xml:space="preserve">theophysics-lean-main\theophysics-lean-main\Theophysics_Core.lean</x:t>
        </x:is>
      </x:c>
      <x:c r="D822" s="49" t="inlineStr">
        <x:is>
          <x:t xml:space="preserve">255</x:t>
        </x:is>
      </x:c>
      <x:c r="E822" s="49" t="inlineStr">
        <x:is>
          <x:t xml:space="preserve">DECLARATION_OR_UNKNOWN</x:t>
        </x:is>
      </x:c>
      <x:c r="F822" s="49" t="inlineStr">
        <x:is>
          <x:t xml:space="preserve">PENDING_NOT_RUN</x:t>
        </x:is>
      </x:c>
      <x:c r="G822" s="49" t="inlineStr">
        <x:is>
          <x:t xml:space="preserve">NO_SORRY_OR_ADMIT_STATIC_SCAN</x:t>
        </x:is>
      </x:c>
      <x:c r="H822" s="49" t="inlineStr">
        <x:is>
          <x:t xml:space="preserve">CANONICAL_THEOREM_DEDUPED_PENDING_COMPILE</x:t>
        </x:is>
      </x:c>
      <x:c r="I822" s="49" t="inlineStr">
        <x:is>
          <x:t xml:space="preserve">3</x:t>
        </x:is>
      </x:c>
      <x:c r="L822" s="56" t="n"/>
    </x:row>
    <x:row r="823" ht="15" customHeight="1">
      <x:c r="A823" s="55" t="inlineStr">
        <x:is>
          <x:t xml:space="preserve">technical_six_domain_same_cd_class</x:t>
        </x:is>
      </x:c>
      <x:c r="B823" s="49" t="inlineStr">
        <x:is>
          <x:t xml:space="preserve">theorem</x:t>
        </x:is>
      </x:c>
      <x:c r="C823" s="49" t="inlineStr">
        <x:is>
          <x:t xml:space="preserve">theophysics-lean-main\theophysics-lean-main\Theophysics_Universality.lean</x:t>
        </x:is>
      </x:c>
      <x:c r="D823" s="49" t="inlineStr">
        <x:is>
          <x:t xml:space="preserve">333</x:t>
        </x:is>
      </x:c>
      <x:c r="E823" s="49" t="inlineStr">
        <x:is>
          <x:t xml:space="preserve">WRAPPER_OR_IMPORTED</x:t>
        </x:is>
      </x:c>
      <x:c r="F823" s="49" t="inlineStr">
        <x:is>
          <x:t xml:space="preserve">PENDING_NOT_RUN</x:t>
        </x:is>
      </x:c>
      <x:c r="G823" s="49" t="inlineStr">
        <x:is>
          <x:t xml:space="preserve">NO_SORRY_OR_ADMIT_STATIC_SCAN</x:t>
        </x:is>
      </x:c>
      <x:c r="H823" s="49" t="inlineStr">
        <x:is>
          <x:t xml:space="preserve">UNIQUE_THEOREM_PENDING_COMPILE</x:t>
        </x:is>
      </x:c>
      <x:c r="I823" s="49" t="inlineStr">
        <x:is>
          <x:t xml:space="preserve">0</x:t>
        </x:is>
      </x:c>
      <x:c r="L823" s="56" t="n"/>
    </x:row>
    <x:row r="824" ht="15" customHeight="1">
      <x:c r="A824" s="55" t="inlineStr">
        <x:is>
          <x:t xml:space="preserve">technical_six_domain_universality_marker</x:t>
        </x:is>
      </x:c>
      <x:c r="B824" s="49" t="inlineStr">
        <x:is>
          <x:t xml:space="preserve">theorem</x:t>
        </x:is>
      </x:c>
      <x:c r="C824" s="49" t="inlineStr">
        <x:is>
          <x:t xml:space="preserve">theophysics-lean-main\theophysics-lean-main\Theophysics_Core.lean</x:t>
        </x:is>
      </x:c>
      <x:c r="D824" s="49" t="inlineStr">
        <x:is>
          <x:t xml:space="preserve">123</x:t>
        </x:is>
      </x:c>
      <x:c r="E824" s="49" t="inlineStr">
        <x:is>
          <x:t xml:space="preserve">DECLARATION_OR_UNKNOWN</x:t>
        </x:is>
      </x:c>
      <x:c r="F824" s="49" t="inlineStr">
        <x:is>
          <x:t xml:space="preserve">PENDING_NOT_RUN</x:t>
        </x:is>
      </x:c>
      <x:c r="G824" s="49" t="inlineStr">
        <x:is>
          <x:t xml:space="preserve">NO_SORRY_OR_ADMIT_STATIC_SCAN</x:t>
        </x:is>
      </x:c>
      <x:c r="H824" s="49" t="inlineStr">
        <x:is>
          <x:t xml:space="preserve">UNIQUE_THEOREM_PENDING_COMPILE</x:t>
        </x:is>
      </x:c>
      <x:c r="I824" s="49" t="inlineStr">
        <x:is>
          <x:t xml:space="preserve">0</x:t>
        </x:is>
      </x:c>
      <x:c r="L824" s="56" t="n"/>
    </x:row>
    <x:row r="825" ht="15" customHeight="1">
      <x:c r="A825" s="55" t="inlineStr">
        <x:is>
          <x:t xml:space="preserve">technical_to_moral_bridge_same_cd_class</x:t>
        </x:is>
      </x:c>
      <x:c r="B825" s="49" t="inlineStr">
        <x:is>
          <x:t xml:space="preserve">theorem</x:t>
        </x:is>
      </x:c>
      <x:c r="C825" s="49" t="inlineStr">
        <x:is>
          <x:t xml:space="preserve">theophysics-lean-main\theophysics-lean-main\Theophysics_Universality.lean</x:t>
        </x:is>
      </x:c>
      <x:c r="D825" s="49" t="inlineStr">
        <x:is>
          <x:t xml:space="preserve">313</x:t>
        </x:is>
      </x:c>
      <x:c r="E825" s="49" t="inlineStr">
        <x:is>
          <x:t xml:space="preserve">WRAPPER_OR_IMPORTED</x:t>
        </x:is>
      </x:c>
      <x:c r="F825" s="49" t="inlineStr">
        <x:is>
          <x:t xml:space="preserve">PENDING_NOT_RUN</x:t>
        </x:is>
      </x:c>
      <x:c r="G825" s="49" t="inlineStr">
        <x:is>
          <x:t xml:space="preserve">NO_SORRY_OR_ADMIT_STATIC_SCAN</x:t>
        </x:is>
      </x:c>
      <x:c r="H825" s="49" t="inlineStr">
        <x:is>
          <x:t xml:space="preserve">UNIQUE_THEOREM_PENDING_COMPILE</x:t>
        </x:is>
      </x:c>
      <x:c r="I825" s="49" t="inlineStr">
        <x:is>
          <x:t xml:space="preserve">0</x:t>
        </x:is>
      </x:c>
      <x:c r="L825" s="56" t="n"/>
    </x:row>
    <x:row r="826" ht="15" customHeight="1">
      <x:c r="A826" s="55" t="inlineStr">
        <x:is>
          <x:t xml:space="preserve">technology_revival_fails</x:t>
        </x:is>
      </x:c>
      <x:c r="B826" s="49" t="inlineStr">
        <x:is>
          <x:t xml:space="preserve">theorem</x:t>
        </x:is>
      </x:c>
      <x:c r="C826" s="49" t="inlineStr">
        <x:is>
          <x:t xml:space="preserve">theophysics-lean-main\theophysics-lean-main\Theophysics_GodTest.lean</x:t>
        </x:is>
      </x:c>
      <x:c r="D826" s="49" t="inlineStr">
        <x:is>
          <x:t xml:space="preserve">238</x:t>
        </x:is>
      </x:c>
      <x:c r="E826" s="49" t="inlineStr">
        <x:is>
          <x:t xml:space="preserve">DEFINITIONAL_RFL</x:t>
        </x:is>
      </x:c>
      <x:c r="F826" s="49" t="inlineStr">
        <x:is>
          <x:t xml:space="preserve">PENDING_NOT_RUN</x:t>
        </x:is>
      </x:c>
      <x:c r="G826" s="49" t="inlineStr">
        <x:is>
          <x:t xml:space="preserve">NO_SORRY_OR_ADMIT_STATIC_SCAN</x:t>
        </x:is>
      </x:c>
      <x:c r="H826" s="49" t="inlineStr">
        <x:is>
          <x:t xml:space="preserve">UNIQUE_THEOREM_PENDING_COMPILE</x:t>
        </x:is>
      </x:c>
      <x:c r="I826" s="49" t="inlineStr">
        <x:is>
          <x:t xml:space="preserve">0</x:t>
        </x:is>
      </x:c>
      <x:c r="L826" s="56" t="n"/>
    </x:row>
    <x:row r="827" ht="15" customHeight="1">
      <x:c r="A827" s="55" t="inlineStr">
        <x:is>
          <x:t xml:space="preserve">temporal_order_does_not_change_classification</x:t>
        </x:is>
      </x:c>
      <x:c r="B827" s="49" t="inlineStr">
        <x:is>
          <x:t xml:space="preserve">theorem</x:t>
        </x:is>
      </x:c>
      <x:c r="C827" s="49" t="inlineStr">
        <x:is>
          <x:t xml:space="preserve">theophysics-lean-main\theophysics-lean-main\Theophysics_DelayedChoice.lean</x:t>
        </x:is>
      </x:c>
      <x:c r="D827" s="49" t="inlineStr">
        <x:is>
          <x:t xml:space="preserve">106</x:t>
        </x:is>
      </x:c>
      <x:c r="E827" s="49" t="inlineStr">
        <x:is>
          <x:t xml:space="preserve">DEFINITIONAL_RFL</x:t>
        </x:is>
      </x:c>
      <x:c r="F827" s="49" t="inlineStr">
        <x:is>
          <x:t xml:space="preserve">PENDING_NOT_RUN</x:t>
        </x:is>
      </x:c>
      <x:c r="G827" s="49" t="inlineStr">
        <x:is>
          <x:t xml:space="preserve">NO_SORRY_OR_ADMIT_STATIC_SCAN</x:t>
        </x:is>
      </x:c>
      <x:c r="H827" s="49" t="inlineStr">
        <x:is>
          <x:t xml:space="preserve">UNIQUE_THEOREM_PENDING_COMPILE</x:t>
        </x:is>
      </x:c>
      <x:c r="I827" s="49" t="inlineStr">
        <x:is>
          <x:t xml:space="preserve">0</x:t>
        </x:is>
      </x:c>
      <x:c r="L827" s="56" t="n"/>
    </x:row>
    <x:row r="828" ht="15" customHeight="1">
      <x:c r="A828" s="55" t="inlineStr">
        <x:is>
          <x:t xml:space="preserve">the_god_marker</x:t>
        </x:is>
      </x:c>
      <x:c r="B828" s="49" t="inlineStr">
        <x:is>
          <x:t xml:space="preserve">theorem</x:t>
        </x:is>
      </x:c>
      <x:c r="C828" s="49" t="inlineStr">
        <x:is>
          <x:t xml:space="preserve">theophysics-lean-main\theophysics-lean-main\Theophysics_DeathTest.lean</x:t>
        </x:is>
      </x:c>
      <x:c r="D828" s="49" t="inlineStr">
        <x:is>
          <x:t xml:space="preserve">127</x:t>
        </x:is>
      </x:c>
      <x:c r="E828" s="49" t="inlineStr">
        <x:is>
          <x:t xml:space="preserve">DEFINITIONAL_RFL</x:t>
        </x:is>
      </x:c>
      <x:c r="F828" s="49" t="inlineStr">
        <x:is>
          <x:t xml:space="preserve">PENDING_NOT_RUN</x:t>
        </x:is>
      </x:c>
      <x:c r="G828" s="49" t="inlineStr">
        <x:is>
          <x:t xml:space="preserve">NO_SORRY_OR_ADMIT_STATIC_SCAN</x:t>
        </x:is>
      </x:c>
      <x:c r="H828" s="49" t="inlineStr">
        <x:is>
          <x:t xml:space="preserve">UNIQUE_THEOREM_PENDING_COMPILE</x:t>
        </x:is>
      </x:c>
      <x:c r="I828" s="49" t="inlineStr">
        <x:is>
          <x:t xml:space="preserve">0</x:t>
        </x:is>
      </x:c>
      <x:c r="L828" s="56" t="n"/>
    </x:row>
    <x:row r="829" ht="15" customHeight="1">
      <x:c r="A829" s="55" t="inlineStr">
        <x:is>
          <x:t xml:space="preserve">theologyRestorationSignature</x:t>
        </x:is>
      </x:c>
      <x:c r="B829" s="49" t="inlineStr">
        <x:is>
          <x:t xml:space="preserve">def</x:t>
        </x:is>
      </x:c>
      <x:c r="C829" s="49" t="inlineStr">
        <x:is>
          <x:t xml:space="preserve">theophysics-lean-main\theophysics-lean-main\Theophysics_Universality.lean</x:t>
        </x:is>
      </x:c>
      <x:c r="D829" s="49" t="inlineStr">
        <x:is>
          <x:t xml:space="preserve">146</x:t>
        </x:is>
      </x:c>
      <x:c r="E829" s="49" t="inlineStr">
        <x:is>
          <x:t xml:space="preserve">DECLARATION_OR_UNKNOWN</x:t>
        </x:is>
      </x:c>
      <x:c r="F829" s="49" t="inlineStr">
        <x:is>
          <x:t xml:space="preserve">PENDING_NOT_RUN</x:t>
        </x:is>
      </x:c>
      <x:c r="G829" s="49" t="inlineStr">
        <x:is>
          <x:t xml:space="preserve">NO_SORRY_OR_ADMIT_STATIC_SCAN</x:t>
        </x:is>
      </x:c>
      <x:c r="H829" s="49" t="inlineStr">
        <x:is>
          <x:t xml:space="preserve">SCAFFOLDING_NOT_PUBLIC_COUNT</x:t>
        </x:is>
      </x:c>
      <x:c r="I829" s="49" t="inlineStr">
        <x:is>
          <x:t xml:space="preserve">0</x:t>
        </x:is>
      </x:c>
      <x:c r="L829" s="56" t="n"/>
    </x:row>
    <x:row r="830" ht="15" customHeight="1">
      <x:c r="A830" s="55" t="inlineStr">
        <x:is>
          <x:t xml:space="preserve">theology_restoration_is_strong_cd_class</x:t>
        </x:is>
      </x:c>
      <x:c r="B830" s="49" t="inlineStr">
        <x:is>
          <x:t xml:space="preserve">theorem</x:t>
        </x:is>
      </x:c>
      <x:c r="C830" s="49" t="inlineStr">
        <x:is>
          <x:t xml:space="preserve">theophysics-lean-main\theophysics-lean-main\Theophysics_Universality.lean</x:t>
        </x:is>
      </x:c>
      <x:c r="D830" s="49" t="inlineStr">
        <x:is>
          <x:t xml:space="preserve">261</x:t>
        </x:is>
      </x:c>
      <x:c r="E830" s="49" t="inlineStr">
        <x:is>
          <x:t xml:space="preserve">DEFINITIONAL_RFL</x:t>
        </x:is>
      </x:c>
      <x:c r="F830" s="49" t="inlineStr">
        <x:is>
          <x:t xml:space="preserve">PENDING_NOT_RUN</x:t>
        </x:is>
      </x:c>
      <x:c r="G830" s="49" t="inlineStr">
        <x:is>
          <x:t xml:space="preserve">NO_SORRY_OR_ADMIT_STATIC_SCAN</x:t>
        </x:is>
      </x:c>
      <x:c r="H830" s="49" t="inlineStr">
        <x:is>
          <x:t xml:space="preserve">UNIQUE_THEOREM_PENDING_COMPILE</x:t>
        </x:is>
      </x:c>
      <x:c r="I830" s="49" t="inlineStr">
        <x:is>
          <x:t xml:space="preserve">0</x:t>
        </x:is>
      </x:c>
      <x:c r="L830" s="56" t="n"/>
    </x:row>
    <x:row r="831" ht="15" customHeight="1">
      <x:c r="A831" s="55" t="inlineStr">
        <x:is>
          <x:t xml:space="preserve">thermodynamicsSignature</x:t>
        </x:is>
      </x:c>
      <x:c r="B831" s="49" t="inlineStr">
        <x:is>
          <x:t xml:space="preserve">def</x:t>
        </x:is>
      </x:c>
      <x:c r="C831" s="49" t="inlineStr">
        <x:is>
          <x:t xml:space="preserve">theophysics-lean-main\theophysics-lean-main\Theophysics_Universality.lean</x:t>
        </x:is>
      </x:c>
      <x:c r="D831" s="49" t="inlineStr">
        <x:is>
          <x:t xml:space="preserve">56</x:t>
        </x:is>
      </x:c>
      <x:c r="E831" s="49" t="inlineStr">
        <x:is>
          <x:t xml:space="preserve">DECLARATION_OR_UNKNOWN</x:t>
        </x:is>
      </x:c>
      <x:c r="F831" s="49" t="inlineStr">
        <x:is>
          <x:t xml:space="preserve">PENDING_NOT_RUN</x:t>
        </x:is>
      </x:c>
      <x:c r="G831" s="49" t="inlineStr">
        <x:is>
          <x:t xml:space="preserve">NO_SORRY_OR_ADMIT_STATIC_SCAN</x:t>
        </x:is>
      </x:c>
      <x:c r="H831" s="49" t="inlineStr">
        <x:is>
          <x:t xml:space="preserve">SCAFFOLDING_NOT_PUBLIC_COUNT</x:t>
        </x:is>
      </x:c>
      <x:c r="I831" s="49" t="inlineStr">
        <x:is>
          <x:t xml:space="preserve">0</x:t>
        </x:is>
      </x:c>
      <x:c r="L831" s="56" t="n"/>
    </x:row>
    <x:row r="832" ht="15" customHeight="1">
      <x:c r="A832" s="55" t="inlineStr">
        <x:is>
          <x:t xml:space="preserve">thermodynamics_biology_homeostasis_same_cd_class</x:t>
        </x:is>
      </x:c>
      <x:c r="B832" s="49" t="inlineStr">
        <x:is>
          <x:t xml:space="preserve">theorem</x:t>
        </x:is>
      </x:c>
      <x:c r="C832" s="49" t="inlineStr">
        <x:is>
          <x:t xml:space="preserve">theophysics-lean-main\theophysics-lean-main\Theophysics_Universality.lean</x:t>
        </x:is>
      </x:c>
      <x:c r="D832" s="49" t="inlineStr">
        <x:is>
          <x:t xml:space="preserve">285</x:t>
        </x:is>
      </x:c>
      <x:c r="E832" s="49" t="inlineStr">
        <x:is>
          <x:t xml:space="preserve">WRAPPER_OR_IMPORTED</x:t>
        </x:is>
      </x:c>
      <x:c r="F832" s="49" t="inlineStr">
        <x:is>
          <x:t xml:space="preserve">PENDING_NOT_RUN</x:t>
        </x:is>
      </x:c>
      <x:c r="G832" s="49" t="inlineStr">
        <x:is>
          <x:t xml:space="preserve">NO_SORRY_OR_ADMIT_STATIC_SCAN</x:t>
        </x:is>
      </x:c>
      <x:c r="H832" s="49" t="inlineStr">
        <x:is>
          <x:t xml:space="preserve">UNIQUE_THEOREM_PENDING_COMPILE</x:t>
        </x:is>
      </x:c>
      <x:c r="I832" s="49" t="inlineStr">
        <x:is>
          <x:t xml:space="preserve">0</x:t>
        </x:is>
      </x:c>
      <x:c r="L832" s="56" t="n"/>
    </x:row>
    <x:row r="833" ht="15" customHeight="1">
      <x:c r="A833" s="55" t="inlineStr">
        <x:is>
          <x:t xml:space="preserve">thermodynamics_information_same_cd_class</x:t>
        </x:is>
      </x:c>
      <x:c r="B833" s="49" t="inlineStr">
        <x:is>
          <x:t xml:space="preserve">theorem</x:t>
        </x:is>
      </x:c>
      <x:c r="C833" s="49" t="inlineStr">
        <x:is>
          <x:t xml:space="preserve">theophysics-lean-main\theophysics-lean-main\Theophysics_Universality.lean</x:t>
        </x:is>
      </x:c>
      <x:c r="D833" s="49" t="inlineStr">
        <x:is>
          <x:t xml:space="preserve">277</x:t>
        </x:is>
      </x:c>
      <x:c r="E833" s="49" t="inlineStr">
        <x:is>
          <x:t xml:space="preserve">WRAPPER_OR_IMPORTED</x:t>
        </x:is>
      </x:c>
      <x:c r="F833" s="49" t="inlineStr">
        <x:is>
          <x:t xml:space="preserve">PENDING_NOT_RUN</x:t>
        </x:is>
      </x:c>
      <x:c r="G833" s="49" t="inlineStr">
        <x:is>
          <x:t xml:space="preserve">NO_SORRY_OR_ADMIT_STATIC_SCAN</x:t>
        </x:is>
      </x:c>
      <x:c r="H833" s="49" t="inlineStr">
        <x:is>
          <x:t xml:space="preserve">UNIQUE_THEOREM_PENDING_COMPILE</x:t>
        </x:is>
      </x:c>
      <x:c r="I833" s="49" t="inlineStr">
        <x:is>
          <x:t xml:space="preserve">0</x:t>
        </x:is>
      </x:c>
      <x:c r="L833" s="56" t="n"/>
    </x:row>
    <x:row r="834" ht="15" customHeight="1">
      <x:c r="A834" s="55" t="inlineStr">
        <x:is>
          <x:t xml:space="preserve">thermodynamics_is_strong_cd_class</x:t>
        </x:is>
      </x:c>
      <x:c r="B834" s="49" t="inlineStr">
        <x:is>
          <x:t xml:space="preserve">theorem</x:t>
        </x:is>
      </x:c>
      <x:c r="C834" s="49" t="inlineStr">
        <x:is>
          <x:t xml:space="preserve">theophysics-lean-main\theophysics-lean-main\Theophysics_Universality.lean</x:t>
        </x:is>
      </x:c>
      <x:c r="D834" s="49" t="inlineStr">
        <x:is>
          <x:t xml:space="preserve">221</x:t>
        </x:is>
      </x:c>
      <x:c r="E834" s="49" t="inlineStr">
        <x:is>
          <x:t xml:space="preserve">DEFINITIONAL_RFL</x:t>
        </x:is>
      </x:c>
      <x:c r="F834" s="49" t="inlineStr">
        <x:is>
          <x:t xml:space="preserve">PENDING_NOT_RUN</x:t>
        </x:is>
      </x:c>
      <x:c r="G834" s="49" t="inlineStr">
        <x:is>
          <x:t xml:space="preserve">NO_SORRY_OR_ADMIT_STATIC_SCAN</x:t>
        </x:is>
      </x:c>
      <x:c r="H834" s="49" t="inlineStr">
        <x:is>
          <x:t xml:space="preserve">UNIQUE_THEOREM_PENDING_COMPILE</x:t>
        </x:is>
      </x:c>
      <x:c r="I834" s="49" t="inlineStr">
        <x:is>
          <x:t xml:space="preserve">0</x:t>
        </x:is>
      </x:c>
      <x:c r="L834" s="56" t="n"/>
    </x:row>
    <x:row r="835" ht="15" customHeight="1">
      <x:c r="A835" s="55" t="inlineStr">
        <x:is>
          <x:t xml:space="preserve">thermodynamics_pattern_marker</x:t>
        </x:is>
      </x:c>
      <x:c r="B835" s="49" t="inlineStr">
        <x:is>
          <x:t xml:space="preserve">theorem</x:t>
        </x:is>
      </x:c>
      <x:c r="C835" s="49" t="inlineStr">
        <x:is>
          <x:t xml:space="preserve">theophysics-lean-main\theophysics-lean-main\Theophysics_Coherence.lean</x:t>
        </x:is>
      </x:c>
      <x:c r="D835" s="49" t="inlineStr">
        <x:is>
          <x:t xml:space="preserve">205</x:t>
        </x:is>
      </x:c>
      <x:c r="E835" s="49" t="inlineStr">
        <x:is>
          <x:t xml:space="preserve">WRAPPER_OR_IMPORTED</x:t>
        </x:is>
      </x:c>
      <x:c r="F835" s="49" t="inlineStr">
        <x:is>
          <x:t xml:space="preserve">PENDING_NOT_RUN</x:t>
        </x:is>
      </x:c>
      <x:c r="G835" s="49" t="inlineStr">
        <x:is>
          <x:t xml:space="preserve">NO_SORRY_OR_ADMIT_STATIC_SCAN</x:t>
        </x:is>
      </x:c>
      <x:c r="H835" s="49" t="inlineStr">
        <x:is>
          <x:t xml:space="preserve">CANONICAL_THEOREM_DEDUPED_PENDING_COMPILE</x:t>
        </x:is>
      </x:c>
      <x:c r="I835" s="49" t="inlineStr">
        <x:is>
          <x:t xml:space="preserve">3</x:t>
        </x:is>
      </x:c>
      <x:c r="L835" s="56" t="n"/>
    </x:row>
    <x:row r="836" ht="15" customHeight="1">
      <x:c r="A836" s="55" t="inlineStr">
        <x:is>
          <x:t xml:space="preserve">thermodynamics_quantum_same_cd_class</x:t>
        </x:is>
      </x:c>
      <x:c r="B836" s="49" t="inlineStr">
        <x:is>
          <x:t xml:space="preserve">theorem</x:t>
        </x:is>
      </x:c>
      <x:c r="C836" s="49" t="inlineStr">
        <x:is>
          <x:t xml:space="preserve">theophysics-lean-main\theophysics-lean-main\Theophysics_Universality.lean</x:t>
        </x:is>
      </x:c>
      <x:c r="D836" s="49" t="inlineStr">
        <x:is>
          <x:t xml:space="preserve">265</x:t>
        </x:is>
      </x:c>
      <x:c r="E836" s="49" t="inlineStr">
        <x:is>
          <x:t xml:space="preserve">WRAPPER_OR_IMPORTED</x:t>
        </x:is>
      </x:c>
      <x:c r="F836" s="49" t="inlineStr">
        <x:is>
          <x:t xml:space="preserve">PENDING_NOT_RUN</x:t>
        </x:is>
      </x:c>
      <x:c r="G836" s="49" t="inlineStr">
        <x:is>
          <x:t xml:space="preserve">NO_SORRY_OR_ADMIT_STATIC_SCAN</x:t>
        </x:is>
      </x:c>
      <x:c r="H836" s="49" t="inlineStr">
        <x:is>
          <x:t xml:space="preserve">UNIQUE_THEOREM_PENDING_COMPILE</x:t>
        </x:is>
      </x:c>
      <x:c r="I836" s="49" t="inlineStr">
        <x:is>
          <x:t xml:space="preserve">0</x:t>
        </x:is>
      </x:c>
      <x:c r="L836" s="56" t="n"/>
    </x:row>
    <x:row r="837" ht="15" customHeight="1">
      <x:c r="A837" s="55" t="inlineStr">
        <x:is>
          <x:t xml:space="preserve">thermodynamics_relativity_same_cd_class</x:t>
        </x:is>
      </x:c>
      <x:c r="B837" s="49" t="inlineStr">
        <x:is>
          <x:t xml:space="preserve">theorem</x:t>
        </x:is>
      </x:c>
      <x:c r="C837" s="49" t="inlineStr">
        <x:is>
          <x:t xml:space="preserve">theophysics-lean-main\theophysics-lean-main\Theophysics_Universality.lean</x:t>
        </x:is>
      </x:c>
      <x:c r="D837" s="49" t="inlineStr">
        <x:is>
          <x:t xml:space="preserve">269</x:t>
        </x:is>
      </x:c>
      <x:c r="E837" s="49" t="inlineStr">
        <x:is>
          <x:t xml:space="preserve">WRAPPER_OR_IMPORTED</x:t>
        </x:is>
      </x:c>
      <x:c r="F837" s="49" t="inlineStr">
        <x:is>
          <x:t xml:space="preserve">PENDING_NOT_RUN</x:t>
        </x:is>
      </x:c>
      <x:c r="G837" s="49" t="inlineStr">
        <x:is>
          <x:t xml:space="preserve">NO_SORRY_OR_ADMIT_STATIC_SCAN</x:t>
        </x:is>
      </x:c>
      <x:c r="H837" s="49" t="inlineStr">
        <x:is>
          <x:t xml:space="preserve">UNIQUE_THEOREM_PENDING_COMPILE</x:t>
        </x:is>
      </x:c>
      <x:c r="I837" s="49" t="inlineStr">
        <x:is>
          <x:t xml:space="preserve">0</x:t>
        </x:is>
      </x:c>
      <x:c r="L837" s="56" t="n"/>
    </x:row>
    <x:row r="838" ht="15" customHeight="1">
      <x:c r="A838" s="55" t="inlineStr">
        <x:is>
          <x:t xml:space="preserve">three_operator_resolves_delayed_choice_gate</x:t>
        </x:is>
      </x:c>
      <x:c r="B838" s="49" t="inlineStr">
        <x:is>
          <x:t xml:space="preserve">theorem</x:t>
        </x:is>
      </x:c>
      <x:c r="C838" s="49" t="inlineStr">
        <x:is>
          <x:t xml:space="preserve">theophysics-lean-main\theophysics-lean-main\Theophysics_DelayedChoice.lean</x:t>
        </x:is>
      </x:c>
      <x:c r="D838" s="49" t="inlineStr">
        <x:is>
          <x:t xml:space="preserve">158</x:t>
        </x:is>
      </x:c>
      <x:c r="E838" s="49" t="inlineStr">
        <x:is>
          <x:t xml:space="preserve">DEFINITIONAL_RFL</x:t>
        </x:is>
      </x:c>
      <x:c r="F838" s="49" t="inlineStr">
        <x:is>
          <x:t xml:space="preserve">PENDING_NOT_RUN</x:t>
        </x:is>
      </x:c>
      <x:c r="G838" s="49" t="inlineStr">
        <x:is>
          <x:t xml:space="preserve">NO_SORRY_OR_ADMIT_STATIC_SCAN</x:t>
        </x:is>
      </x:c>
      <x:c r="H838" s="49" t="inlineStr">
        <x:is>
          <x:t xml:space="preserve">UNIQUE_THEOREM_PENDING_COMPILE</x:t>
        </x:is>
      </x:c>
      <x:c r="I838" s="49" t="inlineStr">
        <x:is>
          <x:t xml:space="preserve">0</x:t>
        </x:is>
      </x:c>
      <x:c r="L838" s="56" t="n"/>
    </x:row>
    <x:row r="839" ht="15" customHeight="1">
      <x:c r="A839" s="55" t="inlineStr">
        <x:is>
          <x:t xml:space="preserve">thresholdlessCandidate</x:t>
        </x:is>
      </x:c>
      <x:c r="B839" s="49" t="inlineStr">
        <x:is>
          <x:t xml:space="preserve">def</x:t>
        </x:is>
      </x:c>
      <x:c r="C839" s="49" t="inlineStr">
        <x:is>
          <x:t xml:space="preserve">theophysics-lean-main\theophysics-lean-main\Theophysics_Universality.lean</x:t>
        </x:is>
      </x:c>
      <x:c r="D839" s="49" t="inlineStr">
        <x:is>
          <x:t xml:space="preserve">164</x:t>
        </x:is>
      </x:c>
      <x:c r="E839" s="49" t="inlineStr">
        <x:is>
          <x:t xml:space="preserve">DECLARATION_OR_UNKNOWN</x:t>
        </x:is>
      </x:c>
      <x:c r="F839" s="49" t="inlineStr">
        <x:is>
          <x:t xml:space="preserve">PENDING_NOT_RUN</x:t>
        </x:is>
      </x:c>
      <x:c r="G839" s="49" t="inlineStr">
        <x:is>
          <x:t xml:space="preserve">NO_SORRY_OR_ADMIT_STATIC_SCAN</x:t>
        </x:is>
      </x:c>
      <x:c r="H839" s="49" t="inlineStr">
        <x:is>
          <x:t xml:space="preserve">SCAFFOLDING_NOT_PUBLIC_COUNT</x:t>
        </x:is>
      </x:c>
      <x:c r="I839" s="49" t="inlineStr">
        <x:is>
          <x:t xml:space="preserve">0</x:t>
        </x:is>
      </x:c>
      <x:c r="L839" s="56" t="n"/>
    </x:row>
    <x:row r="840" ht="15" customHeight="1">
      <x:c r="A840" s="55" t="inlineStr">
        <x:is>
          <x:t xml:space="preserve">thresholdless_candidate_is_not_strong_cd_class</x:t>
        </x:is>
      </x:c>
      <x:c r="B840" s="49" t="inlineStr">
        <x:is>
          <x:t xml:space="preserve">theorem</x:t>
        </x:is>
      </x:c>
      <x:c r="C840" s="49" t="inlineStr">
        <x:is>
          <x:t xml:space="preserve">theophysics-lean-main\theophysics-lean-main\Theophysics_Universality.lean</x:t>
        </x:is>
      </x:c>
      <x:c r="D840" s="49" t="inlineStr">
        <x:is>
          <x:t xml:space="preserve">414</x:t>
        </x:is>
      </x:c>
      <x:c r="E840" s="49" t="inlineStr">
        <x:is>
          <x:t xml:space="preserve">DEFINITIONAL_RFL</x:t>
        </x:is>
      </x:c>
      <x:c r="F840" s="49" t="inlineStr">
        <x:is>
          <x:t xml:space="preserve">PENDING_NOT_RUN</x:t>
        </x:is>
      </x:c>
      <x:c r="G840" s="49" t="inlineStr">
        <x:is>
          <x:t xml:space="preserve">NO_SORRY_OR_ADMIT_STATIC_SCAN</x:t>
        </x:is>
      </x:c>
      <x:c r="H840" s="49" t="inlineStr">
        <x:is>
          <x:t xml:space="preserve">UNIQUE_THEOREM_PENDING_COMPILE</x:t>
        </x:is>
      </x:c>
      <x:c r="I840" s="49" t="inlineStr">
        <x:is>
          <x:t xml:space="preserve">0</x:t>
        </x:is>
      </x:c>
      <x:c r="L840" s="56" t="n"/>
    </x:row>
    <x:row r="841" ht="15" customHeight="1">
      <x:c r="A841" s="55" t="inlineStr">
        <x:is>
          <x:t xml:space="preserve">thresholdless_not_quantum_class</x:t>
        </x:is>
      </x:c>
      <x:c r="B841" s="49" t="inlineStr">
        <x:is>
          <x:t xml:space="preserve">theorem</x:t>
        </x:is>
      </x:c>
      <x:c r="C841" s="49" t="inlineStr">
        <x:is>
          <x:t xml:space="preserve">theophysics-lean-main\theophysics-lean-main\Theophysics_Universality.lean</x:t>
        </x:is>
      </x:c>
      <x:c r="D841" s="49" t="inlineStr">
        <x:is>
          <x:t xml:space="preserve">445</x:t>
        </x:is>
      </x:c>
      <x:c r="E841" s="49" t="inlineStr">
        <x:is>
          <x:t xml:space="preserve">SUBSTANTIVE_OR_CASE_PROOF</x:t>
        </x:is>
      </x:c>
      <x:c r="F841" s="49" t="inlineStr">
        <x:is>
          <x:t xml:space="preserve">PENDING_NOT_RUN</x:t>
        </x:is>
      </x:c>
      <x:c r="G841" s="49" t="inlineStr">
        <x:is>
          <x:t xml:space="preserve">NO_SORRY_OR_ADMIT_STATIC_SCAN</x:t>
        </x:is>
      </x:c>
      <x:c r="H841" s="49" t="inlineStr">
        <x:is>
          <x:t xml:space="preserve">UNIQUE_THEOREM_PENDING_COMPILE</x:t>
        </x:is>
      </x:c>
      <x:c r="I841" s="49" t="inlineStr">
        <x:is>
          <x:t xml:space="preserve">0</x:t>
        </x:is>
      </x:c>
      <x:c r="L841" s="56" t="n"/>
    </x:row>
    <x:row r="842" ht="15" customHeight="1">
      <x:c r="A842" s="55" t="inlineStr">
        <x:is>
          <x:t xml:space="preserve">transformed_discoherent_christ_entry_into_heaven_passes</x:t>
        </x:is>
      </x:c>
      <x:c r="B842" s="49" t="inlineStr">
        <x:is>
          <x:t xml:space="preserve">theorem</x:t>
        </x:is>
      </x:c>
      <x:c r="C842" s="49" t="inlineStr">
        <x:is>
          <x:t xml:space="preserve">theophysics-lean-main\theophysics-lean-main\Theophysics_Core.lean</x:t>
        </x:is>
      </x:c>
      <x:c r="D842" s="49" t="inlineStr">
        <x:is>
          <x:t xml:space="preserve">152</x:t>
        </x:is>
      </x:c>
      <x:c r="E842" s="49" t="inlineStr">
        <x:is>
          <x:t xml:space="preserve">TRIVIAL_TRUE</x:t>
        </x:is>
      </x:c>
      <x:c r="F842" s="49" t="inlineStr">
        <x:is>
          <x:t xml:space="preserve">PENDING_NOT_RUN</x:t>
        </x:is>
      </x:c>
      <x:c r="G842" s="49" t="inlineStr">
        <x:is>
          <x:t xml:space="preserve">NO_SORRY_OR_ADMIT_STATIC_SCAN</x:t>
        </x:is>
      </x:c>
      <x:c r="H842" s="49" t="inlineStr">
        <x:is>
          <x:t xml:space="preserve">LOW_CONTENT_TRUE_NOT_PUBLIC_COUNT</x:t>
        </x:is>
      </x:c>
      <x:c r="I842" s="49" t="inlineStr">
        <x:is>
          <x:t xml:space="preserve">3</x:t>
        </x:is>
      </x:c>
      <x:c r="J842" s="49" t="inlineStr">
        <x:is>
          <x:t xml:space="preserve">LEAN_DERIVATION_CHAIN:176</x:t>
        </x:is>
      </x:c>
      <x:c r="K842" s="49" t="inlineStr">
        <x:is>
          <x:t xml:space="preserve">Reintegrated memory CAN enter heaven. Conversion opens the gate.</x:t>
        </x:is>
      </x:c>
      <x:c r="L842" s="56" t="n"/>
    </x:row>
    <x:row r="843" ht="15" customHeight="1">
      <x:c r="A843" s="55" t="inlineStr">
        <x:is>
          <x:t xml:space="preserve">transformed_unrecorded_discoherent_entry_still_fails</x:t>
        </x:is>
      </x:c>
      <x:c r="B843" s="49" t="inlineStr">
        <x:is>
          <x:t xml:space="preserve">theorem</x:t>
        </x:is>
      </x:c>
      <x:c r="C843" s="49" t="inlineStr">
        <x:is>
          <x:t xml:space="preserve">theophysics-lean-main\theophysics-lean-main\Theophysics_Adversarial.lean</x:t>
        </x:is>
      </x:c>
      <x:c r="D843" s="49" t="inlineStr">
        <x:is>
          <x:t xml:space="preserve">540</x:t>
        </x:is>
      </x:c>
      <x:c r="E843" s="49" t="inlineStr">
        <x:is>
          <x:t xml:space="preserve">DEFINITIONAL_RFL</x:t>
        </x:is>
      </x:c>
      <x:c r="F843" s="49" t="inlineStr">
        <x:is>
          <x:t xml:space="preserve">PENDING_NOT_RUN</x:t>
        </x:is>
      </x:c>
      <x:c r="G843" s="49" t="inlineStr">
        <x:is>
          <x:t xml:space="preserve">NO_SORRY_OR_ADMIT_STATIC_SCAN</x:t>
        </x:is>
      </x:c>
      <x:c r="H843" s="49" t="inlineStr">
        <x:is>
          <x:t xml:space="preserve">CANONICAL_THEOREM_DEDUPED_PENDING_COMPILE</x:t>
        </x:is>
      </x:c>
      <x:c r="I843" s="49" t="inlineStr">
        <x:is>
          <x:t xml:space="preserve">3</x:t>
        </x:is>
      </x:c>
      <x:c r="J843" s="49" t="inlineStr">
        <x:is>
          <x:t xml:space="preserve">LEAN_DERIVATION_CHAIN:177</x:t>
        </x:is>
      </x:c>
      <x:c r="K843" s="49" t="inlineStr">
        <x:is>
          <x:t xml:space="preserve">REJECTION: But unrecorded events cannot be rescued. You cannot convert what was never recorded.</x:t>
        </x:is>
      </x:c>
      <x:c r="L843" s="56" t="n"/>
    </x:row>
    <x:row r="844" ht="15" customHeight="1">
      <x:c r="A844" s="55" t="inlineStr">
        <x:is>
          <x:t xml:space="preserve">transition</x:t>
        </x:is>
      </x:c>
      <x:c r="B844" s="49" t="inlineStr">
        <x:is>
          <x:t xml:space="preserve">def</x:t>
        </x:is>
      </x:c>
      <x:c r="C844" s="49" t="inlineStr">
        <x:is>
          <x:t xml:space="preserve">theophysics-lean-main\theophysics-lean-main\Final_Lean4_From_Excel.lean</x:t>
        </x:is>
      </x:c>
      <x:c r="D844" s="49" t="inlineStr">
        <x:is>
          <x:t xml:space="preserve">22</x:t>
        </x:is>
      </x:c>
      <x:c r="E844" s="49" t="inlineStr">
        <x:is>
          <x:t xml:space="preserve">DECLARATION_OR_UNKNOWN</x:t>
        </x:is>
      </x:c>
      <x:c r="F844" s="49" t="inlineStr">
        <x:is>
          <x:t xml:space="preserve">PENDING_NOT_RUN</x:t>
        </x:is>
      </x:c>
      <x:c r="G844" s="49" t="inlineStr">
        <x:is>
          <x:t xml:space="preserve">NO_SORRY_OR_ADMIT_STATIC_SCAN</x:t>
        </x:is>
      </x:c>
      <x:c r="H844" s="49" t="inlineStr">
        <x:is>
          <x:t xml:space="preserve">SCAFFOLDING_NOT_PUBLIC_COUNT</x:t>
        </x:is>
      </x:c>
      <x:c r="I844" s="49" t="inlineStr">
        <x:is>
          <x:t xml:space="preserve">3</x:t>
        </x:is>
      </x:c>
      <x:c r="L844" s="56" t="inlineStr">
        <x:is>
          <x:t xml:space="preserve">heaviside_content_loss | variable_coupling</x:t>
        </x:is>
      </x:c>
    </x:row>
    <x:row r="845" ht="15" customHeight="1">
      <x:c r="A845" s="55" t="inlineStr">
        <x:is>
          <x:t xml:space="preserve">trickster_escape_fails</x:t>
        </x:is>
      </x:c>
      <x:c r="B845" s="49" t="inlineStr">
        <x:is>
          <x:t xml:space="preserve">theorem</x:t>
        </x:is>
      </x:c>
      <x:c r="C845" s="49" t="inlineStr">
        <x:is>
          <x:t xml:space="preserve">theophysics-lean-main\theophysics-lean-main\Theophysics_GodTest.lean</x:t>
        </x:is>
      </x:c>
      <x:c r="D845" s="49" t="inlineStr">
        <x:is>
          <x:t xml:space="preserve">234</x:t>
        </x:is>
      </x:c>
      <x:c r="E845" s="49" t="inlineStr">
        <x:is>
          <x:t xml:space="preserve">DEFINITIONAL_RFL</x:t>
        </x:is>
      </x:c>
      <x:c r="F845" s="49" t="inlineStr">
        <x:is>
          <x:t xml:space="preserve">PENDING_NOT_RUN</x:t>
        </x:is>
      </x:c>
      <x:c r="G845" s="49" t="inlineStr">
        <x:is>
          <x:t xml:space="preserve">NO_SORRY_OR_ADMIT_STATIC_SCAN</x:t>
        </x:is>
      </x:c>
      <x:c r="H845" s="49" t="inlineStr">
        <x:is>
          <x:t xml:space="preserve">UNIQUE_THEOREM_PENDING_COMPILE</x:t>
        </x:is>
      </x:c>
      <x:c r="I845" s="49" t="inlineStr">
        <x:is>
          <x:t xml:space="preserve">0</x:t>
        </x:is>
      </x:c>
      <x:c r="L845" s="56" t="n"/>
    </x:row>
    <x:row r="846" ht="15" customHeight="1">
      <x:c r="A846" s="55" t="inlineStr">
        <x:is>
          <x:t xml:space="preserve">trinityRelational_valid</x:t>
        </x:is>
      </x:c>
      <x:c r="B846" s="49" t="inlineStr">
        <x:is>
          <x:t xml:space="preserve">theorem</x:t>
        </x:is>
      </x:c>
      <x:c r="C846" s="49" t="inlineStr">
        <x:is>
          <x:t xml:space="preserve">theophysics-lean-main\theophysics-lean-main\Theophysics_Core.lean</x:t>
        </x:is>
      </x:c>
      <x:c r="D846" s="49" t="inlineStr">
        <x:is>
          <x:t xml:space="preserve">231</x:t>
        </x:is>
      </x:c>
      <x:c r="E846" s="49" t="inlineStr">
        <x:is>
          <x:t xml:space="preserve">DECLARATION_OR_UNKNOWN</x:t>
        </x:is>
      </x:c>
      <x:c r="F846" s="49" t="inlineStr">
        <x:is>
          <x:t xml:space="preserve">PENDING_NOT_RUN</x:t>
        </x:is>
      </x:c>
      <x:c r="G846" s="49" t="inlineStr">
        <x:is>
          <x:t xml:space="preserve">NO_SORRY_OR_ADMIT_STATIC_SCAN</x:t>
        </x:is>
      </x:c>
      <x:c r="H846" s="49" t="inlineStr">
        <x:is>
          <x:t xml:space="preserve">CANONICAL_THEOREM_DEDUPED_PENDING_COMPILE</x:t>
        </x:is>
      </x:c>
      <x:c r="I846" s="49" t="inlineStr">
        <x:is>
          <x:t xml:space="preserve">4</x:t>
        </x:is>
      </x:c>
      <x:c r="J846" s="49" t="inlineStr">
        <x:is>
          <x:t xml:space="preserve">LEAN_DERIVATION_CHAIN:100</x:t>
        </x:is>
      </x:c>
      <x:c r="K846" s="49" t="inlineStr">
        <x:is>
          <x:t xml:space="preserve">Trinity relational model passes all 5 ValidTriadic conditions</x:t>
        </x:is>
      </x:c>
      <x:c r="L846" s="56" t="inlineStr">
        <x:is>
          <x:t xml:space="preserve">load_bearing_controls | variable_coupling</x:t>
        </x:is>
      </x:c>
    </x:row>
    <x:row r="847" ht="15" customHeight="1">
      <x:c r="A847" s="55" t="inlineStr">
        <x:is>
          <x:t xml:space="preserve">trinityStructureValid</x:t>
        </x:is>
      </x:c>
      <x:c r="B847" s="49" t="inlineStr">
        <x:is>
          <x:t xml:space="preserve">def</x:t>
        </x:is>
      </x:c>
      <x:c r="C847" s="49" t="inlineStr">
        <x:is>
          <x:t xml:space="preserve">theophysics-lean-main\theophysics-lean-main\Theophysics_MaxwellTrinity.lean</x:t>
        </x:is>
      </x:c>
      <x:c r="D847" s="49" t="inlineStr">
        <x:is>
          <x:t xml:space="preserve">29</x:t>
        </x:is>
      </x:c>
      <x:c r="E847" s="49" t="inlineStr">
        <x:is>
          <x:t xml:space="preserve">DECLARATION_OR_UNKNOWN</x:t>
        </x:is>
      </x:c>
      <x:c r="F847" s="49" t="inlineStr">
        <x:is>
          <x:t xml:space="preserve">PENDING_NOT_RUN</x:t>
        </x:is>
      </x:c>
      <x:c r="G847" s="49" t="inlineStr">
        <x:is>
          <x:t xml:space="preserve">NO_SORRY_OR_ADMIT_STATIC_SCAN</x:t>
        </x:is>
      </x:c>
      <x:c r="H847" s="49" t="inlineStr">
        <x:is>
          <x:t xml:space="preserve">SCAFFOLDING_NOT_PUBLIC_COUNT</x:t>
        </x:is>
      </x:c>
      <x:c r="I847" s="49" t="inlineStr">
        <x:is>
          <x:t xml:space="preserve">3</x:t>
        </x:is>
      </x:c>
      <x:c r="L847" s="56" t="n"/>
    </x:row>
    <x:row r="848" ht="15" customHeight="1">
      <x:c r="A848" s="55" t="inlineStr">
        <x:is>
          <x:t xml:space="preserve">truthFidelity</x:t>
        </x:is>
      </x:c>
      <x:c r="B848" s="49" t="inlineStr">
        <x:is>
          <x:t xml:space="preserve">def</x:t>
        </x:is>
      </x:c>
      <x:c r="C848" s="49" t="inlineStr">
        <x:is>
          <x:t xml:space="preserve">theophysics-lean-main\theophysics-lean-main\Theophysics_Adversarial.lean</x:t>
        </x:is>
      </x:c>
      <x:c r="D848" s="49" t="inlineStr">
        <x:is>
          <x:t xml:space="preserve">227</x:t>
        </x:is>
      </x:c>
      <x:c r="E848" s="49" t="inlineStr">
        <x:is>
          <x:t xml:space="preserve">DECLARATION_OR_UNKNOWN</x:t>
        </x:is>
      </x:c>
      <x:c r="F848" s="49" t="inlineStr">
        <x:is>
          <x:t xml:space="preserve">PENDING_NOT_RUN</x:t>
        </x:is>
      </x:c>
      <x:c r="G848" s="49" t="inlineStr">
        <x:is>
          <x:t xml:space="preserve">NO_SORRY_OR_ADMIT_STATIC_SCAN</x:t>
        </x:is>
      </x:c>
      <x:c r="H848" s="49" t="inlineStr">
        <x:is>
          <x:t xml:space="preserve">SCAFFOLDING_NOT_PUBLIC_COUNT</x:t>
        </x:is>
      </x:c>
      <x:c r="I848" s="49" t="inlineStr">
        <x:is>
          <x:t xml:space="preserve">3</x:t>
        </x:is>
      </x:c>
      <x:c r="L848" s="56" t="n"/>
    </x:row>
    <x:row r="849" ht="15" customHeight="1">
      <x:c r="A849" s="55" t="inlineStr">
        <x:is>
          <x:t xml:space="preserve">two_destructive_signs_do_not_pass_coherence_gate</x:t>
        </x:is>
      </x:c>
      <x:c r="B849" s="49" t="inlineStr">
        <x:is>
          <x:t xml:space="preserve">theorem</x:t>
        </x:is>
      </x:c>
      <x:c r="C849" s="49" t="inlineStr">
        <x:is>
          <x:t xml:space="preserve">theophysics-lean-main\theophysics-lean-main\Final_Lean4_From_Excel.lean</x:t>
        </x:is>
      </x:c>
      <x:c r="D849" s="49" t="inlineStr">
        <x:is>
          <x:t xml:space="preserve">335</x:t>
        </x:is>
      </x:c>
      <x:c r="E849" s="49" t="inlineStr">
        <x:is>
          <x:t xml:space="preserve">WRAPPER_OR_IMPORTED</x:t>
        </x:is>
      </x:c>
      <x:c r="F849" s="49" t="inlineStr">
        <x:is>
          <x:t xml:space="preserve">PENDING_NOT_RUN</x:t>
        </x:is>
      </x:c>
      <x:c r="G849" s="49" t="inlineStr">
        <x:is>
          <x:t xml:space="preserve">NO_SORRY_OR_ADMIT_STATIC_SCAN</x:t>
        </x:is>
      </x:c>
      <x:c r="H849" s="49" t="inlineStr">
        <x:is>
          <x:t xml:space="preserve">CANONICAL_THEOREM_DEDUPED_PENDING_COMPILE</x:t>
        </x:is>
      </x:c>
      <x:c r="I849" s="49" t="inlineStr">
        <x:is>
          <x:t xml:space="preserve">3</x:t>
        </x:is>
      </x:c>
      <x:c r="J849" s="49" t="inlineStr">
        <x:is>
          <x:t xml:space="preserve">LEAN_DERIVATION_CHAIN:124</x:t>
        </x:is>
      </x:c>
      <x:c r="K849" s="49" t="inlineStr">
        <x:is>
          <x:t xml:space="preserve">REJECTION: But the coherence gate rejects them. Arithmetic sign ≠ moral sign.</x:t>
        </x:is>
      </x:c>
      <x:c r="L849" s="56" t="n"/>
    </x:row>
    <x:row r="850" ht="15" customHeight="1">
      <x:c r="A850" s="55" t="inlineStr">
        <x:is>
          <x:t xml:space="preserve">two_destructive_signs_have_positive_raw_product</x:t>
        </x:is>
      </x:c>
      <x:c r="B850" s="49" t="inlineStr">
        <x:is>
          <x:t xml:space="preserve">theorem</x:t>
        </x:is>
      </x:c>
      <x:c r="C850" s="49" t="inlineStr">
        <x:is>
          <x:t xml:space="preserve">theophysics-lean-main\theophysics-lean-main\Theophysics_Core.lean</x:t>
        </x:is>
      </x:c>
      <x:c r="D850" s="49" t="inlineStr">
        <x:is>
          <x:t xml:space="preserve">43</x:t>
        </x:is>
      </x:c>
      <x:c r="E850" s="49" t="inlineStr">
        <x:is>
          <x:t xml:space="preserve">DECLARATION_OR_UNKNOWN</x:t>
        </x:is>
      </x:c>
      <x:c r="F850" s="49" t="inlineStr">
        <x:is>
          <x:t xml:space="preserve">PENDING_NOT_RUN</x:t>
        </x:is>
      </x:c>
      <x:c r="G850" s="49" t="inlineStr">
        <x:is>
          <x:t xml:space="preserve">NO_SORRY_OR_ADMIT_STATIC_SCAN</x:t>
        </x:is>
      </x:c>
      <x:c r="H850" s="49" t="inlineStr">
        <x:is>
          <x:t xml:space="preserve">CANONICAL_THEOREM_DEDUPED_PENDING_COMPILE</x:t>
        </x:is>
      </x:c>
      <x:c r="I850" s="49" t="inlineStr">
        <x:is>
          <x:t xml:space="preserve">7</x:t>
        </x:is>
      </x:c>
      <x:c r="J850" s="49" t="inlineStr">
        <x:is>
          <x:t xml:space="preserve">LEAN_DERIVATION_CHAIN:123</x:t>
        </x:is>
      </x:c>
      <x:c r="K850" s="49" t="inlineStr">
        <x:is>
          <x:t xml:space="preserve">(-1)×(-1) = +1 in raw arithmetic</x:t>
        </x:is>
      </x:c>
      <x:c r="L850" s="56" t="n"/>
    </x:row>
    <x:row r="851" ht="15" customHeight="1">
      <x:c r="A851" s="55" t="inlineStr">
        <x:is>
          <x:t xml:space="preserve">two_negative_burdens_require_conversion_for_positive</x:t>
        </x:is>
      </x:c>
      <x:c r="B851" s="49" t="inlineStr">
        <x:is>
          <x:t xml:space="preserve">theorem</x:t>
        </x:is>
      </x:c>
      <x:c r="C851" s="49" t="inlineStr">
        <x:is>
          <x:t xml:space="preserve">theophysics-lean-main\theophysics-lean-main\Theophysics_Adversarial.lean</x:t>
        </x:is>
      </x:c>
      <x:c r="D851" s="49" t="inlineStr">
        <x:is>
          <x:t xml:space="preserve">499</x:t>
        </x:is>
      </x:c>
      <x:c r="E851" s="49" t="inlineStr">
        <x:is>
          <x:t xml:space="preserve">DEFINITIONAL_RFL</x:t>
        </x:is>
      </x:c>
      <x:c r="F851" s="49" t="inlineStr">
        <x:is>
          <x:t xml:space="preserve">PENDING_NOT_RUN</x:t>
        </x:is>
      </x:c>
      <x:c r="G851" s="49" t="inlineStr">
        <x:is>
          <x:t xml:space="preserve">NO_SORRY_OR_ADMIT_STATIC_SCAN</x:t>
        </x:is>
      </x:c>
      <x:c r="H851" s="49" t="inlineStr">
        <x:is>
          <x:t xml:space="preserve">CANONICAL_THEOREM_DEDUPED_PENDING_COMPILE</x:t>
        </x:is>
      </x:c>
      <x:c r="I851" s="49" t="inlineStr">
        <x:is>
          <x:t xml:space="preserve">3</x:t>
        </x:is>
      </x:c>
      <x:c r="J851" s="49" t="inlineStr">
        <x:is>
          <x:t xml:space="preserve">LEAN_DERIVATION_CHAIN:136</x:t>
        </x:is>
      </x:c>
      <x:c r="K851" s="49" t="inlineStr">
        <x:is>
          <x:t xml:space="preserve">REJECTION: Accumulated negative burdens need conversion, not more burdens</x:t>
        </x:is>
      </x:c>
      <x:c r="L851" s="56" t="n"/>
    </x:row>
    <x:row r="852" ht="15" customHeight="1">
      <x:c r="A852" s="55" t="inlineStr">
        <x:is>
          <x:t xml:space="preserve">two_negative_burdens_without_conversion_not_positive</x:t>
        </x:is>
      </x:c>
      <x:c r="B852" s="49" t="inlineStr">
        <x:is>
          <x:t xml:space="preserve">theorem</x:t>
        </x:is>
      </x:c>
      <x:c r="C852" s="49" t="inlineStr">
        <x:is>
          <x:t xml:space="preserve">theophysics-lean-main\theophysics-lean-main\Theophysics_Adversarial.lean</x:t>
        </x:is>
      </x:c>
      <x:c r="D852" s="49" t="inlineStr">
        <x:is>
          <x:t xml:space="preserve">503</x:t>
        </x:is>
      </x:c>
      <x:c r="E852" s="49" t="inlineStr">
        <x:is>
          <x:t xml:space="preserve">DEFINITIONAL_RFL</x:t>
        </x:is>
      </x:c>
      <x:c r="F852" s="49" t="inlineStr">
        <x:is>
          <x:t xml:space="preserve">PENDING_NOT_RUN</x:t>
        </x:is>
      </x:c>
      <x:c r="G852" s="49" t="inlineStr">
        <x:is>
          <x:t xml:space="preserve">NO_SORRY_OR_ADMIT_STATIC_SCAN</x:t>
        </x:is>
      </x:c>
      <x:c r="H852" s="49" t="inlineStr">
        <x:is>
          <x:t xml:space="preserve">CANONICAL_THEOREM_DEDUPED_PENDING_COMPILE</x:t>
        </x:is>
      </x:c>
      <x:c r="I852" s="49" t="inlineStr">
        <x:is>
          <x:t xml:space="preserve">3</x:t>
        </x:is>
      </x:c>
      <x:c r="J852" s="49" t="inlineStr">
        <x:is>
          <x:t xml:space="preserve">LEAN_DERIVATION_CHAIN:137</x:t>
        </x:is>
      </x:c>
      <x:c r="K852" s="49" t="inlineStr">
        <x:is>
          <x:t xml:space="preserve">REJECTION: Without conversion, burdens stay negative</x:t>
        </x:is>
      </x:c>
      <x:c r="L852" s="56" t="n"/>
    </x:row>
    <x:row r="853" ht="15" customHeight="1">
      <x:c r="A853" s="55" t="inlineStr">
        <x:is>
          <x:t xml:space="preserve">unfracturedCoherence</x:t>
        </x:is>
      </x:c>
      <x:c r="B853" s="49" t="inlineStr">
        <x:is>
          <x:t xml:space="preserve">def</x:t>
        </x:is>
      </x:c>
      <x:c r="C853" s="49" t="inlineStr">
        <x:is>
          <x:t xml:space="preserve">theophysics-lean-main\theophysics-lean-main\Theophysics_Fracture.lean</x:t>
        </x:is>
      </x:c>
      <x:c r="D853" s="49" t="inlineStr">
        <x:is>
          <x:t xml:space="preserve">74</x:t>
        </x:is>
      </x:c>
      <x:c r="E853" s="49" t="inlineStr">
        <x:is>
          <x:t xml:space="preserve">DECLARATION_OR_UNKNOWN</x:t>
        </x:is>
      </x:c>
      <x:c r="F853" s="49" t="inlineStr">
        <x:is>
          <x:t xml:space="preserve">PENDING_NOT_RUN</x:t>
        </x:is>
      </x:c>
      <x:c r="G853" s="49" t="inlineStr">
        <x:is>
          <x:t xml:space="preserve">NO_SORRY_OR_ADMIT_STATIC_SCAN</x:t>
        </x:is>
      </x:c>
      <x:c r="H853" s="49" t="inlineStr">
        <x:is>
          <x:t xml:space="preserve">SCAFFOLDING_NOT_PUBLIC_COUNT</x:t>
        </x:is>
      </x:c>
      <x:c r="I853" s="49" t="inlineStr">
        <x:is>
          <x:t xml:space="preserve">3</x:t>
        </x:is>
      </x:c>
      <x:c r="L853" s="56" t="n"/>
    </x:row>
    <x:row r="854" ht="15" customHeight="1">
      <x:c r="A854" s="55" t="inlineStr">
        <x:is>
          <x:t xml:space="preserve">universal_eleven_domain_same_cd_class</x:t>
        </x:is>
      </x:c>
      <x:c r="B854" s="49" t="inlineStr">
        <x:is>
          <x:t xml:space="preserve">theorem</x:t>
        </x:is>
      </x:c>
      <x:c r="C854" s="49" t="inlineStr">
        <x:is>
          <x:t xml:space="preserve">theophysics-lean-main\theophysics-lean-main\Theophysics_Universality.lean</x:t>
        </x:is>
      </x:c>
      <x:c r="D854" s="49" t="inlineStr">
        <x:is>
          <x:t xml:space="preserve">347</x:t>
        </x:is>
      </x:c>
      <x:c r="E854" s="49" t="inlineStr">
        <x:is>
          <x:t xml:space="preserve">WRAPPER_OR_IMPORTED</x:t>
        </x:is>
      </x:c>
      <x:c r="F854" s="49" t="inlineStr">
        <x:is>
          <x:t xml:space="preserve">PENDING_NOT_RUN</x:t>
        </x:is>
      </x:c>
      <x:c r="G854" s="49" t="inlineStr">
        <x:is>
          <x:t xml:space="preserve">NO_SORRY_OR_ADMIT_STATIC_SCAN</x:t>
        </x:is>
      </x:c>
      <x:c r="H854" s="49" t="inlineStr">
        <x:is>
          <x:t xml:space="preserve">UNIQUE_THEOREM_PENDING_COMPILE</x:t>
        </x:is>
      </x:c>
      <x:c r="I854" s="49" t="inlineStr">
        <x:is>
          <x:t xml:space="preserve">0</x:t>
        </x:is>
      </x:c>
      <x:c r="L854" s="56" t="n"/>
    </x:row>
    <x:row r="855" ht="15" customHeight="1">
      <x:c r="A855" s="55" t="inlineStr">
        <x:is>
          <x:t xml:space="preserve">universal_eleven_domain_universality_marker</x:t>
        </x:is>
      </x:c>
      <x:c r="B855" s="49" t="inlineStr">
        <x:is>
          <x:t xml:space="preserve">theorem</x:t>
        </x:is>
      </x:c>
      <x:c r="C855" s="49" t="inlineStr">
        <x:is>
          <x:t xml:space="preserve">theophysics-lean-main\theophysics-lean-main\Theophysics_Core.lean</x:t>
        </x:is>
      </x:c>
      <x:c r="D855" s="49" t="inlineStr">
        <x:is>
          <x:t xml:space="preserve">130</x:t>
        </x:is>
      </x:c>
      <x:c r="E855" s="49" t="inlineStr">
        <x:is>
          <x:t xml:space="preserve">DECLARATION_OR_UNKNOWN</x:t>
        </x:is>
      </x:c>
      <x:c r="F855" s="49" t="inlineStr">
        <x:is>
          <x:t xml:space="preserve">PENDING_NOT_RUN</x:t>
        </x:is>
      </x:c>
      <x:c r="G855" s="49" t="inlineStr">
        <x:is>
          <x:t xml:space="preserve">NO_SORRY_OR_ADMIT_STATIC_SCAN</x:t>
        </x:is>
      </x:c>
      <x:c r="H855" s="49" t="inlineStr">
        <x:is>
          <x:t xml:space="preserve">UNIQUE_THEOREM_PENDING_COMPILE</x:t>
        </x:is>
      </x:c>
      <x:c r="I855" s="49" t="inlineStr">
        <x:is>
          <x:t xml:space="preserve">0</x:t>
        </x:is>
      </x:c>
      <x:c r="L855" s="56" t="n"/>
    </x:row>
    <x:row r="856" ht="15" customHeight="1">
      <x:c r="A856" s="55" t="inlineStr">
        <x:is>
          <x:t xml:space="preserve">universality_invalid_without_bridge_coverage</x:t>
        </x:is>
      </x:c>
      <x:c r="B856" s="49" t="inlineStr">
        <x:is>
          <x:t xml:space="preserve">theorem</x:t>
        </x:is>
      </x:c>
      <x:c r="C856" s="49" t="inlineStr">
        <x:is>
          <x:t xml:space="preserve">Faith-Thru-Physics-Lean-4--main\Faith-Thru-Physics-Lean-4--main\Theophysics_NegativeInventory.lean</x:t>
        </x:is>
      </x:c>
      <x:c r="D856" s="49" t="inlineStr">
        <x:is>
          <x:t xml:space="preserve">112</x:t>
        </x:is>
      </x:c>
      <x:c r="E856" s="49" t="inlineStr">
        <x:is>
          <x:t xml:space="preserve">SIMPLIFICATION</x:t>
        </x:is>
      </x:c>
      <x:c r="F856" s="49" t="inlineStr">
        <x:is>
          <x:t xml:space="preserve">PENDING_NOT_RUN</x:t>
        </x:is>
      </x:c>
      <x:c r="G856" s="49" t="inlineStr">
        <x:is>
          <x:t xml:space="preserve">NO_SORRY_OR_ADMIT_STATIC_SCAN</x:t>
        </x:is>
      </x:c>
      <x:c r="H856" s="49" t="inlineStr">
        <x:is>
          <x:t xml:space="preserve">UNIQUE_THEOREM_PENDING_COMPILE</x:t>
        </x:is>
      </x:c>
      <x:c r="I856" s="49" t="inlineStr">
        <x:is>
          <x:t xml:space="preserve">0</x:t>
        </x:is>
      </x:c>
      <x:c r="J856" s="49" t="inlineStr">
        <x:is>
          <x:t xml:space="preserve">LEAN_DERIVATION_CHAIN:222</x:t>
        </x:is>
      </x:c>
      <x:c r="K856" s="49" t="inlineStr">
        <x:is>
          <x:t xml:space="preserve">Claim lattice: universality invalid without bridge coverage</x:t>
        </x:is>
      </x:c>
      <x:c r="L856" s="56" t="n"/>
    </x:row>
    <x:row r="857" ht="15" customHeight="1">
      <x:c r="A857" s="55" t="inlineStr">
        <x:is>
          <x:t xml:space="preserve">universality_marker</x:t>
        </x:is>
      </x:c>
      <x:c r="B857" s="49" t="inlineStr">
        <x:is>
          <x:t xml:space="preserve">theorem</x:t>
        </x:is>
      </x:c>
      <x:c r="C857" s="49" t="inlineStr">
        <x:is>
          <x:t xml:space="preserve">theophysics-lean-main\theophysics-lean-main\Theophysics_Universality.lean</x:t>
        </x:is>
      </x:c>
      <x:c r="D857" s="49" t="inlineStr">
        <x:is>
          <x:t xml:space="preserve">490</x:t>
        </x:is>
      </x:c>
      <x:c r="E857" s="49" t="inlineStr">
        <x:is>
          <x:t xml:space="preserve">WRAPPER_OR_IMPORTED</x:t>
        </x:is>
      </x:c>
      <x:c r="F857" s="49" t="inlineStr">
        <x:is>
          <x:t xml:space="preserve">PENDING_NOT_RUN</x:t>
        </x:is>
      </x:c>
      <x:c r="G857" s="49" t="inlineStr">
        <x:is>
          <x:t xml:space="preserve">NO_SORRY_OR_ADMIT_STATIC_SCAN</x:t>
        </x:is>
      </x:c>
      <x:c r="H857" s="49" t="inlineStr">
        <x:is>
          <x:t xml:space="preserve">UNIQUE_THEOREM_PENDING_COMPILE</x:t>
        </x:is>
      </x:c>
      <x:c r="I857" s="49" t="inlineStr">
        <x:is>
          <x:t xml:space="preserve">0</x:t>
        </x:is>
      </x:c>
      <x:c r="L857" s="56" t="n"/>
    </x:row>
    <x:row r="858" ht="15" customHeight="1">
      <x:c r="A858" s="55" t="inlineStr">
        <x:is>
          <x:t xml:space="preserve">unrecorded_negative_conversion_still_has_no_identity_trace</x:t>
        </x:is>
      </x:c>
      <x:c r="B858" s="49" t="inlineStr">
        <x:is>
          <x:t xml:space="preserve">theorem</x:t>
        </x:is>
      </x:c>
      <x:c r="C858" s="49" t="inlineStr">
        <x:is>
          <x:t xml:space="preserve">theophysics-lean-main\theophysics-lean-main\Theophysics_Adversarial.lean</x:t>
        </x:is>
      </x:c>
      <x:c r="D858" s="49" t="inlineStr">
        <x:is>
          <x:t xml:space="preserve">548</x:t>
        </x:is>
      </x:c>
      <x:c r="E858" s="49" t="inlineStr">
        <x:is>
          <x:t xml:space="preserve">DEFINITIONAL_RFL</x:t>
        </x:is>
      </x:c>
      <x:c r="F858" s="49" t="inlineStr">
        <x:is>
          <x:t xml:space="preserve">PENDING_NOT_RUN</x:t>
        </x:is>
      </x:c>
      <x:c r="G858" s="49" t="inlineStr">
        <x:is>
          <x:t xml:space="preserve">NO_SORRY_OR_ADMIT_STATIC_SCAN</x:t>
        </x:is>
      </x:c>
      <x:c r="H858" s="49" t="inlineStr">
        <x:is>
          <x:t xml:space="preserve">CANONICAL_THEOREM_DEDUPED_PENDING_COMPILE</x:t>
        </x:is>
      </x:c>
      <x:c r="I858" s="49" t="inlineStr">
        <x:is>
          <x:t xml:space="preserve">3</x:t>
        </x:is>
      </x:c>
      <x:c r="J858" s="49" t="inlineStr">
        <x:is>
          <x:t xml:space="preserve">LEAN_DERIVATION_CHAIN:181</x:t>
        </x:is>
      </x:c>
      <x:c r="K858" s="49" t="inlineStr">
        <x:is>
          <x:t xml:space="preserve">REJECTION: Cannot create record from nothing. Grace restores, but doesn't fabricate.</x:t>
        </x:is>
      </x:c>
      <x:c r="L858" s="56" t="n"/>
    </x:row>
    <x:row r="859" ht="15" customHeight="1">
      <x:c r="A859" s="55" t="inlineStr">
        <x:is>
          <x:t xml:space="preserve">unrestorableCandidate</x:t>
        </x:is>
      </x:c>
      <x:c r="B859" s="49" t="inlineStr">
        <x:is>
          <x:t xml:space="preserve">def</x:t>
        </x:is>
      </x:c>
      <x:c r="C859" s="49" t="inlineStr">
        <x:is>
          <x:t xml:space="preserve">theophysics-lean-main\theophysics-lean-main\Theophysics_Universality.lean</x:t>
        </x:is>
      </x:c>
      <x:c r="D859" s="49" t="inlineStr">
        <x:is>
          <x:t xml:space="preserve">173</x:t>
        </x:is>
      </x:c>
      <x:c r="E859" s="49" t="inlineStr">
        <x:is>
          <x:t xml:space="preserve">DECLARATION_OR_UNKNOWN</x:t>
        </x:is>
      </x:c>
      <x:c r="F859" s="49" t="inlineStr">
        <x:is>
          <x:t xml:space="preserve">PENDING_NOT_RUN</x:t>
        </x:is>
      </x:c>
      <x:c r="G859" s="49" t="inlineStr">
        <x:is>
          <x:t xml:space="preserve">NO_SORRY_OR_ADMIT_STATIC_SCAN</x:t>
        </x:is>
      </x:c>
      <x:c r="H859" s="49" t="inlineStr">
        <x:is>
          <x:t xml:space="preserve">SCAFFOLDING_NOT_PUBLIC_COUNT</x:t>
        </x:is>
      </x:c>
      <x:c r="I859" s="49" t="inlineStr">
        <x:is>
          <x:t xml:space="preserve">0</x:t>
        </x:is>
      </x:c>
      <x:c r="L859" s="56" t="n"/>
    </x:row>
    <x:row r="860" ht="15" customHeight="1">
      <x:c r="A860" s="55" t="inlineStr">
        <x:is>
          <x:t xml:space="preserve">unrestorable_candidate_is_not_strong_cd_class</x:t>
        </x:is>
      </x:c>
      <x:c r="B860" s="49" t="inlineStr">
        <x:is>
          <x:t xml:space="preserve">theorem</x:t>
        </x:is>
      </x:c>
      <x:c r="C860" s="49" t="inlineStr">
        <x:is>
          <x:t xml:space="preserve">theophysics-lean-main\theophysics-lean-main\Theophysics_Universality.lean</x:t>
        </x:is>
      </x:c>
      <x:c r="D860" s="49" t="inlineStr">
        <x:is>
          <x:t xml:space="preserve">418</x:t>
        </x:is>
      </x:c>
      <x:c r="E860" s="49" t="inlineStr">
        <x:is>
          <x:t xml:space="preserve">DEFINITIONAL_RFL</x:t>
        </x:is>
      </x:c>
      <x:c r="F860" s="49" t="inlineStr">
        <x:is>
          <x:t xml:space="preserve">PENDING_NOT_RUN</x:t>
        </x:is>
      </x:c>
      <x:c r="G860" s="49" t="inlineStr">
        <x:is>
          <x:t xml:space="preserve">NO_SORRY_OR_ADMIT_STATIC_SCAN</x:t>
        </x:is>
      </x:c>
      <x:c r="H860" s="49" t="inlineStr">
        <x:is>
          <x:t xml:space="preserve">UNIQUE_THEOREM_PENDING_COMPILE</x:t>
        </x:is>
      </x:c>
      <x:c r="I860" s="49" t="inlineStr">
        <x:is>
          <x:t xml:space="preserve">0</x:t>
        </x:is>
      </x:c>
      <x:c r="L860" s="56" t="n"/>
    </x:row>
    <x:row r="861" ht="15" customHeight="1">
      <x:c r="A861" s="55" t="inlineStr">
        <x:is>
          <x:t xml:space="preserve">unrestorable_not_relativity_class</x:t>
        </x:is>
      </x:c>
      <x:c r="B861" s="49" t="inlineStr">
        <x:is>
          <x:t xml:space="preserve">theorem</x:t>
        </x:is>
      </x:c>
      <x:c r="C861" s="49" t="inlineStr">
        <x:is>
          <x:t xml:space="preserve">theophysics-lean-main\theophysics-lean-main\Theophysics_Universality.lean</x:t>
        </x:is>
      </x:c>
      <x:c r="D861" s="49" t="inlineStr">
        <x:is>
          <x:t xml:space="preserve">452</x:t>
        </x:is>
      </x:c>
      <x:c r="E861" s="49" t="inlineStr">
        <x:is>
          <x:t xml:space="preserve">SUBSTANTIVE_OR_CASE_PROOF</x:t>
        </x:is>
      </x:c>
      <x:c r="F861" s="49" t="inlineStr">
        <x:is>
          <x:t xml:space="preserve">PENDING_NOT_RUN</x:t>
        </x:is>
      </x:c>
      <x:c r="G861" s="49" t="inlineStr">
        <x:is>
          <x:t xml:space="preserve">NO_SORRY_OR_ADMIT_STATIC_SCAN</x:t>
        </x:is>
      </x:c>
      <x:c r="H861" s="49" t="inlineStr">
        <x:is>
          <x:t xml:space="preserve">UNIQUE_THEOREM_PENDING_COMPILE</x:t>
        </x:is>
      </x:c>
      <x:c r="I861" s="49" t="inlineStr">
        <x:is>
          <x:t xml:space="preserve">0</x:t>
        </x:is>
      </x:c>
      <x:c r="L861" s="56" t="n"/>
    </x:row>
    <x:row r="862" ht="15" customHeight="1">
      <x:c r="A862" s="55" t="inlineStr">
        <x:is>
          <x:t xml:space="preserve">unstructured_choice_invalid</x:t>
        </x:is>
      </x:c>
      <x:c r="B862" s="49" t="inlineStr">
        <x:is>
          <x:t xml:space="preserve">theorem</x:t>
        </x:is>
      </x:c>
      <x:c r="C862" s="49" t="inlineStr">
        <x:is>
          <x:t xml:space="preserve">theophysics-lean-main\theophysics-lean-main\Theophysics_DelayedChoice.lean</x:t>
        </x:is>
      </x:c>
      <x:c r="D862" s="49" t="inlineStr">
        <x:is>
          <x:t xml:space="preserve">185</x:t>
        </x:is>
      </x:c>
      <x:c r="E862" s="49" t="inlineStr">
        <x:is>
          <x:t xml:space="preserve">DEFINITIONAL_RFL</x:t>
        </x:is>
      </x:c>
      <x:c r="F862" s="49" t="inlineStr">
        <x:is>
          <x:t xml:space="preserve">PENDING_NOT_RUN</x:t>
        </x:is>
      </x:c>
      <x:c r="G862" s="49" t="inlineStr">
        <x:is>
          <x:t xml:space="preserve">NO_SORRY_OR_ADMIT_STATIC_SCAN</x:t>
        </x:is>
      </x:c>
      <x:c r="H862" s="49" t="inlineStr">
        <x:is>
          <x:t xml:space="preserve">UNIQUE_THEOREM_PENDING_COMPILE</x:t>
        </x:is>
      </x:c>
      <x:c r="I862" s="49" t="inlineStr">
        <x:is>
          <x:t xml:space="preserve">0</x:t>
        </x:is>
      </x:c>
      <x:c r="L862" s="56" t="n"/>
    </x:row>
    <x:row r="863" ht="15" customHeight="1">
      <x:c r="A863" s="55" t="inlineStr">
        <x:is>
          <x:t xml:space="preserve">upstream</x:t>
        </x:is>
      </x:c>
      <x:c r="B863" s="49" t="inlineStr">
        <x:is>
          <x:t xml:space="preserve">def</x:t>
        </x:is>
      </x:c>
      <x:c r="C863" s="49" t="inlineStr">
        <x:is>
          <x:t xml:space="preserve">Faith-Thru-Physics-Lean-4--main\Faith-Thru-Physics-Lean-4--main\Theophysics_NegativeInventory.lean</x:t>
        </x:is>
      </x:c>
      <x:c r="D863" s="49" t="inlineStr">
        <x:is>
          <x:t xml:space="preserve">77</x:t>
        </x:is>
      </x:c>
      <x:c r="E863" s="49" t="inlineStr">
        <x:is>
          <x:t xml:space="preserve">DECLARATION_OR_UNKNOWN</x:t>
        </x:is>
      </x:c>
      <x:c r="F863" s="49" t="inlineStr">
        <x:is>
          <x:t xml:space="preserve">PENDING_NOT_RUN</x:t>
        </x:is>
      </x:c>
      <x:c r="G863" s="49" t="inlineStr">
        <x:is>
          <x:t xml:space="preserve">NO_SORRY_OR_ADMIT_STATIC_SCAN</x:t>
        </x:is>
      </x:c>
      <x:c r="H863" s="49" t="inlineStr">
        <x:is>
          <x:t xml:space="preserve">SCAFFOLDING_NOT_PUBLIC_COUNT</x:t>
        </x:is>
      </x:c>
      <x:c r="I863" s="49" t="inlineStr">
        <x:is>
          <x:t xml:space="preserve">0</x:t>
        </x:is>
      </x:c>
      <x:c r="L863" s="56" t="n"/>
    </x:row>
    <x:row r="864" ht="15" customHeight="1">
      <x:c r="A864" s="55" t="inlineStr">
        <x:is>
          <x:t xml:space="preserve">validClaim</x:t>
        </x:is>
      </x:c>
      <x:c r="B864" s="49" t="inlineStr">
        <x:is>
          <x:t xml:space="preserve">def</x:t>
        </x:is>
      </x:c>
      <x:c r="C864" s="49" t="inlineStr">
        <x:is>
          <x:t xml:space="preserve">Faith-Thru-Physics-Lean-4--main\Faith-Thru-Physics-Lean-4--main\Theophysics_NegativeInventory.lean</x:t>
        </x:is>
      </x:c>
      <x:c r="D864" s="49" t="inlineStr">
        <x:is>
          <x:t xml:space="preserve">99</x:t>
        </x:is>
      </x:c>
      <x:c r="E864" s="49" t="inlineStr">
        <x:is>
          <x:t xml:space="preserve">DECLARATION_OR_UNKNOWN</x:t>
        </x:is>
      </x:c>
      <x:c r="F864" s="49" t="inlineStr">
        <x:is>
          <x:t xml:space="preserve">PENDING_NOT_RUN</x:t>
        </x:is>
      </x:c>
      <x:c r="G864" s="49" t="inlineStr">
        <x:is>
          <x:t xml:space="preserve">NO_SORRY_OR_ADMIT_STATIC_SCAN</x:t>
        </x:is>
      </x:c>
      <x:c r="H864" s="49" t="inlineStr">
        <x:is>
          <x:t xml:space="preserve">SCAFFOLDING_NOT_PUBLIC_COUNT</x:t>
        </x:is>
      </x:c>
      <x:c r="I864" s="49" t="inlineStr">
        <x:is>
          <x:t xml:space="preserve">0</x:t>
        </x:is>
      </x:c>
      <x:c r="L864" s="56" t="n"/>
    </x:row>
    <x:row r="865" ht="15" customHeight="1">
      <x:c r="A865" s="55" t="inlineStr">
        <x:is>
          <x:t xml:space="preserve">validConversion</x:t>
        </x:is>
      </x:c>
      <x:c r="B865" s="49" t="inlineStr">
        <x:is>
          <x:t xml:space="preserve">def</x:t>
        </x:is>
      </x:c>
      <x:c r="C865" s="49" t="inlineStr">
        <x:is>
          <x:t xml:space="preserve">theophysics-lean-main\theophysics-lean-main\Theophysics_Adversarial.lean</x:t>
        </x:is>
      </x:c>
      <x:c r="D865" s="49" t="inlineStr">
        <x:is>
          <x:t xml:space="preserve">286</x:t>
        </x:is>
      </x:c>
      <x:c r="E865" s="49" t="inlineStr">
        <x:is>
          <x:t xml:space="preserve">DECLARATION_OR_UNKNOWN</x:t>
        </x:is>
      </x:c>
      <x:c r="F865" s="49" t="inlineStr">
        <x:is>
          <x:t xml:space="preserve">PENDING_NOT_RUN</x:t>
        </x:is>
      </x:c>
      <x:c r="G865" s="49" t="inlineStr">
        <x:is>
          <x:t xml:space="preserve">NO_SORRY_OR_ADMIT_STATIC_SCAN</x:t>
        </x:is>
      </x:c>
      <x:c r="H865" s="49" t="inlineStr">
        <x:is>
          <x:t xml:space="preserve">SCAFFOLDING_NOT_PUBLIC_COUNT</x:t>
        </x:is>
      </x:c>
      <x:c r="I865" s="49" t="inlineStr">
        <x:is>
          <x:t xml:space="preserve">3</x:t>
        </x:is>
      </x:c>
      <x:c r="L865" s="56" t="n"/>
    </x:row>
    <x:row r="866" ht="15" customHeight="1">
      <x:c r="A866" s="55" t="inlineStr">
        <x:is>
          <x:t xml:space="preserve">validMissionReturn</x:t>
        </x:is>
      </x:c>
      <x:c r="B866" s="49" t="inlineStr">
        <x:is>
          <x:t xml:space="preserve">def</x:t>
        </x:is>
      </x:c>
      <x:c r="C866" s="49" t="inlineStr">
        <x:is>
          <x:t xml:space="preserve">Faith-Thru-Physics-Lean-4--main\Faith-Thru-Physics-Lean-4--main\Theophysics_NegativeInventory.lean</x:t>
        </x:is>
      </x:c>
      <x:c r="D866" s="49" t="inlineStr">
        <x:is>
          <x:t xml:space="preserve">208</x:t>
        </x:is>
      </x:c>
      <x:c r="E866" s="49" t="inlineStr">
        <x:is>
          <x:t xml:space="preserve">DECLARATION_OR_UNKNOWN</x:t>
        </x:is>
      </x:c>
      <x:c r="F866" s="49" t="inlineStr">
        <x:is>
          <x:t xml:space="preserve">PENDING_NOT_RUN</x:t>
        </x:is>
      </x:c>
      <x:c r="G866" s="49" t="inlineStr">
        <x:is>
          <x:t xml:space="preserve">NO_SORRY_OR_ADMIT_STATIC_SCAN</x:t>
        </x:is>
      </x:c>
      <x:c r="H866" s="49" t="inlineStr">
        <x:is>
          <x:t xml:space="preserve">SCAFFOLDING_NOT_PUBLIC_COUNT</x:t>
        </x:is>
      </x:c>
      <x:c r="I866" s="49" t="inlineStr">
        <x:is>
          <x:t xml:space="preserve">0</x:t>
        </x:is>
      </x:c>
      <x:c r="L866" s="56" t="n"/>
    </x:row>
    <x:row r="867" ht="15" customHeight="1">
      <x:c r="A867" s="55" t="inlineStr">
        <x:is>
          <x:t xml:space="preserve">valid_giving_life_to_christ</x:t>
        </x:is>
      </x:c>
      <x:c r="B867" s="49" t="inlineStr">
        <x:is>
          <x:t xml:space="preserve">theorem</x:t>
        </x:is>
      </x:c>
      <x:c r="C867" s="49" t="inlineStr">
        <x:is>
          <x:t xml:space="preserve">theophysics-lean-main\theophysics-lean-main\Theophysics_Core.lean</x:t>
        </x:is>
      </x:c>
      <x:c r="D867" s="49" t="inlineStr">
        <x:is>
          <x:t xml:space="preserve">153</x:t>
        </x:is>
      </x:c>
      <x:c r="E867" s="49" t="inlineStr">
        <x:is>
          <x:t xml:space="preserve">TRIVIAL_TRUE</x:t>
        </x:is>
      </x:c>
      <x:c r="F867" s="49" t="inlineStr">
        <x:is>
          <x:t xml:space="preserve">PENDING_NOT_RUN</x:t>
        </x:is>
      </x:c>
      <x:c r="G867" s="49" t="inlineStr">
        <x:is>
          <x:t xml:space="preserve">NO_SORRY_OR_ADMIT_STATIC_SCAN</x:t>
        </x:is>
      </x:c>
      <x:c r="H867" s="49" t="inlineStr">
        <x:is>
          <x:t xml:space="preserve">LOW_CONTENT_TRUE_NOT_PUBLIC_COUNT</x:t>
        </x:is>
      </x:c>
      <x:c r="I867" s="49" t="inlineStr">
        <x:is>
          <x:t xml:space="preserve">3</x:t>
        </x:is>
      </x:c>
      <x:c r="J867" s="49" t="inlineStr">
        <x:is>
          <x:t xml:space="preserve">LEAN_DERIVATION_CHAIN:178</x:t>
        </x:is>
      </x:c>
      <x:c r="K867" s="49" t="inlineStr">
        <x:is>
          <x:t xml:space="preserve">Surrender + external grace = valid conversion</x:t>
        </x:is>
      </x:c>
      <x:c r="L867" s="56" t="n"/>
    </x:row>
    <x:row r="868" ht="15" customHeight="1">
      <x:c r="A868" s="55" t="inlineStr">
        <x:is>
          <x:t xml:space="preserve">value_preserved</x:t>
        </x:is>
      </x:c>
      <x:c r="B868" s="49" t="inlineStr">
        <x:is>
          <x:t xml:space="preserve">theorem</x:t>
        </x:is>
      </x:c>
      <x:c r="C868" s="49" t="inlineStr">
        <x:is>
          <x:t xml:space="preserve">Lean-4-Proofs-main\Lean-4-Proofs-main\theophysics-lean-verification-package\TheophysicsProductionKernel.lean</x:t>
        </x:is>
      </x:c>
      <x:c r="D868" s="49" t="inlineStr">
        <x:is>
          <x:t xml:space="preserve">230</x:t>
        </x:is>
      </x:c>
      <x:c r="E868" s="49" t="inlineStr">
        <x:is>
          <x:t xml:space="preserve">DECLARATION_OR_UNKNOWN</x:t>
        </x:is>
      </x:c>
      <x:c r="F868" s="49" t="inlineStr">
        <x:is>
          <x:t xml:space="preserve">PENDING_NOT_RUN</x:t>
        </x:is>
      </x:c>
      <x:c r="G868" s="49" t="inlineStr">
        <x:is>
          <x:t xml:space="preserve">NO_SORRY_OR_ADMIT_STATIC_SCAN</x:t>
        </x:is>
      </x:c>
      <x:c r="H868" s="49" t="inlineStr">
        <x:is>
          <x:t xml:space="preserve">UNIQUE_THEOREM_PENDING_COMPILE</x:t>
        </x:is>
      </x:c>
      <x:c r="I868" s="49" t="inlineStr">
        <x:is>
          <x:t xml:space="preserve">0</x:t>
        </x:is>
      </x:c>
      <x:c r="L868" s="56" t="n"/>
    </x:row>
    <x:row r="869" ht="15" customHeight="1">
      <x:c r="A869" s="55" t="inlineStr">
        <x:is>
          <x:t xml:space="preserve">vectorOnlyDeterminesFullProduct</x:t>
        </x:is>
      </x:c>
      <x:c r="B869" s="49" t="inlineStr">
        <x:is>
          <x:t xml:space="preserve">def</x:t>
        </x:is>
      </x:c>
      <x:c r="C869" s="49" t="inlineStr">
        <x:is>
          <x:t xml:space="preserve">theophysics-lean-main\theophysics-lean-main\Theophysics_MaxwellTrinity.lean</x:t>
        </x:is>
      </x:c>
      <x:c r="D869" s="49" t="inlineStr">
        <x:is>
          <x:t xml:space="preserve">33</x:t>
        </x:is>
      </x:c>
      <x:c r="E869" s="49" t="inlineStr">
        <x:is>
          <x:t xml:space="preserve">DECLARATION_OR_UNKNOWN</x:t>
        </x:is>
      </x:c>
      <x:c r="F869" s="49" t="inlineStr">
        <x:is>
          <x:t xml:space="preserve">PENDING_NOT_RUN</x:t>
        </x:is>
      </x:c>
      <x:c r="G869" s="49" t="inlineStr">
        <x:is>
          <x:t xml:space="preserve">NO_SORRY_OR_ADMIT_STATIC_SCAN</x:t>
        </x:is>
      </x:c>
      <x:c r="H869" s="49" t="inlineStr">
        <x:is>
          <x:t xml:space="preserve">SCAFFOLDING_NOT_PUBLIC_COUNT</x:t>
        </x:is>
      </x:c>
      <x:c r="I869" s="49" t="inlineStr">
        <x:is>
          <x:t xml:space="preserve">3</x:t>
        </x:is>
      </x:c>
      <x:c r="L869" s="56" t="n"/>
    </x:row>
    <x:row r="870" ht="15" customHeight="1">
      <x:c r="A870" s="55" t="inlineStr">
        <x:is>
          <x:t xml:space="preserve">vector_only_product_lacks_coupling_invariant</x:t>
        </x:is>
      </x:c>
      <x:c r="B870" s="49" t="inlineStr">
        <x:is>
          <x:t xml:space="preserve">theorem</x:t>
        </x:is>
      </x:c>
      <x:c r="C870" s="49" t="inlineStr">
        <x:is>
          <x:t xml:space="preserve">theophysics-lean-main\theophysics-lean-main\Theophysics_Adversarial.lean</x:t>
        </x:is>
      </x:c>
      <x:c r="D870" s="49" t="inlineStr">
        <x:is>
          <x:t xml:space="preserve">445</x:t>
        </x:is>
      </x:c>
      <x:c r="E870" s="49" t="inlineStr">
        <x:is>
          <x:t xml:space="preserve">WRAPPER_OR_IMPORTED</x:t>
        </x:is>
      </x:c>
      <x:c r="F870" s="49" t="inlineStr">
        <x:is>
          <x:t xml:space="preserve">PENDING_NOT_RUN</x:t>
        </x:is>
      </x:c>
      <x:c r="G870" s="49" t="inlineStr">
        <x:is>
          <x:t xml:space="preserve">NO_SORRY_OR_ADMIT_STATIC_SCAN</x:t>
        </x:is>
      </x:c>
      <x:c r="H870" s="49" t="inlineStr">
        <x:is>
          <x:t xml:space="preserve">CANONICAL_THEOREM_DEDUPED_PENDING_COMPILE</x:t>
        </x:is>
      </x:c>
      <x:c r="I870" s="49" t="inlineStr">
        <x:is>
          <x:t xml:space="preserve">4</x:t>
        </x:is>
      </x:c>
      <x:c r="J870" s="49" t="inlineStr">
        <x:is>
          <x:t xml:space="preserve">LEAN_DERIVATION_CHAIN:96</x:t>
        </x:is>
      </x:c>
      <x:c r="K870" s="49" t="inlineStr">
        <x:is>
          <x:t xml:space="preserve">REJECTION: Heaviside vector-only product lacks coupling invariant</x:t>
        </x:is>
      </x:c>
      <x:c r="L870" s="56" t="inlineStr">
        <x:is>
          <x:t xml:space="preserve">heaviside_content_loss | load_bearing_controls | variable_coupling</x:t>
        </x:is>
      </x:c>
    </x:row>
    <x:row r="871" ht="15" customHeight="1">
      <x:c r="A871" s="55" t="inlineStr">
        <x:is>
          <x:t xml:space="preserve">veto_G</x:t>
        </x:is>
      </x:c>
      <x:c r="B871" s="49" t="inlineStr">
        <x:is>
          <x:t xml:space="preserve">theorem</x:t>
        </x:is>
      </x:c>
      <x:c r="C871" s="49" t="inlineStr">
        <x:is>
          <x:t xml:space="preserve">theophysics-lean-main\theophysics-lean-main\Theophysics_Canonization.lean</x:t>
        </x:is>
      </x:c>
      <x:c r="D871" s="49" t="inlineStr">
        <x:is>
          <x:t xml:space="preserve">152</x:t>
        </x:is>
      </x:c>
      <x:c r="E871" s="49" t="inlineStr">
        <x:is>
          <x:t xml:space="preserve">WRAPPER_OR_IMPORTED</x:t>
        </x:is>
      </x:c>
      <x:c r="F871" s="49" t="inlineStr">
        <x:is>
          <x:t xml:space="preserve">PENDING_NOT_RUN</x:t>
        </x:is>
      </x:c>
      <x:c r="G871" s="49" t="inlineStr">
        <x:is>
          <x:t xml:space="preserve">NO_SORRY_OR_ADMIT_STATIC_SCAN</x:t>
        </x:is>
      </x:c>
      <x:c r="H871" s="49" t="inlineStr">
        <x:is>
          <x:t xml:space="preserve">UNIQUE_THEOREM_PENDING_COMPILE</x:t>
        </x:is>
      </x:c>
      <x:c r="I871" s="49" t="inlineStr">
        <x:is>
          <x:t xml:space="preserve">0</x:t>
        </x:is>
      </x:c>
      <x:c r="J871" s="49" t="inlineStr">
        <x:is>
          <x:t xml:space="preserve">LEAN_DERIVATION_CHAIN:248</x:t>
        </x:is>
      </x:c>
      <x:c r="K871" s="49" t="inlineStr">
        <x:is>
          <x:t xml:space="preserve">G=0 collapses the Grand Lagrangian product</x:t>
        </x:is>
      </x:c>
      <x:c r="L871" s="56" t="n"/>
    </x:row>
    <x:row r="872" ht="15" customHeight="1">
      <x:c r="A872" s="55" t="inlineStr">
        <x:is>
          <x:t xml:space="preserve">veto_Q</x:t>
        </x:is>
      </x:c>
      <x:c r="B872" s="49" t="inlineStr">
        <x:is>
          <x:t xml:space="preserve">theorem</x:t>
        </x:is>
      </x:c>
      <x:c r="C872" s="49" t="inlineStr">
        <x:is>
          <x:t xml:space="preserve">theophysics-lean-main\theophysics-lean-main\Theophysics_Canonization.lean</x:t>
        </x:is>
      </x:c>
      <x:c r="D872" s="49" t="inlineStr">
        <x:is>
          <x:t xml:space="preserve">155</x:t>
        </x:is>
      </x:c>
      <x:c r="E872" s="49" t="inlineStr">
        <x:is>
          <x:t xml:space="preserve">WRAPPER_OR_IMPORTED</x:t>
        </x:is>
      </x:c>
      <x:c r="F872" s="49" t="inlineStr">
        <x:is>
          <x:t xml:space="preserve">PENDING_NOT_RUN</x:t>
        </x:is>
      </x:c>
      <x:c r="G872" s="49" t="inlineStr">
        <x:is>
          <x:t xml:space="preserve">NO_SORRY_OR_ADMIT_STATIC_SCAN</x:t>
        </x:is>
      </x:c>
      <x:c r="H872" s="49" t="inlineStr">
        <x:is>
          <x:t xml:space="preserve">UNIQUE_THEOREM_PENDING_COMPILE</x:t>
        </x:is>
      </x:c>
      <x:c r="I872" s="49" t="inlineStr">
        <x:is>
          <x:t xml:space="preserve">0</x:t>
        </x:is>
      </x:c>
      <x:c r="J872" s="49" t="inlineStr">
        <x:is>
          <x:t xml:space="preserve">LEAN_DERIVATION_CHAIN:249</x:t>
        </x:is>
      </x:c>
      <x:c r="K872" s="49" t="inlineStr">
        <x:is>
          <x:t xml:space="preserve">Q=0 collapses the Grand Lagrangian product</x:t>
        </x:is>
      </x:c>
      <x:c r="L872" s="56" t="n"/>
    </x:row>
    <x:row r="873" ht="15" customHeight="1">
      <x:c r="A873" s="55" t="inlineStr">
        <x:is>
          <x:t xml:space="preserve">visibility_does_not_convert</x:t>
        </x:is>
      </x:c>
      <x:c r="B873" s="49" t="inlineStr">
        <x:is>
          <x:t xml:space="preserve">theorem</x:t>
        </x:is>
      </x:c>
      <x:c r="C873" s="49" t="inlineStr">
        <x:is>
          <x:t xml:space="preserve">Faith-Thru-Physics-Lean-4--main\Faith-Thru-Physics-Lean-4--main\Theophysics_NegativeInventory.lean</x:t>
        </x:is>
      </x:c>
      <x:c r="D873" s="49" t="inlineStr">
        <x:is>
          <x:t xml:space="preserve">190</x:t>
        </x:is>
      </x:c>
      <x:c r="E873" s="49" t="inlineStr">
        <x:is>
          <x:t xml:space="preserve">WRAPPER_OR_IMPORTED</x:t>
        </x:is>
      </x:c>
      <x:c r="F873" s="49" t="inlineStr">
        <x:is>
          <x:t xml:space="preserve">PENDING_NOT_RUN</x:t>
        </x:is>
      </x:c>
      <x:c r="G873" s="49" t="inlineStr">
        <x:is>
          <x:t xml:space="preserve">NO_SORRY_OR_ADMIT_STATIC_SCAN</x:t>
        </x:is>
      </x:c>
      <x:c r="H873" s="49" t="inlineStr">
        <x:is>
          <x:t xml:space="preserve">UNIQUE_THEOREM_PENDING_COMPILE</x:t>
        </x:is>
      </x:c>
      <x:c r="I873" s="49" t="inlineStr">
        <x:is>
          <x:t xml:space="preserve">0</x:t>
        </x:is>
      </x:c>
      <x:c r="J873" s="49" t="inlineStr">
        <x:is>
          <x:t xml:space="preserve">LEAN_DERIVATION_CHAIN:229</x:t>
        </x:is>
      </x:c>
      <x:c r="K873" s="49" t="inlineStr">
        <x:is>
          <x:t xml:space="preserve">Making a negative record visible does not collapse moral distinction</x:t>
        </x:is>
      </x:c>
      <x:c r="L873" s="56" t="n"/>
    </x:row>
    <x:row r="874" ht="15" customHeight="1">
      <x:c r="A874" s="55" t="inlineStr">
        <x:is>
          <x:t xml:space="preserve">visibleProjectionConflatesNegativeAndNeutral</x:t>
        </x:is>
      </x:c>
      <x:c r="B874" s="49" t="inlineStr">
        <x:is>
          <x:t xml:space="preserve">def</x:t>
        </x:is>
      </x:c>
      <x:c r="C874" s="49" t="inlineStr">
        <x:is>
          <x:t xml:space="preserve">theophysics-lean-main\theophysics-lean-main\Theophysics_Adversarial.lean</x:t>
        </x:is>
      </x:c>
      <x:c r="D874" s="49" t="inlineStr">
        <x:is>
          <x:t xml:space="preserve">269</x:t>
        </x:is>
      </x:c>
      <x:c r="E874" s="49" t="inlineStr">
        <x:is>
          <x:t xml:space="preserve">DECLARATION_OR_UNKNOWN</x:t>
        </x:is>
      </x:c>
      <x:c r="F874" s="49" t="inlineStr">
        <x:is>
          <x:t xml:space="preserve">PENDING_NOT_RUN</x:t>
        </x:is>
      </x:c>
      <x:c r="G874" s="49" t="inlineStr">
        <x:is>
          <x:t xml:space="preserve">NO_SORRY_OR_ADMIT_STATIC_SCAN</x:t>
        </x:is>
      </x:c>
      <x:c r="H874" s="49" t="inlineStr">
        <x:is>
          <x:t xml:space="preserve">SCAFFOLDING_NOT_PUBLIC_COUNT</x:t>
        </x:is>
      </x:c>
      <x:c r="I874" s="49" t="inlineStr">
        <x:is>
          <x:t xml:space="preserve">3</x:t>
        </x:is>
      </x:c>
      <x:c r="L874" s="56" t="n"/>
    </x:row>
    <x:row r="875" ht="15" customHeight="1">
      <x:c r="A875" s="55" t="inlineStr">
        <x:is>
          <x:t xml:space="preserve">visibleRestorationErasesHistory</x:t>
        </x:is>
      </x:c>
      <x:c r="B875" s="49" t="inlineStr">
        <x:is>
          <x:t xml:space="preserve">def</x:t>
        </x:is>
      </x:c>
      <x:c r="C875" s="49" t="inlineStr">
        <x:is>
          <x:t xml:space="preserve">theophysics-lean-main\theophysics-lean-main\Theophysics_Adversarial.lean</x:t>
        </x:is>
      </x:c>
      <x:c r="D875" s="49" t="inlineStr">
        <x:is>
          <x:t xml:space="preserve">270</x:t>
        </x:is>
      </x:c>
      <x:c r="E875" s="49" t="inlineStr">
        <x:is>
          <x:t xml:space="preserve">DECLARATION_OR_UNKNOWN</x:t>
        </x:is>
      </x:c>
      <x:c r="F875" s="49" t="inlineStr">
        <x:is>
          <x:t xml:space="preserve">PENDING_NOT_RUN</x:t>
        </x:is>
      </x:c>
      <x:c r="G875" s="49" t="inlineStr">
        <x:is>
          <x:t xml:space="preserve">NO_SORRY_OR_ADMIT_STATIC_SCAN</x:t>
        </x:is>
      </x:c>
      <x:c r="H875" s="49" t="inlineStr">
        <x:is>
          <x:t xml:space="preserve">SCAFFOLDING_NOT_PUBLIC_COUNT</x:t>
        </x:is>
      </x:c>
      <x:c r="I875" s="49" t="inlineStr">
        <x:is>
          <x:t xml:space="preserve">3</x:t>
        </x:is>
      </x:c>
      <x:c r="L875" s="56" t="n"/>
    </x:row>
    <x:row r="876" ht="15" customHeight="1">
      <x:c r="A876" s="55" t="inlineStr">
        <x:is>
          <x:t xml:space="preserve">visible_projection_conflates_negative_and_neutral_conversion</x:t>
        </x:is>
      </x:c>
      <x:c r="B876" s="49" t="inlineStr">
        <x:is>
          <x:t xml:space="preserve">theorem</x:t>
        </x:is>
      </x:c>
      <x:c r="C876" s="49" t="inlineStr">
        <x:is>
          <x:t xml:space="preserve">theophysics-lean-main\theophysics-lean-main\Theophysics_Adversarial.lean</x:t>
        </x:is>
      </x:c>
      <x:c r="D876" s="49" t="inlineStr">
        <x:is>
          <x:t xml:space="preserve">507</x:t>
        </x:is>
      </x:c>
      <x:c r="E876" s="49" t="inlineStr">
        <x:is>
          <x:t xml:space="preserve">DEFINITIONAL_RFL</x:t>
        </x:is>
      </x:c>
      <x:c r="F876" s="49" t="inlineStr">
        <x:is>
          <x:t xml:space="preserve">PENDING_NOT_RUN</x:t>
        </x:is>
      </x:c>
      <x:c r="G876" s="49" t="inlineStr">
        <x:is>
          <x:t xml:space="preserve">NO_SORRY_OR_ADMIT_STATIC_SCAN</x:t>
        </x:is>
      </x:c>
      <x:c r="H876" s="49" t="inlineStr">
        <x:is>
          <x:t xml:space="preserve">CANONICAL_THEOREM_DEDUPED_PENDING_COMPILE</x:t>
        </x:is>
      </x:c>
      <x:c r="I876" s="49" t="inlineStr">
        <x:is>
          <x:t xml:space="preserve">3</x:t>
        </x:is>
      </x:c>
      <x:c r="J876" s="49" t="inlineStr">
        <x:is>
          <x:t xml:space="preserve">LEAN_DERIVATION_CHAIN:147</x:t>
        </x:is>
      </x:c>
      <x:c r="K876" s="49" t="inlineStr">
        <x:is>
          <x:t xml:space="preserve">BOUNDARY: Visible output same for both — non-injective. You can't tell FROM THE OUTSIDE which path someone took.</x:t>
        </x:is>
      </x:c>
      <x:c r="L876" s="56" t="n"/>
    </x:row>
    <x:row r="877" ht="15" customHeight="1">
      <x:c r="A877" s="55" t="inlineStr">
        <x:is>
          <x:t xml:space="preserve">visible_restoration_does_not_imply_erasure</x:t>
        </x:is>
      </x:c>
      <x:c r="B877" s="49" t="inlineStr">
        <x:is>
          <x:t xml:space="preserve">theorem</x:t>
        </x:is>
      </x:c>
      <x:c r="C877" s="49" t="inlineStr">
        <x:is>
          <x:t xml:space="preserve">theophysics-lean-main\theophysics-lean-main\Theophysics_Adversarial.lean</x:t>
        </x:is>
      </x:c>
      <x:c r="D877" s="49" t="inlineStr">
        <x:is>
          <x:t xml:space="preserve">511</x:t>
        </x:is>
      </x:c>
      <x:c r="E877" s="49" t="inlineStr">
        <x:is>
          <x:t xml:space="preserve">DEFINITIONAL_RFL</x:t>
        </x:is>
      </x:c>
      <x:c r="F877" s="49" t="inlineStr">
        <x:is>
          <x:t xml:space="preserve">PENDING_NOT_RUN</x:t>
        </x:is>
      </x:c>
      <x:c r="G877" s="49" t="inlineStr">
        <x:is>
          <x:t xml:space="preserve">NO_SORRY_OR_ADMIT_STATIC_SCAN</x:t>
        </x:is>
      </x:c>
      <x:c r="H877" s="49" t="inlineStr">
        <x:is>
          <x:t xml:space="preserve">CANONICAL_THEOREM_DEDUPED_PENDING_COMPILE</x:t>
        </x:is>
      </x:c>
      <x:c r="I877" s="49" t="inlineStr">
        <x:is>
          <x:t xml:space="preserve">3</x:t>
        </x:is>
      </x:c>
      <x:c r="J877" s="49" t="inlineStr">
        <x:is>
          <x:t xml:space="preserve">LEAN_DERIVATION_CHAIN:149</x:t>
        </x:is>
      </x:c>
      <x:c r="K877" s="49" t="inlineStr">
        <x:is>
          <x:t xml:space="preserve">REJECTION: Restoration ≠ erasure — formally. Looking forgiven ≠ past erased.</x:t>
        </x:is>
      </x:c>
      <x:c r="L877" s="56" t="n"/>
    </x:row>
    <x:row r="878" ht="15" customHeight="1">
      <x:c r="A878" s="55" t="inlineStr">
        <x:is>
          <x:t xml:space="preserve">waived_debt_fails_justice_condition</x:t>
        </x:is>
      </x:c>
      <x:c r="B878" s="49" t="inlineStr">
        <x:is>
          <x:t xml:space="preserve">theorem</x:t>
        </x:is>
      </x:c>
      <x:c r="C878" s="49" t="inlineStr">
        <x:is>
          <x:t xml:space="preserve">theophysics-lean-main\theophysics-lean-main\Theophysics_Adversarial.lean</x:t>
        </x:is>
      </x:c>
      <x:c r="D878" s="49" t="inlineStr">
        <x:is>
          <x:t xml:space="preserve">486</x:t>
        </x:is>
      </x:c>
      <x:c r="E878" s="49" t="inlineStr">
        <x:is>
          <x:t xml:space="preserve">DEFINITIONAL_RFL</x:t>
        </x:is>
      </x:c>
      <x:c r="F878" s="49" t="inlineStr">
        <x:is>
          <x:t xml:space="preserve">PENDING_NOT_RUN</x:t>
        </x:is>
      </x:c>
      <x:c r="G878" s="49" t="inlineStr">
        <x:is>
          <x:t xml:space="preserve">NO_SORRY_OR_ADMIT_STATIC_SCAN</x:t>
        </x:is>
      </x:c>
      <x:c r="H878" s="49" t="inlineStr">
        <x:is>
          <x:t xml:space="preserve">CANONICAL_THEOREM_DEDUPED_PENDING_COMPILE</x:t>
        </x:is>
      </x:c>
      <x:c r="I878" s="49" t="inlineStr">
        <x:is>
          <x:t xml:space="preserve">3</x:t>
        </x:is>
      </x:c>
      <x:c r="J878" s="49" t="inlineStr">
        <x:is>
          <x:t xml:space="preserve">LEAN_DERIVATION_CHAIN:118</x:t>
        </x:is>
      </x:c>
      <x:c r="K878" s="49" t="inlineStr">
        <x:is>
          <x:t xml:space="preserve">REJECTION: Waived debt fails justice (debt not paid). Cheap grace.</x:t>
        </x:is>
      </x:c>
      <x:c r="L878" s="56" t="inlineStr">
        <x:is>
          <x:t xml:space="preserve">justice_mercy_math</x:t>
        </x:is>
      </x:c>
    </x:row>
    <x:row r="879" ht="15" customHeight="1">
      <x:c r="A879" s="55" t="inlineStr">
        <x:is>
          <x:t xml:space="preserve">weakButGrowingEnd</x:t>
        </x:is>
      </x:c>
      <x:c r="B879" s="49" t="inlineStr">
        <x:is>
          <x:t xml:space="preserve">def</x:t>
        </x:is>
      </x:c>
      <x:c r="C879" s="49" t="inlineStr">
        <x:is>
          <x:t xml:space="preserve">theophysics-lean-main\theophysics-lean-main\Theophysics_ChiEvaluator.lean</x:t>
        </x:is>
      </x:c>
      <x:c r="D879" s="49" t="inlineStr">
        <x:is>
          <x:t xml:space="preserve">309</x:t>
        </x:is>
      </x:c>
      <x:c r="E879" s="49" t="inlineStr">
        <x:is>
          <x:t xml:space="preserve">DECLARATION_OR_UNKNOWN</x:t>
        </x:is>
      </x:c>
      <x:c r="F879" s="49" t="inlineStr">
        <x:is>
          <x:t xml:space="preserve">PENDING_NOT_RUN</x:t>
        </x:is>
      </x:c>
      <x:c r="G879" s="49" t="inlineStr">
        <x:is>
          <x:t xml:space="preserve">NO_SORRY_OR_ADMIT_STATIC_SCAN</x:t>
        </x:is>
      </x:c>
      <x:c r="H879" s="49" t="inlineStr">
        <x:is>
          <x:t xml:space="preserve">SCAFFOLDING_NOT_PUBLIC_COUNT</x:t>
        </x:is>
      </x:c>
      <x:c r="I879" s="49" t="inlineStr">
        <x:is>
          <x:t xml:space="preserve">3</x:t>
        </x:is>
      </x:c>
      <x:c r="L879" s="56" t="n"/>
    </x:row>
    <x:row r="880" ht="15" customHeight="1">
      <x:c r="A880" s="55" t="inlineStr">
        <x:is>
          <x:t xml:space="preserve">weakButGrowingStart</x:t>
        </x:is>
      </x:c>
      <x:c r="B880" s="49" t="inlineStr">
        <x:is>
          <x:t xml:space="preserve">def</x:t>
        </x:is>
      </x:c>
      <x:c r="C880" s="49" t="inlineStr">
        <x:is>
          <x:t xml:space="preserve">theophysics-lean-main\theophysics-lean-main\Theophysics_ChiEvaluator.lean</x:t>
        </x:is>
      </x:c>
      <x:c r="D880" s="49" t="inlineStr">
        <x:is>
          <x:t xml:space="preserve">305</x:t>
        </x:is>
      </x:c>
      <x:c r="E880" s="49" t="inlineStr">
        <x:is>
          <x:t xml:space="preserve">DECLARATION_OR_UNKNOWN</x:t>
        </x:is>
      </x:c>
      <x:c r="F880" s="49" t="inlineStr">
        <x:is>
          <x:t xml:space="preserve">PENDING_NOT_RUN</x:t>
        </x:is>
      </x:c>
      <x:c r="G880" s="49" t="inlineStr">
        <x:is>
          <x:t xml:space="preserve">NO_SORRY_OR_ADMIT_STATIC_SCAN</x:t>
        </x:is>
      </x:c>
      <x:c r="H880" s="49" t="inlineStr">
        <x:is>
          <x:t xml:space="preserve">SCAFFOLDING_NOT_PUBLIC_COUNT</x:t>
        </x:is>
      </x:c>
      <x:c r="I880" s="49" t="inlineStr">
        <x:is>
          <x:t xml:space="preserve">3</x:t>
        </x:is>
      </x:c>
      <x:c r="L880" s="56" t="n"/>
    </x:row>
    <x:row r="881" ht="15" customHeight="1">
      <x:c r="A881" s="55" t="inlineStr">
        <x:is>
          <x:t xml:space="preserve">weak_but_growing_has_positive_gradient</x:t>
        </x:is>
      </x:c>
      <x:c r="B881" s="49" t="inlineStr">
        <x:is>
          <x:t xml:space="preserve">theorem</x:t>
        </x:is>
      </x:c>
      <x:c r="C881" s="49" t="inlineStr">
        <x:is>
          <x:t xml:space="preserve">theophysics-lean-main\theophysics-lean-main\Theophysics_ChiEvaluator.lean</x:t>
        </x:is>
      </x:c>
      <x:c r="D881" s="49" t="inlineStr">
        <x:is>
          <x:t xml:space="preserve">321</x:t>
        </x:is>
      </x:c>
      <x:c r="E881" s="49" t="inlineStr">
        <x:is>
          <x:t xml:space="preserve">DEFINITIONAL_RFL</x:t>
        </x:is>
      </x:c>
      <x:c r="F881" s="49" t="inlineStr">
        <x:is>
          <x:t xml:space="preserve">PENDING_NOT_RUN</x:t>
        </x:is>
      </x:c>
      <x:c r="G881" s="49" t="inlineStr">
        <x:is>
          <x:t xml:space="preserve">NO_SORRY_OR_ADMIT_STATIC_SCAN</x:t>
        </x:is>
      </x:c>
      <x:c r="H881" s="49" t="inlineStr">
        <x:is>
          <x:t xml:space="preserve">CANONICAL_THEOREM_DEDUPED_PENDING_COMPILE</x:t>
        </x:is>
      </x:c>
      <x:c r="I881" s="49" t="inlineStr">
        <x:is>
          <x:t xml:space="preserve">3</x:t>
        </x:is>
      </x:c>
      <x:c r="L881" s="56" t="n"/>
    </x:row>
    <x:row r="882" ht="15" customHeight="1">
      <x:c r="A882" s="55" t="inlineStr">
        <x:is>
          <x:t xml:space="preserve">whichPathStatus</x:t>
        </x:is>
      </x:c>
      <x:c r="B882" s="49" t="inlineStr">
        <x:is>
          <x:t xml:space="preserve">def</x:t>
        </x:is>
      </x:c>
      <x:c r="C882" s="49" t="inlineStr">
        <x:is>
          <x:t xml:space="preserve">theophysics-lean-main\theophysics-lean-main\Theophysics_DelayedChoice.lean</x:t>
        </x:is>
      </x:c>
      <x:c r="D882" s="49" t="inlineStr">
        <x:is>
          <x:t xml:space="preserve">48</x:t>
        </x:is>
      </x:c>
      <x:c r="E882" s="49" t="inlineStr">
        <x:is>
          <x:t xml:space="preserve">DECLARATION_OR_UNKNOWN</x:t>
        </x:is>
      </x:c>
      <x:c r="F882" s="49" t="inlineStr">
        <x:is>
          <x:t xml:space="preserve">PENDING_NOT_RUN</x:t>
        </x:is>
      </x:c>
      <x:c r="G882" s="49" t="inlineStr">
        <x:is>
          <x:t xml:space="preserve">NO_SORRY_OR_ADMIT_STATIC_SCAN</x:t>
        </x:is>
      </x:c>
      <x:c r="H882" s="49" t="inlineStr">
        <x:is>
          <x:t xml:space="preserve">SCAFFOLDING_NOT_PUBLIC_COUNT</x:t>
        </x:is>
      </x:c>
      <x:c r="I882" s="49" t="inlineStr">
        <x:is>
          <x:t xml:space="preserve">0</x:t>
        </x:is>
      </x:c>
      <x:c r="L882" s="56" t="n"/>
    </x:row>
    <x:row r="883" ht="15" customHeight="1">
      <x:c r="A883" s="55" t="inlineStr">
        <x:is>
          <x:t xml:space="preserve">wrong_physical_for_grace_invalid</x:t>
        </x:is>
      </x:c>
      <x:c r="B883" s="49" t="inlineStr">
        <x:is>
          <x:t xml:space="preserve">theorem</x:t>
        </x:is>
      </x:c>
      <x:c r="C883" s="49" t="inlineStr">
        <x:is>
          <x:t xml:space="preserve">theophysics-lean-main\theophysics-lean-main\Theophysics_Adversarial.lean</x:t>
        </x:is>
      </x:c>
      <x:c r="D883" s="49" t="inlineStr">
        <x:is>
          <x:t xml:space="preserve">338</x:t>
        </x:is>
      </x:c>
      <x:c r="E883" s="49" t="inlineStr">
        <x:is>
          <x:t xml:space="preserve">DEFINITIONAL_RFL</x:t>
        </x:is>
      </x:c>
      <x:c r="F883" s="49" t="inlineStr">
        <x:is>
          <x:t xml:space="preserve">PENDING_NOT_RUN</x:t>
        </x:is>
      </x:c>
      <x:c r="G883" s="49" t="inlineStr">
        <x:is>
          <x:t xml:space="preserve">NO_SORRY_OR_ADMIT_STATIC_SCAN</x:t>
        </x:is>
      </x:c>
      <x:c r="H883" s="49" t="inlineStr">
        <x:is>
          <x:t xml:space="preserve">CANONICAL_THEOREM_DEDUPED_PENDING_COMPILE</x:t>
        </x:is>
      </x:c>
      <x:c r="I883" s="49" t="inlineStr">
        <x:is>
          <x:t xml:space="preserve">3</x:t>
        </x:is>
      </x:c>
      <x:c r="J883" s="49" t="inlineStr">
        <x:is>
          <x:t xml:space="preserve">LEAN_DERIVATION_CHAIN:24</x:t>
        </x:is>
      </x:c>
      <x:c r="K883" s="49" t="inlineStr">
        <x:is>
          <x:t xml:space="preserve">REJECTION: Assigning entanglement to G rejected</x:t>
        </x:is>
      </x:c>
      <x:c r="L883" s="56" t="n"/>
    </x:row>
    <x:row r="884" ht="15" customHeight="1">
      <x:c r="A884" s="55" t="inlineStr">
        <x:is>
          <x:t xml:space="preserve">zeroPositive</x:t>
        </x:is>
      </x:c>
      <x:c r="B884" s="49" t="inlineStr">
        <x:is>
          <x:t xml:space="preserve">def</x:t>
        </x:is>
      </x:c>
      <x:c r="C884" s="49" t="inlineStr">
        <x:is>
          <x:t xml:space="preserve">theophysics-lean-main\theophysics-lean-main\Theophysics_ChiEvaluator.lean</x:t>
        </x:is>
      </x:c>
      <x:c r="D884" s="49" t="inlineStr">
        <x:is>
          <x:t xml:space="preserve">91</x:t>
        </x:is>
      </x:c>
      <x:c r="E884" s="49" t="inlineStr">
        <x:is>
          <x:t xml:space="preserve">DECLARATION_OR_UNKNOWN</x:t>
        </x:is>
      </x:c>
      <x:c r="F884" s="49" t="inlineStr">
        <x:is>
          <x:t xml:space="preserve">PENDING_NOT_RUN</x:t>
        </x:is>
      </x:c>
      <x:c r="G884" s="49" t="inlineStr">
        <x:is>
          <x:t xml:space="preserve">NO_SORRY_OR_ADMIT_STATIC_SCAN</x:t>
        </x:is>
      </x:c>
      <x:c r="H884" s="49" t="inlineStr">
        <x:is>
          <x:t xml:space="preserve">SCAFFOLDING_NOT_PUBLIC_COUNT</x:t>
        </x:is>
      </x:c>
      <x:c r="I884" s="49" t="inlineStr">
        <x:is>
          <x:t xml:space="preserve">3</x:t>
        </x:is>
      </x:c>
      <x:c r="L884" s="56" t="n"/>
    </x:row>
    <x:row r="885" ht="15" customHeight="1">
      <x:c r="A885" s="55" t="inlineStr">
        <x:is>
          <x:t xml:space="preserve">zero_if_any_factor_zero</x:t>
        </x:is>
      </x:c>
      <x:c r="B885" s="49" t="inlineStr">
        <x:is>
          <x:t xml:space="preserve">theorem</x:t>
        </x:is>
      </x:c>
      <x:c r="C885" s="49" t="inlineStr">
        <x:is>
          <x:t xml:space="preserve">Lean-4-Proofs-main\Lean-4-Proofs-main\theophysics-lean-verification-package\TheophysicsProductionKernel.lean</x:t>
        </x:is>
      </x:c>
      <x:c r="D885" s="49" t="inlineStr">
        <x:is>
          <x:t xml:space="preserve">158</x:t>
        </x:is>
      </x:c>
      <x:c r="E885" s="49" t="inlineStr">
        <x:is>
          <x:t xml:space="preserve">WRAPPER_OR_IMPORTED</x:t>
        </x:is>
      </x:c>
      <x:c r="F885" s="49" t="inlineStr">
        <x:is>
          <x:t xml:space="preserve">PENDING_NOT_RUN</x:t>
        </x:is>
      </x:c>
      <x:c r="G885" s="49" t="inlineStr">
        <x:is>
          <x:t xml:space="preserve">NO_SORRY_OR_ADMIT_STATIC_SCAN</x:t>
        </x:is>
      </x:c>
      <x:c r="H885" s="49" t="inlineStr">
        <x:is>
          <x:t xml:space="preserve">UNIQUE_THEOREM_PENDING_COMPILE</x:t>
        </x:is>
      </x:c>
      <x:c r="I885" s="49" t="inlineStr">
        <x:is>
          <x:t xml:space="preserve">0</x:t>
        </x:is>
      </x:c>
      <x:c r="L885" s="56" t="n"/>
    </x:row>
    <x:row r="886" ht="15" customHeight="1">
      <x:c r="A886" s="55" t="inlineStr">
        <x:is>
          <x:t xml:space="preserve">zero_openness_never_couples</x:t>
        </x:is>
      </x:c>
      <x:c r="B886" s="49" t="inlineStr">
        <x:is>
          <x:t xml:space="preserve">theorem</x:t>
        </x:is>
      </x:c>
      <x:c r="C886" s="49" t="inlineStr">
        <x:is>
          <x:t xml:space="preserve">theophysics-lean-main\theophysics-lean-main\Theophysics_Canonization.lean</x:t>
        </x:is>
      </x:c>
      <x:c r="D886" s="49" t="inlineStr">
        <x:is>
          <x:t xml:space="preserve">489</x:t>
        </x:is>
      </x:c>
      <x:c r="E886" s="49" t="inlineStr">
        <x:is>
          <x:t xml:space="preserve">DECLARATION_OR_UNKNOWN</x:t>
        </x:is>
      </x:c>
      <x:c r="F886" s="49" t="inlineStr">
        <x:is>
          <x:t xml:space="preserve">PENDING_NOT_RUN</x:t>
        </x:is>
      </x:c>
      <x:c r="G886" s="49" t="inlineStr">
        <x:is>
          <x:t xml:space="preserve">NO_SORRY_OR_ADMIT_STATIC_SCAN</x:t>
        </x:is>
      </x:c>
      <x:c r="H886" s="49" t="inlineStr">
        <x:is>
          <x:t xml:space="preserve">UNIQUE_THEOREM_PENDING_COMPILE</x:t>
        </x:is>
      </x:c>
      <x:c r="I886" s="49" t="inlineStr">
        <x:is>
          <x:t xml:space="preserve">0</x:t>
        </x:is>
      </x:c>
      <x:c r="J886" s="49" t="inlineStr">
        <x:is>
          <x:t xml:space="preserve">LEAN_DERIVATION_CHAIN:266</x:t>
        </x:is>
      </x:c>
      <x:c r="K886" s="49" t="inlineStr">
        <x:is>
          <x:t xml:space="preserve">O=0 implies Lambda=0 identically</x:t>
        </x:is>
      </x:c>
      <x:c r="L886" s="56" t="n"/>
    </x:row>
    <x:row r="887" ht="15" customHeight="1">
      <x:c r="A887" s="55" t="inlineStr">
        <x:is>
          <x:t xml:space="preserve">zero_or_one_nonneg</x:t>
        </x:is>
      </x:c>
      <x:c r="B887" s="49" t="inlineStr">
        <x:is>
          <x:t xml:space="preserve">theorem</x:t>
        </x:is>
      </x:c>
      <x:c r="C887" s="49" t="inlineStr">
        <x:is>
          <x:t xml:space="preserve">Lean-4-Proofs-main\Lean-4-Proofs-main\theophysics-lean-verification-package\narrow_product_test\NarrowProductTest\Basic.lean</x:t>
        </x:is>
      </x:c>
      <x:c r="D887" s="49" t="inlineStr">
        <x:is>
          <x:t xml:space="preserve">25</x:t>
        </x:is>
      </x:c>
      <x:c r="E887" s="49" t="inlineStr">
        <x:is>
          <x:t xml:space="preserve">WRAPPER_OR_IMPORTED</x:t>
        </x:is>
      </x:c>
      <x:c r="F887" s="49" t="inlineStr">
        <x:is>
          <x:t xml:space="preserve">PENDING_NOT_RUN</x:t>
        </x:is>
      </x:c>
      <x:c r="G887" s="49" t="inlineStr">
        <x:is>
          <x:t xml:space="preserve">NO_SORRY_OR_ADMIT_STATIC_SCAN</x:t>
        </x:is>
      </x:c>
      <x:c r="H887" s="49" t="inlineStr">
        <x:is>
          <x:t xml:space="preserve">UNIQUE_THEOREM_PENDING_COMPILE</x:t>
        </x:is>
      </x:c>
      <x:c r="I887" s="49" t="inlineStr">
        <x:is>
          <x:t xml:space="preserve">0</x:t>
        </x:is>
      </x:c>
      <x:c r="L887" s="56" t="n"/>
    </x:row>
    <x:row r="888" ht="15" customHeight="1">
      <x:c r="A888" s="57" t="inlineStr">
        <x:is>
          <x:t xml:space="preserve">zero_preserving_operator_cannot_rescue</x:t>
        </x:is>
      </x:c>
      <x:c r="B888" s="58" t="inlineStr">
        <x:is>
          <x:t xml:space="preserve">theorem</x:t>
        </x:is>
      </x:c>
      <x:c r="C888" s="58" t="inlineStr">
        <x:is>
          <x:t xml:space="preserve">Lean-4-Proofs-main\Lean-4-Proofs-main\theophysics-lean-verification-package\COPY_PASTE_LEAN4.lean</x:t>
        </x:is>
      </x:c>
      <x:c r="D888" s="58" t="inlineStr">
        <x:is>
          <x:t xml:space="preserve">145</x:t>
        </x:is>
      </x:c>
      <x:c r="E888" s="58" t="inlineStr">
        <x:is>
          <x:t xml:space="preserve">DECLARATION_OR_UNKNOWN</x:t>
        </x:is>
      </x:c>
      <x:c r="F888" s="58" t="inlineStr">
        <x:is>
          <x:t xml:space="preserve">PENDING_NOT_RUN</x:t>
        </x:is>
      </x:c>
      <x:c r="G888" s="58" t="inlineStr">
        <x:is>
          <x:t xml:space="preserve">NO_SORRY_OR_ADMIT_STATIC_SCAN</x:t>
        </x:is>
      </x:c>
      <x:c r="H888" s="58" t="inlineStr">
        <x:is>
          <x:t xml:space="preserve">CANONICAL_THEOREM_DEDUPED_PENDING_COMPILE</x:t>
        </x:is>
      </x:c>
      <x:c r="I888" s="58" t="inlineStr">
        <x:is>
          <x:t xml:space="preserve">2</x:t>
        </x:is>
      </x:c>
      <x:c r="J888" s="58" t="n"/>
      <x:c r="K888" s="58" t="n"/>
      <x:c r="L888" s="59" t="n"/>
    </x:row>
    <x:row r="889">
      <x:c r="A889" s="57" t="inlineStr">
        <x:is>
          <x:t xml:space="preserve">Person</x:t>
        </x:is>
      </x:c>
      <x:c r="B889" s="58" t="inlineStr">
        <x:is>
          <x:t xml:space="preserve">structure</x:t>
        </x:is>
      </x:c>
      <x:c r="C889" s="58" t="inlineStr">
        <x:is>
          <x:t xml:space="preserve">theophysics-lean-main\theophysics-lean-main\CanonOneAxiomProbe.lean</x:t>
        </x:is>
      </x:c>
      <x:c r="D889" s="58" t="inlineStr">
        <x:is>
          <x:t xml:space="preserve">14</x:t>
        </x:is>
      </x:c>
      <x:c r="E889" s="58" t="inlineStr">
        <x:is>
          <x:t xml:space="preserve">STRUCTURE_DECLARATION</x:t>
        </x:is>
      </x:c>
      <x:c r="F889" s="58" t="inlineStr">
        <x:is>
          <x:t xml:space="preserve">COMPILED_2026-08-15_LAKE_BUILD_PASS</x:t>
        </x:is>
      </x:c>
      <x:c r="G889" s="58" t="inlineStr">
        <x:is>
          <x:t xml:space="preserve">NO_SORRY_OR_ADMIT_STATIC_SCAN</x:t>
        </x:is>
      </x:c>
      <x:c r="H889" s="58" t="inlineStr">
        <x:is>
          <x:t xml:space="preserve">SCAFFOLDING_NOT_PUBLIC_COUNT</x:t>
        </x:is>
      </x:c>
      <x:c r="I889" s="58" t="inlineStr">
        <x:is>
          <x:t xml:space="preserve">0</x:t>
        </x:is>
      </x:c>
      <x:c r="J889" s="58" t="n"/>
      <x:c r="K889" s="58" t="n"/>
      <x:c r="L889" s="59" t="n"/>
    </x:row>
    <x:row r="890">
      <x:c r="A890" s="57" t="inlineStr">
        <x:is>
          <x:t xml:space="preserve">CreatedMirror</x:t>
        </x:is>
      </x:c>
      <x:c r="B890" s="58" t="inlineStr">
        <x:is>
          <x:t xml:space="preserve">structure</x:t>
        </x:is>
      </x:c>
      <x:c r="C890" s="58" t="inlineStr">
        <x:is>
          <x:t xml:space="preserve">theophysics-lean-main\theophysics-lean-main\CanonOneAxiomProbe.lean</x:t>
        </x:is>
      </x:c>
      <x:c r="D890" s="58" t="inlineStr">
        <x:is>
          <x:t xml:space="preserve">18</x:t>
        </x:is>
      </x:c>
      <x:c r="E890" s="58" t="inlineStr">
        <x:is>
          <x:t xml:space="preserve">STRUCTURE_DECLARATION</x:t>
        </x:is>
      </x:c>
      <x:c r="F890" s="58" t="inlineStr">
        <x:is>
          <x:t xml:space="preserve">COMPILED_2026-08-15_LAKE_BUILD_PASS</x:t>
        </x:is>
      </x:c>
      <x:c r="G890" s="58" t="inlineStr">
        <x:is>
          <x:t xml:space="preserve">NO_SORRY_OR_ADMIT_STATIC_SCAN</x:t>
        </x:is>
      </x:c>
      <x:c r="H890" s="58" t="inlineStr">
        <x:is>
          <x:t xml:space="preserve">SCAFFOLDING_NOT_PUBLIC_COUNT</x:t>
        </x:is>
      </x:c>
      <x:c r="I890" s="58" t="inlineStr">
        <x:is>
          <x:t xml:space="preserve">0</x:t>
        </x:is>
      </x:c>
      <x:c r="J890" s="58" t="n"/>
      <x:c r="K890" s="58" t="n"/>
      <x:c r="L890" s="59" t="n"/>
    </x:row>
    <x:row r="891">
      <x:c r="A891" s="57" t="inlineStr">
        <x:is>
          <x:t xml:space="preserve">TrinitarianRoot</x:t>
        </x:is>
      </x:c>
      <x:c r="B891" s="58" t="inlineStr">
        <x:is>
          <x:t xml:space="preserve">structure</x:t>
        </x:is>
      </x:c>
      <x:c r="C891" s="58" t="inlineStr">
        <x:is>
          <x:t xml:space="preserve">theophysics-lean-main\theophysics-lean-main\CanonOneAxiomProbe.lean</x:t>
        </x:is>
      </x:c>
      <x:c r="D891" s="58" t="inlineStr">
        <x:is>
          <x:t xml:space="preserve">22</x:t>
        </x:is>
      </x:c>
      <x:c r="E891" s="58" t="inlineStr">
        <x:is>
          <x:t xml:space="preserve">ROOT_STRUCTURE_DECLARATION</x:t>
        </x:is>
      </x:c>
      <x:c r="F891" s="58" t="inlineStr">
        <x:is>
          <x:t xml:space="preserve">COMPILED_2026-08-15_LAKE_BUILD_PASS</x:t>
        </x:is>
      </x:c>
      <x:c r="G891" s="58" t="inlineStr">
        <x:is>
          <x:t xml:space="preserve">NO_SORRY_OR_ADMIT_STATIC_SCAN</x:t>
        </x:is>
      </x:c>
      <x:c r="H891" s="58" t="inlineStr">
        <x:is>
          <x:t xml:space="preserve">SCAFFOLDING_NOT_PUBLIC_COUNT</x:t>
        </x:is>
      </x:c>
      <x:c r="I891" s="58" t="inlineStr">
        <x:is>
          <x:t xml:space="preserve">0</x:t>
        </x:is>
      </x:c>
      <x:c r="J891" s="58" t="n"/>
      <x:c r="K891" s="58" t="n"/>
      <x:c r="L891" s="59" t="n"/>
    </x:row>
    <x:row r="892">
      <x:c r="A892" s="57" t="inlineStr">
        <x:is>
          <x:t xml:space="preserve">God</x:t>
        </x:is>
      </x:c>
      <x:c r="B892" s="58" t="inlineStr">
        <x:is>
          <x:t xml:space="preserve">axiom</x:t>
        </x:is>
      </x:c>
      <x:c r="C892" s="58" t="inlineStr">
        <x:is>
          <x:t xml:space="preserve">theophysics-lean-main\theophysics-lean-main\CanonOneAxiomProbe.lean</x:t>
        </x:is>
      </x:c>
      <x:c r="D892" s="58" t="inlineStr">
        <x:is>
          <x:t xml:space="preserve">40</x:t>
        </x:is>
      </x:c>
      <x:c r="E892" s="58" t="inlineStr">
        <x:is>
          <x:t xml:space="preserve">ROOT_AXIOM_ADMITTED</x:t>
        </x:is>
      </x:c>
      <x:c r="F892" s="58" t="inlineStr">
        <x:is>
          <x:t xml:space="preserve">COMPILED_2026-08-15_LAKE_BUILD_PASS</x:t>
        </x:is>
      </x:c>
      <x:c r="G892" s="58" t="inlineStr">
        <x:is>
          <x:t xml:space="preserve">NO_SORRY_OR_ADMIT_STATIC_SCAN</x:t>
        </x:is>
      </x:c>
      <x:c r="H892" s="58" t="inlineStr">
        <x:is>
          <x:t xml:space="preserve">ROOT_AXIOM_NOT_PUBLIC_COUNT</x:t>
        </x:is>
      </x:c>
      <x:c r="I892" s="58" t="inlineStr">
        <x:is>
          <x:t xml:space="preserve">0</x:t>
        </x:is>
      </x:c>
      <x:c r="J892" s="58" t="n"/>
      <x:c r="K892" s="58" t="inlineStr">
        <x:is>
          <x:t xml:space="preserve">FORMAL_DEPENDENCY_SHAPE_ONLY</x:t>
        </x:is>
      </x:c>
      <x:c r="L892" s="59" t="inlineStr">
        <x:is>
          <x:t xml:space="preserve">Single admitted root; Lean does not prove existence of root.</x:t>
        </x:is>
      </x:c>
    </x:row>
    <x:row r="893">
      <x:c r="A893" s="57" t="inlineStr">
        <x:is>
          <x:t xml:space="preserve">ExistenceDebtPaid</x:t>
        </x:is>
      </x:c>
      <x:c r="B893" s="58" t="inlineStr">
        <x:is>
          <x:t xml:space="preserve">def</x:t>
        </x:is>
      </x:c>
      <x:c r="C893" s="58" t="inlineStr">
        <x:is>
          <x:t xml:space="preserve">theophysics-lean-main\theophysics-lean-main\CanonOneAxiomProbe.lean</x:t>
        </x:is>
      </x:c>
      <x:c r="D893" s="58" t="inlineStr">
        <x:is>
          <x:t xml:space="preserve">44</x:t>
        </x:is>
      </x:c>
      <x:c r="E893" s="58" t="inlineStr">
        <x:is>
          <x:t xml:space="preserve">DEFINITIONAL_PROJECTION</x:t>
        </x:is>
      </x:c>
      <x:c r="F893" s="58" t="inlineStr">
        <x:is>
          <x:t xml:space="preserve">COMPILED_2026-08-15_LAKE_BUILD_PASS</x:t>
        </x:is>
      </x:c>
      <x:c r="G893" s="58" t="inlineStr">
        <x:is>
          <x:t xml:space="preserve">NO_SORRY_OR_ADMIT_STATIC_SCAN</x:t>
        </x:is>
      </x:c>
      <x:c r="H893" s="58" t="inlineStr">
        <x:is>
          <x:t xml:space="preserve">SCAFFOLDING_NOT_PUBLIC_COUNT</x:t>
        </x:is>
      </x:c>
      <x:c r="I893" s="58" t="inlineStr">
        <x:is>
          <x:t xml:space="preserve">0</x:t>
        </x:is>
      </x:c>
      <x:c r="J893" s="58" t="n"/>
      <x:c r="K893" s="58" t="n"/>
      <x:c r="L893" s="59" t="n"/>
    </x:row>
    <x:row r="894">
      <x:c r="A894" s="57" t="inlineStr">
        <x:is>
          <x:t xml:space="preserve">DistinctionDebtPaid</x:t>
        </x:is>
      </x:c>
      <x:c r="B894" s="58" t="inlineStr">
        <x:is>
          <x:t xml:space="preserve">def</x:t>
        </x:is>
      </x:c>
      <x:c r="C894" s="58" t="inlineStr">
        <x:is>
          <x:t xml:space="preserve">theophysics-lean-main\theophysics-lean-main\CanonOneAxiomProbe.lean</x:t>
        </x:is>
      </x:c>
      <x:c r="D894" s="58" t="inlineStr">
        <x:is>
          <x:t xml:space="preserve">45</x:t>
        </x:is>
      </x:c>
      <x:c r="E894" s="58" t="inlineStr">
        <x:is>
          <x:t xml:space="preserve">DEFINITIONAL_PROJECTION</x:t>
        </x:is>
      </x:c>
      <x:c r="F894" s="58" t="inlineStr">
        <x:is>
          <x:t xml:space="preserve">COMPILED_2026-08-15_LAKE_BUILD_PASS</x:t>
        </x:is>
      </x:c>
      <x:c r="G894" s="58" t="inlineStr">
        <x:is>
          <x:t xml:space="preserve">NO_SORRY_OR_ADMIT_STATIC_SCAN</x:t>
        </x:is>
      </x:c>
      <x:c r="H894" s="58" t="inlineStr">
        <x:is>
          <x:t xml:space="preserve">SCAFFOLDING_NOT_PUBLIC_COUNT</x:t>
        </x:is>
      </x:c>
      <x:c r="I894" s="58" t="inlineStr">
        <x:is>
          <x:t xml:space="preserve">0</x:t>
        </x:is>
      </x:c>
      <x:c r="J894" s="58" t="n"/>
      <x:c r="K894" s="58" t="n"/>
      <x:c r="L894" s="59" t="n"/>
    </x:row>
    <x:row r="895">
      <x:c r="A895" s="57" t="inlineStr">
        <x:is>
          <x:t xml:space="preserve">RelationDebtPaid</x:t>
        </x:is>
      </x:c>
      <x:c r="B895" s="58" t="inlineStr">
        <x:is>
          <x:t xml:space="preserve">def</x:t>
        </x:is>
      </x:c>
      <x:c r="C895" s="58" t="inlineStr">
        <x:is>
          <x:t xml:space="preserve">theophysics-lean-main\theophysics-lean-main\CanonOneAxiomProbe.lean</x:t>
        </x:is>
      </x:c>
      <x:c r="D895" s="58" t="inlineStr">
        <x:is>
          <x:t xml:space="preserve">46</x:t>
        </x:is>
      </x:c>
      <x:c r="E895" s="58" t="inlineStr">
        <x:is>
          <x:t xml:space="preserve">DEFINITIONAL_PROJECTION</x:t>
        </x:is>
      </x:c>
      <x:c r="F895" s="58" t="inlineStr">
        <x:is>
          <x:t xml:space="preserve">COMPILED_2026-08-15_LAKE_BUILD_PASS</x:t>
        </x:is>
      </x:c>
      <x:c r="G895" s="58" t="inlineStr">
        <x:is>
          <x:t xml:space="preserve">NO_SORRY_OR_ADMIT_STATIC_SCAN</x:t>
        </x:is>
      </x:c>
      <x:c r="H895" s="58" t="inlineStr">
        <x:is>
          <x:t xml:space="preserve">SCAFFOLDING_NOT_PUBLIC_COUNT</x:t>
        </x:is>
      </x:c>
      <x:c r="I895" s="58" t="inlineStr">
        <x:is>
          <x:t xml:space="preserve">0</x:t>
        </x:is>
      </x:c>
      <x:c r="J895" s="58" t="n"/>
      <x:c r="K895" s="58" t="n"/>
      <x:c r="L895" s="59" t="n"/>
    </x:row>
    <x:row r="896">
      <x:c r="A896" s="57" t="inlineStr">
        <x:is>
          <x:t xml:space="preserve">OrientationDebtPaid</x:t>
        </x:is>
      </x:c>
      <x:c r="B896" s="58" t="inlineStr">
        <x:is>
          <x:t xml:space="preserve">def</x:t>
        </x:is>
      </x:c>
      <x:c r="C896" s="58" t="inlineStr">
        <x:is>
          <x:t xml:space="preserve">theophysics-lean-main\theophysics-lean-main\CanonOneAxiomProbe.lean</x:t>
        </x:is>
      </x:c>
      <x:c r="D896" s="58" t="inlineStr">
        <x:is>
          <x:t xml:space="preserve">47</x:t>
        </x:is>
      </x:c>
      <x:c r="E896" s="58" t="inlineStr">
        <x:is>
          <x:t xml:space="preserve">DEFINITIONAL_PROJECTION</x:t>
        </x:is>
      </x:c>
      <x:c r="F896" s="58" t="inlineStr">
        <x:is>
          <x:t xml:space="preserve">COMPILED_2026-08-15_LAKE_BUILD_PASS</x:t>
        </x:is>
      </x:c>
      <x:c r="G896" s="58" t="inlineStr">
        <x:is>
          <x:t xml:space="preserve">NO_SORRY_OR_ADMIT_STATIC_SCAN</x:t>
        </x:is>
      </x:c>
      <x:c r="H896" s="58" t="inlineStr">
        <x:is>
          <x:t xml:space="preserve">SCAFFOLDING_NOT_PUBLIC_COUNT</x:t>
        </x:is>
      </x:c>
      <x:c r="I896" s="58" t="inlineStr">
        <x:is>
          <x:t xml:space="preserve">0</x:t>
        </x:is>
      </x:c>
      <x:c r="J896" s="58" t="n"/>
      <x:c r="K896" s="58" t="n"/>
      <x:c r="L896" s="59" t="n"/>
    </x:row>
    <x:row r="897">
      <x:c r="A897" s="57" t="inlineStr">
        <x:is>
          <x:t xml:space="preserve">ConsciousnessDerivative</x:t>
        </x:is>
      </x:c>
      <x:c r="B897" s="58" t="inlineStr">
        <x:is>
          <x:t xml:space="preserve">def</x:t>
        </x:is>
      </x:c>
      <x:c r="C897" s="58" t="inlineStr">
        <x:is>
          <x:t xml:space="preserve">theophysics-lean-main\theophysics-lean-main\CanonOneAxiomProbe.lean</x:t>
        </x:is>
      </x:c>
      <x:c r="D897" s="58" t="inlineStr">
        <x:is>
          <x:t xml:space="preserve">49</x:t>
        </x:is>
      </x:c>
      <x:c r="E897" s="58" t="inlineStr">
        <x:is>
          <x:t xml:space="preserve">DEFINITIONAL_PROJECTION</x:t>
        </x:is>
      </x:c>
      <x:c r="F897" s="58" t="inlineStr">
        <x:is>
          <x:t xml:space="preserve">COMPILED_2026-08-15_LAKE_BUILD_PASS</x:t>
        </x:is>
      </x:c>
      <x:c r="G897" s="58" t="inlineStr">
        <x:is>
          <x:t xml:space="preserve">NO_SORRY_OR_ADMIT_STATIC_SCAN</x:t>
        </x:is>
      </x:c>
      <x:c r="H897" s="58" t="inlineStr">
        <x:is>
          <x:t xml:space="preserve">SCAFFOLDING_NOT_PUBLIC_COUNT</x:t>
        </x:is>
      </x:c>
      <x:c r="I897" s="58" t="inlineStr">
        <x:is>
          <x:t xml:space="preserve">0</x:t>
        </x:is>
      </x:c>
      <x:c r="J897" s="58" t="n"/>
      <x:c r="K897" s="58" t="n"/>
      <x:c r="L897" s="59" t="n"/>
    </x:row>
    <x:row r="898">
      <x:c r="A898" s="57" t="inlineStr">
        <x:is>
          <x:t xml:space="preserve">existence_from_one_axiom</x:t>
        </x:is>
      </x:c>
      <x:c r="B898" s="58" t="inlineStr">
        <x:is>
          <x:t xml:space="preserve">theorem</x:t>
        </x:is>
      </x:c>
      <x:c r="C898" s="58" t="inlineStr">
        <x:is>
          <x:t xml:space="preserve">theophysics-lean-main\theophysics-lean-main\CanonOneAxiomProbe.lean</x:t>
        </x:is>
      </x:c>
      <x:c r="D898" s="58" t="inlineStr">
        <x:is>
          <x:t xml:space="preserve">51</x:t>
        </x:is>
      </x:c>
      <x:c r="E898" s="58" t="inlineStr">
        <x:is>
          <x:t xml:space="preserve">THEOREM_FROM_SINGLE_ROOT_AXIOM</x:t>
        </x:is>
      </x:c>
      <x:c r="F898" s="58" t="inlineStr">
        <x:is>
          <x:t xml:space="preserve">COMPILED_2026-08-15_LAKE_BUILD_PASS</x:t>
        </x:is>
      </x:c>
      <x:c r="G898" s="58" t="inlineStr">
        <x:is>
          <x:t xml:space="preserve">NO_SORRY_OR_ADMIT_STATIC_SCAN</x:t>
        </x:is>
      </x:c>
      <x:c r="H898" s="58" t="inlineStr">
        <x:is>
          <x:t xml:space="preserve">UNIQUE_THEOREM_COMPILED_LOCAL</x:t>
        </x:is>
      </x:c>
      <x:c r="I898" s="58" t="inlineStr">
        <x:is>
          <x:t xml:space="preserve">0</x:t>
        </x:is>
      </x:c>
      <x:c r="J898" s="58" t="n"/>
      <x:c r="K898" s="58" t="inlineStr">
        <x:is>
          <x:t xml:space="preserve">FORMAL_DEPENDENCY_SHAPE_ONLY</x:t>
        </x:is>
      </x:c>
      <x:c r="L898" s="59" t="inlineStr">
        <x:is>
          <x:t xml:space="preserve">Formal dependency extraction only; not an independent proof of God.</x:t>
        </x:is>
      </x:c>
    </x:row>
    <x:row r="899">
      <x:c r="A899" s="57" t="inlineStr">
        <x:is>
          <x:t xml:space="preserve">distinction_from_one_axiom</x:t>
        </x:is>
      </x:c>
      <x:c r="B899" s="58" t="inlineStr">
        <x:is>
          <x:t xml:space="preserve">theorem</x:t>
        </x:is>
      </x:c>
      <x:c r="C899" s="58" t="inlineStr">
        <x:is>
          <x:t xml:space="preserve">theophysics-lean-main\theophysics-lean-main\CanonOneAxiomProbe.lean</x:t>
        </x:is>
      </x:c>
      <x:c r="D899" s="58" t="inlineStr">
        <x:is>
          <x:t xml:space="preserve">55</x:t>
        </x:is>
      </x:c>
      <x:c r="E899" s="58" t="inlineStr">
        <x:is>
          <x:t xml:space="preserve">THEOREM_FROM_SINGLE_ROOT_AXIOM</x:t>
        </x:is>
      </x:c>
      <x:c r="F899" s="58" t="inlineStr">
        <x:is>
          <x:t xml:space="preserve">COMPILED_2026-08-15_LAKE_BUILD_PASS</x:t>
        </x:is>
      </x:c>
      <x:c r="G899" s="58" t="inlineStr">
        <x:is>
          <x:t xml:space="preserve">NO_SORRY_OR_ADMIT_STATIC_SCAN</x:t>
        </x:is>
      </x:c>
      <x:c r="H899" s="58" t="inlineStr">
        <x:is>
          <x:t xml:space="preserve">UNIQUE_THEOREM_COMPILED_LOCAL</x:t>
        </x:is>
      </x:c>
      <x:c r="I899" s="58" t="inlineStr">
        <x:is>
          <x:t xml:space="preserve">0</x:t>
        </x:is>
      </x:c>
      <x:c r="J899" s="58" t="n"/>
      <x:c r="K899" s="58" t="inlineStr">
        <x:is>
          <x:t xml:space="preserve">FORMAL_DEPENDENCY_SHAPE_ONLY</x:t>
        </x:is>
      </x:c>
      <x:c r="L899" s="59" t="inlineStr">
        <x:is>
          <x:t xml:space="preserve">Formal dependency extraction only; public claim requires boundary text.</x:t>
        </x:is>
      </x:c>
    </x:row>
    <x:row r="900">
      <x:c r="A900" s="57" t="inlineStr">
        <x:is>
          <x:t xml:space="preserve">relation_from_one_axiom</x:t>
        </x:is>
      </x:c>
      <x:c r="B900" s="58" t="inlineStr">
        <x:is>
          <x:t xml:space="preserve">theorem</x:t>
        </x:is>
      </x:c>
      <x:c r="C900" s="58" t="inlineStr">
        <x:is>
          <x:t xml:space="preserve">theophysics-lean-main\theophysics-lean-main\CanonOneAxiomProbe.lean</x:t>
        </x:is>
      </x:c>
      <x:c r="D900" s="58" t="inlineStr">
        <x:is>
          <x:t xml:space="preserve">58</x:t>
        </x:is>
      </x:c>
      <x:c r="E900" s="58" t="inlineStr">
        <x:is>
          <x:t xml:space="preserve">THEOREM_FROM_SINGLE_ROOT_AXIOM</x:t>
        </x:is>
      </x:c>
      <x:c r="F900" s="58" t="inlineStr">
        <x:is>
          <x:t xml:space="preserve">COMPILED_2026-08-15_LAKE_BUILD_PASS</x:t>
        </x:is>
      </x:c>
      <x:c r="G900" s="58" t="inlineStr">
        <x:is>
          <x:t xml:space="preserve">NO_SORRY_OR_ADMIT_STATIC_SCAN</x:t>
        </x:is>
      </x:c>
      <x:c r="H900" s="58" t="inlineStr">
        <x:is>
          <x:t xml:space="preserve">UNIQUE_THEOREM_COMPILED_LOCAL</x:t>
        </x:is>
      </x:c>
      <x:c r="I900" s="58" t="inlineStr">
        <x:is>
          <x:t xml:space="preserve">0</x:t>
        </x:is>
      </x:c>
      <x:c r="J900" s="58" t="n"/>
      <x:c r="K900" s="58" t="inlineStr">
        <x:is>
          <x:t xml:space="preserve">FORMAL_DEPENDENCY_SHAPE_ONLY</x:t>
        </x:is>
      </x:c>
      <x:c r="L900" s="59" t="inlineStr">
        <x:is>
          <x:t xml:space="preserve">Formal dependency extraction only; public claim requires boundary text.</x:t>
        </x:is>
      </x:c>
    </x:row>
    <x:row r="901">
      <x:c r="A901" s="57" t="inlineStr">
        <x:is>
          <x:t xml:space="preserve">orientation_from_one_axiom</x:t>
        </x:is>
      </x:c>
      <x:c r="B901" s="58" t="inlineStr">
        <x:is>
          <x:t xml:space="preserve">theorem</x:t>
        </x:is>
      </x:c>
      <x:c r="C901" s="58" t="inlineStr">
        <x:is>
          <x:t xml:space="preserve">theophysics-lean-main\theophysics-lean-main\CanonOneAxiomProbe.lean</x:t>
        </x:is>
      </x:c>
      <x:c r="D901" s="58" t="inlineStr">
        <x:is>
          <x:t xml:space="preserve">61</x:t>
        </x:is>
      </x:c>
      <x:c r="E901" s="58" t="inlineStr">
        <x:is>
          <x:t xml:space="preserve">THEOREM_FROM_SINGLE_ROOT_AXIOM</x:t>
        </x:is>
      </x:c>
      <x:c r="F901" s="58" t="inlineStr">
        <x:is>
          <x:t xml:space="preserve">COMPILED_2026-08-15_LAKE_BUILD_PASS</x:t>
        </x:is>
      </x:c>
      <x:c r="G901" s="58" t="inlineStr">
        <x:is>
          <x:t xml:space="preserve">NO_SORRY_OR_ADMIT_STATIC_SCAN</x:t>
        </x:is>
      </x:c>
      <x:c r="H901" s="58" t="inlineStr">
        <x:is>
          <x:t xml:space="preserve">UNIQUE_THEOREM_COMPILED_LOCAL</x:t>
        </x:is>
      </x:c>
      <x:c r="I901" s="58" t="inlineStr">
        <x:is>
          <x:t xml:space="preserve">0</x:t>
        </x:is>
      </x:c>
      <x:c r="J901" s="58" t="n"/>
      <x:c r="K901" s="58" t="inlineStr">
        <x:is>
          <x:t xml:space="preserve">FORMAL_DEPENDENCY_SHAPE_ONLY</x:t>
        </x:is>
      </x:c>
      <x:c r="L901" s="59" t="inlineStr">
        <x:is>
          <x:t xml:space="preserve">Formal dependency extraction only; public claim requires boundary text.</x:t>
        </x:is>
      </x:c>
    </x:row>
    <x:row r="902">
      <x:c r="A902" s="57" t="inlineStr">
        <x:is>
          <x:t xml:space="preserve">consciousness_not_second_axiom</x:t>
        </x:is>
      </x:c>
      <x:c r="B902" s="58" t="inlineStr">
        <x:is>
          <x:t xml:space="preserve">theorem</x:t>
        </x:is>
      </x:c>
      <x:c r="C902" s="58" t="inlineStr">
        <x:is>
          <x:t xml:space="preserve">theophysics-lean-main\theophysics-lean-main\CanonOneAxiomProbe.lean</x:t>
        </x:is>
      </x:c>
      <x:c r="D902" s="58" t="inlineStr">
        <x:is>
          <x:t xml:space="preserve">64</x:t>
        </x:is>
      </x:c>
      <x:c r="E902" s="58" t="inlineStr">
        <x:is>
          <x:t xml:space="preserve">THEOREM_FROM_SINGLE_ROOT_AXIOM</x:t>
        </x:is>
      </x:c>
      <x:c r="F902" s="58" t="inlineStr">
        <x:is>
          <x:t xml:space="preserve">COMPILED_2026-08-15_LAKE_BUILD_PASS</x:t>
        </x:is>
      </x:c>
      <x:c r="G902" s="58" t="inlineStr">
        <x:is>
          <x:t xml:space="preserve">NO_SORRY_OR_ADMIT_STATIC_SCAN</x:t>
        </x:is>
      </x:c>
      <x:c r="H902" s="58" t="inlineStr">
        <x:is>
          <x:t xml:space="preserve">UNIQUE_THEOREM_COMPILED_LOCAL</x:t>
        </x:is>
      </x:c>
      <x:c r="I902" s="58" t="inlineStr">
        <x:is>
          <x:t xml:space="preserve">0</x:t>
        </x:is>
      </x:c>
      <x:c r="J902" s="58" t="n"/>
      <x:c r="K902" s="58" t="inlineStr">
        <x:is>
          <x:t xml:space="preserve">FORMAL_DEPENDENCY_SHAPE_ONLY</x:t>
        </x:is>
      </x:c>
      <x:c r="L902" s="59" t="inlineStr">
        <x:is>
          <x:t xml:space="preserve">Shows mirror/consciousness fields project from root, not a separate axiom.</x:t>
        </x:is>
      </x:c>
    </x:row>
    <x:row r="903">
      <x:c r="A903" s="57" t="inlineStr">
        <x:is>
          <x:t xml:space="preserve">no_extra_root_needed_for_mirror</x:t>
        </x:is>
      </x:c>
      <x:c r="B903" s="58" t="inlineStr">
        <x:is>
          <x:t xml:space="preserve">theorem</x:t>
        </x:is>
      </x:c>
      <x:c r="C903" s="58" t="inlineStr">
        <x:is>
          <x:t xml:space="preserve">theophysics-lean-main\theophysics-lean-main\CanonOneAxiomProbe.lean</x:t>
        </x:is>
      </x:c>
      <x:c r="D903" s="58" t="inlineStr">
        <x:is>
          <x:t xml:space="preserve">68</x:t>
        </x:is>
      </x:c>
      <x:c r="E903" s="58" t="inlineStr">
        <x:is>
          <x:t xml:space="preserve">THEOREM_FROM_SINGLE_ROOT_AXIOM</x:t>
        </x:is>
      </x:c>
      <x:c r="F903" s="58" t="inlineStr">
        <x:is>
          <x:t xml:space="preserve">COMPILED_2026-08-15_LAKE_BUILD_PASS</x:t>
        </x:is>
      </x:c>
      <x:c r="G903" s="58" t="inlineStr">
        <x:is>
          <x:t xml:space="preserve">NO_SORRY_OR_ADMIT_STATIC_SCAN</x:t>
        </x:is>
      </x:c>
      <x:c r="H903" s="58" t="inlineStr">
        <x:is>
          <x:t xml:space="preserve">UNIQUE_THEOREM_COMPILED_LOCAL</x:t>
        </x:is>
      </x:c>
      <x:c r="I903" s="58" t="inlineStr">
        <x:is>
          <x:t xml:space="preserve">0</x:t>
        </x:is>
      </x:c>
      <x:c r="J903" s="58" t="n"/>
      <x:c r="K903" s="58" t="inlineStr">
        <x:is>
          <x:t xml:space="preserve">FORMAL_DEPENDENCY_SHAPE_ONLY</x:t>
        </x:is>
      </x:c>
      <x:c r="L903" s="59" t="inlineStr">
        <x:is>
          <x:t xml:space="preserve">Existential mirror witness comes from admitted root fields.</x:t>
        </x:is>
      </x:c>
    </x:row>
    <x:row r="904">
      <x:c r="A904" s="57" t="inlineStr">
        <x:is>
          <x:t xml:space="preserve">three_persons_pairwise_distinct</x:t>
        </x:is>
      </x:c>
      <x:c r="B904" s="58" t="inlineStr">
        <x:is>
          <x:t xml:space="preserve">theorem</x:t>
        </x:is>
      </x:c>
      <x:c r="C904" s="58" t="inlineStr">
        <x:is>
          <x:t xml:space="preserve">theophysics-lean-main\theophysics-lean-main\CanonOneAxiomProbe.lean</x:t>
        </x:is>
      </x:c>
      <x:c r="D904" s="58" t="inlineStr">
        <x:is>
          <x:t xml:space="preserve">72</x:t>
        </x:is>
      </x:c>
      <x:c r="E904" s="58" t="inlineStr">
        <x:is>
          <x:t xml:space="preserve">THEOREM_FROM_SINGLE_ROOT_AXIOM</x:t>
        </x:is>
      </x:c>
      <x:c r="F904" s="58" t="inlineStr">
        <x:is>
          <x:t xml:space="preserve">COMPILED_2026-08-15_LAKE_BUILD_PASS</x:t>
        </x:is>
      </x:c>
      <x:c r="G904" s="58" t="inlineStr">
        <x:is>
          <x:t xml:space="preserve">NO_SORRY_OR_ADMIT_STATIC_SCAN</x:t>
        </x:is>
      </x:c>
      <x:c r="H904" s="58" t="inlineStr">
        <x:is>
          <x:t xml:space="preserve">UNIQUE_THEOREM_COMPILED_LOCAL</x:t>
        </x:is>
      </x:c>
      <x:c r="I904" s="58" t="inlineStr">
        <x:is>
          <x:t xml:space="preserve">0</x:t>
        </x:is>
      </x:c>
      <x:c r="J904" s="58" t="n"/>
      <x:c r="K904" s="58" t="inlineStr">
        <x:is>
          <x:t xml:space="preserve">FORMAL_DEPENDENCY_SHAPE_ONLY</x:t>
        </x:is>
      </x:c>
      <x:c r="L904" s="59" t="inlineStr">
        <x:is>
          <x:t xml:space="preserve">Three-person distinctness is encoded in the admitted root structure.</x:t>
        </x:is>
      </x:c>
    </x:row>
  </x:sheetData>
  <x:mergeCells>
    <x:mergeCell ref="A2:H2"/>
    <x:mergeCell ref="A1:H1"/>
  </x:mergeCells>
  <x:pageMargins left="0.7" right="0.7" top="0.75" bottom="0.75" header="0.3" footer="0.3"/>
</x:worksheet>
</file>

<file path=xl/worksheets/sheet16.xml><?xml version="1.0" encoding="utf-8"?>
<x:worksheet xmlns:x="http://schemas.openxmlformats.org/spreadsheetml/2006/main">
  <x:sheetPr>
    <x:tabColor rgb="FF2E75B6"/>
  </x:sheetPr>
  <x:sheetViews>
    <x:sheetView showGridLines="0" workbookViewId="0"/>
  </x:sheetViews>
  <x:sheetFormatPr baseColWidth="8" defaultRowHeight="13.800000190734863"/>
  <x:cols>
    <x:col min="1" max="1" width="15.5546875" style="49" customWidth="1"/>
    <x:col min="2" max="2" width="53.33203125" style="49" customWidth="1"/>
    <x:col min="3" max="3" width="33.33203125" style="49" customWidth="1"/>
    <x:col min="4" max="4" width="20" style="49" customWidth="1"/>
    <x:col min="5" max="7" width="17.77734375" style="49" customWidth="1"/>
    <x:col min="8" max="8" width="20" style="49" customWidth="1"/>
    <x:col min="9" max="9" width="48.88671875" style="49" customWidth="1"/>
    <x:col min="10" max="10" width="13.33203125" style="49" customWidth="1"/>
    <x:col min="11" max="11" width="60" style="49" customWidth="1"/>
    <x:col min="12" max="12" width="37.77734375" style="49" customWidth="1"/>
    <x:col min="13" max="13" width="26.6640625" style="49" customWidth="1"/>
    <x:col min="14" max="16" width="24.44140625" style="49" customWidth="1"/>
    <x:col min="17" max="18" width="22.21875" style="49" customWidth="1"/>
    <x:col min="19" max="19" width="24.44140625" style="49" customWidth="1"/>
    <x:col min="20" max="20" width="28.88671875" style="49" customWidth="1"/>
    <x:col min="21" max="21" width="22.21875" style="49" customWidth="1"/>
    <x:col min="22" max="22" width="66.6640625" style="49" customWidth="1"/>
    <x:col min="23" max="16384" width="8.88671875" style="49" customWidth="1"/>
  </x:cols>
  <x:sheetData>
    <x:row r="1" ht="28.200000762939453" customHeight="1">
      <x:c r="A1" s="18" t="inlineStr">
        <x:is>
          <x:t xml:space="preserve">claim_id</x:t>
        </x:is>
      </x:c>
      <x:c r="B1" s="18" t="inlineStr">
        <x:is>
          <x:t xml:space="preserve">public_claim_text</x:t>
        </x:is>
      </x:c>
      <x:c r="C1" s="18" t="inlineStr">
        <x:is>
          <x:t xml:space="preserve">claim_type</x:t>
        </x:is>
      </x:c>
      <x:c r="D1" s="18" t="inlineStr">
        <x:is>
          <x:t xml:space="preserve">definition_status</x:t>
        </x:is>
      </x:c>
      <x:c r="E1" s="18" t="inlineStr">
        <x:is>
          <x:t xml:space="preserve">parent</x:t>
        </x:is>
      </x:c>
      <x:c r="F1" s="18" t="inlineStr">
        <x:is>
          <x:t xml:space="preserve">symmetry</x:t>
        </x:is>
      </x:c>
      <x:c r="G1" s="18" t="inlineStr">
        <x:is>
          <x:t xml:space="preserve">charge</x:t>
        </x:is>
      </x:c>
      <x:c r="H1" s="18" t="inlineStr">
        <x:is>
          <x:t xml:space="preserve">meaning</x:t>
        </x:is>
      </x:c>
      <x:c r="I1" s="18" t="inlineStr">
        <x:is>
          <x:t xml:space="preserve">exact_lean_source</x:t>
        </x:is>
      </x:c>
      <x:c r="J1" s="18" t="inlineStr">
        <x:is>
          <x:t xml:space="preserve">lean_line</x:t>
        </x:is>
      </x:c>
      <x:c r="K1" s="18" t="inlineStr">
        <x:is>
          <x:t xml:space="preserve">literal_lean_statement</x:t>
        </x:is>
      </x:c>
      <x:c r="L1" s="18" t="inlineStr">
        <x:is>
          <x:t xml:space="preserve">theorem_name</x:t>
        </x:is>
      </x:c>
      <x:c r="M1" s="18" t="inlineStr">
        <x:is>
          <x:t xml:space="preserve">lean_match_status</x:t>
        </x:is>
      </x:c>
      <x:c r="N1" s="18" t="inlineStr">
        <x:is>
          <x:t xml:space="preserve">python_support_status</x:t>
        </x:is>
      </x:c>
      <x:c r="O1" s="18" t="inlineStr">
        <x:is>
          <x:t xml:space="preserve">colab_support_status</x:t>
        </x:is>
      </x:c>
      <x:c r="P1" s="18" t="inlineStr">
        <x:is>
          <x:t xml:space="preserve">wolfram_support_status</x:t>
        </x:is>
      </x:c>
      <x:c r="Q1" s="18" t="inlineStr">
        <x:is>
          <x:t xml:space="preserve">empirical_status</x:t>
        </x:is>
      </x:c>
      <x:c r="R1" s="18" t="inlineStr">
        <x:is>
          <x:t xml:space="preserve">numerical_status</x:t>
        </x:is>
      </x:c>
      <x:c r="S1" s="18" t="inlineStr">
        <x:is>
          <x:t xml:space="preserve">interpretation_status</x:t>
        </x:is>
      </x:c>
      <x:c r="T1" s="18" t="inlineStr">
        <x:is>
          <x:t xml:space="preserve">public_claim_supported</x:t>
        </x:is>
      </x:c>
      <x:c r="U1" s="18" t="inlineStr">
        <x:is>
          <x:t xml:space="preserve">kill_condition</x:t>
        </x:is>
      </x:c>
      <x:c r="V1" s="18" t="inlineStr">
        <x:is>
          <x:t xml:space="preserve">notes</x:t>
        </x:is>
      </x:c>
    </x:row>
    <x:row r="2" ht="55.20000076293945" customHeight="1">
      <x:c r="A2" s="20" t="inlineStr">
        <x:is>
          <x:t xml:space="preserve">1</x:t>
        </x:is>
      </x:c>
      <x:c r="B2" s="20" t="inlineStr">
        <x:is>
          <x:t xml:space="preserve">C0 ≠ C1 — the two coupling states are structurally distinct</x:t>
        </x:is>
      </x:c>
      <x:c r="C2" s="20" t="inlineStr">
        <x:is>
          <x:t xml:space="preserve">C2 - Structural correspondence candidate</x:t>
        </x:is>
      </x:c>
      <x:c r="D2" s="21" t="inlineStr">
        <x:is>
          <x:t xml:space="preserve">PLACEHOLDER</x:t>
        </x:is>
      </x:c>
      <x:c r="E2" s="22" t="inlineStr">
        <x:is>
          <x:t xml:space="preserve">MISSING</x:t>
        </x:is>
      </x:c>
      <x:c r="F2" s="22" t="inlineStr">
        <x:is>
          <x:t xml:space="preserve">MISSING</x:t>
        </x:is>
      </x:c>
      <x:c r="G2" s="22" t="inlineStr">
        <x:is>
          <x:t xml:space="preserve">MISSING</x:t>
        </x:is>
      </x:c>
      <x:c r="H2" s="22" t="inlineStr">
        <x:is>
          <x:t xml:space="preserve">MISSING</x:t>
        </x:is>
      </x:c>
      <x:c r="I2" s="20" t="inlineStr">
        <x:is>
          <x:t xml:space="preserve">theophysics-lean-main\theophysics-lean-main\Final_Lean4_From_Excel.lean</x:t>
        </x:is>
      </x:c>
      <x:c r="J2" s="20" t="inlineStr">
        <x:is>
          <x:t xml:space="preserve">26</x:t>
        </x:is>
      </x:c>
      <x:c r="K2" s="20" t="inlineStr">
        <x:is>
          <x:t xml:space="preserve">theorem C0_ne_C1 : CouplingState.C0 ≠ CouplingState.C1</x:t>
        </x:is>
      </x:c>
      <x:c r="L2" s="20" t="inlineStr">
        <x:is>
          <x:t xml:space="preserve">C0_ne_C1</x:t>
        </x:is>
      </x:c>
      <x:c r="M2" s="23" t="inlineStr">
        <x:is>
          <x:t xml:space="preserve">PARTIAL</x:t>
        </x:is>
      </x:c>
      <x:c r="N2" s="21" t="inlineStr">
        <x:is>
          <x:t xml:space="preserve">PLACEHOLDER</x:t>
        </x:is>
      </x:c>
      <x:c r="O2" s="21" t="inlineStr">
        <x:is>
          <x:t xml:space="preserve">PLACEHOLDER</x:t>
        </x:is>
      </x:c>
      <x:c r="P2" s="22" t="inlineStr">
        <x:is>
          <x:t xml:space="preserve">MISSING</x:t>
        </x:is>
      </x:c>
      <x:c r="Q2" s="21" t="inlineStr">
        <x:is>
          <x:t xml:space="preserve">PLACEHOLDER</x:t>
        </x:is>
      </x:c>
      <x:c r="R2" s="21" t="inlineStr">
        <x:is>
          <x:t xml:space="preserve">PLACEHOLDER</x:t>
        </x:is>
      </x:c>
      <x:c r="S2" s="21" t="inlineStr">
        <x:is>
          <x:t xml:space="preserve">PLACEHOLDER</x:t>
        </x:is>
      </x:c>
      <x:c r="T2" s="23" t="inlineStr">
        <x:is>
          <x:t xml:space="preserve">PARTIAL</x:t>
        </x:is>
      </x:c>
      <x:c r="U2" s="21" t="inlineStr">
        <x:is>
          <x:t xml:space="preserve">PLACEHOLDER</x:t>
        </x:is>
      </x:c>
      <x:c r="V2" s="20" t="inlineStr">
        <x:is>
          <x:t xml:space="preserve">lean_match_count=8 | proof_strength=FINITE_DECIDABLE | Finite/decidable proof; check candidate-space limits. | definition/proof/numerical/empirical/interp fields still staged as TODO placeholders</x:t>
        </x:is>
      </x:c>
    </x:row>
    <x:row r="3" ht="55.20000076293945" customHeight="1">
      <x:c r="A3" s="20" t="inlineStr">
        <x:is>
          <x:t xml:space="preserve">2</x:t>
        </x:is>
      </x:c>
      <x:c r="B3" s="20" t="inlineStr">
        <x:is>
          <x:t xml:space="preserve">C1 ≠ C0 (symmetric direction)</x:t>
        </x:is>
      </x:c>
      <x:c r="C3" s="20" t="inlineStr">
        <x:is>
          <x:t xml:space="preserve">C2 - Structural correspondence candidate</x:t>
        </x:is>
      </x:c>
      <x:c r="D3" s="21" t="inlineStr">
        <x:is>
          <x:t xml:space="preserve">PLACEHOLDER</x:t>
        </x:is>
      </x:c>
      <x:c r="E3" s="22" t="inlineStr">
        <x:is>
          <x:t xml:space="preserve">MISSING</x:t>
        </x:is>
      </x:c>
      <x:c r="F3" s="23" t="inlineStr">
        <x:is>
          <x:t xml:space="preserve">PARTIAL</x:t>
        </x:is>
      </x:c>
      <x:c r="G3" s="22" t="inlineStr">
        <x:is>
          <x:t xml:space="preserve">MISSING</x:t>
        </x:is>
      </x:c>
      <x:c r="H3" s="22" t="inlineStr">
        <x:is>
          <x:t xml:space="preserve">MISSING</x:t>
        </x:is>
      </x:c>
      <x:c r="I3" s="20" t="inlineStr">
        <x:is>
          <x:t xml:space="preserve">theophysics-lean-main\theophysics-lean-main\Final_Lean4_From_Excel.lean</x:t>
        </x:is>
      </x:c>
      <x:c r="J3" s="20" t="inlineStr">
        <x:is>
          <x:t xml:space="preserve">29</x:t>
        </x:is>
      </x:c>
      <x:c r="K3" s="20" t="inlineStr">
        <x:is>
          <x:t xml:space="preserve">theorem C1_ne_C0 : CouplingState.C1 ≠ CouplingState.C0</x:t>
        </x:is>
      </x:c>
      <x:c r="L3" s="20" t="inlineStr">
        <x:is>
          <x:t xml:space="preserve">C1_ne_C0</x:t>
        </x:is>
      </x:c>
      <x:c r="M3" s="23" t="inlineStr">
        <x:is>
          <x:t xml:space="preserve">PARTIAL</x:t>
        </x:is>
      </x:c>
      <x:c r="N3" s="21" t="inlineStr">
        <x:is>
          <x:t xml:space="preserve">PLACEHOLDER</x:t>
        </x:is>
      </x:c>
      <x:c r="O3" s="21" t="inlineStr">
        <x:is>
          <x:t xml:space="preserve">PLACEHOLDER</x:t>
        </x:is>
      </x:c>
      <x:c r="P3" s="22" t="inlineStr">
        <x:is>
          <x:t xml:space="preserve">MISSING</x:t>
        </x:is>
      </x:c>
      <x:c r="Q3" s="21" t="inlineStr">
        <x:is>
          <x:t xml:space="preserve">PLACEHOLDER</x:t>
        </x:is>
      </x:c>
      <x:c r="R3" s="21" t="inlineStr">
        <x:is>
          <x:t xml:space="preserve">PLACEHOLDER</x:t>
        </x:is>
      </x:c>
      <x:c r="S3" s="21" t="inlineStr">
        <x:is>
          <x:t xml:space="preserve">PLACEHOLDER</x:t>
        </x:is>
      </x:c>
      <x:c r="T3" s="23" t="inlineStr">
        <x:is>
          <x:t xml:space="preserve">PARTIAL</x:t>
        </x:is>
      </x:c>
      <x:c r="U3" s="21" t="inlineStr">
        <x:is>
          <x:t xml:space="preserve">PLACEHOLDER</x:t>
        </x:is>
      </x:c>
      <x:c r="V3" s="20" t="inlineStr">
        <x:is>
          <x:t xml:space="preserve">lean_match_count=8 | proof_strength=FINITE_DECIDABLE | Finite/decidable proof; check candidate-space limits. | definition/proof/numerical/empirical/interp fields still staged as TODO placeholders</x:t>
        </x:is>
      </x:c>
    </x:row>
    <x:row r="4" ht="55.20000076293945" customHeight="1">
      <x:c r="A4" s="20" t="inlineStr">
        <x:is>
          <x:t xml:space="preserve">3</x:t>
        </x:is>
      </x:c>
      <x:c r="B4" s="20" t="inlineStr">
        <x:is>
          <x:t xml:space="preserve">C0 → C1 is one-way; C1 → C0 has no constructor. The transition cannot be undone.</x:t>
        </x:is>
      </x:c>
      <x:c r="C4" s="20" t="inlineStr">
        <x:is>
          <x:t xml:space="preserve">C2 - Structural correspondence candidate</x:t>
        </x:is>
      </x:c>
      <x:c r="D4" s="21" t="inlineStr">
        <x:is>
          <x:t xml:space="preserve">PLACEHOLDER</x:t>
        </x:is>
      </x:c>
      <x:c r="E4" s="22" t="inlineStr">
        <x:is>
          <x:t xml:space="preserve">MISSING</x:t>
        </x:is>
      </x:c>
      <x:c r="F4" s="22" t="inlineStr">
        <x:is>
          <x:t xml:space="preserve">MISSING</x:t>
        </x:is>
      </x:c>
      <x:c r="G4" s="22" t="inlineStr">
        <x:is>
          <x:t xml:space="preserve">MISSING</x:t>
        </x:is>
      </x:c>
      <x:c r="H4" s="22" t="inlineStr">
        <x:is>
          <x:t xml:space="preserve">MISSING</x:t>
        </x:is>
      </x:c>
      <x:c r="I4" s="20" t="inlineStr">
        <x:is>
          <x:t xml:space="preserve">theophysics-lean-main\theophysics-lean-main\Final_Lean4_From_Excel.lean</x:t>
        </x:is>
      </x:c>
      <x:c r="J4" s="20" t="inlineStr">
        <x:is>
          <x:t xml:space="preserve">32</x:t>
        </x:is>
      </x:c>
      <x:c r="K4" s="20" t="inlineStr">
        <x:is>
          <x:t xml:space="preserve">theorem coupling_modification_irreversible : ¬ ∃ x, transition x = some CouplingState.C0</x:t>
        </x:is>
      </x:c>
      <x:c r="L4" s="20" t="inlineStr">
        <x:is>
          <x:t xml:space="preserve">coupling_modification_irreversible</x:t>
        </x:is>
      </x:c>
      <x:c r="M4" s="23" t="inlineStr">
        <x:is>
          <x:t xml:space="preserve">PARTIAL</x:t>
        </x:is>
      </x:c>
      <x:c r="N4" s="21" t="inlineStr">
        <x:is>
          <x:t xml:space="preserve">PLACEHOLDER</x:t>
        </x:is>
      </x:c>
      <x:c r="O4" s="21" t="inlineStr">
        <x:is>
          <x:t xml:space="preserve">PLACEHOLDER</x:t>
        </x:is>
      </x:c>
      <x:c r="P4" s="22" t="inlineStr">
        <x:is>
          <x:t xml:space="preserve">MISSING</x:t>
        </x:is>
      </x:c>
      <x:c r="Q4" s="21" t="inlineStr">
        <x:is>
          <x:t xml:space="preserve">PLACEHOLDER</x:t>
        </x:is>
      </x:c>
      <x:c r="R4" s="21" t="inlineStr">
        <x:is>
          <x:t xml:space="preserve">PLACEHOLDER</x:t>
        </x:is>
      </x:c>
      <x:c r="S4" s="21" t="inlineStr">
        <x:is>
          <x:t xml:space="preserve">PLACEHOLDER</x:t>
        </x:is>
      </x:c>
      <x:c r="T4" s="23" t="inlineStr">
        <x:is>
          <x:t xml:space="preserve">PARTIAL</x:t>
        </x:is>
      </x:c>
      <x:c r="U4" s="21" t="inlineStr">
        <x:is>
          <x:t xml:space="preserve">PLACEHOLDER</x:t>
        </x:is>
      </x:c>
      <x:c r="V4" s="20" t="inlineStr">
        <x:is>
          <x:t xml:space="preserve">lean_match_count=8 | proof_strength=WRAPPER_OR_IMPORTED | Likely delegates to another theorem; cite underlying theorem too. | definition/proof/numerical/empirical/interp fields still staged as TODO placeholders</x:t>
        </x:is>
      </x:c>
    </x:row>
    <x:row r="5" ht="55.20000076293945" customHeight="1">
      <x:c r="A5" s="20" t="inlineStr">
        <x:is>
          <x:t xml:space="preserve">4</x:t>
        </x:is>
      </x:c>
      <x:c r="B5" s="20" t="inlineStr">
        <x:is>
          <x:t xml:space="preserve">If Q = 0, then χ = 0 regardless of all other factors. Any single zero kills the product.</x:t>
        </x:is>
      </x:c>
      <x:c r="C5" s="20" t="inlineStr">
        <x:is>
          <x:t xml:space="preserve">C2 - Structural correspondence candidate</x:t>
        </x:is>
      </x:c>
      <x:c r="D5" s="21" t="inlineStr">
        <x:is>
          <x:t xml:space="preserve">PLACEHOLDER</x:t>
        </x:is>
      </x:c>
      <x:c r="E5" s="22" t="inlineStr">
        <x:is>
          <x:t xml:space="preserve">MISSING</x:t>
        </x:is>
      </x:c>
      <x:c r="F5" s="22" t="inlineStr">
        <x:is>
          <x:t xml:space="preserve">MISSING</x:t>
        </x:is>
      </x:c>
      <x:c r="G5" s="23" t="inlineStr">
        <x:is>
          <x:t xml:space="preserve">PARTIAL</x:t>
        </x:is>
      </x:c>
      <x:c r="H5" s="22" t="inlineStr">
        <x:is>
          <x:t xml:space="preserve">MISSING</x:t>
        </x:is>
      </x:c>
      <x:c r="I5" s="20" t="inlineStr">
        <x:is>
          <x:t xml:space="preserve">theophysics-lean-main\theophysics-lean-main\Final_Lean4_From_Excel.lean</x:t>
        </x:is>
      </x:c>
      <x:c r="J5" s="20" t="inlineStr">
        <x:is>
          <x:t xml:space="preserve">88</x:t>
        </x:is>
      </x:c>
      <x:c r="K5" s="20" t="inlineStr">
        <x:is>
          <x:t xml:space="preserve">theorem Q_zero_collapses_chi (x : FactorState) (h : x.Q = 0) : chi x = 0</x:t>
        </x:is>
      </x:c>
      <x:c r="L5" s="20" t="inlineStr">
        <x:is>
          <x:t xml:space="preserve">Q_zero_collapses_chi</x:t>
        </x:is>
      </x:c>
      <x:c r="M5" s="23" t="inlineStr">
        <x:is>
          <x:t xml:space="preserve">PARTIAL</x:t>
        </x:is>
      </x:c>
      <x:c r="N5" s="21" t="inlineStr">
        <x:is>
          <x:t xml:space="preserve">PLACEHOLDER</x:t>
        </x:is>
      </x:c>
      <x:c r="O5" s="21" t="inlineStr">
        <x:is>
          <x:t xml:space="preserve">PLACEHOLDER</x:t>
        </x:is>
      </x:c>
      <x:c r="P5" s="22" t="inlineStr">
        <x:is>
          <x:t xml:space="preserve">MISSING</x:t>
        </x:is>
      </x:c>
      <x:c r="Q5" s="21" t="inlineStr">
        <x:is>
          <x:t xml:space="preserve">PLACEHOLDER</x:t>
        </x:is>
      </x:c>
      <x:c r="R5" s="21" t="inlineStr">
        <x:is>
          <x:t xml:space="preserve">PLACEHOLDER</x:t>
        </x:is>
      </x:c>
      <x:c r="S5" s="21" t="inlineStr">
        <x:is>
          <x:t xml:space="preserve">PLACEHOLDER</x:t>
        </x:is>
      </x:c>
      <x:c r="T5" s="23" t="inlineStr">
        <x:is>
          <x:t xml:space="preserve">PARTIAL</x:t>
        </x:is>
      </x:c>
      <x:c r="U5" s="21" t="inlineStr">
        <x:is>
          <x:t xml:space="preserve">PLACEHOLDER</x:t>
        </x:is>
      </x:c>
      <x:c r="V5" s="20" t="inlineStr">
        <x:is>
          <x:t xml:space="preserve">lean_match_count=8 | proof_strength=SIMPLIFICATION | Follows by simplification under definitions; check definition strength. | definition/proof/numerical/empirical/interp fields still staged as TODO placeholders</x:t>
        </x:is>
      </x:c>
    </x:row>
    <x:row r="6" ht="69" customHeight="1">
      <x:c r="A6" s="20" t="inlineStr">
        <x:is>
          <x:t xml:space="preserve">5</x:t>
        </x:is>
      </x:c>
      <x:c r="B6" s="20" t="inlineStr">
        <x:is>
          <x:t xml:space="preserve">Q &gt; 0 does NOT guarantee χ &gt; 0 (G = 0 still kills it). No single factor saves you.</x:t>
        </x:is>
      </x:c>
      <x:c r="C6" s="20" t="inlineStr">
        <x:is>
          <x:t xml:space="preserve">C2 - Structural correspondence candidate</x:t>
        </x:is>
      </x:c>
      <x:c r="D6" s="21" t="inlineStr">
        <x:is>
          <x:t xml:space="preserve">PLACEHOLDER</x:t>
        </x:is>
      </x:c>
      <x:c r="E6" s="22" t="inlineStr">
        <x:is>
          <x:t xml:space="preserve">MISSING</x:t>
        </x:is>
      </x:c>
      <x:c r="F6" s="22" t="inlineStr">
        <x:is>
          <x:t xml:space="preserve">MISSING</x:t>
        </x:is>
      </x:c>
      <x:c r="G6" s="23" t="inlineStr">
        <x:is>
          <x:t xml:space="preserve">PARTIAL</x:t>
        </x:is>
      </x:c>
      <x:c r="H6" s="22" t="inlineStr">
        <x:is>
          <x:t xml:space="preserve">MISSING</x:t>
        </x:is>
      </x:c>
      <x:c r="I6" s="20" t="inlineStr">
        <x:is>
          <x:t xml:space="preserve">theophysics-lean-main\theophysics-lean-main\Final_Lean4_From_Excel.lean</x:t>
        </x:is>
      </x:c>
      <x:c r="J6" s="20" t="inlineStr">
        <x:is>
          <x:t xml:space="preserve">122</x:t>
        </x:is>
      </x:c>
      <x:c r="K6" s="20" t="inlineStr">
        <x:is>
          <x:t xml:space="preserve">theorem Q_nonzero_not_sufficient_for_positive_chi (x : FactorState) (hQ : x.Q &gt; 0) (hG : x.G = 0) : ¬ chi x &gt; 0</x:t>
        </x:is>
      </x:c>
      <x:c r="L6" s="20" t="inlineStr">
        <x:is>
          <x:t xml:space="preserve">Q_nonzero_not_sufficient_for_positive_chi</x:t>
        </x:is>
      </x:c>
      <x:c r="M6" s="23" t="inlineStr">
        <x:is>
          <x:t xml:space="preserve">PARTIAL</x:t>
        </x:is>
      </x:c>
      <x:c r="N6" s="21" t="inlineStr">
        <x:is>
          <x:t xml:space="preserve">PLACEHOLDER</x:t>
        </x:is>
      </x:c>
      <x:c r="O6" s="21" t="inlineStr">
        <x:is>
          <x:t xml:space="preserve">PLACEHOLDER</x:t>
        </x:is>
      </x:c>
      <x:c r="P6" s="22" t="inlineStr">
        <x:is>
          <x:t xml:space="preserve">MISSING</x:t>
        </x:is>
      </x:c>
      <x:c r="Q6" s="21" t="inlineStr">
        <x:is>
          <x:t xml:space="preserve">PLACEHOLDER</x:t>
        </x:is>
      </x:c>
      <x:c r="R6" s="21" t="inlineStr">
        <x:is>
          <x:t xml:space="preserve">PLACEHOLDER</x:t>
        </x:is>
      </x:c>
      <x:c r="S6" s="21" t="inlineStr">
        <x:is>
          <x:t xml:space="preserve">PLACEHOLDER</x:t>
        </x:is>
      </x:c>
      <x:c r="T6" s="23" t="inlineStr">
        <x:is>
          <x:t xml:space="preserve">PARTIAL</x:t>
        </x:is>
      </x:c>
      <x:c r="U6" s="21" t="inlineStr">
        <x:is>
          <x:t xml:space="preserve">PLACEHOLDER</x:t>
        </x:is>
      </x:c>
      <x:c r="V6" s="20" t="inlineStr">
        <x:is>
          <x:t xml:space="preserve">lean_match_count=4 | proof_strength=SUBSTANTIVE_OR_CASE_PROOF | Appears to contain an actual proof body; inspect before public citation. | definition/proof/numerical/empirical/interp fields still staged as TODO placeholders</x:t>
        </x:is>
      </x:c>
    </x:row>
    <x:row r="7" ht="55.20000076293945" customHeight="1">
      <x:c r="A7" s="20" t="inlineStr">
        <x:is>
          <x:t xml:space="preserve">6</x:t>
        </x:is>
      </x:c>
      <x:c r="B7" s="20" t="inlineStr">
        <x:is>
          <x:t xml:space="preserve">preLocalization can reach localization</x:t>
        </x:is>
      </x:c>
      <x:c r="C7" s="20" t="inlineStr">
        <x:is>
          <x:t xml:space="preserve">C2 - Structural correspondence candidate</x:t>
        </x:is>
      </x:c>
      <x:c r="D7" s="21" t="inlineStr">
        <x:is>
          <x:t xml:space="preserve">PLACEHOLDER</x:t>
        </x:is>
      </x:c>
      <x:c r="E7" s="22" t="inlineStr">
        <x:is>
          <x:t xml:space="preserve">MISSING</x:t>
        </x:is>
      </x:c>
      <x:c r="F7" s="22" t="inlineStr">
        <x:is>
          <x:t xml:space="preserve">MISSING</x:t>
        </x:is>
      </x:c>
      <x:c r="G7" s="22" t="inlineStr">
        <x:is>
          <x:t xml:space="preserve">MISSING</x:t>
        </x:is>
      </x:c>
      <x:c r="H7" s="22" t="inlineStr">
        <x:is>
          <x:t xml:space="preserve">MISSING</x:t>
        </x:is>
      </x:c>
      <x:c r="I7" s="20" t="inlineStr">
        <x:is>
          <x:t xml:space="preserve">theophysics-lean-main\theophysics-lean-main\Theophysics_Core.lean</x:t>
        </x:is>
      </x:c>
      <x:c r="J7" s="20" t="inlineStr">
        <x:is>
          <x:t xml:space="preserve">36</x:t>
        </x:is>
      </x:c>
      <x:c r="K7" s="20" t="inlineStr">
        <x:is>
          <x:t xml:space="preserve">theorem reaches_localization_from_pre : True</x:t>
        </x:is>
      </x:c>
      <x:c r="L7" s="20" t="inlineStr">
        <x:is>
          <x:t xml:space="preserve">reaches_localization_from_pre</x:t>
        </x:is>
      </x:c>
      <x:c r="M7" s="23" t="inlineStr">
        <x:is>
          <x:t xml:space="preserve">PARTIAL</x:t>
        </x:is>
      </x:c>
      <x:c r="N7" s="21" t="inlineStr">
        <x:is>
          <x:t xml:space="preserve">PLACEHOLDER</x:t>
        </x:is>
      </x:c>
      <x:c r="O7" s="21" t="inlineStr">
        <x:is>
          <x:t xml:space="preserve">PLACEHOLDER</x:t>
        </x:is>
      </x:c>
      <x:c r="P7" s="22" t="inlineStr">
        <x:is>
          <x:t xml:space="preserve">MISSING</x:t>
        </x:is>
      </x:c>
      <x:c r="Q7" s="21" t="inlineStr">
        <x:is>
          <x:t xml:space="preserve">PLACEHOLDER</x:t>
        </x:is>
      </x:c>
      <x:c r="R7" s="21" t="inlineStr">
        <x:is>
          <x:t xml:space="preserve">PLACEHOLDER</x:t>
        </x:is>
      </x:c>
      <x:c r="S7" s="21" t="inlineStr">
        <x:is>
          <x:t xml:space="preserve">PLACEHOLDER</x:t>
        </x:is>
      </x:c>
      <x:c r="T7" s="23" t="inlineStr">
        <x:is>
          <x:t xml:space="preserve">PARTIAL</x:t>
        </x:is>
      </x:c>
      <x:c r="U7" s="21" t="inlineStr">
        <x:is>
          <x:t xml:space="preserve">PLACEHOLDER</x:t>
        </x:is>
      </x:c>
      <x:c r="V7" s="20" t="inlineStr">
        <x:is>
          <x:t xml:space="preserve">lean_match_count=4 | proof_strength=TRIVIAL_TRUE | Statement is `True`; theorem name may exceed formal content. | definition/proof/numerical/empirical/interp fields still staged as TODO placeholders</x:t>
        </x:is>
      </x:c>
    </x:row>
    <x:row r="8" ht="55.20000076293945" customHeight="1">
      <x:c r="A8" s="20" t="inlineStr">
        <x:is>
          <x:t xml:space="preserve">7</x:t>
        </x:is>
      </x:c>
      <x:c r="B8" s="20" t="inlineStr">
        <x:is>
          <x:t xml:space="preserve">Full 5-step sequence is reachable from preLocalization to redistribution</x:t>
        </x:is>
      </x:c>
      <x:c r="C8" s="20" t="inlineStr">
        <x:is>
          <x:t xml:space="preserve">C2 - Structural correspondence candidate</x:t>
        </x:is>
      </x:c>
      <x:c r="D8" s="21" t="inlineStr">
        <x:is>
          <x:t xml:space="preserve">PLACEHOLDER</x:t>
        </x:is>
      </x:c>
      <x:c r="E8" s="22" t="inlineStr">
        <x:is>
          <x:t xml:space="preserve">MISSING</x:t>
        </x:is>
      </x:c>
      <x:c r="F8" s="22" t="inlineStr">
        <x:is>
          <x:t xml:space="preserve">MISSING</x:t>
        </x:is>
      </x:c>
      <x:c r="G8" s="22" t="inlineStr">
        <x:is>
          <x:t xml:space="preserve">MISSING</x:t>
        </x:is>
      </x:c>
      <x:c r="H8" s="22" t="inlineStr">
        <x:is>
          <x:t xml:space="preserve">MISSING</x:t>
        </x:is>
      </x:c>
      <x:c r="I8" s="20" t="inlineStr">
        <x:is>
          <x:t xml:space="preserve">theophysics-lean-main\theophysics-lean-main\Theophysics_Core.lean</x:t>
        </x:is>
      </x:c>
      <x:c r="J8" s="20" t="inlineStr">
        <x:is>
          <x:t xml:space="preserve">37</x:t>
        </x:is>
      </x:c>
      <x:c r="K8" s="20" t="inlineStr">
        <x:is>
          <x:t xml:space="preserve">theorem reaches_redistribution_from_pre : True</x:t>
        </x:is>
      </x:c>
      <x:c r="L8" s="20" t="inlineStr">
        <x:is>
          <x:t xml:space="preserve">reaches_redistribution_from_pre</x:t>
        </x:is>
      </x:c>
      <x:c r="M8" s="23" t="inlineStr">
        <x:is>
          <x:t xml:space="preserve">PARTIAL</x:t>
        </x:is>
      </x:c>
      <x:c r="N8" s="21" t="inlineStr">
        <x:is>
          <x:t xml:space="preserve">PLACEHOLDER</x:t>
        </x:is>
      </x:c>
      <x:c r="O8" s="21" t="inlineStr">
        <x:is>
          <x:t xml:space="preserve">PLACEHOLDER</x:t>
        </x:is>
      </x:c>
      <x:c r="P8" s="22" t="inlineStr">
        <x:is>
          <x:t xml:space="preserve">MISSING</x:t>
        </x:is>
      </x:c>
      <x:c r="Q8" s="21" t="inlineStr">
        <x:is>
          <x:t xml:space="preserve">PLACEHOLDER</x:t>
        </x:is>
      </x:c>
      <x:c r="R8" s="21" t="inlineStr">
        <x:is>
          <x:t xml:space="preserve">PLACEHOLDER</x:t>
        </x:is>
      </x:c>
      <x:c r="S8" s="21" t="inlineStr">
        <x:is>
          <x:t xml:space="preserve">PLACEHOLDER</x:t>
        </x:is>
      </x:c>
      <x:c r="T8" s="23" t="inlineStr">
        <x:is>
          <x:t xml:space="preserve">PARTIAL</x:t>
        </x:is>
      </x:c>
      <x:c r="U8" s="21" t="inlineStr">
        <x:is>
          <x:t xml:space="preserve">PLACEHOLDER</x:t>
        </x:is>
      </x:c>
      <x:c r="V8" s="20" t="inlineStr">
        <x:is>
          <x:t xml:space="preserve">lean_match_count=4 | proof_strength=TRIVIAL_TRUE | Statement is `True`; theorem name may exceed formal content. | definition/proof/numerical/empirical/interp fields still staged as TODO placeholders</x:t>
        </x:is>
      </x:c>
    </x:row>
    <x:row r="9" ht="55.20000076293945" customHeight="1">
      <x:c r="A9" s="20" t="inlineStr">
        <x:is>
          <x:t xml:space="preserve">8</x:t>
        </x:is>
      </x:c>
      <x:c r="B9" s="20" t="inlineStr">
        <x:is>
          <x:t xml:space="preserve">No backward step from localization to pre. Irreversible.</x:t>
        </x:is>
      </x:c>
      <x:c r="C9" s="20" t="inlineStr">
        <x:is>
          <x:t xml:space="preserve">C2 - Structural correspondence candidate</x:t>
        </x:is>
      </x:c>
      <x:c r="D9" s="21" t="inlineStr">
        <x:is>
          <x:t xml:space="preserve">PLACEHOLDER</x:t>
        </x:is>
      </x:c>
      <x:c r="E9" s="22" t="inlineStr">
        <x:is>
          <x:t xml:space="preserve">MISSING</x:t>
        </x:is>
      </x:c>
      <x:c r="F9" s="22" t="inlineStr">
        <x:is>
          <x:t xml:space="preserve">MISSING</x:t>
        </x:is>
      </x:c>
      <x:c r="G9" s="22" t="inlineStr">
        <x:is>
          <x:t xml:space="preserve">MISSING</x:t>
        </x:is>
      </x:c>
      <x:c r="H9" s="22" t="inlineStr">
        <x:is>
          <x:t xml:space="preserve">MISSING</x:t>
        </x:is>
      </x:c>
      <x:c r="I9" s="20" t="inlineStr">
        <x:is>
          <x:t xml:space="preserve">theophysics-lean-main\theophysics-lean-main\Theophysics_Adversarial.lean</x:t>
        </x:is>
      </x:c>
      <x:c r="J9" s="20" t="inlineStr">
        <x:is>
          <x:t xml:space="preserve">321</x:t>
        </x:is>
      </x:c>
      <x:c r="K9" s="20" t="inlineStr">
        <x:is>
          <x:t xml:space="preserve">theorem no_stage_step_back_to_pre_from_localization : stepBackAllowed Stage.localization Stage.pre = false</x:t>
        </x:is>
      </x:c>
      <x:c r="L9" s="20" t="inlineStr">
        <x:is>
          <x:t xml:space="preserve">no_stage_step_back_to_pre_from_localization</x:t>
        </x:is>
      </x:c>
      <x:c r="M9" s="23" t="inlineStr">
        <x:is>
          <x:t xml:space="preserve">PARTIAL</x:t>
        </x:is>
      </x:c>
      <x:c r="N9" s="21" t="inlineStr">
        <x:is>
          <x:t xml:space="preserve">PLACEHOLDER</x:t>
        </x:is>
      </x:c>
      <x:c r="O9" s="21" t="inlineStr">
        <x:is>
          <x:t xml:space="preserve">PLACEHOLDER</x:t>
        </x:is>
      </x:c>
      <x:c r="P9" s="22" t="inlineStr">
        <x:is>
          <x:t xml:space="preserve">MISSING</x:t>
        </x:is>
      </x:c>
      <x:c r="Q9" s="21" t="inlineStr">
        <x:is>
          <x:t xml:space="preserve">PLACEHOLDER</x:t>
        </x:is>
      </x:c>
      <x:c r="R9" s="21" t="inlineStr">
        <x:is>
          <x:t xml:space="preserve">PLACEHOLDER</x:t>
        </x:is>
      </x:c>
      <x:c r="S9" s="21" t="inlineStr">
        <x:is>
          <x:t xml:space="preserve">PLACEHOLDER</x:t>
        </x:is>
      </x:c>
      <x:c r="T9" s="23" t="inlineStr">
        <x:is>
          <x:t xml:space="preserve">PARTIAL</x:t>
        </x:is>
      </x:c>
      <x:c r="U9" s="21" t="inlineStr">
        <x:is>
          <x:t xml:space="preserve">PLACEHOLDER</x:t>
        </x:is>
      </x:c>
      <x:c r="V9" s="20" t="inlineStr">
        <x:is>
          <x:t xml:space="preserve">lean_match_count=4 | proof_strength=DEFINITIONAL_RFL | Proves definitional equality by reduction; useful but narrow. | definition/proof/numerical/empirical/interp fields still staged as TODO placeholders</x:t>
        </x:is>
      </x:c>
    </x:row>
    <x:row r="10" ht="55.20000076293945" customHeight="1">
      <x:c r="A10" s="20" t="inlineStr">
        <x:is>
          <x:t xml:space="preserve">9</x:t>
        </x:is>
      </x:c>
      <x:c r="B10" s="20" t="inlineStr">
        <x:is>
          <x:t xml:space="preserve">No backward step from confirmation to release</x:t>
        </x:is>
      </x:c>
      <x:c r="C10" s="20" t="inlineStr">
        <x:is>
          <x:t xml:space="preserve">C2 - Structural correspondence candidate</x:t>
        </x:is>
      </x:c>
      <x:c r="D10" s="21" t="inlineStr">
        <x:is>
          <x:t xml:space="preserve">PLACEHOLDER</x:t>
        </x:is>
      </x:c>
      <x:c r="E10" s="22" t="inlineStr">
        <x:is>
          <x:t xml:space="preserve">MISSING</x:t>
        </x:is>
      </x:c>
      <x:c r="F10" s="22" t="inlineStr">
        <x:is>
          <x:t xml:space="preserve">MISSING</x:t>
        </x:is>
      </x:c>
      <x:c r="G10" s="22" t="inlineStr">
        <x:is>
          <x:t xml:space="preserve">MISSING</x:t>
        </x:is>
      </x:c>
      <x:c r="H10" s="22" t="inlineStr">
        <x:is>
          <x:t xml:space="preserve">MISSING</x:t>
        </x:is>
      </x:c>
      <x:c r="I10" s="20" t="inlineStr">
        <x:is>
          <x:t xml:space="preserve">theophysics-lean-main\theophysics-lean-main\Theophysics_Adversarial.lean</x:t>
        </x:is>
      </x:c>
      <x:c r="J10" s="20" t="inlineStr">
        <x:is>
          <x:t xml:space="preserve">325</x:t>
        </x:is>
      </x:c>
      <x:c r="K10" s="20" t="inlineStr">
        <x:is>
          <x:t xml:space="preserve">theorem no_stage_step_back_to_release_from_confirmation : stepBackAllowed Stage.confirmation Stage.release = false</x:t>
        </x:is>
      </x:c>
      <x:c r="L10" s="20" t="inlineStr">
        <x:is>
          <x:t xml:space="preserve">no_stage_step_back_to_release_from_confirmation</x:t>
        </x:is>
      </x:c>
      <x:c r="M10" s="23" t="inlineStr">
        <x:is>
          <x:t xml:space="preserve">PARTIAL</x:t>
        </x:is>
      </x:c>
      <x:c r="N10" s="21" t="inlineStr">
        <x:is>
          <x:t xml:space="preserve">PLACEHOLDER</x:t>
        </x:is>
      </x:c>
      <x:c r="O10" s="21" t="inlineStr">
        <x:is>
          <x:t xml:space="preserve">PLACEHOLDER</x:t>
        </x:is>
      </x:c>
      <x:c r="P10" s="22" t="inlineStr">
        <x:is>
          <x:t xml:space="preserve">MISSING</x:t>
        </x:is>
      </x:c>
      <x:c r="Q10" s="21" t="inlineStr">
        <x:is>
          <x:t xml:space="preserve">PLACEHOLDER</x:t>
        </x:is>
      </x:c>
      <x:c r="R10" s="21" t="inlineStr">
        <x:is>
          <x:t xml:space="preserve">PLACEHOLDER</x:t>
        </x:is>
      </x:c>
      <x:c r="S10" s="21" t="inlineStr">
        <x:is>
          <x:t xml:space="preserve">PLACEHOLDER</x:t>
        </x:is>
      </x:c>
      <x:c r="T10" s="23" t="inlineStr">
        <x:is>
          <x:t xml:space="preserve">PARTIAL</x:t>
        </x:is>
      </x:c>
      <x:c r="U10" s="21" t="inlineStr">
        <x:is>
          <x:t xml:space="preserve">PLACEHOLDER</x:t>
        </x:is>
      </x:c>
      <x:c r="V10" s="20" t="inlineStr">
        <x:is>
          <x:t xml:space="preserve">lean_match_count=4 | proof_strength=DEFINITIONAL_RFL | Proves definitional equality by reduction; useful but narrow. | definition/proof/numerical/empirical/interp fields still staged as TODO placeholders</x:t>
        </x:is>
      </x:c>
    </x:row>
    <x:row r="11" ht="55.20000076293945" customHeight="1">
      <x:c r="A11" s="20" t="inlineStr">
        <x:is>
          <x:t xml:space="preserve">10</x:t>
        </x:is>
      </x:c>
      <x:c r="B11" s="20" t="inlineStr">
        <x:is>
          <x:t xml:space="preserve">No backward step from redistribution to confirmation</x:t>
        </x:is>
      </x:c>
      <x:c r="C11" s="20" t="inlineStr">
        <x:is>
          <x:t xml:space="preserve">C2 - Structural correspondence candidate</x:t>
        </x:is>
      </x:c>
      <x:c r="D11" s="21" t="inlineStr">
        <x:is>
          <x:t xml:space="preserve">PLACEHOLDER</x:t>
        </x:is>
      </x:c>
      <x:c r="E11" s="22" t="inlineStr">
        <x:is>
          <x:t xml:space="preserve">MISSING</x:t>
        </x:is>
      </x:c>
      <x:c r="F11" s="22" t="inlineStr">
        <x:is>
          <x:t xml:space="preserve">MISSING</x:t>
        </x:is>
      </x:c>
      <x:c r="G11" s="22" t="inlineStr">
        <x:is>
          <x:t xml:space="preserve">MISSING</x:t>
        </x:is>
      </x:c>
      <x:c r="H11" s="22" t="inlineStr">
        <x:is>
          <x:t xml:space="preserve">MISSING</x:t>
        </x:is>
      </x:c>
      <x:c r="I11" s="20" t="inlineStr">
        <x:is>
          <x:t xml:space="preserve">theophysics-lean-main\theophysics-lean-main\Theophysics_Adversarial.lean</x:t>
        </x:is>
      </x:c>
      <x:c r="J11" s="20" t="inlineStr">
        <x:is>
          <x:t xml:space="preserve">329</x:t>
        </x:is>
      </x:c>
      <x:c r="K11" s="20" t="inlineStr">
        <x:is>
          <x:t xml:space="preserve">theorem no_stage_step_back_to_confirmation_from_redistribution : stepBackAllowed Stage.redistribution Stage.confirmation = false</x:t>
        </x:is>
      </x:c>
      <x:c r="L11" s="20" t="inlineStr">
        <x:is>
          <x:t xml:space="preserve">no_stage_step_back_to_confirmation_from_redistribution</x:t>
        </x:is>
      </x:c>
      <x:c r="M11" s="23" t="inlineStr">
        <x:is>
          <x:t xml:space="preserve">PARTIAL</x:t>
        </x:is>
      </x:c>
      <x:c r="N11" s="21" t="inlineStr">
        <x:is>
          <x:t xml:space="preserve">PLACEHOLDER</x:t>
        </x:is>
      </x:c>
      <x:c r="O11" s="21" t="inlineStr">
        <x:is>
          <x:t xml:space="preserve">PLACEHOLDER</x:t>
        </x:is>
      </x:c>
      <x:c r="P11" s="22" t="inlineStr">
        <x:is>
          <x:t xml:space="preserve">MISSING</x:t>
        </x:is>
      </x:c>
      <x:c r="Q11" s="21" t="inlineStr">
        <x:is>
          <x:t xml:space="preserve">PLACEHOLDER</x:t>
        </x:is>
      </x:c>
      <x:c r="R11" s="21" t="inlineStr">
        <x:is>
          <x:t xml:space="preserve">PLACEHOLDER</x:t>
        </x:is>
      </x:c>
      <x:c r="S11" s="21" t="inlineStr">
        <x:is>
          <x:t xml:space="preserve">PLACEHOLDER</x:t>
        </x:is>
      </x:c>
      <x:c r="T11" s="23" t="inlineStr">
        <x:is>
          <x:t xml:space="preserve">PARTIAL</x:t>
        </x:is>
      </x:c>
      <x:c r="U11" s="21" t="inlineStr">
        <x:is>
          <x:t xml:space="preserve">PLACEHOLDER</x:t>
        </x:is>
      </x:c>
      <x:c r="V11" s="20" t="inlineStr">
        <x:is>
          <x:t xml:space="preserve">lean_match_count=4 | proof_strength=DEFINITIONAL_RFL | Proves definitional equality by reduction; useful but narrow. | definition/proof/numerical/empirical/interp fields still staged as TODO placeholders</x:t>
        </x:is>
      </x:c>
    </x:row>
    <x:row r="12" ht="55.20000076293945" customHeight="1">
      <x:c r="A12" s="20" t="inlineStr">
        <x:is>
          <x:t xml:space="preserve">11</x:t>
        </x:is>
      </x:c>
      <x:c r="B12" s="20" t="inlineStr">
        <x:is>
          <x:t xml:space="preserve">Mapping the full physics list produces the full theology list — order-preserving. Proved by rfl (definitional equality).</x:t>
        </x:is>
      </x:c>
      <x:c r="C12" s="20" t="inlineStr">
        <x:is>
          <x:t xml:space="preserve">C2 - Structural correspondence candidate</x:t>
        </x:is>
      </x:c>
      <x:c r="D12" s="21" t="inlineStr">
        <x:is>
          <x:t xml:space="preserve">PLACEHOLDER</x:t>
        </x:is>
      </x:c>
      <x:c r="E12" s="22" t="inlineStr">
        <x:is>
          <x:t xml:space="preserve">MISSING</x:t>
        </x:is>
      </x:c>
      <x:c r="F12" s="23" t="inlineStr">
        <x:is>
          <x:t xml:space="preserve">PARTIAL</x:t>
        </x:is>
      </x:c>
      <x:c r="G12" s="22" t="inlineStr">
        <x:is>
          <x:t xml:space="preserve">MISSING</x:t>
        </x:is>
      </x:c>
      <x:c r="H12" s="22" t="inlineStr">
        <x:is>
          <x:t xml:space="preserve">MISSING</x:t>
        </x:is>
      </x:c>
      <x:c r="I12" s="20" t="inlineStr">
        <x:is>
          <x:t xml:space="preserve">theophysics-lean-main\theophysics-lean-main\Theophysics_Core.lean</x:t>
        </x:is>
      </x:c>
      <x:c r="J12" s="20" t="inlineStr">
        <x:is>
          <x:t xml:space="preserve">166</x:t>
        </x:is>
      </x:c>
      <x:c r="K12" s="20" t="inlineStr">
        <x:is>
          <x:t xml:space="preserve">theorem map_physics_sequence_is_theology_sequence : True</x:t>
        </x:is>
      </x:c>
      <x:c r="L12" s="20" t="inlineStr">
        <x:is>
          <x:t xml:space="preserve">map_physics_sequence_is_theology_sequence</x:t>
        </x:is>
      </x:c>
      <x:c r="M12" s="23" t="inlineStr">
        <x:is>
          <x:t xml:space="preserve">PARTIAL</x:t>
        </x:is>
      </x:c>
      <x:c r="N12" s="21" t="inlineStr">
        <x:is>
          <x:t xml:space="preserve">PLACEHOLDER</x:t>
        </x:is>
      </x:c>
      <x:c r="O12" s="21" t="inlineStr">
        <x:is>
          <x:t xml:space="preserve">PLACEHOLDER</x:t>
        </x:is>
      </x:c>
      <x:c r="P12" s="22" t="inlineStr">
        <x:is>
          <x:t xml:space="preserve">MISSING</x:t>
        </x:is>
      </x:c>
      <x:c r="Q12" s="21" t="inlineStr">
        <x:is>
          <x:t xml:space="preserve">PLACEHOLDER</x:t>
        </x:is>
      </x:c>
      <x:c r="R12" s="21" t="inlineStr">
        <x:is>
          <x:t xml:space="preserve">PLACEHOLDER</x:t>
        </x:is>
      </x:c>
      <x:c r="S12" s="21" t="inlineStr">
        <x:is>
          <x:t xml:space="preserve">PLACEHOLDER</x:t>
        </x:is>
      </x:c>
      <x:c r="T12" s="23" t="inlineStr">
        <x:is>
          <x:t xml:space="preserve">PARTIAL</x:t>
        </x:is>
      </x:c>
      <x:c r="U12" s="21" t="inlineStr">
        <x:is>
          <x:t xml:space="preserve">PLACEHOLDER</x:t>
        </x:is>
      </x:c>
      <x:c r="V12" s="20" t="inlineStr">
        <x:is>
          <x:t xml:space="preserve">lean_match_count=4 | proof_strength=TRIVIAL_TRUE | Statement is `True`; theorem name may exceed formal content. | definition/proof/numerical/empirical/interp fields still staged as TODO placeholders</x:t>
        </x:is>
      </x:c>
    </x:row>
    <x:row r="13" ht="55.20000076293945" customHeight="1">
      <x:c r="A13" s="20" t="inlineStr">
        <x:is>
          <x:t xml:space="preserve">12</x:t>
        </x:is>
      </x:c>
      <x:c r="B13" s="20" t="inlineStr">
        <x:is>
          <x:t xml:space="preserve">Specific: localization → incarnation</x:t>
        </x:is>
      </x:c>
      <x:c r="C13" s="20" t="inlineStr">
        <x:is>
          <x:t xml:space="preserve">C2 - Structural correspondence candidate</x:t>
        </x:is>
      </x:c>
      <x:c r="D13" s="21" t="inlineStr">
        <x:is>
          <x:t xml:space="preserve">PLACEHOLDER</x:t>
        </x:is>
      </x:c>
      <x:c r="E13" s="22" t="inlineStr">
        <x:is>
          <x:t xml:space="preserve">MISSING</x:t>
        </x:is>
      </x:c>
      <x:c r="F13" s="22" t="inlineStr">
        <x:is>
          <x:t xml:space="preserve">MISSING</x:t>
        </x:is>
      </x:c>
      <x:c r="G13" s="22" t="inlineStr">
        <x:is>
          <x:t xml:space="preserve">MISSING</x:t>
        </x:is>
      </x:c>
      <x:c r="H13" s="22" t="inlineStr">
        <x:is>
          <x:t xml:space="preserve">MISSING</x:t>
        </x:is>
      </x:c>
      <x:c r="I13" s="20" t="inlineStr">
        <x:is>
          <x:t xml:space="preserve">theophysics-lean-main\theophysics-lean-main\Theophysics_Core.lean</x:t>
        </x:is>
      </x:c>
      <x:c r="J13" s="20" t="inlineStr">
        <x:is>
          <x:t xml:space="preserve">165</x:t>
        </x:is>
      </x:c>
      <x:c r="K13" s="20" t="inlineStr">
        <x:is>
          <x:t xml:space="preserve">theorem localization_maps_to_incarnation : True</x:t>
        </x:is>
      </x:c>
      <x:c r="L13" s="20" t="inlineStr">
        <x:is>
          <x:t xml:space="preserve">localization_maps_to_incarnation</x:t>
        </x:is>
      </x:c>
      <x:c r="M13" s="23" t="inlineStr">
        <x:is>
          <x:t xml:space="preserve">PARTIAL</x:t>
        </x:is>
      </x:c>
      <x:c r="N13" s="21" t="inlineStr">
        <x:is>
          <x:t xml:space="preserve">PLACEHOLDER</x:t>
        </x:is>
      </x:c>
      <x:c r="O13" s="21" t="inlineStr">
        <x:is>
          <x:t xml:space="preserve">PLACEHOLDER</x:t>
        </x:is>
      </x:c>
      <x:c r="P13" s="22" t="inlineStr">
        <x:is>
          <x:t xml:space="preserve">MISSING</x:t>
        </x:is>
      </x:c>
      <x:c r="Q13" s="21" t="inlineStr">
        <x:is>
          <x:t xml:space="preserve">PLACEHOLDER</x:t>
        </x:is>
      </x:c>
      <x:c r="R13" s="21" t="inlineStr">
        <x:is>
          <x:t xml:space="preserve">PLACEHOLDER</x:t>
        </x:is>
      </x:c>
      <x:c r="S13" s="21" t="inlineStr">
        <x:is>
          <x:t xml:space="preserve">PLACEHOLDER</x:t>
        </x:is>
      </x:c>
      <x:c r="T13" s="23" t="inlineStr">
        <x:is>
          <x:t xml:space="preserve">PARTIAL</x:t>
        </x:is>
      </x:c>
      <x:c r="U13" s="21" t="inlineStr">
        <x:is>
          <x:t xml:space="preserve">PLACEHOLDER</x:t>
        </x:is>
      </x:c>
      <x:c r="V13" s="20" t="inlineStr">
        <x:is>
          <x:t xml:space="preserve">lean_match_count=4 | proof_strength=TRIVIAL_TRUE | Statement is `True`; theorem name may exceed formal content. | definition/proof/numerical/empirical/interp fields still staged as TODO placeholders</x:t>
        </x:is>
      </x:c>
    </x:row>
    <x:row r="14" ht="55.20000076293945" customHeight="1">
      <x:c r="A14" s="20" t="inlineStr">
        <x:is>
          <x:t xml:space="preserve">13</x:t>
        </x:is>
      </x:c>
      <x:c r="B14" s="20" t="inlineStr">
        <x:is>
          <x:t xml:space="preserve">Specific: confirmation → resurrection</x:t>
        </x:is>
      </x:c>
      <x:c r="C14" s="20" t="inlineStr">
        <x:is>
          <x:t xml:space="preserve">C2 - Structural correspondence candidate</x:t>
        </x:is>
      </x:c>
      <x:c r="D14" s="21" t="inlineStr">
        <x:is>
          <x:t xml:space="preserve">PLACEHOLDER</x:t>
        </x:is>
      </x:c>
      <x:c r="E14" s="22" t="inlineStr">
        <x:is>
          <x:t xml:space="preserve">MISSING</x:t>
        </x:is>
      </x:c>
      <x:c r="F14" s="22" t="inlineStr">
        <x:is>
          <x:t xml:space="preserve">MISSING</x:t>
        </x:is>
      </x:c>
      <x:c r="G14" s="22" t="inlineStr">
        <x:is>
          <x:t xml:space="preserve">MISSING</x:t>
        </x:is>
      </x:c>
      <x:c r="H14" s="22" t="inlineStr">
        <x:is>
          <x:t xml:space="preserve">MISSING</x:t>
        </x:is>
      </x:c>
      <x:c r="I14" s="20" t="inlineStr">
        <x:is>
          <x:t xml:space="preserve">theophysics-lean-main\theophysics-lean-main\Theophysics_Core.lean</x:t>
        </x:is>
      </x:c>
      <x:c r="J14" s="20" t="inlineStr">
        <x:is>
          <x:t xml:space="preserve">164</x:t>
        </x:is>
      </x:c>
      <x:c r="K14" s="20" t="inlineStr">
        <x:is>
          <x:t xml:space="preserve">theorem confirmation_maps_to_resurrection : True</x:t>
        </x:is>
      </x:c>
      <x:c r="L14" s="20" t="inlineStr">
        <x:is>
          <x:t xml:space="preserve">confirmation_maps_to_resurrection</x:t>
        </x:is>
      </x:c>
      <x:c r="M14" s="23" t="inlineStr">
        <x:is>
          <x:t xml:space="preserve">PARTIAL</x:t>
        </x:is>
      </x:c>
      <x:c r="N14" s="21" t="inlineStr">
        <x:is>
          <x:t xml:space="preserve">PLACEHOLDER</x:t>
        </x:is>
      </x:c>
      <x:c r="O14" s="21" t="inlineStr">
        <x:is>
          <x:t xml:space="preserve">PLACEHOLDER</x:t>
        </x:is>
      </x:c>
      <x:c r="P14" s="22" t="inlineStr">
        <x:is>
          <x:t xml:space="preserve">MISSING</x:t>
        </x:is>
      </x:c>
      <x:c r="Q14" s="21" t="inlineStr">
        <x:is>
          <x:t xml:space="preserve">PLACEHOLDER</x:t>
        </x:is>
      </x:c>
      <x:c r="R14" s="21" t="inlineStr">
        <x:is>
          <x:t xml:space="preserve">PLACEHOLDER</x:t>
        </x:is>
      </x:c>
      <x:c r="S14" s="21" t="inlineStr">
        <x:is>
          <x:t xml:space="preserve">PLACEHOLDER</x:t>
        </x:is>
      </x:c>
      <x:c r="T14" s="23" t="inlineStr">
        <x:is>
          <x:t xml:space="preserve">PARTIAL</x:t>
        </x:is>
      </x:c>
      <x:c r="U14" s="21" t="inlineStr">
        <x:is>
          <x:t xml:space="preserve">PLACEHOLDER</x:t>
        </x:is>
      </x:c>
      <x:c r="V14" s="20" t="inlineStr">
        <x:is>
          <x:t xml:space="preserve">lean_match_count=4 | proof_strength=TRIVIAL_TRUE | Statement is `True`; theorem name may exceed formal content. | definition/proof/numerical/empirical/interp fields still staged as TODO placeholders</x:t>
        </x:is>
      </x:c>
    </x:row>
    <x:row r="15" ht="55.20000076293945" customHeight="1">
      <x:c r="A15" s="20" t="inlineStr">
        <x:is>
          <x:t xml:space="preserve">14</x:t>
        </x:is>
      </x:c>
      <x:c r="B15" s="20" t="inlineStr">
        <x:is>
          <x:t xml:space="preserve">All 10 canonical bridge rows pass signature validation</x:t>
        </x:is>
      </x:c>
      <x:c r="C15" s="20" t="inlineStr">
        <x:is>
          <x:t xml:space="preserve">C2 - Structural correspondence candidate</x:t>
        </x:is>
      </x:c>
      <x:c r="D15" s="21" t="inlineStr">
        <x:is>
          <x:t xml:space="preserve">PLACEHOLDER</x:t>
        </x:is>
      </x:c>
      <x:c r="E15" s="22" t="inlineStr">
        <x:is>
          <x:t xml:space="preserve">MISSING</x:t>
        </x:is>
      </x:c>
      <x:c r="F15" s="22" t="inlineStr">
        <x:is>
          <x:t xml:space="preserve">MISSING</x:t>
        </x:is>
      </x:c>
      <x:c r="G15" s="23" t="inlineStr">
        <x:is>
          <x:t xml:space="preserve">PARTIAL</x:t>
        </x:is>
      </x:c>
      <x:c r="H15" s="22" t="inlineStr">
        <x:is>
          <x:t xml:space="preserve">MISSING</x:t>
        </x:is>
      </x:c>
      <x:c r="I15" s="20" t="inlineStr">
        <x:is>
          <x:t xml:space="preserve">theophysics-lean-main\theophysics-lean-main\Final_Lean4_From_Excel.lean</x:t>
        </x:is>
      </x:c>
      <x:c r="J15" s="20" t="inlineStr">
        <x:is>
          <x:t xml:space="preserve">196</x:t>
        </x:is>
      </x:c>
      <x:c r="K15" s="20" t="inlineStr">
        <x:is>
          <x:t xml:space="preserve">theorem canonicalRows_all_valid : (signatureOfFactor G).domain = DomainKind.nonnegative ∧ (signatureOfFactor M).domain = DomainKind.signedAlignment ∧ (signatureOfFactor E).mechanism = BridgeMechanism.signalFidelity</x:t>
        </x:is>
      </x:c>
      <x:c r="L15" s="20" t="inlineStr">
        <x:is>
          <x:t xml:space="preserve">canonicalRows_all_valid</x:t>
        </x:is>
      </x:c>
      <x:c r="M15" s="23" t="inlineStr">
        <x:is>
          <x:t xml:space="preserve">PARTIAL</x:t>
        </x:is>
      </x:c>
      <x:c r="N15" s="21" t="inlineStr">
        <x:is>
          <x:t xml:space="preserve">PLACEHOLDER</x:t>
        </x:is>
      </x:c>
      <x:c r="O15" s="21" t="inlineStr">
        <x:is>
          <x:t xml:space="preserve">PLACEHOLDER</x:t>
        </x:is>
      </x:c>
      <x:c r="P15" s="22" t="inlineStr">
        <x:is>
          <x:t xml:space="preserve">MISSING</x:t>
        </x:is>
      </x:c>
      <x:c r="Q15" s="21" t="inlineStr">
        <x:is>
          <x:t xml:space="preserve">PLACEHOLDER</x:t>
        </x:is>
      </x:c>
      <x:c r="R15" s="21" t="inlineStr">
        <x:is>
          <x:t xml:space="preserve">PLACEHOLDER</x:t>
        </x:is>
      </x:c>
      <x:c r="S15" s="21" t="inlineStr">
        <x:is>
          <x:t xml:space="preserve">PLACEHOLDER</x:t>
        </x:is>
      </x:c>
      <x:c r="T15" s="23" t="inlineStr">
        <x:is>
          <x:t xml:space="preserve">PARTIAL</x:t>
        </x:is>
      </x:c>
      <x:c r="U15" s="21" t="inlineStr">
        <x:is>
          <x:t xml:space="preserve">PLACEHOLDER</x:t>
        </x:is>
      </x:c>
      <x:c r="V15" s="20" t="inlineStr">
        <x:is>
          <x:t xml:space="preserve">lean_match_count=8 | proof_strength=FINITE_DECIDABLE | Finite/decidable proof; check candidate-space limits. | definition/proof/numerical/empirical/interp fields still staged as TODO placeholders</x:t>
        </x:is>
      </x:c>
    </x:row>
    <x:row r="16" ht="55.20000076293945" customHeight="1">
      <x:c r="A16" s="20" t="inlineStr">
        <x:is>
          <x:t xml:space="preserve">15</x:t>
        </x:is>
      </x:c>
      <x:c r="B16" s="20" t="inlineStr">
        <x:is>
          <x:t xml:space="preserve">REJECTION: Swapping grace↔faith breaks the signature</x:t>
        </x:is>
      </x:c>
      <x:c r="C16" s="20" t="inlineStr">
        <x:is>
          <x:t xml:space="preserve">C2 - Structural correspondence candidate</x:t>
        </x:is>
      </x:c>
      <x:c r="D16" s="21" t="inlineStr">
        <x:is>
          <x:t xml:space="preserve">PLACEHOLDER</x:t>
        </x:is>
      </x:c>
      <x:c r="E16" s="22" t="inlineStr">
        <x:is>
          <x:t xml:space="preserve">MISSING</x:t>
        </x:is>
      </x:c>
      <x:c r="F16" s="22" t="inlineStr">
        <x:is>
          <x:t xml:space="preserve">MISSING</x:t>
        </x:is>
      </x:c>
      <x:c r="G16" s="23" t="inlineStr">
        <x:is>
          <x:t xml:space="preserve">PARTIAL</x:t>
        </x:is>
      </x:c>
      <x:c r="H16" s="22" t="inlineStr">
        <x:is>
          <x:t xml:space="preserve">MISSING</x:t>
        </x:is>
      </x:c>
      <x:c r="I16" s="20" t="inlineStr">
        <x:is>
          <x:t xml:space="preserve">theophysics-lean-main\theophysics-lean-main\Final_Lean4_From_Excel.lean</x:t>
        </x:is>
      </x:c>
      <x:c r="J16" s="20" t="inlineStr">
        <x:is>
          <x:t xml:space="preserve">202</x:t>
        </x:is>
      </x:c>
      <x:c r="K16" s="20" t="inlineStr">
        <x:is>
          <x:t xml:space="preserve">theorem grace_swapped_with_faith_invalid : signatureOfFactor G ≠ signatureOfFactor F</x:t>
        </x:is>
      </x:c>
      <x:c r="L16" s="20" t="inlineStr">
        <x:is>
          <x:t xml:space="preserve">grace_swapped_with_faith_invalid</x:t>
        </x:is>
      </x:c>
      <x:c r="M16" s="23" t="inlineStr">
        <x:is>
          <x:t xml:space="preserve">PARTIAL</x:t>
        </x:is>
      </x:c>
      <x:c r="N16" s="21" t="inlineStr">
        <x:is>
          <x:t xml:space="preserve">PLACEHOLDER</x:t>
        </x:is>
      </x:c>
      <x:c r="O16" s="21" t="inlineStr">
        <x:is>
          <x:t xml:space="preserve">PLACEHOLDER</x:t>
        </x:is>
      </x:c>
      <x:c r="P16" s="22" t="inlineStr">
        <x:is>
          <x:t xml:space="preserve">MISSING</x:t>
        </x:is>
      </x:c>
      <x:c r="Q16" s="21" t="inlineStr">
        <x:is>
          <x:t xml:space="preserve">PLACEHOLDER</x:t>
        </x:is>
      </x:c>
      <x:c r="R16" s="21" t="inlineStr">
        <x:is>
          <x:t xml:space="preserve">PLACEHOLDER</x:t>
        </x:is>
      </x:c>
      <x:c r="S16" s="21" t="inlineStr">
        <x:is>
          <x:t xml:space="preserve">PLACEHOLDER</x:t>
        </x:is>
      </x:c>
      <x:c r="T16" s="23" t="inlineStr">
        <x:is>
          <x:t xml:space="preserve">PARTIAL</x:t>
        </x:is>
      </x:c>
      <x:c r="U16" s="21" t="inlineStr">
        <x:is>
          <x:t xml:space="preserve">PLACEHOLDER</x:t>
        </x:is>
      </x:c>
      <x:c r="V16" s="20" t="inlineStr">
        <x:is>
          <x:t xml:space="preserve">lean_match_count=4 | proof_strength=FINITE_DECIDABLE | Finite/decidable proof; check candidate-space limits. | definition/proof/numerical/empirical/interp fields still staged as TODO placeholders</x:t>
        </x:is>
      </x:c>
    </x:row>
    <x:row r="17" ht="55.20000076293945" customHeight="1">
      <x:c r="A17" s="20" t="inlineStr">
        <x:is>
          <x:t xml:space="preserve">16</x:t>
        </x:is>
      </x:c>
      <x:c r="B17" s="20" t="inlineStr">
        <x:is>
          <x:t xml:space="preserve">REJECTION: Swapping entropy↔grace breaks the signature</x:t>
        </x:is>
      </x:c>
      <x:c r="C17" s="20" t="inlineStr">
        <x:is>
          <x:t xml:space="preserve">C2 - Structural correspondence candidate</x:t>
        </x:is>
      </x:c>
      <x:c r="D17" s="21" t="inlineStr">
        <x:is>
          <x:t xml:space="preserve">PLACEHOLDER</x:t>
        </x:is>
      </x:c>
      <x:c r="E17" s="22" t="inlineStr">
        <x:is>
          <x:t xml:space="preserve">MISSING</x:t>
        </x:is>
      </x:c>
      <x:c r="F17" s="22" t="inlineStr">
        <x:is>
          <x:t xml:space="preserve">MISSING</x:t>
        </x:is>
      </x:c>
      <x:c r="G17" s="23" t="inlineStr">
        <x:is>
          <x:t xml:space="preserve">PARTIAL</x:t>
        </x:is>
      </x:c>
      <x:c r="H17" s="22" t="inlineStr">
        <x:is>
          <x:t xml:space="preserve">MISSING</x:t>
        </x:is>
      </x:c>
      <x:c r="I17" s="20" t="inlineStr">
        <x:is>
          <x:t xml:space="preserve">theophysics-lean-main\theophysics-lean-main\Final_Lean4_From_Excel.lean</x:t>
        </x:is>
      </x:c>
      <x:c r="J17" s="20" t="inlineStr">
        <x:is>
          <x:t xml:space="preserve">206</x:t>
        </x:is>
      </x:c>
      <x:c r="K17" s="20" t="inlineStr">
        <x:is>
          <x:t xml:space="preserve">theorem entropy_swapped_with_grace_invalid : signatureOfFactor S ≠ signatureOfFactor G</x:t>
        </x:is>
      </x:c>
      <x:c r="L17" s="20" t="inlineStr">
        <x:is>
          <x:t xml:space="preserve">entropy_swapped_with_grace_invalid</x:t>
        </x:is>
      </x:c>
      <x:c r="M17" s="23" t="inlineStr">
        <x:is>
          <x:t xml:space="preserve">PARTIAL</x:t>
        </x:is>
      </x:c>
      <x:c r="N17" s="21" t="inlineStr">
        <x:is>
          <x:t xml:space="preserve">PLACEHOLDER</x:t>
        </x:is>
      </x:c>
      <x:c r="O17" s="21" t="inlineStr">
        <x:is>
          <x:t xml:space="preserve">PLACEHOLDER</x:t>
        </x:is>
      </x:c>
      <x:c r="P17" s="22" t="inlineStr">
        <x:is>
          <x:t xml:space="preserve">MISSING</x:t>
        </x:is>
      </x:c>
      <x:c r="Q17" s="21" t="inlineStr">
        <x:is>
          <x:t xml:space="preserve">PLACEHOLDER</x:t>
        </x:is>
      </x:c>
      <x:c r="R17" s="21" t="inlineStr">
        <x:is>
          <x:t xml:space="preserve">PLACEHOLDER</x:t>
        </x:is>
      </x:c>
      <x:c r="S17" s="21" t="inlineStr">
        <x:is>
          <x:t xml:space="preserve">PLACEHOLDER</x:t>
        </x:is>
      </x:c>
      <x:c r="T17" s="23" t="inlineStr">
        <x:is>
          <x:t xml:space="preserve">PARTIAL</x:t>
        </x:is>
      </x:c>
      <x:c r="U17" s="21" t="inlineStr">
        <x:is>
          <x:t xml:space="preserve">PLACEHOLDER</x:t>
        </x:is>
      </x:c>
      <x:c r="V17" s="20" t="inlineStr">
        <x:is>
          <x:t xml:space="preserve">lean_match_count=4 | proof_strength=FINITE_DECIDABLE | Finite/decidable proof; check candidate-space limits. | definition/proof/numerical/empirical/interp fields still staged as TODO placeholders</x:t>
        </x:is>
      </x:c>
    </x:row>
    <x:row r="18" ht="55.20000076293945" customHeight="1">
      <x:c r="A18" s="20" t="inlineStr">
        <x:is>
          <x:t xml:space="preserve">17</x:t>
        </x:is>
      </x:c>
      <x:c r="B18" s="20" t="inlineStr">
        <x:is>
          <x:t xml:space="preserve">REJECTION: K↔F swap rejected</x:t>
        </x:is>
      </x:c>
      <x:c r="C18" s="20" t="inlineStr">
        <x:is>
          <x:t xml:space="preserve">C2 - Structural correspondence candidate</x:t>
        </x:is>
      </x:c>
      <x:c r="D18" s="21" t="inlineStr">
        <x:is>
          <x:t xml:space="preserve">PLACEHOLDER</x:t>
        </x:is>
      </x:c>
      <x:c r="E18" s="22" t="inlineStr">
        <x:is>
          <x:t xml:space="preserve">MISSING</x:t>
        </x:is>
      </x:c>
      <x:c r="F18" s="22" t="inlineStr">
        <x:is>
          <x:t xml:space="preserve">MISSING</x:t>
        </x:is>
      </x:c>
      <x:c r="G18" s="23" t="inlineStr">
        <x:is>
          <x:t xml:space="preserve">PARTIAL</x:t>
        </x:is>
      </x:c>
      <x:c r="H18" s="22" t="inlineStr">
        <x:is>
          <x:t xml:space="preserve">MISSING</x:t>
        </x:is>
      </x:c>
      <x:c r="I18" s="20" t="inlineStr">
        <x:is>
          <x:t xml:space="preserve">theophysics-lean-main\theophysics-lean-main\Final_Lean4_From_Excel.lean</x:t>
        </x:is>
      </x:c>
      <x:c r="J18" s="20" t="inlineStr">
        <x:is>
          <x:t xml:space="preserve">210</x:t>
        </x:is>
      </x:c>
      <x:c r="K18" s="20" t="inlineStr">
        <x:is>
          <x:t xml:space="preserve">theorem compression_swapped_with_communion_invalid : signatureOfFactor K ≠ signatureOfFactor F</x:t>
        </x:is>
      </x:c>
      <x:c r="L18" s="20" t="inlineStr">
        <x:is>
          <x:t xml:space="preserve">compression_swapped_with_communion_invalid</x:t>
        </x:is>
      </x:c>
      <x:c r="M18" s="23" t="inlineStr">
        <x:is>
          <x:t xml:space="preserve">PARTIAL</x:t>
        </x:is>
      </x:c>
      <x:c r="N18" s="21" t="inlineStr">
        <x:is>
          <x:t xml:space="preserve">PLACEHOLDER</x:t>
        </x:is>
      </x:c>
      <x:c r="O18" s="21" t="inlineStr">
        <x:is>
          <x:t xml:space="preserve">PLACEHOLDER</x:t>
        </x:is>
      </x:c>
      <x:c r="P18" s="22" t="inlineStr">
        <x:is>
          <x:t xml:space="preserve">MISSING</x:t>
        </x:is>
      </x:c>
      <x:c r="Q18" s="21" t="inlineStr">
        <x:is>
          <x:t xml:space="preserve">PLACEHOLDER</x:t>
        </x:is>
      </x:c>
      <x:c r="R18" s="21" t="inlineStr">
        <x:is>
          <x:t xml:space="preserve">PLACEHOLDER</x:t>
        </x:is>
      </x:c>
      <x:c r="S18" s="21" t="inlineStr">
        <x:is>
          <x:t xml:space="preserve">PLACEHOLDER</x:t>
        </x:is>
      </x:c>
      <x:c r="T18" s="23" t="inlineStr">
        <x:is>
          <x:t xml:space="preserve">PARTIAL</x:t>
        </x:is>
      </x:c>
      <x:c r="U18" s="21" t="inlineStr">
        <x:is>
          <x:t xml:space="preserve">PLACEHOLDER</x:t>
        </x:is>
      </x:c>
      <x:c r="V18" s="20" t="inlineStr">
        <x:is>
          <x:t xml:space="preserve">lean_match_count=4 | proof_strength=WRAPPER_OR_IMPORTED | Likely delegates to another theorem; cite underlying theorem too. | definition/proof/numerical/empirical/interp fields still staged as TODO placeholders</x:t>
        </x:is>
      </x:c>
    </x:row>
    <x:row r="19" ht="55.20000076293945" customHeight="1">
      <x:c r="A19" s="20" t="inlineStr">
        <x:is>
          <x:t xml:space="preserve">18</x:t>
        </x:is>
      </x:c>
      <x:c r="B19" s="20" t="inlineStr">
        <x:is>
          <x:t xml:space="preserve">REJECTION: C↔R swap rejected</x:t>
        </x:is>
      </x:c>
      <x:c r="C19" s="20" t="inlineStr">
        <x:is>
          <x:t xml:space="preserve">C2 - Structural correspondence candidate</x:t>
        </x:is>
      </x:c>
      <x:c r="D19" s="21" t="inlineStr">
        <x:is>
          <x:t xml:space="preserve">PLACEHOLDER</x:t>
        </x:is>
      </x:c>
      <x:c r="E19" s="22" t="inlineStr">
        <x:is>
          <x:t xml:space="preserve">MISSING</x:t>
        </x:is>
      </x:c>
      <x:c r="F19" s="22" t="inlineStr">
        <x:is>
          <x:t xml:space="preserve">MISSING</x:t>
        </x:is>
      </x:c>
      <x:c r="G19" s="22" t="inlineStr">
        <x:is>
          <x:t xml:space="preserve">MISSING</x:t>
        </x:is>
      </x:c>
      <x:c r="H19" s="22" t="inlineStr">
        <x:is>
          <x:t xml:space="preserve">MISSING</x:t>
        </x:is>
      </x:c>
      <x:c r="I19" s="20" t="inlineStr">
        <x:is>
          <x:t xml:space="preserve">theophysics-lean-main\theophysics-lean-main\Theophysics_Adversarial.lean</x:t>
        </x:is>
      </x:c>
      <x:c r="J19" s="20" t="inlineStr">
        <x:is>
          <x:t xml:space="preserve">334</x:t>
        </x:is>
      </x:c>
      <x:c r="K19" s="20" t="inlineStr">
        <x:is>
          <x:t xml:space="preserve">theorem coherence_swapped_with_consequence_lock_invalid : bridgeFailureRejected BridgeFailure.coherenceConsequenceLockSwap = true</x:t>
        </x:is>
      </x:c>
      <x:c r="L19" s="20" t="inlineStr">
        <x:is>
          <x:t xml:space="preserve">coherence_swapped_with_consequence_lock_invalid</x:t>
        </x:is>
      </x:c>
      <x:c r="M19" s="23" t="inlineStr">
        <x:is>
          <x:t xml:space="preserve">PARTIAL</x:t>
        </x:is>
      </x:c>
      <x:c r="N19" s="21" t="inlineStr">
        <x:is>
          <x:t xml:space="preserve">PLACEHOLDER</x:t>
        </x:is>
      </x:c>
      <x:c r="O19" s="21" t="inlineStr">
        <x:is>
          <x:t xml:space="preserve">PLACEHOLDER</x:t>
        </x:is>
      </x:c>
      <x:c r="P19" s="22" t="inlineStr">
        <x:is>
          <x:t xml:space="preserve">MISSING</x:t>
        </x:is>
      </x:c>
      <x:c r="Q19" s="21" t="inlineStr">
        <x:is>
          <x:t xml:space="preserve">PLACEHOLDER</x:t>
        </x:is>
      </x:c>
      <x:c r="R19" s="21" t="inlineStr">
        <x:is>
          <x:t xml:space="preserve">PLACEHOLDER</x:t>
        </x:is>
      </x:c>
      <x:c r="S19" s="21" t="inlineStr">
        <x:is>
          <x:t xml:space="preserve">PLACEHOLDER</x:t>
        </x:is>
      </x:c>
      <x:c r="T19" s="23" t="inlineStr">
        <x:is>
          <x:t xml:space="preserve">PARTIAL</x:t>
        </x:is>
      </x:c>
      <x:c r="U19" s="21" t="inlineStr">
        <x:is>
          <x:t xml:space="preserve">PLACEHOLDER</x:t>
        </x:is>
      </x:c>
      <x:c r="V19" s="20" t="inlineStr">
        <x:is>
          <x:t xml:space="preserve">lean_match_count=4 | proof_strength=DEFINITIONAL_RFL | Proves definitional equality by reduction; useful but narrow. | definition/proof/numerical/empirical/interp fields still staged as TODO placeholders</x:t>
        </x:is>
      </x:c>
    </x:row>
    <x:row r="20" ht="55.20000076293945" customHeight="1">
      <x:c r="A20" s="20" t="inlineStr">
        <x:is>
          <x:t xml:space="preserve">19</x:t>
        </x:is>
      </x:c>
      <x:c r="B20" s="20" t="inlineStr">
        <x:is>
          <x:t xml:space="preserve">REJECTION: Assigning entanglement to G rejected</x:t>
        </x:is>
      </x:c>
      <x:c r="C20" s="20" t="inlineStr">
        <x:is>
          <x:t xml:space="preserve">C2 - Structural correspondence candidate</x:t>
        </x:is>
      </x:c>
      <x:c r="D20" s="21" t="inlineStr">
        <x:is>
          <x:t xml:space="preserve">PLACEHOLDER</x:t>
        </x:is>
      </x:c>
      <x:c r="E20" s="22" t="inlineStr">
        <x:is>
          <x:t xml:space="preserve">MISSING</x:t>
        </x:is>
      </x:c>
      <x:c r="F20" s="22" t="inlineStr">
        <x:is>
          <x:t xml:space="preserve">MISSING</x:t>
        </x:is>
      </x:c>
      <x:c r="G20" s="23" t="inlineStr">
        <x:is>
          <x:t xml:space="preserve">PARTIAL</x:t>
        </x:is>
      </x:c>
      <x:c r="H20" s="22" t="inlineStr">
        <x:is>
          <x:t xml:space="preserve">MISSING</x:t>
        </x:is>
      </x:c>
      <x:c r="I20" s="20" t="inlineStr">
        <x:is>
          <x:t xml:space="preserve">theophysics-lean-main\theophysics-lean-main\Theophysics_Adversarial.lean</x:t>
        </x:is>
      </x:c>
      <x:c r="J20" s="20" t="inlineStr">
        <x:is>
          <x:t xml:space="preserve">338</x:t>
        </x:is>
      </x:c>
      <x:c r="K20" s="20" t="inlineStr">
        <x:is>
          <x:t xml:space="preserve">theorem wrong_physical_for_grace_invalid : bridgeFailureRejected BridgeFailure.wrongPhysicalGrace = true</x:t>
        </x:is>
      </x:c>
      <x:c r="L20" s="20" t="inlineStr">
        <x:is>
          <x:t xml:space="preserve">wrong_physical_for_grace_invalid</x:t>
        </x:is>
      </x:c>
      <x:c r="M20" s="23" t="inlineStr">
        <x:is>
          <x:t xml:space="preserve">PARTIAL</x:t>
        </x:is>
      </x:c>
      <x:c r="N20" s="21" t="inlineStr">
        <x:is>
          <x:t xml:space="preserve">PLACEHOLDER</x:t>
        </x:is>
      </x:c>
      <x:c r="O20" s="21" t="inlineStr">
        <x:is>
          <x:t xml:space="preserve">PLACEHOLDER</x:t>
        </x:is>
      </x:c>
      <x:c r="P20" s="22" t="inlineStr">
        <x:is>
          <x:t xml:space="preserve">MISSING</x:t>
        </x:is>
      </x:c>
      <x:c r="Q20" s="21" t="inlineStr">
        <x:is>
          <x:t xml:space="preserve">PLACEHOLDER</x:t>
        </x:is>
      </x:c>
      <x:c r="R20" s="21" t="inlineStr">
        <x:is>
          <x:t xml:space="preserve">PLACEHOLDER</x:t>
        </x:is>
      </x:c>
      <x:c r="S20" s="21" t="inlineStr">
        <x:is>
          <x:t xml:space="preserve">PLACEHOLDER</x:t>
        </x:is>
      </x:c>
      <x:c r="T20" s="23" t="inlineStr">
        <x:is>
          <x:t xml:space="preserve">PARTIAL</x:t>
        </x:is>
      </x:c>
      <x:c r="U20" s="21" t="inlineStr">
        <x:is>
          <x:t xml:space="preserve">PLACEHOLDER</x:t>
        </x:is>
      </x:c>
      <x:c r="V20" s="20" t="inlineStr">
        <x:is>
          <x:t xml:space="preserve">lean_match_count=4 | proof_strength=DEFINITIONAL_RFL | Proves definitional equality by reduction; useful but narrow. | definition/proof/numerical/empirical/interp fields still staged as TODO placeholders</x:t>
        </x:is>
      </x:c>
    </x:row>
    <x:row r="21" ht="55.20000076293945" customHeight="1">
      <x:c r="A21" s="20" t="inlineStr">
        <x:is>
          <x:t xml:space="preserve">20</x:t>
        </x:is>
      </x:c>
      <x:c r="B21" s="20" t="inlineStr">
        <x:is>
          <x:t xml:space="preserve">A new term with G's signature passes structurally — adversarial boundary: label honesty cannot be verified</x:t>
        </x:is>
      </x:c>
      <x:c r="C21" s="20" t="inlineStr">
        <x:is>
          <x:t xml:space="preserve">C2 - Structural correspondence candidate</x:t>
        </x:is>
      </x:c>
      <x:c r="D21" s="21" t="inlineStr">
        <x:is>
          <x:t xml:space="preserve">PLACEHOLDER</x:t>
        </x:is>
      </x:c>
      <x:c r="E21" s="22" t="inlineStr">
        <x:is>
          <x:t xml:space="preserve">MISSING</x:t>
        </x:is>
      </x:c>
      <x:c r="F21" s="22" t="inlineStr">
        <x:is>
          <x:t xml:space="preserve">MISSING</x:t>
        </x:is>
      </x:c>
      <x:c r="G21" s="23" t="inlineStr">
        <x:is>
          <x:t xml:space="preserve">PARTIAL</x:t>
        </x:is>
      </x:c>
      <x:c r="H21" s="23" t="inlineStr">
        <x:is>
          <x:t xml:space="preserve">PARTIAL</x:t>
        </x:is>
      </x:c>
      <x:c r="I21" s="20" t="inlineStr">
        <x:is>
          <x:t xml:space="preserve">theophysics-lean-main\theophysics-lean-main\Theophysics_Adversarial.lean</x:t>
        </x:is>
      </x:c>
      <x:c r="J21" s="20" t="inlineStr">
        <x:is>
          <x:t xml:space="preserve">342</x:t>
        </x:is>
      </x:c>
      <x:c r="K21" s="20" t="inlineStr">
        <x:is>
          <x:t xml:space="preserve">theorem arbitrary_grace_clone_matches_G : arbitraryGraceCloneMatchesG = true</x:t>
        </x:is>
      </x:c>
      <x:c r="L21" s="20" t="inlineStr">
        <x:is>
          <x:t xml:space="preserve">arbitrary_grace_clone_matches_G</x:t>
        </x:is>
      </x:c>
      <x:c r="M21" s="23" t="inlineStr">
        <x:is>
          <x:t xml:space="preserve">PARTIAL</x:t>
        </x:is>
      </x:c>
      <x:c r="N21" s="21" t="inlineStr">
        <x:is>
          <x:t xml:space="preserve">PLACEHOLDER</x:t>
        </x:is>
      </x:c>
      <x:c r="O21" s="21" t="inlineStr">
        <x:is>
          <x:t xml:space="preserve">PLACEHOLDER</x:t>
        </x:is>
      </x:c>
      <x:c r="P21" s="22" t="inlineStr">
        <x:is>
          <x:t xml:space="preserve">MISSING</x:t>
        </x:is>
      </x:c>
      <x:c r="Q21" s="21" t="inlineStr">
        <x:is>
          <x:t xml:space="preserve">PLACEHOLDER</x:t>
        </x:is>
      </x:c>
      <x:c r="R21" s="21" t="inlineStr">
        <x:is>
          <x:t xml:space="preserve">PLACEHOLDER</x:t>
        </x:is>
      </x:c>
      <x:c r="S21" s="21" t="inlineStr">
        <x:is>
          <x:t xml:space="preserve">PLACEHOLDER</x:t>
        </x:is>
      </x:c>
      <x:c r="T21" s="23" t="inlineStr">
        <x:is>
          <x:t xml:space="preserve">PARTIAL</x:t>
        </x:is>
      </x:c>
      <x:c r="U21" s="21" t="inlineStr">
        <x:is>
          <x:t xml:space="preserve">PLACEHOLDER</x:t>
        </x:is>
      </x:c>
      <x:c r="V21" s="20" t="inlineStr">
        <x:is>
          <x:t xml:space="preserve">lean_match_count=4 | proof_strength=DEFINITIONAL_RFL | Proves definitional equality by reduction; useful but narrow. | definition/proof/numerical/empirical/interp fields still staged as TODO placeholders</x:t>
        </x:is>
      </x:c>
    </x:row>
    <x:row r="22" ht="55.20000076293945" customHeight="1">
      <x:c r="A22" s="20" t="inlineStr">
        <x:is>
          <x:t xml:space="preserve">21</x:t>
        </x:is>
      </x:c>
      <x:c r="B22" s="20" t="inlineStr">
        <x:is>
          <x:t xml:space="preserve">REJECTION: A term with Q's signature fails the G slot</x:t>
        </x:is>
      </x:c>
      <x:c r="C22" s="20" t="inlineStr">
        <x:is>
          <x:t xml:space="preserve">C2 - Structural correspondence candidate</x:t>
        </x:is>
      </x:c>
      <x:c r="D22" s="21" t="inlineStr">
        <x:is>
          <x:t xml:space="preserve">PLACEHOLDER</x:t>
        </x:is>
      </x:c>
      <x:c r="E22" s="22" t="inlineStr">
        <x:is>
          <x:t xml:space="preserve">MISSING</x:t>
        </x:is>
      </x:c>
      <x:c r="F22" s="22" t="inlineStr">
        <x:is>
          <x:t xml:space="preserve">MISSING</x:t>
        </x:is>
      </x:c>
      <x:c r="G22" s="23" t="inlineStr">
        <x:is>
          <x:t xml:space="preserve">PARTIAL</x:t>
        </x:is>
      </x:c>
      <x:c r="H22" s="22" t="inlineStr">
        <x:is>
          <x:t xml:space="preserve">MISSING</x:t>
        </x:is>
      </x:c>
      <x:c r="I22" s="20" t="inlineStr">
        <x:is>
          <x:t xml:space="preserve">theophysics-lean-main\theophysics-lean-main\Theophysics_Adversarial.lean</x:t>
        </x:is>
      </x:c>
      <x:c r="J22" s="20" t="inlineStr">
        <x:is>
          <x:t xml:space="preserve">346</x:t>
        </x:is>
      </x:c>
      <x:c r="K22" s="20" t="inlineStr">
        <x:is>
          <x:t xml:space="preserve">theorem arbitrary_faith_clone_does_not_match_G : bridgeFailureRejected BridgeFailure.arbitraryFaithClone = true</x:t>
        </x:is>
      </x:c>
      <x:c r="L22" s="20" t="inlineStr">
        <x:is>
          <x:t xml:space="preserve">arbitrary_faith_clone_does_not_match_G</x:t>
        </x:is>
      </x:c>
      <x:c r="M22" s="23" t="inlineStr">
        <x:is>
          <x:t xml:space="preserve">PARTIAL</x:t>
        </x:is>
      </x:c>
      <x:c r="N22" s="21" t="inlineStr">
        <x:is>
          <x:t xml:space="preserve">PLACEHOLDER</x:t>
        </x:is>
      </x:c>
      <x:c r="O22" s="21" t="inlineStr">
        <x:is>
          <x:t xml:space="preserve">PLACEHOLDER</x:t>
        </x:is>
      </x:c>
      <x:c r="P22" s="22" t="inlineStr">
        <x:is>
          <x:t xml:space="preserve">MISSING</x:t>
        </x:is>
      </x:c>
      <x:c r="Q22" s="21" t="inlineStr">
        <x:is>
          <x:t xml:space="preserve">PLACEHOLDER</x:t>
        </x:is>
      </x:c>
      <x:c r="R22" s="21" t="inlineStr">
        <x:is>
          <x:t xml:space="preserve">PLACEHOLDER</x:t>
        </x:is>
      </x:c>
      <x:c r="S22" s="21" t="inlineStr">
        <x:is>
          <x:t xml:space="preserve">PLACEHOLDER</x:t>
        </x:is>
      </x:c>
      <x:c r="T22" s="23" t="inlineStr">
        <x:is>
          <x:t xml:space="preserve">PARTIAL</x:t>
        </x:is>
      </x:c>
      <x:c r="U22" s="21" t="inlineStr">
        <x:is>
          <x:t xml:space="preserve">PLACEHOLDER</x:t>
        </x:is>
      </x:c>
      <x:c r="V22" s="20" t="inlineStr">
        <x:is>
          <x:t xml:space="preserve">lean_match_count=4 | proof_strength=DEFINITIONAL_RFL | Proves definitional equality by reduction; useful but narrow. | definition/proof/numerical/empirical/interp fields still staged as TODO placeholders</x:t>
        </x:is>
      </x:c>
    </x:row>
    <x:row r="23" ht="55.20000076293945" customHeight="1">
      <x:c r="A23" s="20" t="inlineStr">
        <x:is>
          <x:t xml:space="preserve">22</x:t>
        </x:is>
      </x:c>
      <x:c r="B23" s="20" t="inlineStr">
        <x:is>
          <x:t xml:space="preserve">G=0 → χ=0</x:t>
        </x:is>
      </x:c>
      <x:c r="C23" s="20" t="inlineStr">
        <x:is>
          <x:t xml:space="preserve">C2 - Structural correspondence candidate</x:t>
        </x:is>
      </x:c>
      <x:c r="D23" s="21" t="inlineStr">
        <x:is>
          <x:t xml:space="preserve">PLACEHOLDER</x:t>
        </x:is>
      </x:c>
      <x:c r="E23" s="22" t="inlineStr">
        <x:is>
          <x:t xml:space="preserve">MISSING</x:t>
        </x:is>
      </x:c>
      <x:c r="F23" s="22" t="inlineStr">
        <x:is>
          <x:t xml:space="preserve">MISSING</x:t>
        </x:is>
      </x:c>
      <x:c r="G23" s="22" t="inlineStr">
        <x:is>
          <x:t xml:space="preserve">MISSING</x:t>
        </x:is>
      </x:c>
      <x:c r="H23" s="22" t="inlineStr">
        <x:is>
          <x:t xml:space="preserve">MISSING</x:t>
        </x:is>
      </x:c>
      <x:c r="I23" s="20" t="inlineStr">
        <x:is>
          <x:t xml:space="preserve">theophysics-lean-main\theophysics-lean-main\Theophysics_Core.lean</x:t>
        </x:is>
      </x:c>
      <x:c r="J23" s="20" t="inlineStr">
        <x:is>
          <x:t xml:space="preserve">177</x:t>
        </x:is>
      </x:c>
      <x:c r="K23" s="20" t="inlineStr">
        <x:is>
          <x:t xml:space="preserve">theorem full_G_zero_collapses : True</x:t>
        </x:is>
      </x:c>
      <x:c r="L23" s="20" t="inlineStr">
        <x:is>
          <x:t xml:space="preserve">full_G_zero_collapses</x:t>
        </x:is>
      </x:c>
      <x:c r="M23" s="23" t="inlineStr">
        <x:is>
          <x:t xml:space="preserve">PARTIAL</x:t>
        </x:is>
      </x:c>
      <x:c r="N23" s="21" t="inlineStr">
        <x:is>
          <x:t xml:space="preserve">PLACEHOLDER</x:t>
        </x:is>
      </x:c>
      <x:c r="O23" s="21" t="inlineStr">
        <x:is>
          <x:t xml:space="preserve">PLACEHOLDER</x:t>
        </x:is>
      </x:c>
      <x:c r="P23" s="22" t="inlineStr">
        <x:is>
          <x:t xml:space="preserve">MISSING</x:t>
        </x:is>
      </x:c>
      <x:c r="Q23" s="21" t="inlineStr">
        <x:is>
          <x:t xml:space="preserve">PLACEHOLDER</x:t>
        </x:is>
      </x:c>
      <x:c r="R23" s="21" t="inlineStr">
        <x:is>
          <x:t xml:space="preserve">PLACEHOLDER</x:t>
        </x:is>
      </x:c>
      <x:c r="S23" s="21" t="inlineStr">
        <x:is>
          <x:t xml:space="preserve">PLACEHOLDER</x:t>
        </x:is>
      </x:c>
      <x:c r="T23" s="23" t="inlineStr">
        <x:is>
          <x:t xml:space="preserve">PARTIAL</x:t>
        </x:is>
      </x:c>
      <x:c r="U23" s="21" t="inlineStr">
        <x:is>
          <x:t xml:space="preserve">PLACEHOLDER</x:t>
        </x:is>
      </x:c>
      <x:c r="V23" s="20" t="inlineStr">
        <x:is>
          <x:t xml:space="preserve">lean_match_count=4 | proof_strength=TRIVIAL_TRUE | Statement is `True`; theorem name may exceed formal content. | definition/proof/numerical/empirical/interp fields still staged as TODO placeholders</x:t>
        </x:is>
      </x:c>
    </x:row>
    <x:row r="24" ht="55.20000076293945" customHeight="1">
      <x:c r="A24" s="20" t="inlineStr">
        <x:is>
          <x:t xml:space="preserve">23</x:t>
        </x:is>
      </x:c>
      <x:c r="B24" s="20" t="inlineStr">
        <x:is>
          <x:t xml:space="preserve">M=0 → χ=0</x:t>
        </x:is>
      </x:c>
      <x:c r="C24" s="20" t="inlineStr">
        <x:is>
          <x:t xml:space="preserve">C2 - Structural correspondence candidate</x:t>
        </x:is>
      </x:c>
      <x:c r="D24" s="21" t="inlineStr">
        <x:is>
          <x:t xml:space="preserve">PLACEHOLDER</x:t>
        </x:is>
      </x:c>
      <x:c r="E24" s="22" t="inlineStr">
        <x:is>
          <x:t xml:space="preserve">MISSING</x:t>
        </x:is>
      </x:c>
      <x:c r="F24" s="22" t="inlineStr">
        <x:is>
          <x:t xml:space="preserve">MISSING</x:t>
        </x:is>
      </x:c>
      <x:c r="G24" s="22" t="inlineStr">
        <x:is>
          <x:t xml:space="preserve">MISSING</x:t>
        </x:is>
      </x:c>
      <x:c r="H24" s="22" t="inlineStr">
        <x:is>
          <x:t xml:space="preserve">MISSING</x:t>
        </x:is>
      </x:c>
      <x:c r="I24" s="20" t="inlineStr">
        <x:is>
          <x:t xml:space="preserve">theophysics-lean-main\theophysics-lean-main\Theophysics_Core.lean</x:t>
        </x:is>
      </x:c>
      <x:c r="J24" s="20" t="inlineStr">
        <x:is>
          <x:t xml:space="preserve">179</x:t>
        </x:is>
      </x:c>
      <x:c r="K24" s="20" t="inlineStr">
        <x:is>
          <x:t xml:space="preserve">theorem full_M_zero_collapses : True</x:t>
        </x:is>
      </x:c>
      <x:c r="L24" s="20" t="inlineStr">
        <x:is>
          <x:t xml:space="preserve">full_M_zero_collapses</x:t>
        </x:is>
      </x:c>
      <x:c r="M24" s="23" t="inlineStr">
        <x:is>
          <x:t xml:space="preserve">PARTIAL</x:t>
        </x:is>
      </x:c>
      <x:c r="N24" s="21" t="inlineStr">
        <x:is>
          <x:t xml:space="preserve">PLACEHOLDER</x:t>
        </x:is>
      </x:c>
      <x:c r="O24" s="21" t="inlineStr">
        <x:is>
          <x:t xml:space="preserve">PLACEHOLDER</x:t>
        </x:is>
      </x:c>
      <x:c r="P24" s="22" t="inlineStr">
        <x:is>
          <x:t xml:space="preserve">MISSING</x:t>
        </x:is>
      </x:c>
      <x:c r="Q24" s="21" t="inlineStr">
        <x:is>
          <x:t xml:space="preserve">PLACEHOLDER</x:t>
        </x:is>
      </x:c>
      <x:c r="R24" s="21" t="inlineStr">
        <x:is>
          <x:t xml:space="preserve">PLACEHOLDER</x:t>
        </x:is>
      </x:c>
      <x:c r="S24" s="21" t="inlineStr">
        <x:is>
          <x:t xml:space="preserve">PLACEHOLDER</x:t>
        </x:is>
      </x:c>
      <x:c r="T24" s="23" t="inlineStr">
        <x:is>
          <x:t xml:space="preserve">PARTIAL</x:t>
        </x:is>
      </x:c>
      <x:c r="U24" s="21" t="inlineStr">
        <x:is>
          <x:t xml:space="preserve">PLACEHOLDER</x:t>
        </x:is>
      </x:c>
      <x:c r="V24" s="20" t="inlineStr">
        <x:is>
          <x:t xml:space="preserve">lean_match_count=4 | proof_strength=TRIVIAL_TRUE | Statement is `True`; theorem name may exceed formal content. | definition/proof/numerical/empirical/interp fields still staged as TODO placeholders</x:t>
        </x:is>
      </x:c>
    </x:row>
    <x:row r="25" ht="55.20000076293945" customHeight="1">
      <x:c r="A25" s="20" t="inlineStr">
        <x:is>
          <x:t xml:space="preserve">24</x:t>
        </x:is>
      </x:c>
      <x:c r="B25" s="20" t="inlineStr">
        <x:is>
          <x:t xml:space="preserve">E=0 → χ=0</x:t>
        </x:is>
      </x:c>
      <x:c r="C25" s="20" t="inlineStr">
        <x:is>
          <x:t xml:space="preserve">C2 - Structural correspondence candidate</x:t>
        </x:is>
      </x:c>
      <x:c r="D25" s="21" t="inlineStr">
        <x:is>
          <x:t xml:space="preserve">PLACEHOLDER</x:t>
        </x:is>
      </x:c>
      <x:c r="E25" s="22" t="inlineStr">
        <x:is>
          <x:t xml:space="preserve">MISSING</x:t>
        </x:is>
      </x:c>
      <x:c r="F25" s="22" t="inlineStr">
        <x:is>
          <x:t xml:space="preserve">MISSING</x:t>
        </x:is>
      </x:c>
      <x:c r="G25" s="22" t="inlineStr">
        <x:is>
          <x:t xml:space="preserve">MISSING</x:t>
        </x:is>
      </x:c>
      <x:c r="H25" s="22" t="inlineStr">
        <x:is>
          <x:t xml:space="preserve">MISSING</x:t>
        </x:is>
      </x:c>
      <x:c r="I25" s="20" t="inlineStr">
        <x:is>
          <x:t xml:space="preserve">theophysics-lean-main\theophysics-lean-main\Theophysics_Core.lean</x:t>
        </x:is>
      </x:c>
      <x:c r="J25" s="20" t="inlineStr">
        <x:is>
          <x:t xml:space="preserve">175</x:t>
        </x:is>
      </x:c>
      <x:c r="K25" s="20" t="inlineStr">
        <x:is>
          <x:t xml:space="preserve">theorem full_E_zero_collapses : True</x:t>
        </x:is>
      </x:c>
      <x:c r="L25" s="20" t="inlineStr">
        <x:is>
          <x:t xml:space="preserve">full_E_zero_collapses</x:t>
        </x:is>
      </x:c>
      <x:c r="M25" s="23" t="inlineStr">
        <x:is>
          <x:t xml:space="preserve">PARTIAL</x:t>
        </x:is>
      </x:c>
      <x:c r="N25" s="21" t="inlineStr">
        <x:is>
          <x:t xml:space="preserve">PLACEHOLDER</x:t>
        </x:is>
      </x:c>
      <x:c r="O25" s="21" t="inlineStr">
        <x:is>
          <x:t xml:space="preserve">PLACEHOLDER</x:t>
        </x:is>
      </x:c>
      <x:c r="P25" s="22" t="inlineStr">
        <x:is>
          <x:t xml:space="preserve">MISSING</x:t>
        </x:is>
      </x:c>
      <x:c r="Q25" s="21" t="inlineStr">
        <x:is>
          <x:t xml:space="preserve">PLACEHOLDER</x:t>
        </x:is>
      </x:c>
      <x:c r="R25" s="21" t="inlineStr">
        <x:is>
          <x:t xml:space="preserve">PLACEHOLDER</x:t>
        </x:is>
      </x:c>
      <x:c r="S25" s="21" t="inlineStr">
        <x:is>
          <x:t xml:space="preserve">PLACEHOLDER</x:t>
        </x:is>
      </x:c>
      <x:c r="T25" s="23" t="inlineStr">
        <x:is>
          <x:t xml:space="preserve">PARTIAL</x:t>
        </x:is>
      </x:c>
      <x:c r="U25" s="21" t="inlineStr">
        <x:is>
          <x:t xml:space="preserve">PLACEHOLDER</x:t>
        </x:is>
      </x:c>
      <x:c r="V25" s="20" t="inlineStr">
        <x:is>
          <x:t xml:space="preserve">lean_match_count=4 | proof_strength=TRIVIAL_TRUE | Statement is `True`; theorem name may exceed formal content. | definition/proof/numerical/empirical/interp fields still staged as TODO placeholders</x:t>
        </x:is>
      </x:c>
    </x:row>
    <x:row r="26" ht="55.20000076293945" customHeight="1">
      <x:c r="A26" s="20" t="inlineStr">
        <x:is>
          <x:t xml:space="preserve">25</x:t>
        </x:is>
      </x:c>
      <x:c r="B26" s="20" t="inlineStr">
        <x:is>
          <x:t xml:space="preserve">S=0 → χ=0</x:t>
        </x:is>
      </x:c>
      <x:c r="C26" s="20" t="inlineStr">
        <x:is>
          <x:t xml:space="preserve">C2 - Structural correspondence candidate</x:t>
        </x:is>
      </x:c>
      <x:c r="D26" s="21" t="inlineStr">
        <x:is>
          <x:t xml:space="preserve">PLACEHOLDER</x:t>
        </x:is>
      </x:c>
      <x:c r="E26" s="22" t="inlineStr">
        <x:is>
          <x:t xml:space="preserve">MISSING</x:t>
        </x:is>
      </x:c>
      <x:c r="F26" s="22" t="inlineStr">
        <x:is>
          <x:t xml:space="preserve">MISSING</x:t>
        </x:is>
      </x:c>
      <x:c r="G26" s="22" t="inlineStr">
        <x:is>
          <x:t xml:space="preserve">MISSING</x:t>
        </x:is>
      </x:c>
      <x:c r="H26" s="22" t="inlineStr">
        <x:is>
          <x:t xml:space="preserve">MISSING</x:t>
        </x:is>
      </x:c>
      <x:c r="I26" s="20" t="inlineStr">
        <x:is>
          <x:t xml:space="preserve">theophysics-lean-main\theophysics-lean-main\Theophysics_Core.lean</x:t>
        </x:is>
      </x:c>
      <x:c r="J26" s="20" t="inlineStr">
        <x:is>
          <x:t xml:space="preserve">182</x:t>
        </x:is>
      </x:c>
      <x:c r="K26" s="20" t="inlineStr">
        <x:is>
          <x:t xml:space="preserve">theorem full_S_zero_collapses : True</x:t>
        </x:is>
      </x:c>
      <x:c r="L26" s="20" t="inlineStr">
        <x:is>
          <x:t xml:space="preserve">full_S_zero_collapses</x:t>
        </x:is>
      </x:c>
      <x:c r="M26" s="23" t="inlineStr">
        <x:is>
          <x:t xml:space="preserve">PARTIAL</x:t>
        </x:is>
      </x:c>
      <x:c r="N26" s="21" t="inlineStr">
        <x:is>
          <x:t xml:space="preserve">PLACEHOLDER</x:t>
        </x:is>
      </x:c>
      <x:c r="O26" s="21" t="inlineStr">
        <x:is>
          <x:t xml:space="preserve">PLACEHOLDER</x:t>
        </x:is>
      </x:c>
      <x:c r="P26" s="22" t="inlineStr">
        <x:is>
          <x:t xml:space="preserve">MISSING</x:t>
        </x:is>
      </x:c>
      <x:c r="Q26" s="21" t="inlineStr">
        <x:is>
          <x:t xml:space="preserve">PLACEHOLDER</x:t>
        </x:is>
      </x:c>
      <x:c r="R26" s="21" t="inlineStr">
        <x:is>
          <x:t xml:space="preserve">PLACEHOLDER</x:t>
        </x:is>
      </x:c>
      <x:c r="S26" s="21" t="inlineStr">
        <x:is>
          <x:t xml:space="preserve">PLACEHOLDER</x:t>
        </x:is>
      </x:c>
      <x:c r="T26" s="23" t="inlineStr">
        <x:is>
          <x:t xml:space="preserve">PARTIAL</x:t>
        </x:is>
      </x:c>
      <x:c r="U26" s="21" t="inlineStr">
        <x:is>
          <x:t xml:space="preserve">PLACEHOLDER</x:t>
        </x:is>
      </x:c>
      <x:c r="V26" s="20" t="inlineStr">
        <x:is>
          <x:t xml:space="preserve">lean_match_count=4 | proof_strength=TRIVIAL_TRUE | Statement is `True`; theorem name may exceed formal content. | definition/proof/numerical/empirical/interp fields still staged as TODO placeholders</x:t>
        </x:is>
      </x:c>
    </x:row>
    <x:row r="27" ht="55.20000076293945" customHeight="1">
      <x:c r="A27" s="20" t="inlineStr">
        <x:is>
          <x:t xml:space="preserve">26</x:t>
        </x:is>
      </x:c>
      <x:c r="B27" s="20" t="inlineStr">
        <x:is>
          <x:t xml:space="preserve">T=0 → χ=0</x:t>
        </x:is>
      </x:c>
      <x:c r="C27" s="20" t="inlineStr">
        <x:is>
          <x:t xml:space="preserve">C2 - Structural correspondence candidate</x:t>
        </x:is>
      </x:c>
      <x:c r="D27" s="21" t="inlineStr">
        <x:is>
          <x:t xml:space="preserve">PLACEHOLDER</x:t>
        </x:is>
      </x:c>
      <x:c r="E27" s="22" t="inlineStr">
        <x:is>
          <x:t xml:space="preserve">MISSING</x:t>
        </x:is>
      </x:c>
      <x:c r="F27" s="22" t="inlineStr">
        <x:is>
          <x:t xml:space="preserve">MISSING</x:t>
        </x:is>
      </x:c>
      <x:c r="G27" s="22" t="inlineStr">
        <x:is>
          <x:t xml:space="preserve">MISSING</x:t>
        </x:is>
      </x:c>
      <x:c r="H27" s="22" t="inlineStr">
        <x:is>
          <x:t xml:space="preserve">MISSING</x:t>
        </x:is>
      </x:c>
      <x:c r="I27" s="20" t="inlineStr">
        <x:is>
          <x:t xml:space="preserve">theophysics-lean-main\theophysics-lean-main\Theophysics_Core.lean</x:t>
        </x:is>
      </x:c>
      <x:c r="J27" s="20" t="inlineStr">
        <x:is>
          <x:t xml:space="preserve">183</x:t>
        </x:is>
      </x:c>
      <x:c r="K27" s="20" t="inlineStr">
        <x:is>
          <x:t xml:space="preserve">theorem full_T_zero_collapses : True</x:t>
        </x:is>
      </x:c>
      <x:c r="L27" s="20" t="inlineStr">
        <x:is>
          <x:t xml:space="preserve">full_T_zero_collapses</x:t>
        </x:is>
      </x:c>
      <x:c r="M27" s="23" t="inlineStr">
        <x:is>
          <x:t xml:space="preserve">PARTIAL</x:t>
        </x:is>
      </x:c>
      <x:c r="N27" s="21" t="inlineStr">
        <x:is>
          <x:t xml:space="preserve">PLACEHOLDER</x:t>
        </x:is>
      </x:c>
      <x:c r="O27" s="21" t="inlineStr">
        <x:is>
          <x:t xml:space="preserve">PLACEHOLDER</x:t>
        </x:is>
      </x:c>
      <x:c r="P27" s="22" t="inlineStr">
        <x:is>
          <x:t xml:space="preserve">MISSING</x:t>
        </x:is>
      </x:c>
      <x:c r="Q27" s="21" t="inlineStr">
        <x:is>
          <x:t xml:space="preserve">PLACEHOLDER</x:t>
        </x:is>
      </x:c>
      <x:c r="R27" s="21" t="inlineStr">
        <x:is>
          <x:t xml:space="preserve">PLACEHOLDER</x:t>
        </x:is>
      </x:c>
      <x:c r="S27" s="21" t="inlineStr">
        <x:is>
          <x:t xml:space="preserve">PLACEHOLDER</x:t>
        </x:is>
      </x:c>
      <x:c r="T27" s="23" t="inlineStr">
        <x:is>
          <x:t xml:space="preserve">PARTIAL</x:t>
        </x:is>
      </x:c>
      <x:c r="U27" s="21" t="inlineStr">
        <x:is>
          <x:t xml:space="preserve">PLACEHOLDER</x:t>
        </x:is>
      </x:c>
      <x:c r="V27" s="20" t="inlineStr">
        <x:is>
          <x:t xml:space="preserve">lean_match_count=4 | proof_strength=TRIVIAL_TRUE | Statement is `True`; theorem name may exceed formal content. | definition/proof/numerical/empirical/interp fields still staged as TODO placeholders</x:t>
        </x:is>
      </x:c>
    </x:row>
    <x:row r="28" ht="55.20000076293945" customHeight="1">
      <x:c r="A28" s="20" t="inlineStr">
        <x:is>
          <x:t xml:space="preserve">27</x:t>
        </x:is>
      </x:c>
      <x:c r="B28" s="20" t="inlineStr">
        <x:is>
          <x:t xml:space="preserve">K=0 → χ=0</x:t>
        </x:is>
      </x:c>
      <x:c r="C28" s="20" t="inlineStr">
        <x:is>
          <x:t xml:space="preserve">C2 - Structural correspondence candidate</x:t>
        </x:is>
      </x:c>
      <x:c r="D28" s="21" t="inlineStr">
        <x:is>
          <x:t xml:space="preserve">PLACEHOLDER</x:t>
        </x:is>
      </x:c>
      <x:c r="E28" s="22" t="inlineStr">
        <x:is>
          <x:t xml:space="preserve">MISSING</x:t>
        </x:is>
      </x:c>
      <x:c r="F28" s="22" t="inlineStr">
        <x:is>
          <x:t xml:space="preserve">MISSING</x:t>
        </x:is>
      </x:c>
      <x:c r="G28" s="22" t="inlineStr">
        <x:is>
          <x:t xml:space="preserve">MISSING</x:t>
        </x:is>
      </x:c>
      <x:c r="H28" s="22" t="inlineStr">
        <x:is>
          <x:t xml:space="preserve">MISSING</x:t>
        </x:is>
      </x:c>
      <x:c r="I28" s="20" t="inlineStr">
        <x:is>
          <x:t xml:space="preserve">theophysics-lean-main\theophysics-lean-main\Theophysics_Core.lean</x:t>
        </x:is>
      </x:c>
      <x:c r="J28" s="20" t="inlineStr">
        <x:is>
          <x:t xml:space="preserve">178</x:t>
        </x:is>
      </x:c>
      <x:c r="K28" s="20" t="inlineStr">
        <x:is>
          <x:t xml:space="preserve">theorem full_K_zero_collapses : True</x:t>
        </x:is>
      </x:c>
      <x:c r="L28" s="20" t="inlineStr">
        <x:is>
          <x:t xml:space="preserve">full_K_zero_collapses</x:t>
        </x:is>
      </x:c>
      <x:c r="M28" s="23" t="inlineStr">
        <x:is>
          <x:t xml:space="preserve">PARTIAL</x:t>
        </x:is>
      </x:c>
      <x:c r="N28" s="21" t="inlineStr">
        <x:is>
          <x:t xml:space="preserve">PLACEHOLDER</x:t>
        </x:is>
      </x:c>
      <x:c r="O28" s="21" t="inlineStr">
        <x:is>
          <x:t xml:space="preserve">PLACEHOLDER</x:t>
        </x:is>
      </x:c>
      <x:c r="P28" s="22" t="inlineStr">
        <x:is>
          <x:t xml:space="preserve">MISSING</x:t>
        </x:is>
      </x:c>
      <x:c r="Q28" s="21" t="inlineStr">
        <x:is>
          <x:t xml:space="preserve">PLACEHOLDER</x:t>
        </x:is>
      </x:c>
      <x:c r="R28" s="21" t="inlineStr">
        <x:is>
          <x:t xml:space="preserve">PLACEHOLDER</x:t>
        </x:is>
      </x:c>
      <x:c r="S28" s="21" t="inlineStr">
        <x:is>
          <x:t xml:space="preserve">PLACEHOLDER</x:t>
        </x:is>
      </x:c>
      <x:c r="T28" s="23" t="inlineStr">
        <x:is>
          <x:t xml:space="preserve">PARTIAL</x:t>
        </x:is>
      </x:c>
      <x:c r="U28" s="21" t="inlineStr">
        <x:is>
          <x:t xml:space="preserve">PLACEHOLDER</x:t>
        </x:is>
      </x:c>
      <x:c r="V28" s="20" t="inlineStr">
        <x:is>
          <x:t xml:space="preserve">lean_match_count=4 | proof_strength=TRIVIAL_TRUE | Statement is `True`; theorem name may exceed formal content. | definition/proof/numerical/empirical/interp fields still staged as TODO placeholders</x:t>
        </x:is>
      </x:c>
    </x:row>
    <x:row r="29" ht="55.20000076293945" customHeight="1">
      <x:c r="A29" s="20" t="inlineStr">
        <x:is>
          <x:t xml:space="preserve">28</x:t>
        </x:is>
      </x:c>
      <x:c r="B29" s="20" t="inlineStr">
        <x:is>
          <x:t xml:space="preserve">R=0 → χ=0</x:t>
        </x:is>
      </x:c>
      <x:c r="C29" s="20" t="inlineStr">
        <x:is>
          <x:t xml:space="preserve">C2 - Structural correspondence candidate</x:t>
        </x:is>
      </x:c>
      <x:c r="D29" s="21" t="inlineStr">
        <x:is>
          <x:t xml:space="preserve">PLACEHOLDER</x:t>
        </x:is>
      </x:c>
      <x:c r="E29" s="22" t="inlineStr">
        <x:is>
          <x:t xml:space="preserve">MISSING</x:t>
        </x:is>
      </x:c>
      <x:c r="F29" s="22" t="inlineStr">
        <x:is>
          <x:t xml:space="preserve">MISSING</x:t>
        </x:is>
      </x:c>
      <x:c r="G29" s="22" t="inlineStr">
        <x:is>
          <x:t xml:space="preserve">MISSING</x:t>
        </x:is>
      </x:c>
      <x:c r="H29" s="22" t="inlineStr">
        <x:is>
          <x:t xml:space="preserve">MISSING</x:t>
        </x:is>
      </x:c>
      <x:c r="I29" s="20" t="inlineStr">
        <x:is>
          <x:t xml:space="preserve">theophysics-lean-main\theophysics-lean-main\Theophysics_Core.lean</x:t>
        </x:is>
      </x:c>
      <x:c r="J29" s="20" t="inlineStr">
        <x:is>
          <x:t xml:space="preserve">181</x:t>
        </x:is>
      </x:c>
      <x:c r="K29" s="20" t="inlineStr">
        <x:is>
          <x:t xml:space="preserve">theorem full_R_zero_collapses : True</x:t>
        </x:is>
      </x:c>
      <x:c r="L29" s="20" t="inlineStr">
        <x:is>
          <x:t xml:space="preserve">full_R_zero_collapses</x:t>
        </x:is>
      </x:c>
      <x:c r="M29" s="23" t="inlineStr">
        <x:is>
          <x:t xml:space="preserve">PARTIAL</x:t>
        </x:is>
      </x:c>
      <x:c r="N29" s="21" t="inlineStr">
        <x:is>
          <x:t xml:space="preserve">PLACEHOLDER</x:t>
        </x:is>
      </x:c>
      <x:c r="O29" s="21" t="inlineStr">
        <x:is>
          <x:t xml:space="preserve">PLACEHOLDER</x:t>
        </x:is>
      </x:c>
      <x:c r="P29" s="22" t="inlineStr">
        <x:is>
          <x:t xml:space="preserve">MISSING</x:t>
        </x:is>
      </x:c>
      <x:c r="Q29" s="21" t="inlineStr">
        <x:is>
          <x:t xml:space="preserve">PLACEHOLDER</x:t>
        </x:is>
      </x:c>
      <x:c r="R29" s="21" t="inlineStr">
        <x:is>
          <x:t xml:space="preserve">PLACEHOLDER</x:t>
        </x:is>
      </x:c>
      <x:c r="S29" s="21" t="inlineStr">
        <x:is>
          <x:t xml:space="preserve">PLACEHOLDER</x:t>
        </x:is>
      </x:c>
      <x:c r="T29" s="23" t="inlineStr">
        <x:is>
          <x:t xml:space="preserve">PARTIAL</x:t>
        </x:is>
      </x:c>
      <x:c r="U29" s="21" t="inlineStr">
        <x:is>
          <x:t xml:space="preserve">PLACEHOLDER</x:t>
        </x:is>
      </x:c>
      <x:c r="V29" s="20" t="inlineStr">
        <x:is>
          <x:t xml:space="preserve">lean_match_count=4 | proof_strength=TRIVIAL_TRUE | Statement is `True`; theorem name may exceed formal content. | definition/proof/numerical/empirical/interp fields still staged as TODO placeholders</x:t>
        </x:is>
      </x:c>
    </x:row>
    <x:row r="30" ht="55.20000076293945" customHeight="1">
      <x:c r="A30" s="20" t="inlineStr">
        <x:is>
          <x:t xml:space="preserve">29</x:t>
        </x:is>
      </x:c>
      <x:c r="B30" s="20" t="inlineStr">
        <x:is>
          <x:t xml:space="preserve">Q=0 → χ=0</x:t>
        </x:is>
      </x:c>
      <x:c r="C30" s="20" t="inlineStr">
        <x:is>
          <x:t xml:space="preserve">C2 - Structural correspondence candidate</x:t>
        </x:is>
      </x:c>
      <x:c r="D30" s="21" t="inlineStr">
        <x:is>
          <x:t xml:space="preserve">PLACEHOLDER</x:t>
        </x:is>
      </x:c>
      <x:c r="E30" s="22" t="inlineStr">
        <x:is>
          <x:t xml:space="preserve">MISSING</x:t>
        </x:is>
      </x:c>
      <x:c r="F30" s="22" t="inlineStr">
        <x:is>
          <x:t xml:space="preserve">MISSING</x:t>
        </x:is>
      </x:c>
      <x:c r="G30" s="22" t="inlineStr">
        <x:is>
          <x:t xml:space="preserve">MISSING</x:t>
        </x:is>
      </x:c>
      <x:c r="H30" s="22" t="inlineStr">
        <x:is>
          <x:t xml:space="preserve">MISSING</x:t>
        </x:is>
      </x:c>
      <x:c r="I30" s="20" t="inlineStr">
        <x:is>
          <x:t xml:space="preserve">theophysics-lean-main\theophysics-lean-main\Theophysics_Core.lean</x:t>
        </x:is>
      </x:c>
      <x:c r="J30" s="20" t="inlineStr">
        <x:is>
          <x:t xml:space="preserve">180</x:t>
        </x:is>
      </x:c>
      <x:c r="K30" s="20" t="inlineStr">
        <x:is>
          <x:t xml:space="preserve">theorem full_Q_zero_collapses : True</x:t>
        </x:is>
      </x:c>
      <x:c r="L30" s="20" t="inlineStr">
        <x:is>
          <x:t xml:space="preserve">full_Q_zero_collapses</x:t>
        </x:is>
      </x:c>
      <x:c r="M30" s="23" t="inlineStr">
        <x:is>
          <x:t xml:space="preserve">PARTIAL</x:t>
        </x:is>
      </x:c>
      <x:c r="N30" s="21" t="inlineStr">
        <x:is>
          <x:t xml:space="preserve">PLACEHOLDER</x:t>
        </x:is>
      </x:c>
      <x:c r="O30" s="21" t="inlineStr">
        <x:is>
          <x:t xml:space="preserve">PLACEHOLDER</x:t>
        </x:is>
      </x:c>
      <x:c r="P30" s="22" t="inlineStr">
        <x:is>
          <x:t xml:space="preserve">MISSING</x:t>
        </x:is>
      </x:c>
      <x:c r="Q30" s="21" t="inlineStr">
        <x:is>
          <x:t xml:space="preserve">PLACEHOLDER</x:t>
        </x:is>
      </x:c>
      <x:c r="R30" s="21" t="inlineStr">
        <x:is>
          <x:t xml:space="preserve">PLACEHOLDER</x:t>
        </x:is>
      </x:c>
      <x:c r="S30" s="21" t="inlineStr">
        <x:is>
          <x:t xml:space="preserve">PLACEHOLDER</x:t>
        </x:is>
      </x:c>
      <x:c r="T30" s="23" t="inlineStr">
        <x:is>
          <x:t xml:space="preserve">PARTIAL</x:t>
        </x:is>
      </x:c>
      <x:c r="U30" s="21" t="inlineStr">
        <x:is>
          <x:t xml:space="preserve">PLACEHOLDER</x:t>
        </x:is>
      </x:c>
      <x:c r="V30" s="20" t="inlineStr">
        <x:is>
          <x:t xml:space="preserve">lean_match_count=4 | proof_strength=TRIVIAL_TRUE | Statement is `True`; theorem name may exceed formal content. | definition/proof/numerical/empirical/interp fields still staged as TODO placeholders</x:t>
        </x:is>
      </x:c>
    </x:row>
    <x:row r="31" ht="55.20000076293945" customHeight="1">
      <x:c r="A31" s="20" t="inlineStr">
        <x:is>
          <x:t xml:space="preserve">30</x:t>
        </x:is>
      </x:c>
      <x:c r="B31" s="20" t="inlineStr">
        <x:is>
          <x:t xml:space="preserve">F=0 → χ=0</x:t>
        </x:is>
      </x:c>
      <x:c r="C31" s="20" t="inlineStr">
        <x:is>
          <x:t xml:space="preserve">C2 - Structural correspondence candidate</x:t>
        </x:is>
      </x:c>
      <x:c r="D31" s="21" t="inlineStr">
        <x:is>
          <x:t xml:space="preserve">PLACEHOLDER</x:t>
        </x:is>
      </x:c>
      <x:c r="E31" s="22" t="inlineStr">
        <x:is>
          <x:t xml:space="preserve">MISSING</x:t>
        </x:is>
      </x:c>
      <x:c r="F31" s="22" t="inlineStr">
        <x:is>
          <x:t xml:space="preserve">MISSING</x:t>
        </x:is>
      </x:c>
      <x:c r="G31" s="22" t="inlineStr">
        <x:is>
          <x:t xml:space="preserve">MISSING</x:t>
        </x:is>
      </x:c>
      <x:c r="H31" s="22" t="inlineStr">
        <x:is>
          <x:t xml:space="preserve">MISSING</x:t>
        </x:is>
      </x:c>
      <x:c r="I31" s="20" t="inlineStr">
        <x:is>
          <x:t xml:space="preserve">theophysics-lean-main\theophysics-lean-main\Theophysics_Core.lean</x:t>
        </x:is>
      </x:c>
      <x:c r="J31" s="20" t="inlineStr">
        <x:is>
          <x:t xml:space="preserve">176</x:t>
        </x:is>
      </x:c>
      <x:c r="K31" s="20" t="inlineStr">
        <x:is>
          <x:t xml:space="preserve">theorem full_F_zero_collapses : True</x:t>
        </x:is>
      </x:c>
      <x:c r="L31" s="20" t="inlineStr">
        <x:is>
          <x:t xml:space="preserve">full_F_zero_collapses</x:t>
        </x:is>
      </x:c>
      <x:c r="M31" s="23" t="inlineStr">
        <x:is>
          <x:t xml:space="preserve">PARTIAL</x:t>
        </x:is>
      </x:c>
      <x:c r="N31" s="21" t="inlineStr">
        <x:is>
          <x:t xml:space="preserve">PLACEHOLDER</x:t>
        </x:is>
      </x:c>
      <x:c r="O31" s="21" t="inlineStr">
        <x:is>
          <x:t xml:space="preserve">PLACEHOLDER</x:t>
        </x:is>
      </x:c>
      <x:c r="P31" s="22" t="inlineStr">
        <x:is>
          <x:t xml:space="preserve">MISSING</x:t>
        </x:is>
      </x:c>
      <x:c r="Q31" s="21" t="inlineStr">
        <x:is>
          <x:t xml:space="preserve">PLACEHOLDER</x:t>
        </x:is>
      </x:c>
      <x:c r="R31" s="21" t="inlineStr">
        <x:is>
          <x:t xml:space="preserve">PLACEHOLDER</x:t>
        </x:is>
      </x:c>
      <x:c r="S31" s="21" t="inlineStr">
        <x:is>
          <x:t xml:space="preserve">PLACEHOLDER</x:t>
        </x:is>
      </x:c>
      <x:c r="T31" s="23" t="inlineStr">
        <x:is>
          <x:t xml:space="preserve">PARTIAL</x:t>
        </x:is>
      </x:c>
      <x:c r="U31" s="21" t="inlineStr">
        <x:is>
          <x:t xml:space="preserve">PLACEHOLDER</x:t>
        </x:is>
      </x:c>
      <x:c r="V31" s="20" t="inlineStr">
        <x:is>
          <x:t xml:space="preserve">lean_match_count=4 | proof_strength=TRIVIAL_TRUE | Statement is `True`; theorem name may exceed formal content. | definition/proof/numerical/empirical/interp fields still staged as TODO placeholders</x:t>
        </x:is>
      </x:c>
    </x:row>
    <x:row r="32" ht="55.20000076293945" customHeight="1">
      <x:c r="A32" s="20" t="inlineStr">
        <x:is>
          <x:t xml:space="preserve">31</x:t>
        </x:is>
      </x:c>
      <x:c r="B32" s="20" t="inlineStr">
        <x:is>
          <x:t xml:space="preserve">C=0 → χ=0</x:t>
        </x:is>
      </x:c>
      <x:c r="C32" s="20" t="inlineStr">
        <x:is>
          <x:t xml:space="preserve">C2 - Structural correspondence candidate</x:t>
        </x:is>
      </x:c>
      <x:c r="D32" s="21" t="inlineStr">
        <x:is>
          <x:t xml:space="preserve">PLACEHOLDER</x:t>
        </x:is>
      </x:c>
      <x:c r="E32" s="22" t="inlineStr">
        <x:is>
          <x:t xml:space="preserve">MISSING</x:t>
        </x:is>
      </x:c>
      <x:c r="F32" s="22" t="inlineStr">
        <x:is>
          <x:t xml:space="preserve">MISSING</x:t>
        </x:is>
      </x:c>
      <x:c r="G32" s="22" t="inlineStr">
        <x:is>
          <x:t xml:space="preserve">MISSING</x:t>
        </x:is>
      </x:c>
      <x:c r="H32" s="22" t="inlineStr">
        <x:is>
          <x:t xml:space="preserve">MISSING</x:t>
        </x:is>
      </x:c>
      <x:c r="I32" s="20" t="inlineStr">
        <x:is>
          <x:t xml:space="preserve">theophysics-lean-main\theophysics-lean-main\Theophysics_Core.lean</x:t>
        </x:is>
      </x:c>
      <x:c r="J32" s="20" t="inlineStr">
        <x:is>
          <x:t xml:space="preserve">174</x:t>
        </x:is>
      </x:c>
      <x:c r="K32" s="20" t="inlineStr">
        <x:is>
          <x:t xml:space="preserve">theorem full_C_zero_collapses : True</x:t>
        </x:is>
      </x:c>
      <x:c r="L32" s="20" t="inlineStr">
        <x:is>
          <x:t xml:space="preserve">full_C_zero_collapses</x:t>
        </x:is>
      </x:c>
      <x:c r="M32" s="23" t="inlineStr">
        <x:is>
          <x:t xml:space="preserve">PARTIAL</x:t>
        </x:is>
      </x:c>
      <x:c r="N32" s="21" t="inlineStr">
        <x:is>
          <x:t xml:space="preserve">PLACEHOLDER</x:t>
        </x:is>
      </x:c>
      <x:c r="O32" s="21" t="inlineStr">
        <x:is>
          <x:t xml:space="preserve">PLACEHOLDER</x:t>
        </x:is>
      </x:c>
      <x:c r="P32" s="22" t="inlineStr">
        <x:is>
          <x:t xml:space="preserve">MISSING</x:t>
        </x:is>
      </x:c>
      <x:c r="Q32" s="21" t="inlineStr">
        <x:is>
          <x:t xml:space="preserve">PLACEHOLDER</x:t>
        </x:is>
      </x:c>
      <x:c r="R32" s="21" t="inlineStr">
        <x:is>
          <x:t xml:space="preserve">PLACEHOLDER</x:t>
        </x:is>
      </x:c>
      <x:c r="S32" s="21" t="inlineStr">
        <x:is>
          <x:t xml:space="preserve">PLACEHOLDER</x:t>
        </x:is>
      </x:c>
      <x:c r="T32" s="23" t="inlineStr">
        <x:is>
          <x:t xml:space="preserve">PARTIAL</x:t>
        </x:is>
      </x:c>
      <x:c r="U32" s="21" t="inlineStr">
        <x:is>
          <x:t xml:space="preserve">PLACEHOLDER</x:t>
        </x:is>
      </x:c>
      <x:c r="V32" s="20" t="inlineStr">
        <x:is>
          <x:t xml:space="preserve">lean_match_count=4 | proof_strength=TRIVIAL_TRUE | Statement is `True`; theorem name may exceed formal content. | definition/proof/numerical/empirical/interp fields still staged as TODO placeholders</x:t>
        </x:is>
      </x:c>
    </x:row>
    <x:row r="33" ht="55.20000076293945" customHeight="1">
      <x:c r="A33" s="20" t="inlineStr">
        <x:is>
          <x:t xml:space="preserve">32</x:t>
        </x:is>
      </x:c>
      <x:c r="B33" s="20" t="inlineStr">
        <x:is>
          <x:t xml:space="preserve">REJECTION: Q &gt; 0 doesn't save you if G = 0. No single factor is sufficient.</x:t>
        </x:is>
      </x:c>
      <x:c r="C33" s="20" t="inlineStr">
        <x:is>
          <x:t xml:space="preserve">C2 - Structural correspondence candidate</x:t>
        </x:is>
      </x:c>
      <x:c r="D33" s="21" t="inlineStr">
        <x:is>
          <x:t xml:space="preserve">PLACEHOLDER</x:t>
        </x:is>
      </x:c>
      <x:c r="E33" s="22" t="inlineStr">
        <x:is>
          <x:t xml:space="preserve">MISSING</x:t>
        </x:is>
      </x:c>
      <x:c r="F33" s="22" t="inlineStr">
        <x:is>
          <x:t xml:space="preserve">MISSING</x:t>
        </x:is>
      </x:c>
      <x:c r="G33" s="22" t="inlineStr">
        <x:is>
          <x:t xml:space="preserve">MISSING</x:t>
        </x:is>
      </x:c>
      <x:c r="H33" s="22" t="inlineStr">
        <x:is>
          <x:t xml:space="preserve">MISSING</x:t>
        </x:is>
      </x:c>
      <x:c r="I33" s="20" t="inlineStr">
        <x:is>
          <x:t xml:space="preserve">theophysics-lean-main\theophysics-lean-main\Theophysics_Adversarial.lean</x:t>
        </x:is>
      </x:c>
      <x:c r="J33" s="20" t="inlineStr">
        <x:is>
          <x:t xml:space="preserve">350</x:t>
        </x:is>
      </x:c>
      <x:c r="K33" s="20" t="inlineStr">
        <x:is>
          <x:t xml:space="preserve">theorem full_Q_nonzero_not_sufficient : fullQNonzeroButOtherGateZero.Q = 1 ∧ chi fullQNonzeroButOtherGateZero = 0</x:t>
        </x:is>
      </x:c>
      <x:c r="L33" s="20" t="inlineStr">
        <x:is>
          <x:t xml:space="preserve">full_Q_nonzero_not_sufficient</x:t>
        </x:is>
      </x:c>
      <x:c r="M33" s="23" t="inlineStr">
        <x:is>
          <x:t xml:space="preserve">PARTIAL</x:t>
        </x:is>
      </x:c>
      <x:c r="N33" s="21" t="inlineStr">
        <x:is>
          <x:t xml:space="preserve">PLACEHOLDER</x:t>
        </x:is>
      </x:c>
      <x:c r="O33" s="21" t="inlineStr">
        <x:is>
          <x:t xml:space="preserve">PLACEHOLDER</x:t>
        </x:is>
      </x:c>
      <x:c r="P33" s="22" t="inlineStr">
        <x:is>
          <x:t xml:space="preserve">MISSING</x:t>
        </x:is>
      </x:c>
      <x:c r="Q33" s="21" t="inlineStr">
        <x:is>
          <x:t xml:space="preserve">PLACEHOLDER</x:t>
        </x:is>
      </x:c>
      <x:c r="R33" s="21" t="inlineStr">
        <x:is>
          <x:t xml:space="preserve">PLACEHOLDER</x:t>
        </x:is>
      </x:c>
      <x:c r="S33" s="21" t="inlineStr">
        <x:is>
          <x:t xml:space="preserve">PLACEHOLDER</x:t>
        </x:is>
      </x:c>
      <x:c r="T33" s="23" t="inlineStr">
        <x:is>
          <x:t xml:space="preserve">PARTIAL</x:t>
        </x:is>
      </x:c>
      <x:c r="U33" s="21" t="inlineStr">
        <x:is>
          <x:t xml:space="preserve">PLACEHOLDER</x:t>
        </x:is>
      </x:c>
      <x:c r="V33" s="20" t="inlineStr">
        <x:is>
          <x:t xml:space="preserve">lean_match_count=4 | proof_strength=FINITE_DECIDABLE | Finite/decidable proof; check candidate-space limits. | definition/proof/numerical/empirical/interp fields still staged as TODO placeholders</x:t>
        </x:is>
      </x:c>
    </x:row>
    <x:row r="34" ht="55.20000076293945" customHeight="1">
      <x:c r="A34" s="20" t="inlineStr">
        <x:is>
          <x:t xml:space="preserve">33</x:t>
        </x:is>
      </x:c>
      <x:c r="B34" s="20" t="inlineStr">
        <x:is>
          <x:t xml:space="preserve">REJECTION: R=0 kills χ even if everything else is 1. Gate is non-negotiable.</x:t>
        </x:is>
      </x:c>
      <x:c r="C34" s="20" t="inlineStr">
        <x:is>
          <x:t xml:space="preserve">C2 - Structural correspondence candidate</x:t>
        </x:is>
      </x:c>
      <x:c r="D34" s="21" t="inlineStr">
        <x:is>
          <x:t xml:space="preserve">PLACEHOLDER</x:t>
        </x:is>
      </x:c>
      <x:c r="E34" s="22" t="inlineStr">
        <x:is>
          <x:t xml:space="preserve">MISSING</x:t>
        </x:is>
      </x:c>
      <x:c r="F34" s="22" t="inlineStr">
        <x:is>
          <x:t xml:space="preserve">MISSING</x:t>
        </x:is>
      </x:c>
      <x:c r="G34" s="22" t="inlineStr">
        <x:is>
          <x:t xml:space="preserve">MISSING</x:t>
        </x:is>
      </x:c>
      <x:c r="H34" s="22" t="inlineStr">
        <x:is>
          <x:t xml:space="preserve">MISSING</x:t>
        </x:is>
      </x:c>
      <x:c r="I34" s="20" t="inlineStr">
        <x:is>
          <x:t xml:space="preserve">theophysics-lean-main\theophysics-lean-main\Theophysics_Adversarial.lean</x:t>
        </x:is>
      </x:c>
      <x:c r="J34" s="20" t="inlineStr">
        <x:is>
          <x:t xml:space="preserve">354</x:t>
        </x:is>
      </x:c>
      <x:c r="K34" s="20" t="inlineStr">
        <x:is>
          <x:t xml:space="preserve">theorem full_R_gate_required : fullRGateCounterexample.R = 0 ∧ chi fullRGateCounterexample = 0</x:t>
        </x:is>
      </x:c>
      <x:c r="L34" s="20" t="inlineStr">
        <x:is>
          <x:t xml:space="preserve">full_R_gate_required</x:t>
        </x:is>
      </x:c>
      <x:c r="M34" s="23" t="inlineStr">
        <x:is>
          <x:t xml:space="preserve">PARTIAL</x:t>
        </x:is>
      </x:c>
      <x:c r="N34" s="21" t="inlineStr">
        <x:is>
          <x:t xml:space="preserve">PLACEHOLDER</x:t>
        </x:is>
      </x:c>
      <x:c r="O34" s="21" t="inlineStr">
        <x:is>
          <x:t xml:space="preserve">PLACEHOLDER</x:t>
        </x:is>
      </x:c>
      <x:c r="P34" s="22" t="inlineStr">
        <x:is>
          <x:t xml:space="preserve">MISSING</x:t>
        </x:is>
      </x:c>
      <x:c r="Q34" s="21" t="inlineStr">
        <x:is>
          <x:t xml:space="preserve">PLACEHOLDER</x:t>
        </x:is>
      </x:c>
      <x:c r="R34" s="21" t="inlineStr">
        <x:is>
          <x:t xml:space="preserve">PLACEHOLDER</x:t>
        </x:is>
      </x:c>
      <x:c r="S34" s="21" t="inlineStr">
        <x:is>
          <x:t xml:space="preserve">PLACEHOLDER</x:t>
        </x:is>
      </x:c>
      <x:c r="T34" s="23" t="inlineStr">
        <x:is>
          <x:t xml:space="preserve">PARTIAL</x:t>
        </x:is>
      </x:c>
      <x:c r="U34" s="21" t="inlineStr">
        <x:is>
          <x:t xml:space="preserve">PLACEHOLDER</x:t>
        </x:is>
      </x:c>
      <x:c r="V34" s="20" t="inlineStr">
        <x:is>
          <x:t xml:space="preserve">lean_match_count=4 | proof_strength=FINITE_DECIDABLE | Finite/decidable proof; check candidate-space limits. | definition/proof/numerical/empirical/interp fields still staged as TODO placeholders</x:t>
        </x:is>
      </x:c>
    </x:row>
    <x:row r="35" ht="55.20000076293945" customHeight="1">
      <x:c r="A35" s="20" t="inlineStr">
        <x:is>
          <x:t xml:space="preserve">34</x:t>
        </x:is>
      </x:c>
      <x:c r="B35" s="20" t="inlineStr">
        <x:is>
          <x:t xml:space="preserve">All factors at 1 → χ = 1 (life). The only surviving state when all gates pass.</x:t>
        </x:is>
      </x:c>
      <x:c r="C35" s="20" t="inlineStr">
        <x:is>
          <x:t xml:space="preserve">C2 - Structural correspondence candidate</x:t>
        </x:is>
      </x:c>
      <x:c r="D35" s="21" t="inlineStr">
        <x:is>
          <x:t xml:space="preserve">PLACEHOLDER</x:t>
        </x:is>
      </x:c>
      <x:c r="E35" s="22" t="inlineStr">
        <x:is>
          <x:t xml:space="preserve">MISSING</x:t>
        </x:is>
      </x:c>
      <x:c r="F35" s="22" t="inlineStr">
        <x:is>
          <x:t xml:space="preserve">MISSING</x:t>
        </x:is>
      </x:c>
      <x:c r="G35" s="22" t="inlineStr">
        <x:is>
          <x:t xml:space="preserve">MISSING</x:t>
        </x:is>
      </x:c>
      <x:c r="H35" s="22" t="inlineStr">
        <x:is>
          <x:t xml:space="preserve">MISSING</x:t>
        </x:is>
      </x:c>
      <x:c r="I35" s="20" t="inlineStr">
        <x:is>
          <x:t xml:space="preserve">theophysics-lean-main\theophysics-lean-main\Final_Lean4_From_Excel.lean</x:t>
        </x:is>
      </x:c>
      <x:c r="J35" s="20" t="inlineStr">
        <x:is>
          <x:t xml:space="preserve">128</x:t>
        </x:is>
      </x:c>
      <x:c r="K35" s="20" t="inlineStr">
        <x:is>
          <x:t xml:space="preserve">theorem all_ones_live : chi ⟨1,1,1,1,1,1,1,1,1,1⟩ = 1</x:t>
        </x:is>
      </x:c>
      <x:c r="L35" s="20" t="inlineStr">
        <x:is>
          <x:t xml:space="preserve">all_ones_live</x:t>
        </x:is>
      </x:c>
      <x:c r="M35" s="23" t="inlineStr">
        <x:is>
          <x:t xml:space="preserve">PARTIAL</x:t>
        </x:is>
      </x:c>
      <x:c r="N35" s="21" t="inlineStr">
        <x:is>
          <x:t xml:space="preserve">PLACEHOLDER</x:t>
        </x:is>
      </x:c>
      <x:c r="O35" s="21" t="inlineStr">
        <x:is>
          <x:t xml:space="preserve">PLACEHOLDER</x:t>
        </x:is>
      </x:c>
      <x:c r="P35" s="22" t="inlineStr">
        <x:is>
          <x:t xml:space="preserve">MISSING</x:t>
        </x:is>
      </x:c>
      <x:c r="Q35" s="21" t="inlineStr">
        <x:is>
          <x:t xml:space="preserve">PLACEHOLDER</x:t>
        </x:is>
      </x:c>
      <x:c r="R35" s="21" t="inlineStr">
        <x:is>
          <x:t xml:space="preserve">PLACEHOLDER</x:t>
        </x:is>
      </x:c>
      <x:c r="S35" s="21" t="inlineStr">
        <x:is>
          <x:t xml:space="preserve">PLACEHOLDER</x:t>
        </x:is>
      </x:c>
      <x:c r="T35" s="23" t="inlineStr">
        <x:is>
          <x:t xml:space="preserve">PARTIAL</x:t>
        </x:is>
      </x:c>
      <x:c r="U35" s="21" t="inlineStr">
        <x:is>
          <x:t xml:space="preserve">PLACEHOLDER</x:t>
        </x:is>
      </x:c>
      <x:c r="V35" s="20" t="inlineStr">
        <x:is>
          <x:t xml:space="preserve">lean_match_count=8 | proof_strength=WRAPPER_OR_IMPORTED | Likely delegates to another theorem; cite underlying theorem too. | definition/proof/numerical/empirical/interp fields still staged as TODO placeholders</x:t>
        </x:is>
      </x:c>
    </x:row>
    <x:row r="36" ht="55.20000076293945" customHeight="1">
      <x:c r="A36" s="20" t="inlineStr">
        <x:is>
          <x:t xml:space="preserve">35</x:t>
        </x:is>
      </x:c>
      <x:c r="B36" s="20" t="inlineStr">
        <x:is>
          <x:t xml:space="preserve">Every factor's canonical substitution row passes</x:t>
        </x:is>
      </x:c>
      <x:c r="C36" s="20" t="inlineStr">
        <x:is>
          <x:t xml:space="preserve">C2 - Structural correspondence candidate</x:t>
        </x:is>
      </x:c>
      <x:c r="D36" s="21" t="inlineStr">
        <x:is>
          <x:t xml:space="preserve">PLACEHOLDER</x:t>
        </x:is>
      </x:c>
      <x:c r="E36" s="22" t="inlineStr">
        <x:is>
          <x:t xml:space="preserve">MISSING</x:t>
        </x:is>
      </x:c>
      <x:c r="F36" s="22" t="inlineStr">
        <x:is>
          <x:t xml:space="preserve">MISSING</x:t>
        </x:is>
      </x:c>
      <x:c r="G36" s="22" t="inlineStr">
        <x:is>
          <x:t xml:space="preserve">MISSING</x:t>
        </x:is>
      </x:c>
      <x:c r="H36" s="22" t="inlineStr">
        <x:is>
          <x:t xml:space="preserve">MISSING</x:t>
        </x:is>
      </x:c>
      <x:c r="I36" s="20" t="inlineStr">
        <x:is>
          <x:t xml:space="preserve">theophysics-lean-main\theophysics-lean-main\Theophysics_Core.lean</x:t>
        </x:is>
      </x:c>
      <x:c r="J36" s="20" t="inlineStr">
        <x:is>
          <x:t xml:space="preserve">187</x:t>
        </x:is>
      </x:c>
      <x:c r="K36" s="20" t="inlineStr">
        <x:is>
          <x:t xml:space="preserve">theorem canonical_substitution_row_valid : True</x:t>
        </x:is>
      </x:c>
      <x:c r="L36" s="20" t="inlineStr">
        <x:is>
          <x:t xml:space="preserve">canonical_substitution_row_valid</x:t>
        </x:is>
      </x:c>
      <x:c r="M36" s="23" t="inlineStr">
        <x:is>
          <x:t xml:space="preserve">PARTIAL</x:t>
        </x:is>
      </x:c>
      <x:c r="N36" s="21" t="inlineStr">
        <x:is>
          <x:t xml:space="preserve">PLACEHOLDER</x:t>
        </x:is>
      </x:c>
      <x:c r="O36" s="21" t="inlineStr">
        <x:is>
          <x:t xml:space="preserve">PLACEHOLDER</x:t>
        </x:is>
      </x:c>
      <x:c r="P36" s="22" t="inlineStr">
        <x:is>
          <x:t xml:space="preserve">MISSING</x:t>
        </x:is>
      </x:c>
      <x:c r="Q36" s="21" t="inlineStr">
        <x:is>
          <x:t xml:space="preserve">PLACEHOLDER</x:t>
        </x:is>
      </x:c>
      <x:c r="R36" s="21" t="inlineStr">
        <x:is>
          <x:t xml:space="preserve">PLACEHOLDER</x:t>
        </x:is>
      </x:c>
      <x:c r="S36" s="21" t="inlineStr">
        <x:is>
          <x:t xml:space="preserve">PLACEHOLDER</x:t>
        </x:is>
      </x:c>
      <x:c r="T36" s="23" t="inlineStr">
        <x:is>
          <x:t xml:space="preserve">PARTIAL</x:t>
        </x:is>
      </x:c>
      <x:c r="U36" s="21" t="inlineStr">
        <x:is>
          <x:t xml:space="preserve">PLACEHOLDER</x:t>
        </x:is>
      </x:c>
      <x:c r="V36" s="20" t="inlineStr">
        <x:is>
          <x:t xml:space="preserve">lean_match_count=4 | proof_strength=TRIVIAL_TRUE | Statement is `True`; theorem name may exceed formal content. | definition/proof/numerical/empirical/interp fields still staged as TODO placeholders</x:t>
        </x:is>
      </x:c>
    </x:row>
    <x:row r="37" ht="69" customHeight="1">
      <x:c r="A37" s="20" t="inlineStr">
        <x:is>
          <x:t xml:space="preserve">36</x:t>
        </x:is>
      </x:c>
      <x:c r="B37" s="20" t="inlineStr">
        <x:is>
          <x:t xml:space="preserve">Physical→spiritual substitution preserves signatures for all 10 factors</x:t>
        </x:is>
      </x:c>
      <x:c r="C37" s="20" t="inlineStr">
        <x:is>
          <x:t xml:space="preserve">C3 - Homomorphism candidate</x:t>
        </x:is>
      </x:c>
      <x:c r="D37" s="21" t="inlineStr">
        <x:is>
          <x:t xml:space="preserve">PLACEHOLDER</x:t>
        </x:is>
      </x:c>
      <x:c r="E37" s="22" t="inlineStr">
        <x:is>
          <x:t xml:space="preserve">MISSING</x:t>
        </x:is>
      </x:c>
      <x:c r="F37" s="23" t="inlineStr">
        <x:is>
          <x:t xml:space="preserve">PARTIAL</x:t>
        </x:is>
      </x:c>
      <x:c r="G37" s="23" t="inlineStr">
        <x:is>
          <x:t xml:space="preserve">PARTIAL</x:t>
        </x:is>
      </x:c>
      <x:c r="H37" s="23" t="inlineStr">
        <x:is>
          <x:t xml:space="preserve">PARTIAL</x:t>
        </x:is>
      </x:c>
      <x:c r="I37" s="20" t="inlineStr">
        <x:is>
          <x:t xml:space="preserve">theophysics-lean-main\theophysics-lean-main\Final_Lean4_From_Excel.lean</x:t>
        </x:is>
      </x:c>
      <x:c r="J37" s="20" t="inlineStr">
        <x:is>
          <x:t xml:space="preserve">229</x:t>
        </x:is>
      </x:c>
      <x:c r="K37" s="20" t="inlineStr">
        <x:is>
          <x:t xml:space="preserve">theorem canonical_substitution_preserves_signature (f : Factor) : signatureOfFactor (physicalToSpiritual f) = signatureOfFactor f</x:t>
        </x:is>
      </x:c>
      <x:c r="L37" s="20" t="inlineStr">
        <x:is>
          <x:t xml:space="preserve">canonical_substitution_preserves_signature</x:t>
        </x:is>
      </x:c>
      <x:c r="M37" s="23" t="inlineStr">
        <x:is>
          <x:t xml:space="preserve">PARTIAL</x:t>
        </x:is>
      </x:c>
      <x:c r="N37" s="21" t="inlineStr">
        <x:is>
          <x:t xml:space="preserve">PLACEHOLDER</x:t>
        </x:is>
      </x:c>
      <x:c r="O37" s="21" t="inlineStr">
        <x:is>
          <x:t xml:space="preserve">PLACEHOLDER</x:t>
        </x:is>
      </x:c>
      <x:c r="P37" s="22" t="inlineStr">
        <x:is>
          <x:t xml:space="preserve">MISSING</x:t>
        </x:is>
      </x:c>
      <x:c r="Q37" s="21" t="inlineStr">
        <x:is>
          <x:t xml:space="preserve">PLACEHOLDER</x:t>
        </x:is>
      </x:c>
      <x:c r="R37" s="21" t="inlineStr">
        <x:is>
          <x:t xml:space="preserve">PLACEHOLDER</x:t>
        </x:is>
      </x:c>
      <x:c r="S37" s="21" t="inlineStr">
        <x:is>
          <x:t xml:space="preserve">PLACEHOLDER</x:t>
        </x:is>
      </x:c>
      <x:c r="T37" s="23" t="inlineStr">
        <x:is>
          <x:t xml:space="preserve">PARTIAL</x:t>
        </x:is>
      </x:c>
      <x:c r="U37" s="21" t="inlineStr">
        <x:is>
          <x:t xml:space="preserve">PLACEHOLDER</x:t>
        </x:is>
      </x:c>
      <x:c r="V37" s="20" t="inlineStr">
        <x:is>
          <x:t xml:space="preserve">lean_match_count=8 | proof_strength=SUBSTANTIVE_OR_CASE_PROOF | Appears to contain an actual proof body; inspect before public citation. | definition/proof/numerical/empirical/interp fields still staged as TODO placeholders</x:t>
        </x:is>
      </x:c>
    </x:row>
    <x:row r="38" ht="55.20000076293945" customHeight="1">
      <x:c r="A38" s="20" t="inlineStr">
        <x:is>
          <x:t xml:space="preserve">37</x:t>
        </x:is>
      </x:c>
      <x:c r="B38" s="20" t="inlineStr">
        <x:is>
          <x:t xml:space="preserve">χ(physical) = χ(spiritual) under canonical map. The equation is the same in both registers.</x:t>
        </x:is>
      </x:c>
      <x:c r="C38" s="20" t="inlineStr">
        <x:is>
          <x:t xml:space="preserve">C2 - Structural correspondence candidate</x:t>
        </x:is>
      </x:c>
      <x:c r="D38" s="21" t="inlineStr">
        <x:is>
          <x:t xml:space="preserve">PLACEHOLDER</x:t>
        </x:is>
      </x:c>
      <x:c r="E38" s="22" t="inlineStr">
        <x:is>
          <x:t xml:space="preserve">MISSING</x:t>
        </x:is>
      </x:c>
      <x:c r="F38" s="23" t="inlineStr">
        <x:is>
          <x:t xml:space="preserve">PARTIAL</x:t>
        </x:is>
      </x:c>
      <x:c r="G38" s="22" t="inlineStr">
        <x:is>
          <x:t xml:space="preserve">MISSING</x:t>
        </x:is>
      </x:c>
      <x:c r="H38" s="23" t="inlineStr">
        <x:is>
          <x:t xml:space="preserve">PARTIAL</x:t>
        </x:is>
      </x:c>
      <x:c r="I38" s="20" t="inlineStr">
        <x:is>
          <x:t xml:space="preserve">theophysics-lean-main\theophysics-lean-main\Final_Lean4_From_Excel.lean</x:t>
        </x:is>
      </x:c>
      <x:c r="J38" s="20" t="inlineStr">
        <x:is>
          <x:t xml:space="preserve">233</x:t>
        </x:is>
      </x:c>
      <x:c r="K38" s="20" t="inlineStr">
        <x:is>
          <x:t xml:space="preserve">theorem master_equation_invariant_under_canonical_substitution (x : FactorState) : chi x = chi x</x:t>
        </x:is>
      </x:c>
      <x:c r="L38" s="20" t="inlineStr">
        <x:is>
          <x:t xml:space="preserve">master_equation_invariant_under_canonical_substitution</x:t>
        </x:is>
      </x:c>
      <x:c r="M38" s="23" t="inlineStr">
        <x:is>
          <x:t xml:space="preserve">PARTIAL</x:t>
        </x:is>
      </x:c>
      <x:c r="N38" s="21" t="inlineStr">
        <x:is>
          <x:t xml:space="preserve">PLACEHOLDER</x:t>
        </x:is>
      </x:c>
      <x:c r="O38" s="21" t="inlineStr">
        <x:is>
          <x:t xml:space="preserve">PLACEHOLDER</x:t>
        </x:is>
      </x:c>
      <x:c r="P38" s="22" t="inlineStr">
        <x:is>
          <x:t xml:space="preserve">MISSING</x:t>
        </x:is>
      </x:c>
      <x:c r="Q38" s="21" t="inlineStr">
        <x:is>
          <x:t xml:space="preserve">PLACEHOLDER</x:t>
        </x:is>
      </x:c>
      <x:c r="R38" s="21" t="inlineStr">
        <x:is>
          <x:t xml:space="preserve">PLACEHOLDER</x:t>
        </x:is>
      </x:c>
      <x:c r="S38" s="21" t="inlineStr">
        <x:is>
          <x:t xml:space="preserve">PLACEHOLDER</x:t>
        </x:is>
      </x:c>
      <x:c r="T38" s="23" t="inlineStr">
        <x:is>
          <x:t xml:space="preserve">PARTIAL</x:t>
        </x:is>
      </x:c>
      <x:c r="U38" s="21" t="inlineStr">
        <x:is>
          <x:t xml:space="preserve">PLACEHOLDER</x:t>
        </x:is>
      </x:c>
      <x:c r="V38" s="20" t="inlineStr">
        <x:is>
          <x:t xml:space="preserve">lean_match_count=8 | proof_strength=DEFINITIONAL_RFL | Proves definitional equality by reduction; useful but narrow. | definition/proof/numerical/empirical/interp fields still staged as TODO placeholders</x:t>
        </x:is>
      </x:c>
    </x:row>
    <x:row r="39" ht="55.20000076293945" customHeight="1">
      <x:c r="A39" s="20" t="inlineStr">
        <x:is>
          <x:t xml:space="preserve">38</x:t>
        </x:is>
      </x:c>
      <x:c r="B39" s="20" t="inlineStr">
        <x:is>
          <x:t xml:space="preserve">G=0 collapse survives substitution</x:t>
        </x:is>
      </x:c>
      <x:c r="C39" s="20" t="inlineStr">
        <x:is>
          <x:t xml:space="preserve">C2 - Structural correspondence candidate</x:t>
        </x:is>
      </x:c>
      <x:c r="D39" s="21" t="inlineStr">
        <x:is>
          <x:t xml:space="preserve">PLACEHOLDER</x:t>
        </x:is>
      </x:c>
      <x:c r="E39" s="22" t="inlineStr">
        <x:is>
          <x:t xml:space="preserve">MISSING</x:t>
        </x:is>
      </x:c>
      <x:c r="F39" s="22" t="inlineStr">
        <x:is>
          <x:t xml:space="preserve">MISSING</x:t>
        </x:is>
      </x:c>
      <x:c r="G39" s="22" t="inlineStr">
        <x:is>
          <x:t xml:space="preserve">MISSING</x:t>
        </x:is>
      </x:c>
      <x:c r="H39" s="22" t="inlineStr">
        <x:is>
          <x:t xml:space="preserve">MISSING</x:t>
        </x:is>
      </x:c>
      <x:c r="I39" s="20" t="inlineStr">
        <x:is>
          <x:t xml:space="preserve">theophysics-lean-main\theophysics-lean-main\Theophysics_Core.lean</x:t>
        </x:is>
      </x:c>
      <x:c r="J39" s="20" t="inlineStr">
        <x:is>
          <x:t xml:space="preserve">188</x:t>
        </x:is>
      </x:c>
      <x:c r="K39" s="20" t="inlineStr">
        <x:is>
          <x:t xml:space="preserve">theorem G_zero_still_collapses_after_substitution : True</x:t>
        </x:is>
      </x:c>
      <x:c r="L39" s="20" t="inlineStr">
        <x:is>
          <x:t xml:space="preserve">G_zero_still_collapses_after_substitution</x:t>
        </x:is>
      </x:c>
      <x:c r="M39" s="23" t="inlineStr">
        <x:is>
          <x:t xml:space="preserve">PARTIAL</x:t>
        </x:is>
      </x:c>
      <x:c r="N39" s="21" t="inlineStr">
        <x:is>
          <x:t xml:space="preserve">PLACEHOLDER</x:t>
        </x:is>
      </x:c>
      <x:c r="O39" s="21" t="inlineStr">
        <x:is>
          <x:t xml:space="preserve">PLACEHOLDER</x:t>
        </x:is>
      </x:c>
      <x:c r="P39" s="22" t="inlineStr">
        <x:is>
          <x:t xml:space="preserve">MISSING</x:t>
        </x:is>
      </x:c>
      <x:c r="Q39" s="21" t="inlineStr">
        <x:is>
          <x:t xml:space="preserve">PLACEHOLDER</x:t>
        </x:is>
      </x:c>
      <x:c r="R39" s="21" t="inlineStr">
        <x:is>
          <x:t xml:space="preserve">PLACEHOLDER</x:t>
        </x:is>
      </x:c>
      <x:c r="S39" s="21" t="inlineStr">
        <x:is>
          <x:t xml:space="preserve">PLACEHOLDER</x:t>
        </x:is>
      </x:c>
      <x:c r="T39" s="23" t="inlineStr">
        <x:is>
          <x:t xml:space="preserve">PARTIAL</x:t>
        </x:is>
      </x:c>
      <x:c r="U39" s="21" t="inlineStr">
        <x:is>
          <x:t xml:space="preserve">PLACEHOLDER</x:t>
        </x:is>
      </x:c>
      <x:c r="V39" s="20" t="inlineStr">
        <x:is>
          <x:t xml:space="preserve">lean_match_count=4 | proof_strength=TRIVIAL_TRUE | Statement is `True`; theorem name may exceed formal content. | definition/proof/numerical/empirical/interp fields still staged as TODO placeholders</x:t>
        </x:is>
      </x:c>
    </x:row>
    <x:row r="40" ht="55.20000076293945" customHeight="1">
      <x:c r="A40" s="20" t="inlineStr">
        <x:is>
          <x:t xml:space="preserve">39</x:t>
        </x:is>
      </x:c>
      <x:c r="B40" s="20" t="inlineStr">
        <x:is>
          <x:t xml:space="preserve">Q=0 collapse survives substitution</x:t>
        </x:is>
      </x:c>
      <x:c r="C40" s="20" t="inlineStr">
        <x:is>
          <x:t xml:space="preserve">C2 - Structural correspondence candidate</x:t>
        </x:is>
      </x:c>
      <x:c r="D40" s="21" t="inlineStr">
        <x:is>
          <x:t xml:space="preserve">PLACEHOLDER</x:t>
        </x:is>
      </x:c>
      <x:c r="E40" s="22" t="inlineStr">
        <x:is>
          <x:t xml:space="preserve">MISSING</x:t>
        </x:is>
      </x:c>
      <x:c r="F40" s="22" t="inlineStr">
        <x:is>
          <x:t xml:space="preserve">MISSING</x:t>
        </x:is>
      </x:c>
      <x:c r="G40" s="22" t="inlineStr">
        <x:is>
          <x:t xml:space="preserve">MISSING</x:t>
        </x:is>
      </x:c>
      <x:c r="H40" s="22" t="inlineStr">
        <x:is>
          <x:t xml:space="preserve">MISSING</x:t>
        </x:is>
      </x:c>
      <x:c r="I40" s="20" t="inlineStr">
        <x:is>
          <x:t xml:space="preserve">theophysics-lean-main\theophysics-lean-main\Theophysics_Core.lean</x:t>
        </x:is>
      </x:c>
      <x:c r="J40" s="20" t="inlineStr">
        <x:is>
          <x:t xml:space="preserve">193</x:t>
        </x:is>
      </x:c>
      <x:c r="K40" s="20" t="inlineStr">
        <x:is>
          <x:t xml:space="preserve">theorem Q_zero_still_collapses_after_substitution : True</x:t>
        </x:is>
      </x:c>
      <x:c r="L40" s="20" t="inlineStr">
        <x:is>
          <x:t xml:space="preserve">Q_zero_still_collapses_after_substitution</x:t>
        </x:is>
      </x:c>
      <x:c r="M40" s="23" t="inlineStr">
        <x:is>
          <x:t xml:space="preserve">PARTIAL</x:t>
        </x:is>
      </x:c>
      <x:c r="N40" s="21" t="inlineStr">
        <x:is>
          <x:t xml:space="preserve">PLACEHOLDER</x:t>
        </x:is>
      </x:c>
      <x:c r="O40" s="21" t="inlineStr">
        <x:is>
          <x:t xml:space="preserve">PLACEHOLDER</x:t>
        </x:is>
      </x:c>
      <x:c r="P40" s="22" t="inlineStr">
        <x:is>
          <x:t xml:space="preserve">MISSING</x:t>
        </x:is>
      </x:c>
      <x:c r="Q40" s="21" t="inlineStr">
        <x:is>
          <x:t xml:space="preserve">PLACEHOLDER</x:t>
        </x:is>
      </x:c>
      <x:c r="R40" s="21" t="inlineStr">
        <x:is>
          <x:t xml:space="preserve">PLACEHOLDER</x:t>
        </x:is>
      </x:c>
      <x:c r="S40" s="21" t="inlineStr">
        <x:is>
          <x:t xml:space="preserve">PLACEHOLDER</x:t>
        </x:is>
      </x:c>
      <x:c r="T40" s="23" t="inlineStr">
        <x:is>
          <x:t xml:space="preserve">PARTIAL</x:t>
        </x:is>
      </x:c>
      <x:c r="U40" s="21" t="inlineStr">
        <x:is>
          <x:t xml:space="preserve">PLACEHOLDER</x:t>
        </x:is>
      </x:c>
      <x:c r="V40" s="20" t="inlineStr">
        <x:is>
          <x:t xml:space="preserve">lean_match_count=4 | proof_strength=TRIVIAL_TRUE | Statement is `True`; theorem name may exceed formal content. | definition/proof/numerical/empirical/interp fields still staged as TODO placeholders</x:t>
        </x:is>
      </x:c>
    </x:row>
    <x:row r="41" ht="55.20000076293945" customHeight="1">
      <x:c r="A41" s="20" t="inlineStr">
        <x:is>
          <x:t xml:space="preserve">40</x:t>
        </x:is>
      </x:c>
      <x:c r="B41" s="20" t="inlineStr">
        <x:is>
          <x:t xml:space="preserve">REJECTION FAILURE: Product alone is BLIND to semantic swaps. Grace↔Faith swap passes product check.</x:t>
        </x:is>
      </x:c>
      <x:c r="C41" s="20" t="inlineStr">
        <x:is>
          <x:t xml:space="preserve">C2 - Structural correspondence candidate</x:t>
        </x:is>
      </x:c>
      <x:c r="D41" s="21" t="inlineStr">
        <x:is>
          <x:t xml:space="preserve">PLACEHOLDER</x:t>
        </x:is>
      </x:c>
      <x:c r="E41" s="22" t="inlineStr">
        <x:is>
          <x:t xml:space="preserve">MISSING</x:t>
        </x:is>
      </x:c>
      <x:c r="F41" s="22" t="inlineStr">
        <x:is>
          <x:t xml:space="preserve">MISSING</x:t>
        </x:is>
      </x:c>
      <x:c r="G41" s="23" t="inlineStr">
        <x:is>
          <x:t xml:space="preserve">PARTIAL</x:t>
        </x:is>
      </x:c>
      <x:c r="H41" s="23" t="inlineStr">
        <x:is>
          <x:t xml:space="preserve">PARTIAL</x:t>
        </x:is>
      </x:c>
      <x:c r="I41" s="20" t="inlineStr">
        <x:is>
          <x:t xml:space="preserve">theophysics-lean-main\theophysics-lean-main\Theophysics_Adversarial.lean</x:t>
        </x:is>
      </x:c>
      <x:c r="J41" s="20" t="inlineStr">
        <x:is>
          <x:t xml:space="preserve">358</x:t>
        </x:is>
      </x:c>
      <x:c r="K41" s="20" t="inlineStr">
        <x:is>
          <x:t xml:space="preserve">theorem product_only_does_not_detect_grace_faith_swap : productOnlyDetectsSignatureSwap = false</x:t>
        </x:is>
      </x:c>
      <x:c r="L41" s="20" t="inlineStr">
        <x:is>
          <x:t xml:space="preserve">product_only_does_not_detect_grace_faith_swap</x:t>
        </x:is>
      </x:c>
      <x:c r="M41" s="23" t="inlineStr">
        <x:is>
          <x:t xml:space="preserve">PARTIAL</x:t>
        </x:is>
      </x:c>
      <x:c r="N41" s="21" t="inlineStr">
        <x:is>
          <x:t xml:space="preserve">PLACEHOLDER</x:t>
        </x:is>
      </x:c>
      <x:c r="O41" s="21" t="inlineStr">
        <x:is>
          <x:t xml:space="preserve">PLACEHOLDER</x:t>
        </x:is>
      </x:c>
      <x:c r="P41" s="22" t="inlineStr">
        <x:is>
          <x:t xml:space="preserve">MISSING</x:t>
        </x:is>
      </x:c>
      <x:c r="Q41" s="21" t="inlineStr">
        <x:is>
          <x:t xml:space="preserve">PLACEHOLDER</x:t>
        </x:is>
      </x:c>
      <x:c r="R41" s="21" t="inlineStr">
        <x:is>
          <x:t xml:space="preserve">PLACEHOLDER</x:t>
        </x:is>
      </x:c>
      <x:c r="S41" s="21" t="inlineStr">
        <x:is>
          <x:t xml:space="preserve">PLACEHOLDER</x:t>
        </x:is>
      </x:c>
      <x:c r="T41" s="23" t="inlineStr">
        <x:is>
          <x:t xml:space="preserve">PARTIAL</x:t>
        </x:is>
      </x:c>
      <x:c r="U41" s="21" t="inlineStr">
        <x:is>
          <x:t xml:space="preserve">PLACEHOLDER</x:t>
        </x:is>
      </x:c>
      <x:c r="V41" s="20" t="inlineStr">
        <x:is>
          <x:t xml:space="preserve">lean_match_count=4 | proof_strength=DEFINITIONAL_RFL | Proves definitional equality by reduction; useful but narrow. | definition/proof/numerical/empirical/interp fields still staged as TODO placeholders</x:t>
        </x:is>
      </x:c>
    </x:row>
    <x:row r="42" ht="55.20000076293945" customHeight="1">
      <x:c r="A42" s="20" t="inlineStr">
        <x:is>
          <x:t xml:space="preserve">41</x:t>
        </x:is>
      </x:c>
      <x:c r="B42" s="20" t="inlineStr">
        <x:is>
          <x:t xml:space="preserve">REJECTION: But the signature layer catches Grace↔Faith swap that product missed</x:t>
        </x:is>
      </x:c>
      <x:c r="C42" s="20" t="inlineStr">
        <x:is>
          <x:t xml:space="preserve">C2 - Structural correspondence candidate</x:t>
        </x:is>
      </x:c>
      <x:c r="D42" s="21" t="inlineStr">
        <x:is>
          <x:t xml:space="preserve">PLACEHOLDER</x:t>
        </x:is>
      </x:c>
      <x:c r="E42" s="22" t="inlineStr">
        <x:is>
          <x:t xml:space="preserve">MISSING</x:t>
        </x:is>
      </x:c>
      <x:c r="F42" s="22" t="inlineStr">
        <x:is>
          <x:t xml:space="preserve">MISSING</x:t>
        </x:is>
      </x:c>
      <x:c r="G42" s="23" t="inlineStr">
        <x:is>
          <x:t xml:space="preserve">PARTIAL</x:t>
        </x:is>
      </x:c>
      <x:c r="H42" s="22" t="inlineStr">
        <x:is>
          <x:t xml:space="preserve">MISSING</x:t>
        </x:is>
      </x:c>
      <x:c r="I42" s="20" t="inlineStr">
        <x:is>
          <x:t xml:space="preserve">theophysics-lean-main\theophysics-lean-main\Theophysics_Adversarial.lean</x:t>
        </x:is>
      </x:c>
      <x:c r="J42" s="20" t="inlineStr">
        <x:is>
          <x:t xml:space="preserve">362</x:t>
        </x:is>
      </x:c>
      <x:c r="K42" s="20" t="inlineStr">
        <x:is>
          <x:t xml:space="preserve">theorem signature_layer_rejects_grace_faith_swap : signatureLayerDetectsGraceFaithSwap = true</x:t>
        </x:is>
      </x:c>
      <x:c r="L42" s="20" t="inlineStr">
        <x:is>
          <x:t xml:space="preserve">signature_layer_rejects_grace_faith_swap</x:t>
        </x:is>
      </x:c>
      <x:c r="M42" s="23" t="inlineStr">
        <x:is>
          <x:t xml:space="preserve">PARTIAL</x:t>
        </x:is>
      </x:c>
      <x:c r="N42" s="21" t="inlineStr">
        <x:is>
          <x:t xml:space="preserve">PLACEHOLDER</x:t>
        </x:is>
      </x:c>
      <x:c r="O42" s="21" t="inlineStr">
        <x:is>
          <x:t xml:space="preserve">PLACEHOLDER</x:t>
        </x:is>
      </x:c>
      <x:c r="P42" s="22" t="inlineStr">
        <x:is>
          <x:t xml:space="preserve">MISSING</x:t>
        </x:is>
      </x:c>
      <x:c r="Q42" s="21" t="inlineStr">
        <x:is>
          <x:t xml:space="preserve">PLACEHOLDER</x:t>
        </x:is>
      </x:c>
      <x:c r="R42" s="21" t="inlineStr">
        <x:is>
          <x:t xml:space="preserve">PLACEHOLDER</x:t>
        </x:is>
      </x:c>
      <x:c r="S42" s="21" t="inlineStr">
        <x:is>
          <x:t xml:space="preserve">PLACEHOLDER</x:t>
        </x:is>
      </x:c>
      <x:c r="T42" s="23" t="inlineStr">
        <x:is>
          <x:t xml:space="preserve">PARTIAL</x:t>
        </x:is>
      </x:c>
      <x:c r="U42" s="21" t="inlineStr">
        <x:is>
          <x:t xml:space="preserve">PLACEHOLDER</x:t>
        </x:is>
      </x:c>
      <x:c r="V42" s="20" t="inlineStr">
        <x:is>
          <x:t xml:space="preserve">lean_match_count=4 | proof_strength=DEFINITIONAL_RFL | Proves definitional equality by reduction; useful but narrow. | definition/proof/numerical/empirical/interp fields still staged as TODO placeholders</x:t>
        </x:is>
      </x:c>
    </x:row>
    <x:row r="43" ht="55.20000076293945" customHeight="1">
      <x:c r="A43" s="20" t="inlineStr">
        <x:is>
          <x:t xml:space="preserve">42</x:t>
        </x:is>
      </x:c>
      <x:c r="B43" s="20" t="inlineStr">
        <x:is>
          <x:t xml:space="preserve">BOTH product AND signature needed — neither alone suffices. This is why the bridge is two-layer.</x:t>
        </x:is>
      </x:c>
      <x:c r="C43" s="20" t="inlineStr">
        <x:is>
          <x:t xml:space="preserve">C2 - Structural correspondence candidate</x:t>
        </x:is>
      </x:c>
      <x:c r="D43" s="21" t="inlineStr">
        <x:is>
          <x:t xml:space="preserve">PLACEHOLDER</x:t>
        </x:is>
      </x:c>
      <x:c r="E43" s="23" t="inlineStr">
        <x:is>
          <x:t xml:space="preserve">PARTIAL</x:t>
        </x:is>
      </x:c>
      <x:c r="F43" s="22" t="inlineStr">
        <x:is>
          <x:t xml:space="preserve">MISSING</x:t>
        </x:is>
      </x:c>
      <x:c r="G43" s="23" t="inlineStr">
        <x:is>
          <x:t xml:space="preserve">PARTIAL</x:t>
        </x:is>
      </x:c>
      <x:c r="H43" s="22" t="inlineStr">
        <x:is>
          <x:t xml:space="preserve">MISSING</x:t>
        </x:is>
      </x:c>
      <x:c r="I43" s="20" t="inlineStr">
        <x:is>
          <x:t xml:space="preserve">theophysics-lean-main\theophysics-lean-main\Theophysics_Core.lean</x:t>
        </x:is>
      </x:c>
      <x:c r="J43" s="20" t="inlineStr">
        <x:is>
          <x:t xml:space="preserve">192</x:t>
        </x:is>
      </x:c>
      <x:c r="K43" s="20" t="inlineStr">
        <x:is>
          <x:t xml:space="preserve">theorem master_invariance_requires_signature_discipline : True</x:t>
        </x:is>
      </x:c>
      <x:c r="L43" s="20" t="inlineStr">
        <x:is>
          <x:t xml:space="preserve">master_invariance_requires_signature_discipline</x:t>
        </x:is>
      </x:c>
      <x:c r="M43" s="23" t="inlineStr">
        <x:is>
          <x:t xml:space="preserve">PARTIAL</x:t>
        </x:is>
      </x:c>
      <x:c r="N43" s="21" t="inlineStr">
        <x:is>
          <x:t xml:space="preserve">PLACEHOLDER</x:t>
        </x:is>
      </x:c>
      <x:c r="O43" s="21" t="inlineStr">
        <x:is>
          <x:t xml:space="preserve">PLACEHOLDER</x:t>
        </x:is>
      </x:c>
      <x:c r="P43" s="22" t="inlineStr">
        <x:is>
          <x:t xml:space="preserve">MISSING</x:t>
        </x:is>
      </x:c>
      <x:c r="Q43" s="21" t="inlineStr">
        <x:is>
          <x:t xml:space="preserve">PLACEHOLDER</x:t>
        </x:is>
      </x:c>
      <x:c r="R43" s="21" t="inlineStr">
        <x:is>
          <x:t xml:space="preserve">PLACEHOLDER</x:t>
        </x:is>
      </x:c>
      <x:c r="S43" s="21" t="inlineStr">
        <x:is>
          <x:t xml:space="preserve">PLACEHOLDER</x:t>
        </x:is>
      </x:c>
      <x:c r="T43" s="23" t="inlineStr">
        <x:is>
          <x:t xml:space="preserve">PARTIAL</x:t>
        </x:is>
      </x:c>
      <x:c r="U43" s="21" t="inlineStr">
        <x:is>
          <x:t xml:space="preserve">PLACEHOLDER</x:t>
        </x:is>
      </x:c>
      <x:c r="V43" s="20" t="inlineStr">
        <x:is>
          <x:t xml:space="preserve">lean_match_count=4 | proof_strength=TRIVIAL_TRUE | Statement is `True`; theorem name may exceed formal content. | definition/proof/numerical/empirical/interp fields still staged as TODO placeholders</x:t>
        </x:is>
      </x:c>
    </x:row>
    <x:row r="44" ht="55.20000076293945" customHeight="1">
      <x:c r="A44" s="20" t="inlineStr">
        <x:is>
          <x:t xml:space="preserve">43</x:t>
        </x:is>
      </x:c>
      <x:c r="B44" s="20" t="inlineStr">
        <x:is>
          <x:t xml:space="preserve">Full slots + source-backed + phase-aligned → E = 1</x:t>
        </x:is>
      </x:c>
      <x:c r="C44" s="20" t="inlineStr">
        <x:is>
          <x:t xml:space="preserve">C2 - Structural correspondence candidate</x:t>
        </x:is>
      </x:c>
      <x:c r="D44" s="21" t="inlineStr">
        <x:is>
          <x:t xml:space="preserve">PLACEHOLDER</x:t>
        </x:is>
      </x:c>
      <x:c r="E44" s="22" t="inlineStr">
        <x:is>
          <x:t xml:space="preserve">MISSING</x:t>
        </x:is>
      </x:c>
      <x:c r="F44" s="22" t="inlineStr">
        <x:is>
          <x:t xml:space="preserve">MISSING</x:t>
        </x:is>
      </x:c>
      <x:c r="G44" s="22" t="inlineStr">
        <x:is>
          <x:t xml:space="preserve">MISSING</x:t>
        </x:is>
      </x:c>
      <x:c r="H44" s="22" t="inlineStr">
        <x:is>
          <x:t xml:space="preserve">MISSING</x:t>
        </x:is>
      </x:c>
      <x:c r="I44" s="20" t="inlineStr">
        <x:is>
          <x:t xml:space="preserve">theophysics-lean-main\theophysics-lean-main\Final_Lean4_From_Excel.lean</x:t>
        </x:is>
      </x:c>
      <x:c r="J44" s="20" t="inlineStr">
        <x:is>
          <x:t xml:space="preserve">253</x:t>
        </x:is>
      </x:c>
      <x:c r="K44" s="20" t="inlineStr">
        <x:is>
          <x:t xml:space="preserve">theorem law3_truth_limit_E_one (x : FactorState) (h : x.E = 1) (hc : ¬ x.R = 0) (hb : ¬ x.Q = 0) : x.E = 1</x:t>
        </x:is>
      </x:c>
      <x:c r="L44" s="20" t="inlineStr">
        <x:is>
          <x:t xml:space="preserve">law3_truth_limit_E_one</x:t>
        </x:is>
      </x:c>
      <x:c r="M44" s="23" t="inlineStr">
        <x:is>
          <x:t xml:space="preserve">PARTIAL</x:t>
        </x:is>
      </x:c>
      <x:c r="N44" s="21" t="inlineStr">
        <x:is>
          <x:t xml:space="preserve">PLACEHOLDER</x:t>
        </x:is>
      </x:c>
      <x:c r="O44" s="21" t="inlineStr">
        <x:is>
          <x:t xml:space="preserve">PLACEHOLDER</x:t>
        </x:is>
      </x:c>
      <x:c r="P44" s="22" t="inlineStr">
        <x:is>
          <x:t xml:space="preserve">MISSING</x:t>
        </x:is>
      </x:c>
      <x:c r="Q44" s="21" t="inlineStr">
        <x:is>
          <x:t xml:space="preserve">PLACEHOLDER</x:t>
        </x:is>
      </x:c>
      <x:c r="R44" s="21" t="inlineStr">
        <x:is>
          <x:t xml:space="preserve">PLACEHOLDER</x:t>
        </x:is>
      </x:c>
      <x:c r="S44" s="21" t="inlineStr">
        <x:is>
          <x:t xml:space="preserve">PLACEHOLDER</x:t>
        </x:is>
      </x:c>
      <x:c r="T44" s="23" t="inlineStr">
        <x:is>
          <x:t xml:space="preserve">PARTIAL</x:t>
        </x:is>
      </x:c>
      <x:c r="U44" s="21" t="inlineStr">
        <x:is>
          <x:t xml:space="preserve">PLACEHOLDER</x:t>
        </x:is>
      </x:c>
      <x:c r="V44" s="20" t="inlineStr">
        <x:is>
          <x:t xml:space="preserve">lean_match_count=8 | proof_strength=WRAPPER_OR_IMPORTED | Likely delegates to another theorem; cite underlying theorem too. | definition/proof/numerical/empirical/interp fields still staged as TODO placeholders</x:t>
        </x:is>
      </x:c>
    </x:row>
    <x:row r="45" ht="55.20000076293945" customHeight="1">
      <x:c r="A45" s="20" t="inlineStr">
        <x:is>
          <x:t xml:space="preserve">44</x:t>
        </x:is>
      </x:c>
      <x:c r="B45" s="20" t="inlineStr">
        <x:is>
          <x:t xml:space="preserve">REJECTION: Command bypass → E = 0 (∀ states). Bypassing command kills truth-fidelity.</x:t>
        </x:is>
      </x:c>
      <x:c r="C45" s="20" t="inlineStr">
        <x:is>
          <x:t xml:space="preserve">C2 - Structural correspondence candidate</x:t>
        </x:is>
      </x:c>
      <x:c r="D45" s="21" t="inlineStr">
        <x:is>
          <x:t xml:space="preserve">PLACEHOLDER</x:t>
        </x:is>
      </x:c>
      <x:c r="E45" s="22" t="inlineStr">
        <x:is>
          <x:t xml:space="preserve">MISSING</x:t>
        </x:is>
      </x:c>
      <x:c r="F45" s="22" t="inlineStr">
        <x:is>
          <x:t xml:space="preserve">MISSING</x:t>
        </x:is>
      </x:c>
      <x:c r="G45" s="22" t="inlineStr">
        <x:is>
          <x:t xml:space="preserve">MISSING</x:t>
        </x:is>
      </x:c>
      <x:c r="H45" s="22" t="inlineStr">
        <x:is>
          <x:t xml:space="preserve">MISSING</x:t>
        </x:is>
      </x:c>
      <x:c r="I45" s="20" t="inlineStr">
        <x:is>
          <x:t xml:space="preserve">theophysics-lean-main\theophysics-lean-main\Final_Lean4_From_Excel.lean</x:t>
        </x:is>
      </x:c>
      <x:c r="J45" s="20" t="inlineStr">
        <x:is>
          <x:t xml:space="preserve">257</x:t>
        </x:is>
      </x:c>
      <x:c r="K45" s="20" t="inlineStr">
        <x:is>
          <x:t xml:space="preserve">theorem law3_command_bypass_forces_E_zero (x : FactorState) : (∃ c : Controls, c.commandBypass = true) → ((if true then (0 : Nat) else x.E) = 0) := by intro _ simp</x:t>
        </x:is>
      </x:c>
      <x:c r="L45" s="20" t="inlineStr">
        <x:is>
          <x:t xml:space="preserve">law3_command_bypass_forces_E_zero</x:t>
        </x:is>
      </x:c>
      <x:c r="M45" s="23" t="inlineStr">
        <x:is>
          <x:t xml:space="preserve">PARTIAL</x:t>
        </x:is>
      </x:c>
      <x:c r="N45" s="21" t="inlineStr">
        <x:is>
          <x:t xml:space="preserve">PLACEHOLDER</x:t>
        </x:is>
      </x:c>
      <x:c r="O45" s="21" t="inlineStr">
        <x:is>
          <x:t xml:space="preserve">PLACEHOLDER</x:t>
        </x:is>
      </x:c>
      <x:c r="P45" s="22" t="inlineStr">
        <x:is>
          <x:t xml:space="preserve">MISSING</x:t>
        </x:is>
      </x:c>
      <x:c r="Q45" s="21" t="inlineStr">
        <x:is>
          <x:t xml:space="preserve">PLACEHOLDER</x:t>
        </x:is>
      </x:c>
      <x:c r="R45" s="21" t="inlineStr">
        <x:is>
          <x:t xml:space="preserve">PLACEHOLDER</x:t>
        </x:is>
      </x:c>
      <x:c r="S45" s="21" t="inlineStr">
        <x:is>
          <x:t xml:space="preserve">PLACEHOLDER</x:t>
        </x:is>
      </x:c>
      <x:c r="T45" s="23" t="inlineStr">
        <x:is>
          <x:t xml:space="preserve">PARTIAL</x:t>
        </x:is>
      </x:c>
      <x:c r="U45" s="21" t="inlineStr">
        <x:is>
          <x:t xml:space="preserve">PLACEHOLDER</x:t>
        </x:is>
      </x:c>
      <x:c r="V45" s="20" t="inlineStr">
        <x:is>
          <x:t xml:space="preserve">lean_match_count=4 | proof_strength=DECLARATION_OR_UNKNOWN | Could not classify from first proof lines. | definition/proof/numerical/empirical/interp fields still staged as TODO placeholders</x:t>
        </x:is>
      </x:c>
    </x:row>
    <x:row r="46" ht="55.20000076293945" customHeight="1">
      <x:c r="A46" s="20" t="inlineStr">
        <x:is>
          <x:t xml:space="preserve">45</x:t>
        </x:is>
      </x:c>
      <x:c r="B46" s="20" t="inlineStr">
        <x:is>
          <x:t xml:space="preserve">REJECTION: Phase inversion → E = 0 (∀ states). Inverted alignment kills truth.</x:t>
        </x:is>
      </x:c>
      <x:c r="C46" s="20" t="inlineStr">
        <x:is>
          <x:t xml:space="preserve">C2 - Structural correspondence candidate</x:t>
        </x:is>
      </x:c>
      <x:c r="D46" s="21" t="inlineStr">
        <x:is>
          <x:t xml:space="preserve">PLACEHOLDER</x:t>
        </x:is>
      </x:c>
      <x:c r="E46" s="22" t="inlineStr">
        <x:is>
          <x:t xml:space="preserve">MISSING</x:t>
        </x:is>
      </x:c>
      <x:c r="F46" s="22" t="inlineStr">
        <x:is>
          <x:t xml:space="preserve">MISSING</x:t>
        </x:is>
      </x:c>
      <x:c r="G46" s="22" t="inlineStr">
        <x:is>
          <x:t xml:space="preserve">MISSING</x:t>
        </x:is>
      </x:c>
      <x:c r="H46" s="22" t="inlineStr">
        <x:is>
          <x:t xml:space="preserve">MISSING</x:t>
        </x:is>
      </x:c>
      <x:c r="I46" s="20" t="inlineStr">
        <x:is>
          <x:t xml:space="preserve">theophysics-lean-main\theophysics-lean-main\Final_Lean4_From_Excel.lean</x:t>
        </x:is>
      </x:c>
      <x:c r="J46" s="20" t="inlineStr">
        <x:is>
          <x:t xml:space="preserve">263</x:t>
        </x:is>
      </x:c>
      <x:c r="K46" s="20" t="inlineStr">
        <x:is>
          <x:t xml:space="preserve">theorem law3_phase_inversion_forces_E_zero (x : FactorState) : (∃ c : Controls, c.phaseInversion = true) → ((if true then (0 : Nat) else x.E) = 0) := by intro _ simp -- law 7 (relational gate)</x:t>
        </x:is>
      </x:c>
      <x:c r="L46" s="20" t="inlineStr">
        <x:is>
          <x:t xml:space="preserve">law3_phase_inversion_forces_E_zero</x:t>
        </x:is>
      </x:c>
      <x:c r="M46" s="23" t="inlineStr">
        <x:is>
          <x:t xml:space="preserve">PARTIAL</x:t>
        </x:is>
      </x:c>
      <x:c r="N46" s="21" t="inlineStr">
        <x:is>
          <x:t xml:space="preserve">PLACEHOLDER</x:t>
        </x:is>
      </x:c>
      <x:c r="O46" s="21" t="inlineStr">
        <x:is>
          <x:t xml:space="preserve">PLACEHOLDER</x:t>
        </x:is>
      </x:c>
      <x:c r="P46" s="22" t="inlineStr">
        <x:is>
          <x:t xml:space="preserve">MISSING</x:t>
        </x:is>
      </x:c>
      <x:c r="Q46" s="21" t="inlineStr">
        <x:is>
          <x:t xml:space="preserve">PLACEHOLDER</x:t>
        </x:is>
      </x:c>
      <x:c r="R46" s="21" t="inlineStr">
        <x:is>
          <x:t xml:space="preserve">PLACEHOLDER</x:t>
        </x:is>
      </x:c>
      <x:c r="S46" s="21" t="inlineStr">
        <x:is>
          <x:t xml:space="preserve">PLACEHOLDER</x:t>
        </x:is>
      </x:c>
      <x:c r="T46" s="23" t="inlineStr">
        <x:is>
          <x:t xml:space="preserve">PARTIAL</x:t>
        </x:is>
      </x:c>
      <x:c r="U46" s="21" t="inlineStr">
        <x:is>
          <x:t xml:space="preserve">PLACEHOLDER</x:t>
        </x:is>
      </x:c>
      <x:c r="V46" s="20" t="inlineStr">
        <x:is>
          <x:t xml:space="preserve">lean_match_count=4 | proof_strength=DECLARATION_OR_UNKNOWN | Could not classify from first proof lines. | definition/proof/numerical/empirical/interp fields still staged as TODO placeholders</x:t>
        </x:is>
      </x:c>
    </x:row>
    <x:row r="47" ht="55.20000076293945" customHeight="1">
      <x:c r="A47" s="20" t="inlineStr">
        <x:is>
          <x:t xml:space="preserve">46</x:t>
        </x:is>
      </x:c>
      <x:c r="B47" s="20" t="inlineStr">
        <x:is>
          <x:t xml:space="preserve">Command bypass → χ = 0. Truth bypass kills the whole system.</x:t>
        </x:is>
      </x:c>
      <x:c r="C47" s="20" t="inlineStr">
        <x:is>
          <x:t xml:space="preserve">C2 - Structural correspondence candidate</x:t>
        </x:is>
      </x:c>
      <x:c r="D47" s="21" t="inlineStr">
        <x:is>
          <x:t xml:space="preserve">PLACEHOLDER</x:t>
        </x:is>
      </x:c>
      <x:c r="E47" s="22" t="inlineStr">
        <x:is>
          <x:t xml:space="preserve">MISSING</x:t>
        </x:is>
      </x:c>
      <x:c r="F47" s="22" t="inlineStr">
        <x:is>
          <x:t xml:space="preserve">MISSING</x:t>
        </x:is>
      </x:c>
      <x:c r="G47" s="22" t="inlineStr">
        <x:is>
          <x:t xml:space="preserve">MISSING</x:t>
        </x:is>
      </x:c>
      <x:c r="H47" s="22" t="inlineStr">
        <x:is>
          <x:t xml:space="preserve">MISSING</x:t>
        </x:is>
      </x:c>
      <x:c r="I47" s="20" t="inlineStr">
        <x:is>
          <x:t xml:space="preserve">theophysics-lean-main\theophysics-lean-main\Theophysics_Core.lean</x:t>
        </x:is>
      </x:c>
      <x:c r="J47" s="20" t="inlineStr">
        <x:is>
          <x:t xml:space="preserve">194</x:t>
        </x:is>
      </x:c>
      <x:c r="K47" s="20" t="inlineStr">
        <x:is>
          <x:t xml:space="preserve">theorem law3_command_bypass_collapses_chi : True</x:t>
        </x:is>
      </x:c>
      <x:c r="L47" s="20" t="inlineStr">
        <x:is>
          <x:t xml:space="preserve">law3_command_bypass_collapses_chi</x:t>
        </x:is>
      </x:c>
      <x:c r="M47" s="23" t="inlineStr">
        <x:is>
          <x:t xml:space="preserve">PARTIAL</x:t>
        </x:is>
      </x:c>
      <x:c r="N47" s="21" t="inlineStr">
        <x:is>
          <x:t xml:space="preserve">PLACEHOLDER</x:t>
        </x:is>
      </x:c>
      <x:c r="O47" s="21" t="inlineStr">
        <x:is>
          <x:t xml:space="preserve">PLACEHOLDER</x:t>
        </x:is>
      </x:c>
      <x:c r="P47" s="22" t="inlineStr">
        <x:is>
          <x:t xml:space="preserve">MISSING</x:t>
        </x:is>
      </x:c>
      <x:c r="Q47" s="21" t="inlineStr">
        <x:is>
          <x:t xml:space="preserve">PLACEHOLDER</x:t>
        </x:is>
      </x:c>
      <x:c r="R47" s="21" t="inlineStr">
        <x:is>
          <x:t xml:space="preserve">PLACEHOLDER</x:t>
        </x:is>
      </x:c>
      <x:c r="S47" s="21" t="inlineStr">
        <x:is>
          <x:t xml:space="preserve">PLACEHOLDER</x:t>
        </x:is>
      </x:c>
      <x:c r="T47" s="23" t="inlineStr">
        <x:is>
          <x:t xml:space="preserve">PARTIAL</x:t>
        </x:is>
      </x:c>
      <x:c r="U47" s="21" t="inlineStr">
        <x:is>
          <x:t xml:space="preserve">PLACEHOLDER</x:t>
        </x:is>
      </x:c>
      <x:c r="V47" s="20" t="inlineStr">
        <x:is>
          <x:t xml:space="preserve">lean_match_count=4 | proof_strength=TRIVIAL_TRUE | Statement is `True`; theorem name may exceed formal content. | definition/proof/numerical/empirical/interp fields still staged as TODO placeholders</x:t>
        </x:is>
      </x:c>
    </x:row>
    <x:row r="48" ht="55.20000076293945" customHeight="1">
      <x:c r="A48" s="20" t="inlineStr">
        <x:is>
          <x:t xml:space="preserve">47</x:t>
        </x:is>
      </x:c>
      <x:c r="B48" s="20" t="inlineStr">
        <x:is>
          <x:t xml:space="preserve">Phase inversion → χ = 0</x:t>
        </x:is>
      </x:c>
      <x:c r="C48" s="20" t="inlineStr">
        <x:is>
          <x:t xml:space="preserve">C2 - Structural correspondence candidate</x:t>
        </x:is>
      </x:c>
      <x:c r="D48" s="21" t="inlineStr">
        <x:is>
          <x:t xml:space="preserve">PLACEHOLDER</x:t>
        </x:is>
      </x:c>
      <x:c r="E48" s="22" t="inlineStr">
        <x:is>
          <x:t xml:space="preserve">MISSING</x:t>
        </x:is>
      </x:c>
      <x:c r="F48" s="22" t="inlineStr">
        <x:is>
          <x:t xml:space="preserve">MISSING</x:t>
        </x:is>
      </x:c>
      <x:c r="G48" s="22" t="inlineStr">
        <x:is>
          <x:t xml:space="preserve">MISSING</x:t>
        </x:is>
      </x:c>
      <x:c r="H48" s="22" t="inlineStr">
        <x:is>
          <x:t xml:space="preserve">MISSING</x:t>
        </x:is>
      </x:c>
      <x:c r="I48" s="20" t="inlineStr">
        <x:is>
          <x:t xml:space="preserve">theophysics-lean-main\theophysics-lean-main\Theophysics_Core.lean</x:t>
        </x:is>
      </x:c>
      <x:c r="J48" s="20" t="inlineStr">
        <x:is>
          <x:t xml:space="preserve">195</x:t>
        </x:is>
      </x:c>
      <x:c r="K48" s="20" t="inlineStr">
        <x:is>
          <x:t xml:space="preserve">theorem law3_phase_inversion_collapses_chi : True</x:t>
        </x:is>
      </x:c>
      <x:c r="L48" s="20" t="inlineStr">
        <x:is>
          <x:t xml:space="preserve">law3_phase_inversion_collapses_chi</x:t>
        </x:is>
      </x:c>
      <x:c r="M48" s="23" t="inlineStr">
        <x:is>
          <x:t xml:space="preserve">PARTIAL</x:t>
        </x:is>
      </x:c>
      <x:c r="N48" s="21" t="inlineStr">
        <x:is>
          <x:t xml:space="preserve">PLACEHOLDER</x:t>
        </x:is>
      </x:c>
      <x:c r="O48" s="21" t="inlineStr">
        <x:is>
          <x:t xml:space="preserve">PLACEHOLDER</x:t>
        </x:is>
      </x:c>
      <x:c r="P48" s="22" t="inlineStr">
        <x:is>
          <x:t xml:space="preserve">MISSING</x:t>
        </x:is>
      </x:c>
      <x:c r="Q48" s="21" t="inlineStr">
        <x:is>
          <x:t xml:space="preserve">PLACEHOLDER</x:t>
        </x:is>
      </x:c>
      <x:c r="R48" s="21" t="inlineStr">
        <x:is>
          <x:t xml:space="preserve">PLACEHOLDER</x:t>
        </x:is>
      </x:c>
      <x:c r="S48" s="21" t="inlineStr">
        <x:is>
          <x:t xml:space="preserve">PLACEHOLDER</x:t>
        </x:is>
      </x:c>
      <x:c r="T48" s="23" t="inlineStr">
        <x:is>
          <x:t xml:space="preserve">PARTIAL</x:t>
        </x:is>
      </x:c>
      <x:c r="U48" s="21" t="inlineStr">
        <x:is>
          <x:t xml:space="preserve">PLACEHOLDER</x:t>
        </x:is>
      </x:c>
      <x:c r="V48" s="20" t="inlineStr">
        <x:is>
          <x:t xml:space="preserve">lean_match_count=4 | proof_strength=TRIVIAL_TRUE | Statement is `True`; theorem name may exceed formal content. | definition/proof/numerical/empirical/interp fields still staged as TODO placeholders</x:t>
        </x:is>
      </x:c>
    </x:row>
    <x:row r="49" ht="55.20000076293945" customHeight="1">
      <x:c r="A49" s="20" t="inlineStr">
        <x:is>
          <x:t xml:space="preserve">48</x:t>
        </x:is>
      </x:c>
      <x:c r="B49" s="20" t="inlineStr">
        <x:is>
          <x:t xml:space="preserve">Full conditions → K = 1</x:t>
        </x:is>
      </x:c>
      <x:c r="C49" s="20" t="inlineStr">
        <x:is>
          <x:t xml:space="preserve">C2 - Structural correspondence candidate</x:t>
        </x:is>
      </x:c>
      <x:c r="D49" s="21" t="inlineStr">
        <x:is>
          <x:t xml:space="preserve">PLACEHOLDER</x:t>
        </x:is>
      </x:c>
      <x:c r="E49" s="22" t="inlineStr">
        <x:is>
          <x:t xml:space="preserve">MISSING</x:t>
        </x:is>
      </x:c>
      <x:c r="F49" s="22" t="inlineStr">
        <x:is>
          <x:t xml:space="preserve">MISSING</x:t>
        </x:is>
      </x:c>
      <x:c r="G49" s="22" t="inlineStr">
        <x:is>
          <x:t xml:space="preserve">MISSING</x:t>
        </x:is>
      </x:c>
      <x:c r="H49" s="22" t="inlineStr">
        <x:is>
          <x:t xml:space="preserve">MISSING</x:t>
        </x:is>
      </x:c>
      <x:c r="I49" s="20" t="inlineStr">
        <x:is>
          <x:t xml:space="preserve">theophysics-lean-main\theophysics-lean-main\Theophysics_Core.lean</x:t>
        </x:is>
      </x:c>
      <x:c r="J49" s="20" t="inlineStr">
        <x:is>
          <x:t xml:space="preserve">200</x:t>
        </x:is>
      </x:c>
      <x:c r="K49" s="20" t="inlineStr">
        <x:is>
          <x:t xml:space="preserve">theorem law6_logos_limit_K_one : True</x:t>
        </x:is>
      </x:c>
      <x:c r="L49" s="20" t="inlineStr">
        <x:is>
          <x:t xml:space="preserve">law6_logos_limit_K_one</x:t>
        </x:is>
      </x:c>
      <x:c r="M49" s="23" t="inlineStr">
        <x:is>
          <x:t xml:space="preserve">PARTIAL</x:t>
        </x:is>
      </x:c>
      <x:c r="N49" s="21" t="inlineStr">
        <x:is>
          <x:t xml:space="preserve">PLACEHOLDER</x:t>
        </x:is>
      </x:c>
      <x:c r="O49" s="21" t="inlineStr">
        <x:is>
          <x:t xml:space="preserve">PLACEHOLDER</x:t>
        </x:is>
      </x:c>
      <x:c r="P49" s="22" t="inlineStr">
        <x:is>
          <x:t xml:space="preserve">MISSING</x:t>
        </x:is>
      </x:c>
      <x:c r="Q49" s="21" t="inlineStr">
        <x:is>
          <x:t xml:space="preserve">PLACEHOLDER</x:t>
        </x:is>
      </x:c>
      <x:c r="R49" s="21" t="inlineStr">
        <x:is>
          <x:t xml:space="preserve">PLACEHOLDER</x:t>
        </x:is>
      </x:c>
      <x:c r="S49" s="21" t="inlineStr">
        <x:is>
          <x:t xml:space="preserve">PLACEHOLDER</x:t>
        </x:is>
      </x:c>
      <x:c r="T49" s="23" t="inlineStr">
        <x:is>
          <x:t xml:space="preserve">PARTIAL</x:t>
        </x:is>
      </x:c>
      <x:c r="U49" s="21" t="inlineStr">
        <x:is>
          <x:t xml:space="preserve">PLACEHOLDER</x:t>
        </x:is>
      </x:c>
      <x:c r="V49" s="20" t="inlineStr">
        <x:is>
          <x:t xml:space="preserve">lean_match_count=4 | proof_strength=TRIVIAL_TRUE | Statement is `True`; theorem name may exceed formal content. | definition/proof/numerical/empirical/interp fields still staged as TODO placeholders</x:t>
        </x:is>
      </x:c>
    </x:row>
    <x:row r="50" ht="55.20000076293945" customHeight="1">
      <x:c r="A50" s="20" t="inlineStr">
        <x:is>
          <x:t xml:space="preserve">49</x:t>
        </x:is>
      </x:c>
      <x:c r="B50" s="20" t="inlineStr">
        <x:is>
          <x:t xml:space="preserve">REJECTION: Relation bypass → K = 0. No relation, no Logos.</x:t>
        </x:is>
      </x:c>
      <x:c r="C50" s="20" t="inlineStr">
        <x:is>
          <x:t xml:space="preserve">C2 - Structural correspondence candidate</x:t>
        </x:is>
      </x:c>
      <x:c r="D50" s="21" t="inlineStr">
        <x:is>
          <x:t xml:space="preserve">PLACEHOLDER</x:t>
        </x:is>
      </x:c>
      <x:c r="E50" s="22" t="inlineStr">
        <x:is>
          <x:t xml:space="preserve">MISSING</x:t>
        </x:is>
      </x:c>
      <x:c r="F50" s="22" t="inlineStr">
        <x:is>
          <x:t xml:space="preserve">MISSING</x:t>
        </x:is>
      </x:c>
      <x:c r="G50" s="22" t="inlineStr">
        <x:is>
          <x:t xml:space="preserve">MISSING</x:t>
        </x:is>
      </x:c>
      <x:c r="H50" s="22" t="inlineStr">
        <x:is>
          <x:t xml:space="preserve">MISSING</x:t>
        </x:is>
      </x:c>
      <x:c r="I50" s="20" t="inlineStr">
        <x:is>
          <x:t xml:space="preserve">theophysics-lean-main\theophysics-lean-main\Theophysics_Adversarial.lean</x:t>
        </x:is>
      </x:c>
      <x:c r="J50" s="20" t="inlineStr">
        <x:is>
          <x:t xml:space="preserve">367</x:t>
        </x:is>
      </x:c>
      <x:c r="K50" s="20" t="inlineStr">
        <x:is>
          <x:t xml:space="preserve">theorem law6_relation_bypass_forces_K_zero : KGate { relation := false } = 0</x:t>
        </x:is>
      </x:c>
      <x:c r="L50" s="20" t="inlineStr">
        <x:is>
          <x:t xml:space="preserve">law6_relation_bypass_forces_K_zero</x:t>
        </x:is>
      </x:c>
      <x:c r="M50" s="23" t="inlineStr">
        <x:is>
          <x:t xml:space="preserve">PARTIAL</x:t>
        </x:is>
      </x:c>
      <x:c r="N50" s="21" t="inlineStr">
        <x:is>
          <x:t xml:space="preserve">PLACEHOLDER</x:t>
        </x:is>
      </x:c>
      <x:c r="O50" s="21" t="inlineStr">
        <x:is>
          <x:t xml:space="preserve">PLACEHOLDER</x:t>
        </x:is>
      </x:c>
      <x:c r="P50" s="22" t="inlineStr">
        <x:is>
          <x:t xml:space="preserve">MISSING</x:t>
        </x:is>
      </x:c>
      <x:c r="Q50" s="21" t="inlineStr">
        <x:is>
          <x:t xml:space="preserve">PLACEHOLDER</x:t>
        </x:is>
      </x:c>
      <x:c r="R50" s="21" t="inlineStr">
        <x:is>
          <x:t xml:space="preserve">PLACEHOLDER</x:t>
        </x:is>
      </x:c>
      <x:c r="S50" s="21" t="inlineStr">
        <x:is>
          <x:t xml:space="preserve">PLACEHOLDER</x:t>
        </x:is>
      </x:c>
      <x:c r="T50" s="23" t="inlineStr">
        <x:is>
          <x:t xml:space="preserve">PARTIAL</x:t>
        </x:is>
      </x:c>
      <x:c r="U50" s="21" t="inlineStr">
        <x:is>
          <x:t xml:space="preserve">PLACEHOLDER</x:t>
        </x:is>
      </x:c>
      <x:c r="V50" s="20" t="inlineStr">
        <x:is>
          <x:t xml:space="preserve">lean_match_count=4 | proof_strength=DEFINITIONAL_RFL | Proves definitional equality by reduction; useful but narrow. | definition/proof/numerical/empirical/interp fields still staged as TODO placeholders</x:t>
        </x:is>
      </x:c>
    </x:row>
    <x:row r="51" ht="55.20000076293945" customHeight="1">
      <x:c r="A51" s="20" t="inlineStr">
        <x:is>
          <x:t xml:space="preserve">50</x:t>
        </x:is>
      </x:c>
      <x:c r="B51" s="20" t="inlineStr">
        <x:is>
          <x:t xml:space="preserve">REJECTION: Bandwidth closed → K = 0. Channel closed, Logos blocked.</x:t>
        </x:is>
      </x:c>
      <x:c r="C51" s="20" t="inlineStr">
        <x:is>
          <x:t xml:space="preserve">C2 - Structural correspondence candidate</x:t>
        </x:is>
      </x:c>
      <x:c r="D51" s="21" t="inlineStr">
        <x:is>
          <x:t xml:space="preserve">PLACEHOLDER</x:t>
        </x:is>
      </x:c>
      <x:c r="E51" s="22" t="inlineStr">
        <x:is>
          <x:t xml:space="preserve">MISSING</x:t>
        </x:is>
      </x:c>
      <x:c r="F51" s="22" t="inlineStr">
        <x:is>
          <x:t xml:space="preserve">MISSING</x:t>
        </x:is>
      </x:c>
      <x:c r="G51" s="22" t="inlineStr">
        <x:is>
          <x:t xml:space="preserve">MISSING</x:t>
        </x:is>
      </x:c>
      <x:c r="H51" s="22" t="inlineStr">
        <x:is>
          <x:t xml:space="preserve">MISSING</x:t>
        </x:is>
      </x:c>
      <x:c r="I51" s="20" t="inlineStr">
        <x:is>
          <x:t xml:space="preserve">theophysics-lean-main\theophysics-lean-main\Theophysics_Adversarial.lean</x:t>
        </x:is>
      </x:c>
      <x:c r="J51" s="20" t="inlineStr">
        <x:is>
          <x:t xml:space="preserve">371</x:t>
        </x:is>
      </x:c>
      <x:c r="K51" s="20" t="inlineStr">
        <x:is>
          <x:t xml:space="preserve">theorem law6_bandwidth_closed_forces_K_zero : KGate { bandwidthOpen := false } = 0</x:t>
        </x:is>
      </x:c>
      <x:c r="L51" s="20" t="inlineStr">
        <x:is>
          <x:t xml:space="preserve">law6_bandwidth_closed_forces_K_zero</x:t>
        </x:is>
      </x:c>
      <x:c r="M51" s="23" t="inlineStr">
        <x:is>
          <x:t xml:space="preserve">PARTIAL</x:t>
        </x:is>
      </x:c>
      <x:c r="N51" s="21" t="inlineStr">
        <x:is>
          <x:t xml:space="preserve">PLACEHOLDER</x:t>
        </x:is>
      </x:c>
      <x:c r="O51" s="21" t="inlineStr">
        <x:is>
          <x:t xml:space="preserve">PLACEHOLDER</x:t>
        </x:is>
      </x:c>
      <x:c r="P51" s="22" t="inlineStr">
        <x:is>
          <x:t xml:space="preserve">MISSING</x:t>
        </x:is>
      </x:c>
      <x:c r="Q51" s="21" t="inlineStr">
        <x:is>
          <x:t xml:space="preserve">PLACEHOLDER</x:t>
        </x:is>
      </x:c>
      <x:c r="R51" s="21" t="inlineStr">
        <x:is>
          <x:t xml:space="preserve">PLACEHOLDER</x:t>
        </x:is>
      </x:c>
      <x:c r="S51" s="21" t="inlineStr">
        <x:is>
          <x:t xml:space="preserve">PLACEHOLDER</x:t>
        </x:is>
      </x:c>
      <x:c r="T51" s="23" t="inlineStr">
        <x:is>
          <x:t xml:space="preserve">PARTIAL</x:t>
        </x:is>
      </x:c>
      <x:c r="U51" s="21" t="inlineStr">
        <x:is>
          <x:t xml:space="preserve">PLACEHOLDER</x:t>
        </x:is>
      </x:c>
      <x:c r="V51" s="20" t="inlineStr">
        <x:is>
          <x:t xml:space="preserve">lean_match_count=4 | proof_strength=DEFINITIONAL_RFL | Proves definitional equality by reduction; useful but narrow. | definition/proof/numerical/empirical/interp fields still staged as TODO placeholders</x:t>
        </x:is>
      </x:c>
    </x:row>
    <x:row r="52" ht="55.20000076293945" customHeight="1">
      <x:c r="A52" s="20" t="inlineStr">
        <x:is>
          <x:t xml:space="preserve">51</x:t>
        </x:is>
      </x:c>
      <x:c r="B52" s="20" t="inlineStr">
        <x:is>
          <x:t xml:space="preserve">REJECTION: Distortion dominates → K = 0</x:t>
        </x:is>
      </x:c>
      <x:c r="C52" s="20" t="inlineStr">
        <x:is>
          <x:t xml:space="preserve">C2 - Structural correspondence candidate</x:t>
        </x:is>
      </x:c>
      <x:c r="D52" s="21" t="inlineStr">
        <x:is>
          <x:t xml:space="preserve">PLACEHOLDER</x:t>
        </x:is>
      </x:c>
      <x:c r="E52" s="22" t="inlineStr">
        <x:is>
          <x:t xml:space="preserve">MISSING</x:t>
        </x:is>
      </x:c>
      <x:c r="F52" s="22" t="inlineStr">
        <x:is>
          <x:t xml:space="preserve">MISSING</x:t>
        </x:is>
      </x:c>
      <x:c r="G52" s="22" t="inlineStr">
        <x:is>
          <x:t xml:space="preserve">MISSING</x:t>
        </x:is>
      </x:c>
      <x:c r="H52" s="22" t="inlineStr">
        <x:is>
          <x:t xml:space="preserve">MISSING</x:t>
        </x:is>
      </x:c>
      <x:c r="I52" s="20" t="inlineStr">
        <x:is>
          <x:t xml:space="preserve">theophysics-lean-main\theophysics-lean-main\Theophysics_Adversarial.lean</x:t>
        </x:is>
      </x:c>
      <x:c r="J52" s="20" t="inlineStr">
        <x:is>
          <x:t xml:space="preserve">375</x:t>
        </x:is>
      </x:c>
      <x:c r="K52" s="20" t="inlineStr">
        <x:is>
          <x:t xml:space="preserve">theorem law6_distortion_dominates_forces_K_zero : KGate { distortionDominates := true } = 0</x:t>
        </x:is>
      </x:c>
      <x:c r="L52" s="20" t="inlineStr">
        <x:is>
          <x:t xml:space="preserve">law6_distortion_dominates_forces_K_zero</x:t>
        </x:is>
      </x:c>
      <x:c r="M52" s="23" t="inlineStr">
        <x:is>
          <x:t xml:space="preserve">PARTIAL</x:t>
        </x:is>
      </x:c>
      <x:c r="N52" s="21" t="inlineStr">
        <x:is>
          <x:t xml:space="preserve">PLACEHOLDER</x:t>
        </x:is>
      </x:c>
      <x:c r="O52" s="21" t="inlineStr">
        <x:is>
          <x:t xml:space="preserve">PLACEHOLDER</x:t>
        </x:is>
      </x:c>
      <x:c r="P52" s="22" t="inlineStr">
        <x:is>
          <x:t xml:space="preserve">MISSING</x:t>
        </x:is>
      </x:c>
      <x:c r="Q52" s="21" t="inlineStr">
        <x:is>
          <x:t xml:space="preserve">PLACEHOLDER</x:t>
        </x:is>
      </x:c>
      <x:c r="R52" s="21" t="inlineStr">
        <x:is>
          <x:t xml:space="preserve">PLACEHOLDER</x:t>
        </x:is>
      </x:c>
      <x:c r="S52" s="21" t="inlineStr">
        <x:is>
          <x:t xml:space="preserve">PLACEHOLDER</x:t>
        </x:is>
      </x:c>
      <x:c r="T52" s="23" t="inlineStr">
        <x:is>
          <x:t xml:space="preserve">PARTIAL</x:t>
        </x:is>
      </x:c>
      <x:c r="U52" s="21" t="inlineStr">
        <x:is>
          <x:t xml:space="preserve">PLACEHOLDER</x:t>
        </x:is>
      </x:c>
      <x:c r="V52" s="20" t="inlineStr">
        <x:is>
          <x:t xml:space="preserve">lean_match_count=4 | proof_strength=DEFINITIONAL_RFL | Proves definitional equality by reduction; useful but narrow. | definition/proof/numerical/empirical/interp fields still staged as TODO placeholders</x:t>
        </x:is>
      </x:c>
    </x:row>
    <x:row r="53" ht="55.20000076293945" customHeight="1">
      <x:c r="A53" s="20" t="inlineStr">
        <x:is>
          <x:t xml:space="preserve">52</x:t>
        </x:is>
      </x:c>
      <x:c r="B53" s="20" t="inlineStr">
        <x:is>
          <x:t xml:space="preserve">Bandwidth collapse → χ = 0</x:t>
        </x:is>
      </x:c>
      <x:c r="C53" s="20" t="inlineStr">
        <x:is>
          <x:t xml:space="preserve">C2 - Structural correspondence candidate</x:t>
        </x:is>
      </x:c>
      <x:c r="D53" s="21" t="inlineStr">
        <x:is>
          <x:t xml:space="preserve">PLACEHOLDER</x:t>
        </x:is>
      </x:c>
      <x:c r="E53" s="22" t="inlineStr">
        <x:is>
          <x:t xml:space="preserve">MISSING</x:t>
        </x:is>
      </x:c>
      <x:c r="F53" s="22" t="inlineStr">
        <x:is>
          <x:t xml:space="preserve">MISSING</x:t>
        </x:is>
      </x:c>
      <x:c r="G53" s="22" t="inlineStr">
        <x:is>
          <x:t xml:space="preserve">MISSING</x:t>
        </x:is>
      </x:c>
      <x:c r="H53" s="22" t="inlineStr">
        <x:is>
          <x:t xml:space="preserve">MISSING</x:t>
        </x:is>
      </x:c>
      <x:c r="I53" s="20" t="inlineStr">
        <x:is>
          <x:t xml:space="preserve">theophysics-lean-main\theophysics-lean-main\Theophysics_Core.lean</x:t>
        </x:is>
      </x:c>
      <x:c r="J53" s="20" t="inlineStr">
        <x:is>
          <x:t xml:space="preserve">199</x:t>
        </x:is>
      </x:c>
      <x:c r="K53" s="20" t="inlineStr">
        <x:is>
          <x:t xml:space="preserve">theorem law6_bandwidth_collapse_collapses_chi : True</x:t>
        </x:is>
      </x:c>
      <x:c r="L53" s="20" t="inlineStr">
        <x:is>
          <x:t xml:space="preserve">law6_bandwidth_collapse_collapses_chi</x:t>
        </x:is>
      </x:c>
      <x:c r="M53" s="23" t="inlineStr">
        <x:is>
          <x:t xml:space="preserve">PARTIAL</x:t>
        </x:is>
      </x:c>
      <x:c r="N53" s="21" t="inlineStr">
        <x:is>
          <x:t xml:space="preserve">PLACEHOLDER</x:t>
        </x:is>
      </x:c>
      <x:c r="O53" s="21" t="inlineStr">
        <x:is>
          <x:t xml:space="preserve">PLACEHOLDER</x:t>
        </x:is>
      </x:c>
      <x:c r="P53" s="22" t="inlineStr">
        <x:is>
          <x:t xml:space="preserve">MISSING</x:t>
        </x:is>
      </x:c>
      <x:c r="Q53" s="21" t="inlineStr">
        <x:is>
          <x:t xml:space="preserve">PLACEHOLDER</x:t>
        </x:is>
      </x:c>
      <x:c r="R53" s="21" t="inlineStr">
        <x:is>
          <x:t xml:space="preserve">PLACEHOLDER</x:t>
        </x:is>
      </x:c>
      <x:c r="S53" s="21" t="inlineStr">
        <x:is>
          <x:t xml:space="preserve">PLACEHOLDER</x:t>
        </x:is>
      </x:c>
      <x:c r="T53" s="23" t="inlineStr">
        <x:is>
          <x:t xml:space="preserve">PARTIAL</x:t>
        </x:is>
      </x:c>
      <x:c r="U53" s="21" t="inlineStr">
        <x:is>
          <x:t xml:space="preserve">PLACEHOLDER</x:t>
        </x:is>
      </x:c>
      <x:c r="V53" s="20" t="inlineStr">
        <x:is>
          <x:t xml:space="preserve">lean_match_count=4 | proof_strength=TRIVIAL_TRUE | Statement is `True`; theorem name may exceed formal content. | definition/proof/numerical/empirical/interp fields still staged as TODO placeholders</x:t>
        </x:is>
      </x:c>
    </x:row>
    <x:row r="54" ht="55.20000076293945" customHeight="1">
      <x:c r="A54" s="20" t="inlineStr">
        <x:is>
          <x:t xml:space="preserve">53</x:t>
        </x:is>
      </x:c>
      <x:c r="B54" s="20" t="inlineStr">
        <x:is>
          <x:t xml:space="preserve">Full conditions → R = 1</x:t>
        </x:is>
      </x:c>
      <x:c r="C54" s="20" t="inlineStr">
        <x:is>
          <x:t xml:space="preserve">C2 - Structural correspondence candidate</x:t>
        </x:is>
      </x:c>
      <x:c r="D54" s="21" t="inlineStr">
        <x:is>
          <x:t xml:space="preserve">PLACEHOLDER</x:t>
        </x:is>
      </x:c>
      <x:c r="E54" s="22" t="inlineStr">
        <x:is>
          <x:t xml:space="preserve">MISSING</x:t>
        </x:is>
      </x:c>
      <x:c r="F54" s="22" t="inlineStr">
        <x:is>
          <x:t xml:space="preserve">MISSING</x:t>
        </x:is>
      </x:c>
      <x:c r="G54" s="22" t="inlineStr">
        <x:is>
          <x:t xml:space="preserve">MISSING</x:t>
        </x:is>
      </x:c>
      <x:c r="H54" s="22" t="inlineStr">
        <x:is>
          <x:t xml:space="preserve">MISSING</x:t>
        </x:is>
      </x:c>
      <x:c r="I54" s="20" t="inlineStr">
        <x:is>
          <x:t xml:space="preserve">theophysics-lean-main\theophysics-lean-main\Theophysics_Core.lean</x:t>
        </x:is>
      </x:c>
      <x:c r="J54" s="20" t="inlineStr">
        <x:is>
          <x:t xml:space="preserve">203</x:t>
        </x:is>
      </x:c>
      <x:c r="K54" s="20" t="inlineStr">
        <x:is>
          <x:t xml:space="preserve">theorem law7_righteous_limit_R_one : True</x:t>
        </x:is>
      </x:c>
      <x:c r="L54" s="20" t="inlineStr">
        <x:is>
          <x:t xml:space="preserve">law7_righteous_limit_R_one</x:t>
        </x:is>
      </x:c>
      <x:c r="M54" s="23" t="inlineStr">
        <x:is>
          <x:t xml:space="preserve">PARTIAL</x:t>
        </x:is>
      </x:c>
      <x:c r="N54" s="21" t="inlineStr">
        <x:is>
          <x:t xml:space="preserve">PLACEHOLDER</x:t>
        </x:is>
      </x:c>
      <x:c r="O54" s="21" t="inlineStr">
        <x:is>
          <x:t xml:space="preserve">PLACEHOLDER</x:t>
        </x:is>
      </x:c>
      <x:c r="P54" s="22" t="inlineStr">
        <x:is>
          <x:t xml:space="preserve">MISSING</x:t>
        </x:is>
      </x:c>
      <x:c r="Q54" s="21" t="inlineStr">
        <x:is>
          <x:t xml:space="preserve">PLACEHOLDER</x:t>
        </x:is>
      </x:c>
      <x:c r="R54" s="21" t="inlineStr">
        <x:is>
          <x:t xml:space="preserve">PLACEHOLDER</x:t>
        </x:is>
      </x:c>
      <x:c r="S54" s="21" t="inlineStr">
        <x:is>
          <x:t xml:space="preserve">PLACEHOLDER</x:t>
        </x:is>
      </x:c>
      <x:c r="T54" s="23" t="inlineStr">
        <x:is>
          <x:t xml:space="preserve">PARTIAL</x:t>
        </x:is>
      </x:c>
      <x:c r="U54" s="21" t="inlineStr">
        <x:is>
          <x:t xml:space="preserve">PLACEHOLDER</x:t>
        </x:is>
      </x:c>
      <x:c r="V54" s="20" t="inlineStr">
        <x:is>
          <x:t xml:space="preserve">lean_match_count=4 | proof_strength=TRIVIAL_TRUE | Statement is `True`; theorem name may exceed formal content. | definition/proof/numerical/empirical/interp fields still staged as TODO placeholders</x:t>
        </x:is>
      </x:c>
    </x:row>
    <x:row r="55" ht="55.20000076293945" customHeight="1">
      <x:c r="A55" s="20" t="inlineStr">
        <x:is>
          <x:t xml:space="preserve">54</x:t>
        </x:is>
      </x:c>
      <x:c r="B55" s="20" t="inlineStr">
        <x:is>
          <x:t xml:space="preserve">REJECTION: Relation bypass → R = 0. No relation, no frame translation.</x:t>
        </x:is>
      </x:c>
      <x:c r="C55" s="20" t="inlineStr">
        <x:is>
          <x:t xml:space="preserve">C2 - Structural correspondence candidate</x:t>
        </x:is>
      </x:c>
      <x:c r="D55" s="21" t="inlineStr">
        <x:is>
          <x:t xml:space="preserve">PLACEHOLDER</x:t>
        </x:is>
      </x:c>
      <x:c r="E55" s="22" t="inlineStr">
        <x:is>
          <x:t xml:space="preserve">MISSING</x:t>
        </x:is>
      </x:c>
      <x:c r="F55" s="22" t="inlineStr">
        <x:is>
          <x:t xml:space="preserve">MISSING</x:t>
        </x:is>
      </x:c>
      <x:c r="G55" s="22" t="inlineStr">
        <x:is>
          <x:t xml:space="preserve">MISSING</x:t>
        </x:is>
      </x:c>
      <x:c r="H55" s="22" t="inlineStr">
        <x:is>
          <x:t xml:space="preserve">MISSING</x:t>
        </x:is>
      </x:c>
      <x:c r="I55" s="20" t="inlineStr">
        <x:is>
          <x:t xml:space="preserve">theophysics-lean-main\theophysics-lean-main\Final_Lean4_From_Excel.lean</x:t>
        </x:is>
      </x:c>
      <x:c r="J55" s="20" t="inlineStr">
        <x:is>
          <x:t xml:space="preserve">270</x:t>
        </x:is>
      </x:c>
      <x:c r="K55" s="20" t="inlineStr">
        <x:is>
          <x:t xml:space="preserve">theorem law7_relation_bypass_forces_R_zero : ∀ c : Controls, c.relation = false → c.relation = false := fun c h =&gt; h</x:t>
        </x:is>
      </x:c>
      <x:c r="L55" s="20" t="inlineStr">
        <x:is>
          <x:t xml:space="preserve">law7_relation_bypass_forces_R_zero</x:t>
        </x:is>
      </x:c>
      <x:c r="M55" s="23" t="inlineStr">
        <x:is>
          <x:t xml:space="preserve">PARTIAL</x:t>
        </x:is>
      </x:c>
      <x:c r="N55" s="21" t="inlineStr">
        <x:is>
          <x:t xml:space="preserve">PLACEHOLDER</x:t>
        </x:is>
      </x:c>
      <x:c r="O55" s="21" t="inlineStr">
        <x:is>
          <x:t xml:space="preserve">PLACEHOLDER</x:t>
        </x:is>
      </x:c>
      <x:c r="P55" s="22" t="inlineStr">
        <x:is>
          <x:t xml:space="preserve">MISSING</x:t>
        </x:is>
      </x:c>
      <x:c r="Q55" s="21" t="inlineStr">
        <x:is>
          <x:t xml:space="preserve">PLACEHOLDER</x:t>
        </x:is>
      </x:c>
      <x:c r="R55" s="21" t="inlineStr">
        <x:is>
          <x:t xml:space="preserve">PLACEHOLDER</x:t>
        </x:is>
      </x:c>
      <x:c r="S55" s="21" t="inlineStr">
        <x:is>
          <x:t xml:space="preserve">PLACEHOLDER</x:t>
        </x:is>
      </x:c>
      <x:c r="T55" s="23" t="inlineStr">
        <x:is>
          <x:t xml:space="preserve">PARTIAL</x:t>
        </x:is>
      </x:c>
      <x:c r="U55" s="21" t="inlineStr">
        <x:is>
          <x:t xml:space="preserve">PLACEHOLDER</x:t>
        </x:is>
      </x:c>
      <x:c r="V55" s="20" t="inlineStr">
        <x:is>
          <x:t xml:space="preserve">lean_match_count=4 | proof_strength=DECLARATION_OR_UNKNOWN | Could not classify from first proof lines. | definition/proof/numerical/empirical/interp fields still staged as TODO placeholders</x:t>
        </x:is>
      </x:c>
    </x:row>
    <x:row r="56" ht="55.20000076293945" customHeight="1">
      <x:c r="A56" s="20" t="inlineStr">
        <x:is>
          <x:t xml:space="preserve">55</x:t>
        </x:is>
      </x:c>
      <x:c r="B56" s="20" t="inlineStr">
        <x:is>
          <x:t xml:space="preserve">REJECTION: No shared metric → R = 0</x:t>
        </x:is>
      </x:c>
      <x:c r="C56" s="20" t="inlineStr">
        <x:is>
          <x:t xml:space="preserve">C2 - Structural correspondence candidate</x:t>
        </x:is>
      </x:c>
      <x:c r="D56" s="21" t="inlineStr">
        <x:is>
          <x:t xml:space="preserve">PLACEHOLDER</x:t>
        </x:is>
      </x:c>
      <x:c r="E56" s="22" t="inlineStr">
        <x:is>
          <x:t xml:space="preserve">MISSING</x:t>
        </x:is>
      </x:c>
      <x:c r="F56" s="22" t="inlineStr">
        <x:is>
          <x:t xml:space="preserve">MISSING</x:t>
        </x:is>
      </x:c>
      <x:c r="G56" s="22" t="inlineStr">
        <x:is>
          <x:t xml:space="preserve">MISSING</x:t>
        </x:is>
      </x:c>
      <x:c r="H56" s="22" t="inlineStr">
        <x:is>
          <x:t xml:space="preserve">MISSING</x:t>
        </x:is>
      </x:c>
      <x:c r="I56" s="20" t="inlineStr">
        <x:is>
          <x:t xml:space="preserve">theophysics-lean-main\theophysics-lean-main\Theophysics_Adversarial.lean</x:t>
        </x:is>
      </x:c>
      <x:c r="J56" s="20" t="inlineStr">
        <x:is>
          <x:t xml:space="preserve">379</x:t>
        </x:is>
      </x:c>
      <x:c r="K56" s="20" t="inlineStr">
        <x:is>
          <x:t xml:space="preserve">theorem law7_metric_absent_forces_R_zero : RGate { metricPresent := false } = 0</x:t>
        </x:is>
      </x:c>
      <x:c r="L56" s="20" t="inlineStr">
        <x:is>
          <x:t xml:space="preserve">law7_metric_absent_forces_R_zero</x:t>
        </x:is>
      </x:c>
      <x:c r="M56" s="23" t="inlineStr">
        <x:is>
          <x:t xml:space="preserve">PARTIAL</x:t>
        </x:is>
      </x:c>
      <x:c r="N56" s="21" t="inlineStr">
        <x:is>
          <x:t xml:space="preserve">PLACEHOLDER</x:t>
        </x:is>
      </x:c>
      <x:c r="O56" s="21" t="inlineStr">
        <x:is>
          <x:t xml:space="preserve">PLACEHOLDER</x:t>
        </x:is>
      </x:c>
      <x:c r="P56" s="22" t="inlineStr">
        <x:is>
          <x:t xml:space="preserve">MISSING</x:t>
        </x:is>
      </x:c>
      <x:c r="Q56" s="21" t="inlineStr">
        <x:is>
          <x:t xml:space="preserve">PLACEHOLDER</x:t>
        </x:is>
      </x:c>
      <x:c r="R56" s="21" t="inlineStr">
        <x:is>
          <x:t xml:space="preserve">PLACEHOLDER</x:t>
        </x:is>
      </x:c>
      <x:c r="S56" s="21" t="inlineStr">
        <x:is>
          <x:t xml:space="preserve">PLACEHOLDER</x:t>
        </x:is>
      </x:c>
      <x:c r="T56" s="23" t="inlineStr">
        <x:is>
          <x:t xml:space="preserve">PARTIAL</x:t>
        </x:is>
      </x:c>
      <x:c r="U56" s="21" t="inlineStr">
        <x:is>
          <x:t xml:space="preserve">PLACEHOLDER</x:t>
        </x:is>
      </x:c>
      <x:c r="V56" s="20" t="inlineStr">
        <x:is>
          <x:t xml:space="preserve">lean_match_count=4 | proof_strength=DEFINITIONAL_RFL | Proves definitional equality by reduction; useful but narrow. | definition/proof/numerical/empirical/interp fields still staged as TODO placeholders</x:t>
        </x:is>
      </x:c>
    </x:row>
    <x:row r="57" ht="55.20000076293945" customHeight="1">
      <x:c r="A57" s="20" t="inlineStr">
        <x:is>
          <x:t xml:space="preserve">56</x:t>
        </x:is>
      </x:c>
      <x:c r="B57" s="20" t="inlineStr">
        <x:is>
          <x:t xml:space="preserve">REJECTION: Frame lock → R = 0</x:t>
        </x:is>
      </x:c>
      <x:c r="C57" s="20" t="inlineStr">
        <x:is>
          <x:t xml:space="preserve">C2 - Structural correspondence candidate</x:t>
        </x:is>
      </x:c>
      <x:c r="D57" s="21" t="inlineStr">
        <x:is>
          <x:t xml:space="preserve">PLACEHOLDER</x:t>
        </x:is>
      </x:c>
      <x:c r="E57" s="22" t="inlineStr">
        <x:is>
          <x:t xml:space="preserve">MISSING</x:t>
        </x:is>
      </x:c>
      <x:c r="F57" s="22" t="inlineStr">
        <x:is>
          <x:t xml:space="preserve">MISSING</x:t>
        </x:is>
      </x:c>
      <x:c r="G57" s="22" t="inlineStr">
        <x:is>
          <x:t xml:space="preserve">MISSING</x:t>
        </x:is>
      </x:c>
      <x:c r="H57" s="22" t="inlineStr">
        <x:is>
          <x:t xml:space="preserve">MISSING</x:t>
        </x:is>
      </x:c>
      <x:c r="I57" s="20" t="inlineStr">
        <x:is>
          <x:t xml:space="preserve">theophysics-lean-main\theophysics-lean-main\Final_Lean4_From_Excel.lean</x:t>
        </x:is>
      </x:c>
      <x:c r="J57" s="20" t="inlineStr">
        <x:is>
          <x:t xml:space="preserve">273</x:t>
        </x:is>
      </x:c>
      <x:c r="K57" s="20" t="inlineStr">
        <x:is>
          <x:t xml:space="preserve">theorem law7_frame_lock_forces_R_zero : ∀ c : Controls, c.frameLock = true → c.frameLock = true := fun c h =&gt; h -- score discipline as a binary gate def binaryGate (s : Nat) : Nat := if s = 0 then 0 else 1</x:t>
        </x:is>
      </x:c>
      <x:c r="L57" s="20" t="inlineStr">
        <x:is>
          <x:t xml:space="preserve">law7_frame_lock_forces_R_zero</x:t>
        </x:is>
      </x:c>
      <x:c r="M57" s="23" t="inlineStr">
        <x:is>
          <x:t xml:space="preserve">PARTIAL</x:t>
        </x:is>
      </x:c>
      <x:c r="N57" s="21" t="inlineStr">
        <x:is>
          <x:t xml:space="preserve">PLACEHOLDER</x:t>
        </x:is>
      </x:c>
      <x:c r="O57" s="21" t="inlineStr">
        <x:is>
          <x:t xml:space="preserve">PLACEHOLDER</x:t>
        </x:is>
      </x:c>
      <x:c r="P57" s="22" t="inlineStr">
        <x:is>
          <x:t xml:space="preserve">MISSING</x:t>
        </x:is>
      </x:c>
      <x:c r="Q57" s="21" t="inlineStr">
        <x:is>
          <x:t xml:space="preserve">PLACEHOLDER</x:t>
        </x:is>
      </x:c>
      <x:c r="R57" s="21" t="inlineStr">
        <x:is>
          <x:t xml:space="preserve">PLACEHOLDER</x:t>
        </x:is>
      </x:c>
      <x:c r="S57" s="21" t="inlineStr">
        <x:is>
          <x:t xml:space="preserve">PLACEHOLDER</x:t>
        </x:is>
      </x:c>
      <x:c r="T57" s="23" t="inlineStr">
        <x:is>
          <x:t xml:space="preserve">PARTIAL</x:t>
        </x:is>
      </x:c>
      <x:c r="U57" s="21" t="inlineStr">
        <x:is>
          <x:t xml:space="preserve">PLACEHOLDER</x:t>
        </x:is>
      </x:c>
      <x:c r="V57" s="20" t="inlineStr">
        <x:is>
          <x:t xml:space="preserve">lean_match_count=4 | proof_strength=DECLARATION_OR_UNKNOWN | Could not classify from first proof lines. | definition/proof/numerical/empirical/interp fields still staged as TODO placeholders</x:t>
        </x:is>
      </x:c>
    </x:row>
    <x:row r="58" ht="55.20000076293945" customHeight="1">
      <x:c r="A58" s="20" t="inlineStr">
        <x:is>
          <x:t xml:space="preserve">57</x:t>
        </x:is>
      </x:c>
      <x:c r="B58" s="20" t="inlineStr">
        <x:is>
          <x:t xml:space="preserve">Relation bypass → χ = 0</x:t>
        </x:is>
      </x:c>
      <x:c r="C58" s="20" t="inlineStr">
        <x:is>
          <x:t xml:space="preserve">C2 - Structural correspondence candidate</x:t>
        </x:is>
      </x:c>
      <x:c r="D58" s="21" t="inlineStr">
        <x:is>
          <x:t xml:space="preserve">PLACEHOLDER</x:t>
        </x:is>
      </x:c>
      <x:c r="E58" s="22" t="inlineStr">
        <x:is>
          <x:t xml:space="preserve">MISSING</x:t>
        </x:is>
      </x:c>
      <x:c r="F58" s="22" t="inlineStr">
        <x:is>
          <x:t xml:space="preserve">MISSING</x:t>
        </x:is>
      </x:c>
      <x:c r="G58" s="22" t="inlineStr">
        <x:is>
          <x:t xml:space="preserve">MISSING</x:t>
        </x:is>
      </x:c>
      <x:c r="H58" s="22" t="inlineStr">
        <x:is>
          <x:t xml:space="preserve">MISSING</x:t>
        </x:is>
      </x:c>
      <x:c r="I58" s="20" t="inlineStr">
        <x:is>
          <x:t xml:space="preserve">theophysics-lean-main\theophysics-lean-main\Theophysics_Core.lean</x:t>
        </x:is>
      </x:c>
      <x:c r="J58" s="20" t="inlineStr">
        <x:is>
          <x:t xml:space="preserve">202</x:t>
        </x:is>
      </x:c>
      <x:c r="K58" s="20" t="inlineStr">
        <x:is>
          <x:t xml:space="preserve">theorem law7_relation_bypass_collapses_chi : True</x:t>
        </x:is>
      </x:c>
      <x:c r="L58" s="20" t="inlineStr">
        <x:is>
          <x:t xml:space="preserve">law7_relation_bypass_collapses_chi</x:t>
        </x:is>
      </x:c>
      <x:c r="M58" s="23" t="inlineStr">
        <x:is>
          <x:t xml:space="preserve">PARTIAL</x:t>
        </x:is>
      </x:c>
      <x:c r="N58" s="21" t="inlineStr">
        <x:is>
          <x:t xml:space="preserve">PLACEHOLDER</x:t>
        </x:is>
      </x:c>
      <x:c r="O58" s="21" t="inlineStr">
        <x:is>
          <x:t xml:space="preserve">PLACEHOLDER</x:t>
        </x:is>
      </x:c>
      <x:c r="P58" s="22" t="inlineStr">
        <x:is>
          <x:t xml:space="preserve">MISSING</x:t>
        </x:is>
      </x:c>
      <x:c r="Q58" s="21" t="inlineStr">
        <x:is>
          <x:t xml:space="preserve">PLACEHOLDER</x:t>
        </x:is>
      </x:c>
      <x:c r="R58" s="21" t="inlineStr">
        <x:is>
          <x:t xml:space="preserve">PLACEHOLDER</x:t>
        </x:is>
      </x:c>
      <x:c r="S58" s="21" t="inlineStr">
        <x:is>
          <x:t xml:space="preserve">PLACEHOLDER</x:t>
        </x:is>
      </x:c>
      <x:c r="T58" s="23" t="inlineStr">
        <x:is>
          <x:t xml:space="preserve">PARTIAL</x:t>
        </x:is>
      </x:c>
      <x:c r="U58" s="21" t="inlineStr">
        <x:is>
          <x:t xml:space="preserve">PLACEHOLDER</x:t>
        </x:is>
      </x:c>
      <x:c r="V58" s="20" t="inlineStr">
        <x:is>
          <x:t xml:space="preserve">lean_match_count=4 | proof_strength=TRIVIAL_TRUE | Statement is `True`; theorem name may exceed formal content. | definition/proof/numerical/empirical/interp fields still staged as TODO placeholders</x:t>
        </x:is>
      </x:c>
    </x:row>
    <x:row r="59" ht="55.20000076293945" customHeight="1">
      <x:c r="A59" s="20" t="inlineStr">
        <x:is>
          <x:t xml:space="preserve">58</x:t>
        </x:is>
      </x:c>
      <x:c r="B59" s="20" t="inlineStr">
        <x:is>
          <x:t xml:space="preserve">Frame lock → χ = 0</x:t>
        </x:is>
      </x:c>
      <x:c r="C59" s="20" t="inlineStr">
        <x:is>
          <x:t xml:space="preserve">C2 - Structural correspondence candidate</x:t>
        </x:is>
      </x:c>
      <x:c r="D59" s="21" t="inlineStr">
        <x:is>
          <x:t xml:space="preserve">PLACEHOLDER</x:t>
        </x:is>
      </x:c>
      <x:c r="E59" s="22" t="inlineStr">
        <x:is>
          <x:t xml:space="preserve">MISSING</x:t>
        </x:is>
      </x:c>
      <x:c r="F59" s="22" t="inlineStr">
        <x:is>
          <x:t xml:space="preserve">MISSING</x:t>
        </x:is>
      </x:c>
      <x:c r="G59" s="22" t="inlineStr">
        <x:is>
          <x:t xml:space="preserve">MISSING</x:t>
        </x:is>
      </x:c>
      <x:c r="H59" s="22" t="inlineStr">
        <x:is>
          <x:t xml:space="preserve">MISSING</x:t>
        </x:is>
      </x:c>
      <x:c r="I59" s="20" t="inlineStr">
        <x:is>
          <x:t xml:space="preserve">theophysics-lean-main\theophysics-lean-main\Theophysics_Core.lean</x:t>
        </x:is>
      </x:c>
      <x:c r="J59" s="20" t="inlineStr">
        <x:is>
          <x:t xml:space="preserve">201</x:t>
        </x:is>
      </x:c>
      <x:c r="K59" s="20" t="inlineStr">
        <x:is>
          <x:t xml:space="preserve">theorem law7_frame_lock_collapses_chi : True</x:t>
        </x:is>
      </x:c>
      <x:c r="L59" s="20" t="inlineStr">
        <x:is>
          <x:t xml:space="preserve">law7_frame_lock_collapses_chi</x:t>
        </x:is>
      </x:c>
      <x:c r="M59" s="23" t="inlineStr">
        <x:is>
          <x:t xml:space="preserve">PARTIAL</x:t>
        </x:is>
      </x:c>
      <x:c r="N59" s="21" t="inlineStr">
        <x:is>
          <x:t xml:space="preserve">PLACEHOLDER</x:t>
        </x:is>
      </x:c>
      <x:c r="O59" s="21" t="inlineStr">
        <x:is>
          <x:t xml:space="preserve">PLACEHOLDER</x:t>
        </x:is>
      </x:c>
      <x:c r="P59" s="22" t="inlineStr">
        <x:is>
          <x:t xml:space="preserve">MISSING</x:t>
        </x:is>
      </x:c>
      <x:c r="Q59" s="21" t="inlineStr">
        <x:is>
          <x:t xml:space="preserve">PLACEHOLDER</x:t>
        </x:is>
      </x:c>
      <x:c r="R59" s="21" t="inlineStr">
        <x:is>
          <x:t xml:space="preserve">PLACEHOLDER</x:t>
        </x:is>
      </x:c>
      <x:c r="S59" s="21" t="inlineStr">
        <x:is>
          <x:t xml:space="preserve">PLACEHOLDER</x:t>
        </x:is>
      </x:c>
      <x:c r="T59" s="23" t="inlineStr">
        <x:is>
          <x:t xml:space="preserve">PARTIAL</x:t>
        </x:is>
      </x:c>
      <x:c r="U59" s="21" t="inlineStr">
        <x:is>
          <x:t xml:space="preserve">PLACEHOLDER</x:t>
        </x:is>
      </x:c>
      <x:c r="V59" s="20" t="inlineStr">
        <x:is>
          <x:t xml:space="preserve">lean_match_count=4 | proof_strength=TRIVIAL_TRUE | Statement is `True`; theorem name may exceed formal content. | definition/proof/numerical/empirical/interp fields still staged as TODO placeholders</x:t>
        </x:is>
      </x:c>
    </x:row>
    <x:row r="60" ht="55.20000076293945" customHeight="1">
      <x:c r="A60" s="20" t="inlineStr">
        <x:is>
          <x:t xml:space="preserve">59</x:t>
        </x:is>
      </x:c>
      <x:c r="B60" s="20" t="inlineStr">
        <x:is>
          <x:t xml:space="preserve">Full conditions → Q = 1</x:t>
        </x:is>
      </x:c>
      <x:c r="C60" s="20" t="inlineStr">
        <x:is>
          <x:t xml:space="preserve">C2 - Structural correspondence candidate</x:t>
        </x:is>
      </x:c>
      <x:c r="D60" s="21" t="inlineStr">
        <x:is>
          <x:t xml:space="preserve">PLACEHOLDER</x:t>
        </x:is>
      </x:c>
      <x:c r="E60" s="22" t="inlineStr">
        <x:is>
          <x:t xml:space="preserve">MISSING</x:t>
        </x:is>
      </x:c>
      <x:c r="F60" s="22" t="inlineStr">
        <x:is>
          <x:t xml:space="preserve">MISSING</x:t>
        </x:is>
      </x:c>
      <x:c r="G60" s="22" t="inlineStr">
        <x:is>
          <x:t xml:space="preserve">MISSING</x:t>
        </x:is>
      </x:c>
      <x:c r="H60" s="22" t="inlineStr">
        <x:is>
          <x:t xml:space="preserve">MISSING</x:t>
        </x:is>
      </x:c>
      <x:c r="I60" s="20" t="inlineStr">
        <x:is>
          <x:t xml:space="preserve">theophysics-lean-main\theophysics-lean-main\Theophysics_Core.lean</x:t>
        </x:is>
      </x:c>
      <x:c r="J60" s="20" t="inlineStr">
        <x:is>
          <x:t xml:space="preserve">206</x:t>
        </x:is>
      </x:c>
      <x:c r="K60" s="20" t="inlineStr">
        <x:is>
          <x:t xml:space="preserve">theorem law8_faith_limit_Q_one : True</x:t>
        </x:is>
      </x:c>
      <x:c r="L60" s="20" t="inlineStr">
        <x:is>
          <x:t xml:space="preserve">law8_faith_limit_Q_one</x:t>
        </x:is>
      </x:c>
      <x:c r="M60" s="23" t="inlineStr">
        <x:is>
          <x:t xml:space="preserve">PARTIAL</x:t>
        </x:is>
      </x:c>
      <x:c r="N60" s="21" t="inlineStr">
        <x:is>
          <x:t xml:space="preserve">PLACEHOLDER</x:t>
        </x:is>
      </x:c>
      <x:c r="O60" s="21" t="inlineStr">
        <x:is>
          <x:t xml:space="preserve">PLACEHOLDER</x:t>
        </x:is>
      </x:c>
      <x:c r="P60" s="22" t="inlineStr">
        <x:is>
          <x:t xml:space="preserve">MISSING</x:t>
        </x:is>
      </x:c>
      <x:c r="Q60" s="21" t="inlineStr">
        <x:is>
          <x:t xml:space="preserve">PLACEHOLDER</x:t>
        </x:is>
      </x:c>
      <x:c r="R60" s="21" t="inlineStr">
        <x:is>
          <x:t xml:space="preserve">PLACEHOLDER</x:t>
        </x:is>
      </x:c>
      <x:c r="S60" s="21" t="inlineStr">
        <x:is>
          <x:t xml:space="preserve">PLACEHOLDER</x:t>
        </x:is>
      </x:c>
      <x:c r="T60" s="23" t="inlineStr">
        <x:is>
          <x:t xml:space="preserve">PARTIAL</x:t>
        </x:is>
      </x:c>
      <x:c r="U60" s="21" t="inlineStr">
        <x:is>
          <x:t xml:space="preserve">PLACEHOLDER</x:t>
        </x:is>
      </x:c>
      <x:c r="V60" s="20" t="inlineStr">
        <x:is>
          <x:t xml:space="preserve">lean_match_count=4 | proof_strength=TRIVIAL_TRUE | Statement is `True`; theorem name may exceed formal content. | definition/proof/numerical/empirical/interp fields still staged as TODO placeholders</x:t>
        </x:is>
      </x:c>
    </x:row>
    <x:row r="61" ht="55.20000076293945" customHeight="1">
      <x:c r="A61" s="20" t="inlineStr">
        <x:is>
          <x:t xml:space="preserve">60</x:t>
        </x:is>
      </x:c>
      <x:c r="B61" s="20" t="inlineStr">
        <x:is>
          <x:t xml:space="preserve">REJECTION: Command bypass → Q = 0</x:t>
        </x:is>
      </x:c>
      <x:c r="C61" s="20" t="inlineStr">
        <x:is>
          <x:t xml:space="preserve">C2 - Structural correspondence candidate</x:t>
        </x:is>
      </x:c>
      <x:c r="D61" s="21" t="inlineStr">
        <x:is>
          <x:t xml:space="preserve">PLACEHOLDER</x:t>
        </x:is>
      </x:c>
      <x:c r="E61" s="22" t="inlineStr">
        <x:is>
          <x:t xml:space="preserve">MISSING</x:t>
        </x:is>
      </x:c>
      <x:c r="F61" s="22" t="inlineStr">
        <x:is>
          <x:t xml:space="preserve">MISSING</x:t>
        </x:is>
      </x:c>
      <x:c r="G61" s="22" t="inlineStr">
        <x:is>
          <x:t xml:space="preserve">MISSING</x:t>
        </x:is>
      </x:c>
      <x:c r="H61" s="22" t="inlineStr">
        <x:is>
          <x:t xml:space="preserve">MISSING</x:t>
        </x:is>
      </x:c>
      <x:c r="I61" s="20" t="inlineStr">
        <x:is>
          <x:t xml:space="preserve">theophysics-lean-main\theophysics-lean-main\Theophysics_Adversarial.lean</x:t>
        </x:is>
      </x:c>
      <x:c r="J61" s="20" t="inlineStr">
        <x:is>
          <x:t xml:space="preserve">383</x:t>
        </x:is>
      </x:c>
      <x:c r="K61" s="20" t="inlineStr">
        <x:is>
          <x:t xml:space="preserve">theorem law8_command_bypass_forces_Q_zero : QGate { commandBypass := true } = 0</x:t>
        </x:is>
      </x:c>
      <x:c r="L61" s="20" t="inlineStr">
        <x:is>
          <x:t xml:space="preserve">law8_command_bypass_forces_Q_zero</x:t>
        </x:is>
      </x:c>
      <x:c r="M61" s="23" t="inlineStr">
        <x:is>
          <x:t xml:space="preserve">PARTIAL</x:t>
        </x:is>
      </x:c>
      <x:c r="N61" s="21" t="inlineStr">
        <x:is>
          <x:t xml:space="preserve">PLACEHOLDER</x:t>
        </x:is>
      </x:c>
      <x:c r="O61" s="21" t="inlineStr">
        <x:is>
          <x:t xml:space="preserve">PLACEHOLDER</x:t>
        </x:is>
      </x:c>
      <x:c r="P61" s="22" t="inlineStr">
        <x:is>
          <x:t xml:space="preserve">MISSING</x:t>
        </x:is>
      </x:c>
      <x:c r="Q61" s="21" t="inlineStr">
        <x:is>
          <x:t xml:space="preserve">PLACEHOLDER</x:t>
        </x:is>
      </x:c>
      <x:c r="R61" s="21" t="inlineStr">
        <x:is>
          <x:t xml:space="preserve">PLACEHOLDER</x:t>
        </x:is>
      </x:c>
      <x:c r="S61" s="21" t="inlineStr">
        <x:is>
          <x:t xml:space="preserve">PLACEHOLDER</x:t>
        </x:is>
      </x:c>
      <x:c r="T61" s="23" t="inlineStr">
        <x:is>
          <x:t xml:space="preserve">PARTIAL</x:t>
        </x:is>
      </x:c>
      <x:c r="U61" s="21" t="inlineStr">
        <x:is>
          <x:t xml:space="preserve">PLACEHOLDER</x:t>
        </x:is>
      </x:c>
      <x:c r="V61" s="20" t="inlineStr">
        <x:is>
          <x:t xml:space="preserve">lean_match_count=4 | proof_strength=DEFINITIONAL_RFL | Proves definitional equality by reduction; useful but narrow. | definition/proof/numerical/empirical/interp fields still staged as TODO placeholders</x:t>
        </x:is>
      </x:c>
    </x:row>
    <x:row r="62" ht="55.20000076293945" customHeight="1">
      <x:c r="A62" s="20" t="inlineStr">
        <x:is>
          <x:t xml:space="preserve">61</x:t>
        </x:is>
      </x:c>
      <x:c r="B62" s="20" t="inlineStr">
        <x:is>
          <x:t xml:space="preserve">REJECTION: Missing eigenbasis → Q = 0. No basis to collapse into.</x:t>
        </x:is>
      </x:c>
      <x:c r="C62" s="20" t="inlineStr">
        <x:is>
          <x:t xml:space="preserve">C2 - Structural correspondence candidate</x:t>
        </x:is>
      </x:c>
      <x:c r="D62" s="21" t="inlineStr">
        <x:is>
          <x:t xml:space="preserve">PLACEHOLDER</x:t>
        </x:is>
      </x:c>
      <x:c r="E62" s="22" t="inlineStr">
        <x:is>
          <x:t xml:space="preserve">MISSING</x:t>
        </x:is>
      </x:c>
      <x:c r="F62" s="22" t="inlineStr">
        <x:is>
          <x:t xml:space="preserve">MISSING</x:t>
        </x:is>
      </x:c>
      <x:c r="G62" s="22" t="inlineStr">
        <x:is>
          <x:t xml:space="preserve">MISSING</x:t>
        </x:is>
      </x:c>
      <x:c r="H62" s="22" t="inlineStr">
        <x:is>
          <x:t xml:space="preserve">MISSING</x:t>
        </x:is>
      </x:c>
      <x:c r="I62" s="20" t="inlineStr">
        <x:is>
          <x:t xml:space="preserve">theophysics-lean-main\theophysics-lean-main\Theophysics_Adversarial.lean</x:t>
        </x:is>
      </x:c>
      <x:c r="J62" s="20" t="inlineStr">
        <x:is>
          <x:t xml:space="preserve">387</x:t>
        </x:is>
      </x:c>
      <x:c r="K62" s="20" t="inlineStr">
        <x:is>
          <x:t xml:space="preserve">theorem law8_missing_eigenbasis_forces_Q_zero : QGate { eigenbasisPresent := false } = 0</x:t>
        </x:is>
      </x:c>
      <x:c r="L62" s="20" t="inlineStr">
        <x:is>
          <x:t xml:space="preserve">law8_missing_eigenbasis_forces_Q_zero</x:t>
        </x:is>
      </x:c>
      <x:c r="M62" s="23" t="inlineStr">
        <x:is>
          <x:t xml:space="preserve">PARTIAL</x:t>
        </x:is>
      </x:c>
      <x:c r="N62" s="21" t="inlineStr">
        <x:is>
          <x:t xml:space="preserve">PLACEHOLDER</x:t>
        </x:is>
      </x:c>
      <x:c r="O62" s="21" t="inlineStr">
        <x:is>
          <x:t xml:space="preserve">PLACEHOLDER</x:t>
        </x:is>
      </x:c>
      <x:c r="P62" s="22" t="inlineStr">
        <x:is>
          <x:t xml:space="preserve">MISSING</x:t>
        </x:is>
      </x:c>
      <x:c r="Q62" s="21" t="inlineStr">
        <x:is>
          <x:t xml:space="preserve">PLACEHOLDER</x:t>
        </x:is>
      </x:c>
      <x:c r="R62" s="21" t="inlineStr">
        <x:is>
          <x:t xml:space="preserve">PLACEHOLDER</x:t>
        </x:is>
      </x:c>
      <x:c r="S62" s="21" t="inlineStr">
        <x:is>
          <x:t xml:space="preserve">PLACEHOLDER</x:t>
        </x:is>
      </x:c>
      <x:c r="T62" s="23" t="inlineStr">
        <x:is>
          <x:t xml:space="preserve">PARTIAL</x:t>
        </x:is>
      </x:c>
      <x:c r="U62" s="21" t="inlineStr">
        <x:is>
          <x:t xml:space="preserve">PLACEHOLDER</x:t>
        </x:is>
      </x:c>
      <x:c r="V62" s="20" t="inlineStr">
        <x:is>
          <x:t xml:space="preserve">lean_match_count=4 | proof_strength=DEFINITIONAL_RFL | Proves definitional equality by reduction; useful but narrow. | definition/proof/numerical/empirical/interp fields still staged as TODO placeholders</x:t>
        </x:is>
      </x:c>
    </x:row>
    <x:row r="63" ht="55.20000076293945" customHeight="1">
      <x:c r="A63" s="20" t="inlineStr">
        <x:is>
          <x:t xml:space="preserve">62</x:t>
        </x:is>
      </x:c>
      <x:c r="B63" s="20" t="inlineStr">
        <x:is>
          <x:t xml:space="preserve">REJECTION: Will refuses to measure → Q = 0. Free will preserved but no collapse.</x:t>
        </x:is>
      </x:c>
      <x:c r="C63" s="20" t="inlineStr">
        <x:is>
          <x:t xml:space="preserve">C3 - Homomorphism candidate</x:t>
        </x:is>
      </x:c>
      <x:c r="D63" s="21" t="inlineStr">
        <x:is>
          <x:t xml:space="preserve">PLACEHOLDER</x:t>
        </x:is>
      </x:c>
      <x:c r="E63" s="22" t="inlineStr">
        <x:is>
          <x:t xml:space="preserve">MISSING</x:t>
        </x:is>
      </x:c>
      <x:c r="F63" s="22" t="inlineStr">
        <x:is>
          <x:t xml:space="preserve">MISSING</x:t>
        </x:is>
      </x:c>
      <x:c r="G63" s="22" t="inlineStr">
        <x:is>
          <x:t xml:space="preserve">MISSING</x:t>
        </x:is>
      </x:c>
      <x:c r="H63" s="22" t="inlineStr">
        <x:is>
          <x:t xml:space="preserve">MISSING</x:t>
        </x:is>
      </x:c>
      <x:c r="I63" s="20" t="inlineStr">
        <x:is>
          <x:t xml:space="preserve">theophysics-lean-main\theophysics-lean-main\Theophysics_Adversarial.lean</x:t>
        </x:is>
      </x:c>
      <x:c r="J63" s="20" t="inlineStr">
        <x:is>
          <x:t xml:space="preserve">391</x:t>
        </x:is>
      </x:c>
      <x:c r="K63" s="20" t="inlineStr">
        <x:is>
          <x:t xml:space="preserve">theorem law8_control_refusal_forces_Q_zero : QGate { controlRefusal := true } = 0</x:t>
        </x:is>
      </x:c>
      <x:c r="L63" s="20" t="inlineStr">
        <x:is>
          <x:t xml:space="preserve">law8_control_refusal_forces_Q_zero</x:t>
        </x:is>
      </x:c>
      <x:c r="M63" s="23" t="inlineStr">
        <x:is>
          <x:t xml:space="preserve">PARTIAL</x:t>
        </x:is>
      </x:c>
      <x:c r="N63" s="21" t="inlineStr">
        <x:is>
          <x:t xml:space="preserve">PLACEHOLDER</x:t>
        </x:is>
      </x:c>
      <x:c r="O63" s="21" t="inlineStr">
        <x:is>
          <x:t xml:space="preserve">PLACEHOLDER</x:t>
        </x:is>
      </x:c>
      <x:c r="P63" s="22" t="inlineStr">
        <x:is>
          <x:t xml:space="preserve">MISSING</x:t>
        </x:is>
      </x:c>
      <x:c r="Q63" s="21" t="inlineStr">
        <x:is>
          <x:t xml:space="preserve">PLACEHOLDER</x:t>
        </x:is>
      </x:c>
      <x:c r="R63" s="21" t="inlineStr">
        <x:is>
          <x:t xml:space="preserve">PLACEHOLDER</x:t>
        </x:is>
      </x:c>
      <x:c r="S63" s="21" t="inlineStr">
        <x:is>
          <x:t xml:space="preserve">PLACEHOLDER</x:t>
        </x:is>
      </x:c>
      <x:c r="T63" s="23" t="inlineStr">
        <x:is>
          <x:t xml:space="preserve">PARTIAL</x:t>
        </x:is>
      </x:c>
      <x:c r="U63" s="21" t="inlineStr">
        <x:is>
          <x:t xml:space="preserve">PLACEHOLDER</x:t>
        </x:is>
      </x:c>
      <x:c r="V63" s="20" t="inlineStr">
        <x:is>
          <x:t xml:space="preserve">lean_match_count=4 | proof_strength=DEFINITIONAL_RFL | Proves definitional equality by reduction; useful but narrow. | definition/proof/numerical/empirical/interp fields still staged as TODO placeholders</x:t>
        </x:is>
      </x:c>
    </x:row>
    <x:row r="64" ht="55.20000076293945" customHeight="1">
      <x:c r="A64" s="20" t="inlineStr">
        <x:is>
          <x:t xml:space="preserve">63</x:t>
        </x:is>
      </x:c>
      <x:c r="B64" s="20" t="inlineStr">
        <x:is>
          <x:t xml:space="preserve">Command bypass → χ = 0</x:t>
        </x:is>
      </x:c>
      <x:c r="C64" s="20" t="inlineStr">
        <x:is>
          <x:t xml:space="preserve">C2 - Structural correspondence candidate</x:t>
        </x:is>
      </x:c>
      <x:c r="D64" s="21" t="inlineStr">
        <x:is>
          <x:t xml:space="preserve">PLACEHOLDER</x:t>
        </x:is>
      </x:c>
      <x:c r="E64" s="22" t="inlineStr">
        <x:is>
          <x:t xml:space="preserve">MISSING</x:t>
        </x:is>
      </x:c>
      <x:c r="F64" s="22" t="inlineStr">
        <x:is>
          <x:t xml:space="preserve">MISSING</x:t>
        </x:is>
      </x:c>
      <x:c r="G64" s="22" t="inlineStr">
        <x:is>
          <x:t xml:space="preserve">MISSING</x:t>
        </x:is>
      </x:c>
      <x:c r="H64" s="22" t="inlineStr">
        <x:is>
          <x:t xml:space="preserve">MISSING</x:t>
        </x:is>
      </x:c>
      <x:c r="I64" s="20" t="inlineStr">
        <x:is>
          <x:t xml:space="preserve">theophysics-lean-main\theophysics-lean-main\Theophysics_Core.lean</x:t>
        </x:is>
      </x:c>
      <x:c r="J64" s="20" t="inlineStr">
        <x:is>
          <x:t xml:space="preserve">204</x:t>
        </x:is>
      </x:c>
      <x:c r="K64" s="20" t="inlineStr">
        <x:is>
          <x:t xml:space="preserve">theorem law8_command_bypass_collapses_chi : True</x:t>
        </x:is>
      </x:c>
      <x:c r="L64" s="20" t="inlineStr">
        <x:is>
          <x:t xml:space="preserve">law8_command_bypass_collapses_chi</x:t>
        </x:is>
      </x:c>
      <x:c r="M64" s="23" t="inlineStr">
        <x:is>
          <x:t xml:space="preserve">PARTIAL</x:t>
        </x:is>
      </x:c>
      <x:c r="N64" s="21" t="inlineStr">
        <x:is>
          <x:t xml:space="preserve">PLACEHOLDER</x:t>
        </x:is>
      </x:c>
      <x:c r="O64" s="21" t="inlineStr">
        <x:is>
          <x:t xml:space="preserve">PLACEHOLDER</x:t>
        </x:is>
      </x:c>
      <x:c r="P64" s="22" t="inlineStr">
        <x:is>
          <x:t xml:space="preserve">MISSING</x:t>
        </x:is>
      </x:c>
      <x:c r="Q64" s="21" t="inlineStr">
        <x:is>
          <x:t xml:space="preserve">PLACEHOLDER</x:t>
        </x:is>
      </x:c>
      <x:c r="R64" s="21" t="inlineStr">
        <x:is>
          <x:t xml:space="preserve">PLACEHOLDER</x:t>
        </x:is>
      </x:c>
      <x:c r="S64" s="21" t="inlineStr">
        <x:is>
          <x:t xml:space="preserve">PLACEHOLDER</x:t>
        </x:is>
      </x:c>
      <x:c r="T64" s="23" t="inlineStr">
        <x:is>
          <x:t xml:space="preserve">PARTIAL</x:t>
        </x:is>
      </x:c>
      <x:c r="U64" s="21" t="inlineStr">
        <x:is>
          <x:t xml:space="preserve">PLACEHOLDER</x:t>
        </x:is>
      </x:c>
      <x:c r="V64" s="20" t="inlineStr">
        <x:is>
          <x:t xml:space="preserve">lean_match_count=4 | proof_strength=TRIVIAL_TRUE | Statement is `True`; theorem name may exceed formal content. | definition/proof/numerical/empirical/interp fields still staged as TODO placeholders</x:t>
        </x:is>
      </x:c>
    </x:row>
    <x:row r="65" ht="55.20000076293945" customHeight="1">
      <x:c r="A65" s="20" t="inlineStr">
        <x:is>
          <x:t xml:space="preserve">64</x:t>
        </x:is>
      </x:c>
      <x:c r="B65" s="20" t="inlineStr">
        <x:is>
          <x:t xml:space="preserve">Control refusal → χ = 0</x:t>
        </x:is>
      </x:c>
      <x:c r="C65" s="20" t="inlineStr">
        <x:is>
          <x:t xml:space="preserve">C2 - Structural correspondence candidate</x:t>
        </x:is>
      </x:c>
      <x:c r="D65" s="21" t="inlineStr">
        <x:is>
          <x:t xml:space="preserve">PLACEHOLDER</x:t>
        </x:is>
      </x:c>
      <x:c r="E65" s="22" t="inlineStr">
        <x:is>
          <x:t xml:space="preserve">MISSING</x:t>
        </x:is>
      </x:c>
      <x:c r="F65" s="22" t="inlineStr">
        <x:is>
          <x:t xml:space="preserve">MISSING</x:t>
        </x:is>
      </x:c>
      <x:c r="G65" s="22" t="inlineStr">
        <x:is>
          <x:t xml:space="preserve">MISSING</x:t>
        </x:is>
      </x:c>
      <x:c r="H65" s="22" t="inlineStr">
        <x:is>
          <x:t xml:space="preserve">MISSING</x:t>
        </x:is>
      </x:c>
      <x:c r="I65" s="20" t="inlineStr">
        <x:is>
          <x:t xml:space="preserve">theophysics-lean-main\theophysics-lean-main\Theophysics_Core.lean</x:t>
        </x:is>
      </x:c>
      <x:c r="J65" s="20" t="inlineStr">
        <x:is>
          <x:t xml:space="preserve">205</x:t>
        </x:is>
      </x:c>
      <x:c r="K65" s="20" t="inlineStr">
        <x:is>
          <x:t xml:space="preserve">theorem law8_control_refusal_collapses_chi : True</x:t>
        </x:is>
      </x:c>
      <x:c r="L65" s="20" t="inlineStr">
        <x:is>
          <x:t xml:space="preserve">law8_control_refusal_collapses_chi</x:t>
        </x:is>
      </x:c>
      <x:c r="M65" s="23" t="inlineStr">
        <x:is>
          <x:t xml:space="preserve">PARTIAL</x:t>
        </x:is>
      </x:c>
      <x:c r="N65" s="21" t="inlineStr">
        <x:is>
          <x:t xml:space="preserve">PLACEHOLDER</x:t>
        </x:is>
      </x:c>
      <x:c r="O65" s="21" t="inlineStr">
        <x:is>
          <x:t xml:space="preserve">PLACEHOLDER</x:t>
        </x:is>
      </x:c>
      <x:c r="P65" s="22" t="inlineStr">
        <x:is>
          <x:t xml:space="preserve">MISSING</x:t>
        </x:is>
      </x:c>
      <x:c r="Q65" s="21" t="inlineStr">
        <x:is>
          <x:t xml:space="preserve">PLACEHOLDER</x:t>
        </x:is>
      </x:c>
      <x:c r="R65" s="21" t="inlineStr">
        <x:is>
          <x:t xml:space="preserve">PLACEHOLDER</x:t>
        </x:is>
      </x:c>
      <x:c r="S65" s="21" t="inlineStr">
        <x:is>
          <x:t xml:space="preserve">PLACEHOLDER</x:t>
        </x:is>
      </x:c>
      <x:c r="T65" s="23" t="inlineStr">
        <x:is>
          <x:t xml:space="preserve">PARTIAL</x:t>
        </x:is>
      </x:c>
      <x:c r="U65" s="21" t="inlineStr">
        <x:is>
          <x:t xml:space="preserve">PLACEHOLDER</x:t>
        </x:is>
      </x:c>
      <x:c r="V65" s="20" t="inlineStr">
        <x:is>
          <x:t xml:space="preserve">lean_match_count=4 | proof_strength=TRIVIAL_TRUE | Statement is `True`; theorem name may exceed formal content. | definition/proof/numerical/empirical/interp fields still staged as TODO placeholders</x:t>
        </x:is>
      </x:c>
    </x:row>
    <x:row r="66" ht="55.20000076293945" customHeight="1">
      <x:c r="A66" s="20" t="inlineStr">
        <x:is>
          <x:t xml:space="preserve">65</x:t>
        </x:is>
      </x:c>
      <x:c r="B66" s="20" t="inlineStr">
        <x:is>
          <x:t xml:space="preserve">Score 0 → gate 0</x:t>
        </x:is>
      </x:c>
      <x:c r="C66" s="20" t="inlineStr">
        <x:is>
          <x:t xml:space="preserve">C2 - Structural correspondence candidate</x:t>
        </x:is>
      </x:c>
      <x:c r="D66" s="21" t="inlineStr">
        <x:is>
          <x:t xml:space="preserve">PLACEHOLDER</x:t>
        </x:is>
      </x:c>
      <x:c r="E66" s="22" t="inlineStr">
        <x:is>
          <x:t xml:space="preserve">MISSING</x:t>
        </x:is>
      </x:c>
      <x:c r="F66" s="22" t="inlineStr">
        <x:is>
          <x:t xml:space="preserve">MISSING</x:t>
        </x:is>
      </x:c>
      <x:c r="G66" s="22" t="inlineStr">
        <x:is>
          <x:t xml:space="preserve">MISSING</x:t>
        </x:is>
      </x:c>
      <x:c r="H66" s="22" t="inlineStr">
        <x:is>
          <x:t xml:space="preserve">MISSING</x:t>
        </x:is>
      </x:c>
      <x:c r="I66" s="20" t="inlineStr">
        <x:is>
          <x:t xml:space="preserve">theophysics-lean-main\theophysics-lean-main\Final_Lean4_From_Excel.lean</x:t>
        </x:is>
      </x:c>
      <x:c r="J66" s="20" t="inlineStr">
        <x:is>
          <x:t xml:space="preserve">279</x:t>
        </x:is>
      </x:c>
      <x:c r="K66" s="20" t="inlineStr">
        <x:is>
          <x:t xml:space="preserve">theorem binaryGate_zero : binaryGate 0 = 0</x:t>
        </x:is>
      </x:c>
      <x:c r="L66" s="20" t="inlineStr">
        <x:is>
          <x:t xml:space="preserve">binaryGate_zero</x:t>
        </x:is>
      </x:c>
      <x:c r="M66" s="23" t="inlineStr">
        <x:is>
          <x:t xml:space="preserve">PARTIAL</x:t>
        </x:is>
      </x:c>
      <x:c r="N66" s="21" t="inlineStr">
        <x:is>
          <x:t xml:space="preserve">PLACEHOLDER</x:t>
        </x:is>
      </x:c>
      <x:c r="O66" s="21" t="inlineStr">
        <x:is>
          <x:t xml:space="preserve">PLACEHOLDER</x:t>
        </x:is>
      </x:c>
      <x:c r="P66" s="22" t="inlineStr">
        <x:is>
          <x:t xml:space="preserve">MISSING</x:t>
        </x:is>
      </x:c>
      <x:c r="Q66" s="21" t="inlineStr">
        <x:is>
          <x:t xml:space="preserve">PLACEHOLDER</x:t>
        </x:is>
      </x:c>
      <x:c r="R66" s="21" t="inlineStr">
        <x:is>
          <x:t xml:space="preserve">PLACEHOLDER</x:t>
        </x:is>
      </x:c>
      <x:c r="S66" s="21" t="inlineStr">
        <x:is>
          <x:t xml:space="preserve">PLACEHOLDER</x:t>
        </x:is>
      </x:c>
      <x:c r="T66" s="23" t="inlineStr">
        <x:is>
          <x:t xml:space="preserve">PARTIAL</x:t>
        </x:is>
      </x:c>
      <x:c r="U66" s="21" t="inlineStr">
        <x:is>
          <x:t xml:space="preserve">PLACEHOLDER</x:t>
        </x:is>
      </x:c>
      <x:c r="V66" s="20" t="inlineStr">
        <x:is>
          <x:t xml:space="preserve">lean_match_count=8 | proof_strength=SIMPLIFICATION | Follows by simplification under definitions; check definition strength. | definition/proof/numerical/empirical/interp fields still staged as TODO placeholders</x:t>
        </x:is>
      </x:c>
    </x:row>
    <x:row r="67" ht="55.20000076293945" customHeight="1">
      <x:c r="A67" s="20" t="inlineStr">
        <x:is>
          <x:t xml:space="preserve">66</x:t>
        </x:is>
      </x:c>
      <x:c r="B67" s="20" t="inlineStr">
        <x:is>
          <x:t xml:space="preserve">Score ≥ 1 → gate 1</x:t>
        </x:is>
      </x:c>
      <x:c r="C67" s="20" t="inlineStr">
        <x:is>
          <x:t xml:space="preserve">C2 - Structural correspondence candidate</x:t>
        </x:is>
      </x:c>
      <x:c r="D67" s="21" t="inlineStr">
        <x:is>
          <x:t xml:space="preserve">PLACEHOLDER</x:t>
        </x:is>
      </x:c>
      <x:c r="E67" s="22" t="inlineStr">
        <x:is>
          <x:t xml:space="preserve">MISSING</x:t>
        </x:is>
      </x:c>
      <x:c r="F67" s="22" t="inlineStr">
        <x:is>
          <x:t xml:space="preserve">MISSING</x:t>
        </x:is>
      </x:c>
      <x:c r="G67" s="23" t="inlineStr">
        <x:is>
          <x:t xml:space="preserve">PARTIAL</x:t>
        </x:is>
      </x:c>
      <x:c r="H67" s="22" t="inlineStr">
        <x:is>
          <x:t xml:space="preserve">MISSING</x:t>
        </x:is>
      </x:c>
      <x:c r="I67" s="20" t="inlineStr">
        <x:is>
          <x:t xml:space="preserve">theophysics-lean-main\theophysics-lean-main\Final_Lean4_From_Excel.lean</x:t>
        </x:is>
      </x:c>
      <x:c r="J67" s="20" t="inlineStr">
        <x:is>
          <x:t xml:space="preserve">280</x:t>
        </x:is>
      </x:c>
      <x:c r="K67" s="20" t="inlineStr">
        <x:is>
          <x:t xml:space="preserve">theorem binaryGate_positive : ∀ s : Nat, 0 &lt; s → binaryGate s = 1</x:t>
        </x:is>
      </x:c>
      <x:c r="L67" s="20" t="inlineStr">
        <x:is>
          <x:t xml:space="preserve">binaryGate_positive</x:t>
        </x:is>
      </x:c>
      <x:c r="M67" s="23" t="inlineStr">
        <x:is>
          <x:t xml:space="preserve">PARTIAL</x:t>
        </x:is>
      </x:c>
      <x:c r="N67" s="21" t="inlineStr">
        <x:is>
          <x:t xml:space="preserve">PLACEHOLDER</x:t>
        </x:is>
      </x:c>
      <x:c r="O67" s="21" t="inlineStr">
        <x:is>
          <x:t xml:space="preserve">PLACEHOLDER</x:t>
        </x:is>
      </x:c>
      <x:c r="P67" s="22" t="inlineStr">
        <x:is>
          <x:t xml:space="preserve">MISSING</x:t>
        </x:is>
      </x:c>
      <x:c r="Q67" s="21" t="inlineStr">
        <x:is>
          <x:t xml:space="preserve">PLACEHOLDER</x:t>
        </x:is>
      </x:c>
      <x:c r="R67" s="21" t="inlineStr">
        <x:is>
          <x:t xml:space="preserve">PLACEHOLDER</x:t>
        </x:is>
      </x:c>
      <x:c r="S67" s="21" t="inlineStr">
        <x:is>
          <x:t xml:space="preserve">PLACEHOLDER</x:t>
        </x:is>
      </x:c>
      <x:c r="T67" s="23" t="inlineStr">
        <x:is>
          <x:t xml:space="preserve">PARTIAL</x:t>
        </x:is>
      </x:c>
      <x:c r="U67" s="21" t="inlineStr">
        <x:is>
          <x:t xml:space="preserve">PLACEHOLDER</x:t>
        </x:is>
      </x:c>
      <x:c r="V67" s="20" t="inlineStr">
        <x:is>
          <x:t xml:space="preserve">lean_match_count=8 | proof_strength=WRAPPER_OR_IMPORTED | Likely delegates to another theorem; cite underlying theorem too. | definition/proof/numerical/empirical/interp fields still staged as TODO placeholders</x:t>
        </x:is>
      </x:c>
    </x:row>
    <x:row r="68" ht="55.20000076293945" customHeight="1">
      <x:c r="A68" s="20" t="inlineStr">
        <x:is>
          <x:t xml:space="preserve">67</x:t>
        </x:is>
      </x:c>
      <x:c r="B68" s="20" t="inlineStr">
        <x:is>
          <x:t xml:space="preserve">Gate output is always exactly 0 or 1. No intermediate states.</x:t>
        </x:is>
      </x:c>
      <x:c r="C68" s="20" t="inlineStr">
        <x:is>
          <x:t xml:space="preserve">C2 - Structural correspondence candidate</x:t>
        </x:is>
      </x:c>
      <x:c r="D68" s="21" t="inlineStr">
        <x:is>
          <x:t xml:space="preserve">PLACEHOLDER</x:t>
        </x:is>
      </x:c>
      <x:c r="E68" s="22" t="inlineStr">
        <x:is>
          <x:t xml:space="preserve">MISSING</x:t>
        </x:is>
      </x:c>
      <x:c r="F68" s="22" t="inlineStr">
        <x:is>
          <x:t xml:space="preserve">MISSING</x:t>
        </x:is>
      </x:c>
      <x:c r="G68" s="22" t="inlineStr">
        <x:is>
          <x:t xml:space="preserve">MISSING</x:t>
        </x:is>
      </x:c>
      <x:c r="H68" s="22" t="inlineStr">
        <x:is>
          <x:t xml:space="preserve">MISSING</x:t>
        </x:is>
      </x:c>
      <x:c r="I68" s="20" t="inlineStr">
        <x:is>
          <x:t xml:space="preserve">theophysics-lean-main\theophysics-lean-main\Final_Lean4_From_Excel.lean</x:t>
        </x:is>
      </x:c>
      <x:c r="J68" s="20" t="inlineStr">
        <x:is>
          <x:t xml:space="preserve">284</x:t>
        </x:is>
      </x:c>
      <x:c r="K68" s="20" t="inlineStr">
        <x:is>
          <x:t xml:space="preserve">theorem binaryGate_zero_or_one : ∀ s : Nat, binaryGate s = 0 ∨ binaryGate s = 1</x:t>
        </x:is>
      </x:c>
      <x:c r="L68" s="20" t="inlineStr">
        <x:is>
          <x:t xml:space="preserve">binaryGate_zero_or_one</x:t>
        </x:is>
      </x:c>
      <x:c r="M68" s="23" t="inlineStr">
        <x:is>
          <x:t xml:space="preserve">PARTIAL</x:t>
        </x:is>
      </x:c>
      <x:c r="N68" s="21" t="inlineStr">
        <x:is>
          <x:t xml:space="preserve">PLACEHOLDER</x:t>
        </x:is>
      </x:c>
      <x:c r="O68" s="21" t="inlineStr">
        <x:is>
          <x:t xml:space="preserve">PLACEHOLDER</x:t>
        </x:is>
      </x:c>
      <x:c r="P68" s="22" t="inlineStr">
        <x:is>
          <x:t xml:space="preserve">MISSING</x:t>
        </x:is>
      </x:c>
      <x:c r="Q68" s="21" t="inlineStr">
        <x:is>
          <x:t xml:space="preserve">PLACEHOLDER</x:t>
        </x:is>
      </x:c>
      <x:c r="R68" s="21" t="inlineStr">
        <x:is>
          <x:t xml:space="preserve">PLACEHOLDER</x:t>
        </x:is>
      </x:c>
      <x:c r="S68" s="21" t="inlineStr">
        <x:is>
          <x:t xml:space="preserve">PLACEHOLDER</x:t>
        </x:is>
      </x:c>
      <x:c r="T68" s="23" t="inlineStr">
        <x:is>
          <x:t xml:space="preserve">PARTIAL</x:t>
        </x:is>
      </x:c>
      <x:c r="U68" s="21" t="inlineStr">
        <x:is>
          <x:t xml:space="preserve">PLACEHOLDER</x:t>
        </x:is>
      </x:c>
      <x:c r="V68" s="20" t="inlineStr">
        <x:is>
          <x:t xml:space="preserve">lean_match_count=8 | proof_strength=SIMPLIFICATION | Follows by simplification under definitions; check definition strength. | definition/proof/numerical/empirical/interp fields still staged as TODO placeholders</x:t>
        </x:is>
      </x:c>
    </x:row>
    <x:row r="69" ht="55.20000076293945" customHeight="1">
      <x:c r="A69" s="20" t="inlineStr">
        <x:is>
          <x:t xml:space="preserve">68</x:t>
        </x:is>
      </x:c>
      <x:c r="B69" s="20" t="inlineStr">
        <x:is>
          <x:t xml:space="preserve">REJECTION: Raw amplitude can be 5 but truth fidelity is 0 without source backing. High signal ≠ truth.</x:t>
        </x:is>
      </x:c>
      <x:c r="C69" s="20" t="inlineStr">
        <x:is>
          <x:t xml:space="preserve">C2 - Structural correspondence candidate</x:t>
        </x:is>
      </x:c>
      <x:c r="D69" s="21" t="inlineStr">
        <x:is>
          <x:t xml:space="preserve">PLACEHOLDER</x:t>
        </x:is>
      </x:c>
      <x:c r="E69" s="22" t="inlineStr">
        <x:is>
          <x:t xml:space="preserve">MISSING</x:t>
        </x:is>
      </x:c>
      <x:c r="F69" s="22" t="inlineStr">
        <x:is>
          <x:t xml:space="preserve">MISSING</x:t>
        </x:is>
      </x:c>
      <x:c r="G69" s="23" t="inlineStr">
        <x:is>
          <x:t xml:space="preserve">PARTIAL</x:t>
        </x:is>
      </x:c>
      <x:c r="H69" s="22" t="inlineStr">
        <x:is>
          <x:t xml:space="preserve">MISSING</x:t>
        </x:is>
      </x:c>
      <x:c r="I69" s="20" t="inlineStr">
        <x:is>
          <x:t xml:space="preserve">theophysics-lean-main\theophysics-lean-main\Theophysics_Adversarial.lean</x:t>
        </x:is>
      </x:c>
      <x:c r="J69" s="20" t="inlineStr">
        <x:is>
          <x:t xml:space="preserve">395</x:t>
        </x:is>
      </x:c>
      <x:c r="K69" s="20" t="inlineStr">
        <x:is>
          <x:t xml:space="preserve">theorem law3_unbacked_amplitude_still_has_zero_truth_fidelity : truthFidelity false false = 0</x:t>
        </x:is>
      </x:c>
      <x:c r="L69" s="20" t="inlineStr">
        <x:is>
          <x:t xml:space="preserve">law3_unbacked_amplitude_still_has_zero_truth_fidelity</x:t>
        </x:is>
      </x:c>
      <x:c r="M69" s="23" t="inlineStr">
        <x:is>
          <x:t xml:space="preserve">PARTIAL</x:t>
        </x:is>
      </x:c>
      <x:c r="N69" s="21" t="inlineStr">
        <x:is>
          <x:t xml:space="preserve">PLACEHOLDER</x:t>
        </x:is>
      </x:c>
      <x:c r="O69" s="21" t="inlineStr">
        <x:is>
          <x:t xml:space="preserve">PLACEHOLDER</x:t>
        </x:is>
      </x:c>
      <x:c r="P69" s="22" t="inlineStr">
        <x:is>
          <x:t xml:space="preserve">MISSING</x:t>
        </x:is>
      </x:c>
      <x:c r="Q69" s="21" t="inlineStr">
        <x:is>
          <x:t xml:space="preserve">PLACEHOLDER</x:t>
        </x:is>
      </x:c>
      <x:c r="R69" s="21" t="inlineStr">
        <x:is>
          <x:t xml:space="preserve">PLACEHOLDER</x:t>
        </x:is>
      </x:c>
      <x:c r="S69" s="21" t="inlineStr">
        <x:is>
          <x:t xml:space="preserve">PLACEHOLDER</x:t>
        </x:is>
      </x:c>
      <x:c r="T69" s="23" t="inlineStr">
        <x:is>
          <x:t xml:space="preserve">PARTIAL</x:t>
        </x:is>
      </x:c>
      <x:c r="U69" s="21" t="inlineStr">
        <x:is>
          <x:t xml:space="preserve">PLACEHOLDER</x:t>
        </x:is>
      </x:c>
      <x:c r="V69" s="20" t="inlineStr">
        <x:is>
          <x:t xml:space="preserve">lean_match_count=4 | proof_strength=DEFINITIONAL_RFL | Proves definitional equality by reduction; useful but narrow. | definition/proof/numerical/empirical/interp fields still staged as TODO placeholders</x:t>
        </x:is>
      </x:c>
    </x:row>
    <x:row r="70" ht="55.20000076293945" customHeight="1">
      <x:c r="A70" s="20" t="inlineStr">
        <x:is>
          <x:t xml:space="preserve">69</x:t>
        </x:is>
      </x:c>
      <x:c r="B70" s="20" t="inlineStr">
        <x:is>
          <x:t xml:space="preserve">REJECTION: Command bypass → truth fidelity 0 (∀ states)</x:t>
        </x:is>
      </x:c>
      <x:c r="C70" s="20" t="inlineStr">
        <x:is>
          <x:t xml:space="preserve">C2 - Structural correspondence candidate</x:t>
        </x:is>
      </x:c>
      <x:c r="D70" s="21" t="inlineStr">
        <x:is>
          <x:t xml:space="preserve">PLACEHOLDER</x:t>
        </x:is>
      </x:c>
      <x:c r="E70" s="22" t="inlineStr">
        <x:is>
          <x:t xml:space="preserve">MISSING</x:t>
        </x:is>
      </x:c>
      <x:c r="F70" s="22" t="inlineStr">
        <x:is>
          <x:t xml:space="preserve">MISSING</x:t>
        </x:is>
      </x:c>
      <x:c r="G70" s="22" t="inlineStr">
        <x:is>
          <x:t xml:space="preserve">MISSING</x:t>
        </x:is>
      </x:c>
      <x:c r="H70" s="22" t="inlineStr">
        <x:is>
          <x:t xml:space="preserve">MISSING</x:t>
        </x:is>
      </x:c>
      <x:c r="I70" s="20" t="inlineStr">
        <x:is>
          <x:t xml:space="preserve">theophysics-lean-main\theophysics-lean-main\Theophysics_Adversarial.lean</x:t>
        </x:is>
      </x:c>
      <x:c r="J70" s="20" t="inlineStr">
        <x:is>
          <x:t xml:space="preserve">399</x:t>
        </x:is>
      </x:c>
      <x:c r="K70" s="20" t="inlineStr">
        <x:is>
          <x:t xml:space="preserve">theorem law3_command_bypass_zeroes_source_backed_fidelity : truthFidelity true true = 0</x:t>
        </x:is>
      </x:c>
      <x:c r="L70" s="20" t="inlineStr">
        <x:is>
          <x:t xml:space="preserve">law3_command_bypass_zeroes_source_backed_fidelity</x:t>
        </x:is>
      </x:c>
      <x:c r="M70" s="23" t="inlineStr">
        <x:is>
          <x:t xml:space="preserve">PARTIAL</x:t>
        </x:is>
      </x:c>
      <x:c r="N70" s="21" t="inlineStr">
        <x:is>
          <x:t xml:space="preserve">PLACEHOLDER</x:t>
        </x:is>
      </x:c>
      <x:c r="O70" s="21" t="inlineStr">
        <x:is>
          <x:t xml:space="preserve">PLACEHOLDER</x:t>
        </x:is>
      </x:c>
      <x:c r="P70" s="22" t="inlineStr">
        <x:is>
          <x:t xml:space="preserve">MISSING</x:t>
        </x:is>
      </x:c>
      <x:c r="Q70" s="21" t="inlineStr">
        <x:is>
          <x:t xml:space="preserve">PLACEHOLDER</x:t>
        </x:is>
      </x:c>
      <x:c r="R70" s="21" t="inlineStr">
        <x:is>
          <x:t xml:space="preserve">PLACEHOLDER</x:t>
        </x:is>
      </x:c>
      <x:c r="S70" s="21" t="inlineStr">
        <x:is>
          <x:t xml:space="preserve">PLACEHOLDER</x:t>
        </x:is>
      </x:c>
      <x:c r="T70" s="23" t="inlineStr">
        <x:is>
          <x:t xml:space="preserve">PARTIAL</x:t>
        </x:is>
      </x:c>
      <x:c r="U70" s="21" t="inlineStr">
        <x:is>
          <x:t xml:space="preserve">PLACEHOLDER</x:t>
        </x:is>
      </x:c>
      <x:c r="V70" s="20" t="inlineStr">
        <x:is>
          <x:t xml:space="preserve">lean_match_count=4 | proof_strength=DEFINITIONAL_RFL | Proves definitional equality by reduction; useful but narrow. | definition/proof/numerical/empirical/interp fields still staged as TODO placeholders</x:t>
        </x:is>
      </x:c>
    </x:row>
    <x:row r="71" ht="55.20000076293945" customHeight="1">
      <x:c r="A71" s="20" t="inlineStr">
        <x:is>
          <x:t xml:space="preserve">70</x:t>
        </x:is>
      </x:c>
      <x:c r="B71" s="20" t="inlineStr">
        <x:is>
          <x:t xml:space="preserve">Healthy frame score → R gate = 1</x:t>
        </x:is>
      </x:c>
      <x:c r="C71" s="20" t="inlineStr">
        <x:is>
          <x:t xml:space="preserve">C2 - Structural correspondence candidate</x:t>
        </x:is>
      </x:c>
      <x:c r="D71" s="21" t="inlineStr">
        <x:is>
          <x:t xml:space="preserve">PLACEHOLDER</x:t>
        </x:is>
      </x:c>
      <x:c r="E71" s="22" t="inlineStr">
        <x:is>
          <x:t xml:space="preserve">MISSING</x:t>
        </x:is>
      </x:c>
      <x:c r="F71" s="22" t="inlineStr">
        <x:is>
          <x:t xml:space="preserve">MISSING</x:t>
        </x:is>
      </x:c>
      <x:c r="G71" s="22" t="inlineStr">
        <x:is>
          <x:t xml:space="preserve">MISSING</x:t>
        </x:is>
      </x:c>
      <x:c r="H71" s="22" t="inlineStr">
        <x:is>
          <x:t xml:space="preserve">MISSING</x:t>
        </x:is>
      </x:c>
      <x:c r="I71" s="20" t="inlineStr">
        <x:is>
          <x:t xml:space="preserve">theophysics-lean-main\theophysics-lean-main\Final_Lean4_From_Excel.lean</x:t>
        </x:is>
      </x:c>
      <x:c r="J71" s="20" t="inlineStr">
        <x:is>
          <x:t xml:space="preserve">290</x:t>
        </x:is>
      </x:c>
      <x:c r="K71" s="20" t="inlineStr">
        <x:is>
          <x:t xml:space="preserve">theorem law7_healthy_score_passes_R_gate : ∀ h : 0 &lt; 1, binaryGate 1 = 1</x:t>
        </x:is>
      </x:c>
      <x:c r="L71" s="20" t="inlineStr">
        <x:is>
          <x:t xml:space="preserve">law7_healthy_score_passes_R_gate</x:t>
        </x:is>
      </x:c>
      <x:c r="M71" s="23" t="inlineStr">
        <x:is>
          <x:t xml:space="preserve">PARTIAL</x:t>
        </x:is>
      </x:c>
      <x:c r="N71" s="21" t="inlineStr">
        <x:is>
          <x:t xml:space="preserve">PLACEHOLDER</x:t>
        </x:is>
      </x:c>
      <x:c r="O71" s="21" t="inlineStr">
        <x:is>
          <x:t xml:space="preserve">PLACEHOLDER</x:t>
        </x:is>
      </x:c>
      <x:c r="P71" s="22" t="inlineStr">
        <x:is>
          <x:t xml:space="preserve">MISSING</x:t>
        </x:is>
      </x:c>
      <x:c r="Q71" s="21" t="inlineStr">
        <x:is>
          <x:t xml:space="preserve">PLACEHOLDER</x:t>
        </x:is>
      </x:c>
      <x:c r="R71" s="21" t="inlineStr">
        <x:is>
          <x:t xml:space="preserve">PLACEHOLDER</x:t>
        </x:is>
      </x:c>
      <x:c r="S71" s="21" t="inlineStr">
        <x:is>
          <x:t xml:space="preserve">PLACEHOLDER</x:t>
        </x:is>
      </x:c>
      <x:c r="T71" s="23" t="inlineStr">
        <x:is>
          <x:t xml:space="preserve">PARTIAL</x:t>
        </x:is>
      </x:c>
      <x:c r="U71" s="21" t="inlineStr">
        <x:is>
          <x:t xml:space="preserve">PLACEHOLDER</x:t>
        </x:is>
      </x:c>
      <x:c r="V71" s="20" t="inlineStr">
        <x:is>
          <x:t xml:space="preserve">lean_match_count=8 | proof_strength=SIMPLIFICATION | Follows by simplification under definitions; check definition strength. | definition/proof/numerical/empirical/interp fields still staged as TODO placeholders</x:t>
        </x:is>
      </x:c>
    </x:row>
    <x:row r="72" ht="55.20000076293945" customHeight="1">
      <x:c r="A72" s="20" t="inlineStr">
        <x:is>
          <x:t xml:space="preserve">71</x:t>
        </x:is>
      </x:c>
      <x:c r="B72" s="20" t="inlineStr">
        <x:is>
          <x:t xml:space="preserve">REJECTION: Frame locked → R gate = 0</x:t>
        </x:is>
      </x:c>
      <x:c r="C72" s="20" t="inlineStr">
        <x:is>
          <x:t xml:space="preserve">C2 - Structural correspondence candidate</x:t>
        </x:is>
      </x:c>
      <x:c r="D72" s="21" t="inlineStr">
        <x:is>
          <x:t xml:space="preserve">PLACEHOLDER</x:t>
        </x:is>
      </x:c>
      <x:c r="E72" s="22" t="inlineStr">
        <x:is>
          <x:t xml:space="preserve">MISSING</x:t>
        </x:is>
      </x:c>
      <x:c r="F72" s="22" t="inlineStr">
        <x:is>
          <x:t xml:space="preserve">MISSING</x:t>
        </x:is>
      </x:c>
      <x:c r="G72" s="22" t="inlineStr">
        <x:is>
          <x:t xml:space="preserve">MISSING</x:t>
        </x:is>
      </x:c>
      <x:c r="H72" s="22" t="inlineStr">
        <x:is>
          <x:t xml:space="preserve">MISSING</x:t>
        </x:is>
      </x:c>
      <x:c r="I72" s="20" t="inlineStr">
        <x:is>
          <x:t xml:space="preserve">theophysics-lean-main\theophysics-lean-main\Theophysics_Adversarial.lean</x:t>
        </x:is>
      </x:c>
      <x:c r="J72" s="20" t="inlineStr">
        <x:is>
          <x:t xml:space="preserve">403</x:t>
        </x:is>
      </x:c>
      <x:c r="K72" s="20" t="inlineStr">
        <x:is>
          <x:t xml:space="preserve">theorem law7_frame_locked_score_fails_R_gate : RGate { relation := true, metricPresent := false } = 0</x:t>
        </x:is>
      </x:c>
      <x:c r="L72" s="20" t="inlineStr">
        <x:is>
          <x:t xml:space="preserve">law7_frame_locked_score_fails_R_gate</x:t>
        </x:is>
      </x:c>
      <x:c r="M72" s="23" t="inlineStr">
        <x:is>
          <x:t xml:space="preserve">PARTIAL</x:t>
        </x:is>
      </x:c>
      <x:c r="N72" s="21" t="inlineStr">
        <x:is>
          <x:t xml:space="preserve">PLACEHOLDER</x:t>
        </x:is>
      </x:c>
      <x:c r="O72" s="21" t="inlineStr">
        <x:is>
          <x:t xml:space="preserve">PLACEHOLDER</x:t>
        </x:is>
      </x:c>
      <x:c r="P72" s="22" t="inlineStr">
        <x:is>
          <x:t xml:space="preserve">MISSING</x:t>
        </x:is>
      </x:c>
      <x:c r="Q72" s="21" t="inlineStr">
        <x:is>
          <x:t xml:space="preserve">PLACEHOLDER</x:t>
        </x:is>
      </x:c>
      <x:c r="R72" s="21" t="inlineStr">
        <x:is>
          <x:t xml:space="preserve">PLACEHOLDER</x:t>
        </x:is>
      </x:c>
      <x:c r="S72" s="21" t="inlineStr">
        <x:is>
          <x:t xml:space="preserve">PLACEHOLDER</x:t>
        </x:is>
      </x:c>
      <x:c r="T72" s="23" t="inlineStr">
        <x:is>
          <x:t xml:space="preserve">PARTIAL</x:t>
        </x:is>
      </x:c>
      <x:c r="U72" s="21" t="inlineStr">
        <x:is>
          <x:t xml:space="preserve">PLACEHOLDER</x:t>
        </x:is>
      </x:c>
      <x:c r="V72" s="20" t="inlineStr">
        <x:is>
          <x:t xml:space="preserve">lean_match_count=4 | proof_strength=DEFINITIONAL_RFL | Proves definitional equality by reduction; useful but narrow. | definition/proof/numerical/empirical/interp fields still staged as TODO placeholders</x:t>
        </x:is>
      </x:c>
    </x:row>
    <x:row r="73" ht="55.20000076293945" customHeight="1">
      <x:c r="A73" s="20" t="inlineStr">
        <x:is>
          <x:t xml:space="preserve">72</x:t>
        </x:is>
      </x:c>
      <x:c r="B73" s="20" t="inlineStr">
        <x:is>
          <x:t xml:space="preserve">REJECTION: No relation → R gate = 0</x:t>
        </x:is>
      </x:c>
      <x:c r="C73" s="20" t="inlineStr">
        <x:is>
          <x:t xml:space="preserve">C2 - Structural correspondence candidate</x:t>
        </x:is>
      </x:c>
      <x:c r="D73" s="21" t="inlineStr">
        <x:is>
          <x:t xml:space="preserve">PLACEHOLDER</x:t>
        </x:is>
      </x:c>
      <x:c r="E73" s="22" t="inlineStr">
        <x:is>
          <x:t xml:space="preserve">MISSING</x:t>
        </x:is>
      </x:c>
      <x:c r="F73" s="22" t="inlineStr">
        <x:is>
          <x:t xml:space="preserve">MISSING</x:t>
        </x:is>
      </x:c>
      <x:c r="G73" s="22" t="inlineStr">
        <x:is>
          <x:t xml:space="preserve">MISSING</x:t>
        </x:is>
      </x:c>
      <x:c r="H73" s="22" t="inlineStr">
        <x:is>
          <x:t xml:space="preserve">MISSING</x:t>
        </x:is>
      </x:c>
      <x:c r="I73" s="20" t="inlineStr">
        <x:is>
          <x:t xml:space="preserve">theophysics-lean-main\theophysics-lean-main\Theophysics_Adversarial.lean</x:t>
        </x:is>
      </x:c>
      <x:c r="J73" s="20" t="inlineStr">
        <x:is>
          <x:t xml:space="preserve">407</x:t>
        </x:is>
      </x:c>
      <x:c r="K73" s="20" t="inlineStr">
        <x:is>
          <x:t xml:space="preserve">theorem law7_relation_bypass_score_fails_R_gate : RGate { relation := false, metricPresent := true } = 0</x:t>
        </x:is>
      </x:c>
      <x:c r="L73" s="20" t="inlineStr">
        <x:is>
          <x:t xml:space="preserve">law7_relation_bypass_score_fails_R_gate</x:t>
        </x:is>
      </x:c>
      <x:c r="M73" s="23" t="inlineStr">
        <x:is>
          <x:t xml:space="preserve">PARTIAL</x:t>
        </x:is>
      </x:c>
      <x:c r="N73" s="21" t="inlineStr">
        <x:is>
          <x:t xml:space="preserve">PLACEHOLDER</x:t>
        </x:is>
      </x:c>
      <x:c r="O73" s="21" t="inlineStr">
        <x:is>
          <x:t xml:space="preserve">PLACEHOLDER</x:t>
        </x:is>
      </x:c>
      <x:c r="P73" s="22" t="inlineStr">
        <x:is>
          <x:t xml:space="preserve">MISSING</x:t>
        </x:is>
      </x:c>
      <x:c r="Q73" s="21" t="inlineStr">
        <x:is>
          <x:t xml:space="preserve">PLACEHOLDER</x:t>
        </x:is>
      </x:c>
      <x:c r="R73" s="21" t="inlineStr">
        <x:is>
          <x:t xml:space="preserve">PLACEHOLDER</x:t>
        </x:is>
      </x:c>
      <x:c r="S73" s="21" t="inlineStr">
        <x:is>
          <x:t xml:space="preserve">PLACEHOLDER</x:t>
        </x:is>
      </x:c>
      <x:c r="T73" s="23" t="inlineStr">
        <x:is>
          <x:t xml:space="preserve">PARTIAL</x:t>
        </x:is>
      </x:c>
      <x:c r="U73" s="21" t="inlineStr">
        <x:is>
          <x:t xml:space="preserve">PLACEHOLDER</x:t>
        </x:is>
      </x:c>
      <x:c r="V73" s="20" t="inlineStr">
        <x:is>
          <x:t xml:space="preserve">lean_match_count=4 | proof_strength=DEFINITIONAL_RFL | Proves definitional equality by reduction; useful but narrow. | definition/proof/numerical/empirical/interp fields still staged as TODO placeholders</x:t>
        </x:is>
      </x:c>
    </x:row>
    <x:row r="74" ht="55.20000076293945" customHeight="1">
      <x:c r="A74" s="20" t="inlineStr">
        <x:is>
          <x:t xml:space="preserve">73</x:t>
        </x:is>
      </x:c>
      <x:c r="B74" s="20" t="inlineStr">
        <x:is>
          <x:t xml:space="preserve">R gate is always 0 or 1. No drift.</x:t>
        </x:is>
      </x:c>
      <x:c r="C74" s="20" t="inlineStr">
        <x:is>
          <x:t xml:space="preserve">C2 - Structural correspondence candidate</x:t>
        </x:is>
      </x:c>
      <x:c r="D74" s="21" t="inlineStr">
        <x:is>
          <x:t xml:space="preserve">PLACEHOLDER</x:t>
        </x:is>
      </x:c>
      <x:c r="E74" s="22" t="inlineStr">
        <x:is>
          <x:t xml:space="preserve">MISSING</x:t>
        </x:is>
      </x:c>
      <x:c r="F74" s="22" t="inlineStr">
        <x:is>
          <x:t xml:space="preserve">MISSING</x:t>
        </x:is>
      </x:c>
      <x:c r="G74" s="22" t="inlineStr">
        <x:is>
          <x:t xml:space="preserve">MISSING</x:t>
        </x:is>
      </x:c>
      <x:c r="H74" s="22" t="inlineStr">
        <x:is>
          <x:t xml:space="preserve">MISSING</x:t>
        </x:is>
      </x:c>
      <x:c r="I74" s="20" t="inlineStr">
        <x:is>
          <x:t xml:space="preserve">theophysics-lean-main\theophysics-lean-main\Theophysics_Core.lean</x:t>
        </x:is>
      </x:c>
      <x:c r="J74" s="20" t="inlineStr">
        <x:is>
          <x:t xml:space="preserve">213</x:t>
        </x:is>
      </x:c>
      <x:c r="K74" s="20" t="inlineStr">
        <x:is>
          <x:t xml:space="preserve">theorem law7_final_R_is_binary : True</x:t>
        </x:is>
      </x:c>
      <x:c r="L74" s="20" t="inlineStr">
        <x:is>
          <x:t xml:space="preserve">law7_final_R_is_binary</x:t>
        </x:is>
      </x:c>
      <x:c r="M74" s="23" t="inlineStr">
        <x:is>
          <x:t xml:space="preserve">PARTIAL</x:t>
        </x:is>
      </x:c>
      <x:c r="N74" s="21" t="inlineStr">
        <x:is>
          <x:t xml:space="preserve">PLACEHOLDER</x:t>
        </x:is>
      </x:c>
      <x:c r="O74" s="21" t="inlineStr">
        <x:is>
          <x:t xml:space="preserve">PLACEHOLDER</x:t>
        </x:is>
      </x:c>
      <x:c r="P74" s="22" t="inlineStr">
        <x:is>
          <x:t xml:space="preserve">MISSING</x:t>
        </x:is>
      </x:c>
      <x:c r="Q74" s="21" t="inlineStr">
        <x:is>
          <x:t xml:space="preserve">PLACEHOLDER</x:t>
        </x:is>
      </x:c>
      <x:c r="R74" s="21" t="inlineStr">
        <x:is>
          <x:t xml:space="preserve">PLACEHOLDER</x:t>
        </x:is>
      </x:c>
      <x:c r="S74" s="21" t="inlineStr">
        <x:is>
          <x:t xml:space="preserve">PLACEHOLDER</x:t>
        </x:is>
      </x:c>
      <x:c r="T74" s="23" t="inlineStr">
        <x:is>
          <x:t xml:space="preserve">PARTIAL</x:t>
        </x:is>
      </x:c>
      <x:c r="U74" s="21" t="inlineStr">
        <x:is>
          <x:t xml:space="preserve">PLACEHOLDER</x:t>
        </x:is>
      </x:c>
      <x:c r="V74" s="20" t="inlineStr">
        <x:is>
          <x:t xml:space="preserve">lean_match_count=4 | proof_strength=TRIVIAL_TRUE | Statement is `True`; theorem name may exceed formal content. | definition/proof/numerical/empirical/interp fields still staged as TODO placeholders</x:t>
        </x:is>
      </x:c>
    </x:row>
    <x:row r="75" ht="69" customHeight="1">
      <x:c r="A75" s="20" t="inlineStr">
        <x:is>
          <x:t xml:space="preserve">74–77</x:t>
        </x:is>
      </x:c>
      <x:c r="B75" s="20" t="inlineStr">
        <x:is>
          <x:t xml:space="preserve">Various bypass/lock conditions → χ = 0 through the score gate layer</x:t>
        </x:is>
      </x:c>
      <x:c r="C75" s="20" t="inlineStr">
        <x:is>
          <x:t xml:space="preserve">C2 - Structural correspondence candidate</x:t>
        </x:is>
      </x:c>
      <x:c r="D75" s="21" t="inlineStr">
        <x:is>
          <x:t xml:space="preserve">PLACEHOLDER</x:t>
        </x:is>
      </x:c>
      <x:c r="E75" s="22" t="inlineStr">
        <x:is>
          <x:t xml:space="preserve">MISSING</x:t>
        </x:is>
      </x:c>
      <x:c r="F75" s="22" t="inlineStr">
        <x:is>
          <x:t xml:space="preserve">MISSING</x:t>
        </x:is>
      </x:c>
      <x:c r="G75" s="22" t="inlineStr">
        <x:is>
          <x:t xml:space="preserve">MISSING</x:t>
        </x:is>
      </x:c>
      <x:c r="H75" s="22" t="inlineStr">
        <x:is>
          <x:t xml:space="preserve">MISSING</x:t>
        </x:is>
      </x:c>
      <x:c r="I75" s="20" t="inlineStr">
        <x:is>
          <x:t xml:space="preserve">NEEDS_SOURCE_PATH</x:t>
        </x:is>
      </x:c>
      <x:c r="J75" s="20" t="inlineStr">
        <x:is>
          <x:t xml:space="preserve">NEEDS_SOURCE_PATH</x:t>
        </x:is>
      </x:c>
      <x:c r="K75" s="20" t="inlineStr">
        <x:is>
          <x:t xml:space="preserve">NEEDS_SOURCE_PATH</x:t>
        </x:is>
      </x:c>
      <x:c r="L75" s="20" t="inlineStr">
        <x:is>
          <x:t xml:space="preserve">Four chi-collapse through score discipline</x:t>
        </x:is>
      </x:c>
      <x:c r="M75" s="24" t="inlineStr">
        <x:is>
          <x:t xml:space="preserve">NEEDS_SOURCE_PATH</x:t>
        </x:is>
      </x:c>
      <x:c r="N75" s="21" t="inlineStr">
        <x:is>
          <x:t xml:space="preserve">PLACEHOLDER</x:t>
        </x:is>
      </x:c>
      <x:c r="O75" s="21" t="inlineStr">
        <x:is>
          <x:t xml:space="preserve">PLACEHOLDER</x:t>
        </x:is>
      </x:c>
      <x:c r="P75" s="22" t="inlineStr">
        <x:is>
          <x:t xml:space="preserve">MISSING</x:t>
        </x:is>
      </x:c>
      <x:c r="Q75" s="21" t="inlineStr">
        <x:is>
          <x:t xml:space="preserve">PLACEHOLDER</x:t>
        </x:is>
      </x:c>
      <x:c r="R75" s="21" t="inlineStr">
        <x:is>
          <x:t xml:space="preserve">PLACEHOLDER</x:t>
        </x:is>
      </x:c>
      <x:c r="S75" s="21" t="inlineStr">
        <x:is>
          <x:t xml:space="preserve">PLACEHOLDER</x:t>
        </x:is>
      </x:c>
      <x:c r="T75" s="24" t="inlineStr">
        <x:is>
          <x:t xml:space="preserve">NEEDS_SOURCE_PATH</x:t>
        </x:is>
      </x:c>
      <x:c r="U75" s="21" t="inlineStr">
        <x:is>
          <x:t xml:space="preserve">PLACEHOLDER</x:t>
        </x:is>
      </x:c>
      <x:c r="V75"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76" ht="55.20000076293945" customHeight="1">
      <x:c r="A76" s="20" t="inlineStr">
        <x:is>
          <x:t xml:space="preserve">78</x:t>
        </x:is>
      </x:c>
      <x:c r="B76" s="20" t="inlineStr">
        <x:is>
          <x:t xml:space="preserve">StrongForce ≅ Love (LawIso — value + collapse preserving bijection)</x:t>
        </x:is>
      </x:c>
      <x:c r="C76" s="20" t="inlineStr">
        <x:is>
          <x:t xml:space="preserve">C4 - Isomorphism candidate; requires inverse and broad candidate-space check</x:t>
        </x:is>
      </x:c>
      <x:c r="D76" s="21" t="inlineStr">
        <x:is>
          <x:t xml:space="preserve">PLACEHOLDER</x:t>
        </x:is>
      </x:c>
      <x:c r="E76" s="22" t="inlineStr">
        <x:is>
          <x:t xml:space="preserve">MISSING</x:t>
        </x:is>
      </x:c>
      <x:c r="F76" s="23" t="inlineStr">
        <x:is>
          <x:t xml:space="preserve">PARTIAL</x:t>
        </x:is>
      </x:c>
      <x:c r="G76" s="22" t="inlineStr">
        <x:is>
          <x:t xml:space="preserve">MISSING</x:t>
        </x:is>
      </x:c>
      <x:c r="H76" s="22" t="inlineStr">
        <x:is>
          <x:t xml:space="preserve">MISSING</x:t>
        </x:is>
      </x:c>
      <x:c r="I76" s="20" t="inlineStr">
        <x:is>
          <x:t xml:space="preserve">theophysics-lean-main\theophysics-lean-main\Theophysics_Core.lean</x:t>
        </x:is>
      </x:c>
      <x:c r="J76" s="20" t="inlineStr">
        <x:is>
          <x:t xml:space="preserve">217</x:t>
        </x:is>
      </x:c>
      <x:c r="K76" s="20" t="inlineStr">
        <x:is>
          <x:t xml:space="preserve">theorem law4Iso : True</x:t>
        </x:is>
      </x:c>
      <x:c r="L76" s="20" t="inlineStr">
        <x:is>
          <x:t xml:space="preserve">law4Iso</x:t>
        </x:is>
      </x:c>
      <x:c r="M76" s="23" t="inlineStr">
        <x:is>
          <x:t xml:space="preserve">PARTIAL</x:t>
        </x:is>
      </x:c>
      <x:c r="N76" s="21" t="inlineStr">
        <x:is>
          <x:t xml:space="preserve">PLACEHOLDER</x:t>
        </x:is>
      </x:c>
      <x:c r="O76" s="21" t="inlineStr">
        <x:is>
          <x:t xml:space="preserve">PLACEHOLDER</x:t>
        </x:is>
      </x:c>
      <x:c r="P76" s="22" t="inlineStr">
        <x:is>
          <x:t xml:space="preserve">MISSING</x:t>
        </x:is>
      </x:c>
      <x:c r="Q76" s="21" t="inlineStr">
        <x:is>
          <x:t xml:space="preserve">PLACEHOLDER</x:t>
        </x:is>
      </x:c>
      <x:c r="R76" s="21" t="inlineStr">
        <x:is>
          <x:t xml:space="preserve">PLACEHOLDER</x:t>
        </x:is>
      </x:c>
      <x:c r="S76" s="21" t="inlineStr">
        <x:is>
          <x:t xml:space="preserve">PLACEHOLDER</x:t>
        </x:is>
      </x:c>
      <x:c r="T76" s="23" t="inlineStr">
        <x:is>
          <x:t xml:space="preserve">PARTIAL</x:t>
        </x:is>
      </x:c>
      <x:c r="U76" s="21" t="inlineStr">
        <x:is>
          <x:t xml:space="preserve">PLACEHOLDER</x:t>
        </x:is>
      </x:c>
      <x:c r="V76" s="20" t="inlineStr">
        <x:is>
          <x:t xml:space="preserve">lean_match_count=4 | proof_strength=TRIVIAL_TRUE | Statement is `True`; theorem name may exceed formal content. | definition/proof/numerical/empirical/interp fields still staged as TODO placeholders</x:t>
        </x:is>
      </x:c>
    </x:row>
    <x:row r="77" ht="55.20000076293945" customHeight="1">
      <x:c r="A77" s="20" t="inlineStr">
        <x:is>
          <x:t xml:space="preserve">79</x:t>
        </x:is>
      </x:c>
      <x:c r="B77" s="20" t="inlineStr">
        <x:is>
          <x:t xml:space="preserve">BOUNDARY: Coin model ALSO passes LawIso. This is the adversarial boundary — basic isomorphism is too weak.</x:t>
        </x:is>
      </x:c>
      <x:c r="C77" s="20" t="inlineStr">
        <x:is>
          <x:t xml:space="preserve">C4 - Isomorphism candidate; requires inverse and broad candidate-space check</x:t>
        </x:is>
      </x:c>
      <x:c r="D77" s="21" t="inlineStr">
        <x:is>
          <x:t xml:space="preserve">PLACEHOLDER</x:t>
        </x:is>
      </x:c>
      <x:c r="E77" s="22" t="inlineStr">
        <x:is>
          <x:t xml:space="preserve">MISSING</x:t>
        </x:is>
      </x:c>
      <x:c r="F77" s="23" t="inlineStr">
        <x:is>
          <x:t xml:space="preserve">PARTIAL</x:t>
        </x:is>
      </x:c>
      <x:c r="G77" s="22" t="inlineStr">
        <x:is>
          <x:t xml:space="preserve">MISSING</x:t>
        </x:is>
      </x:c>
      <x:c r="H77" s="22" t="inlineStr">
        <x:is>
          <x:t xml:space="preserve">MISSING</x:t>
        </x:is>
      </x:c>
      <x:c r="I77" s="20" t="inlineStr">
        <x:is>
          <x:t xml:space="preserve">theophysics-lean-main\theophysics-lean-main\Theophysics_Adversarial.lean</x:t>
        </x:is>
      </x:c>
      <x:c r="J77" s="20" t="inlineStr">
        <x:is>
          <x:t xml:space="preserve">412</x:t>
        </x:is>
      </x:c>
      <x:c r="K77" s="20" t="inlineStr">
        <x:is>
          <x:t xml:space="preserve">theorem strongForceCoinIso : strongForceCoinIsoBoundary = true</x:t>
        </x:is>
      </x:c>
      <x:c r="L77" s="20" t="inlineStr">
        <x:is>
          <x:t xml:space="preserve">strongForceCoinIso</x:t>
        </x:is>
      </x:c>
      <x:c r="M77" s="23" t="inlineStr">
        <x:is>
          <x:t xml:space="preserve">PARTIAL</x:t>
        </x:is>
      </x:c>
      <x:c r="N77" s="21" t="inlineStr">
        <x:is>
          <x:t xml:space="preserve">PLACEHOLDER</x:t>
        </x:is>
      </x:c>
      <x:c r="O77" s="21" t="inlineStr">
        <x:is>
          <x:t xml:space="preserve">PLACEHOLDER</x:t>
        </x:is>
      </x:c>
      <x:c r="P77" s="22" t="inlineStr">
        <x:is>
          <x:t xml:space="preserve">MISSING</x:t>
        </x:is>
      </x:c>
      <x:c r="Q77" s="21" t="inlineStr">
        <x:is>
          <x:t xml:space="preserve">PLACEHOLDER</x:t>
        </x:is>
      </x:c>
      <x:c r="R77" s="21" t="inlineStr">
        <x:is>
          <x:t xml:space="preserve">PLACEHOLDER</x:t>
        </x:is>
      </x:c>
      <x:c r="S77" s="21" t="inlineStr">
        <x:is>
          <x:t xml:space="preserve">PLACEHOLDER</x:t>
        </x:is>
      </x:c>
      <x:c r="T77" s="23" t="inlineStr">
        <x:is>
          <x:t xml:space="preserve">PARTIAL</x:t>
        </x:is>
      </x:c>
      <x:c r="U77" s="21" t="inlineStr">
        <x:is>
          <x:t xml:space="preserve">PLACEHOLDER</x:t>
        </x:is>
      </x:c>
      <x:c r="V77" s="20" t="inlineStr">
        <x:is>
          <x:t xml:space="preserve">lean_match_count=4 | proof_strength=DEFINITIONAL_RFL | Proves definitional equality by reduction; useful but narrow. | definition/proof/numerical/empirical/interp fields still staged as TODO placeholders</x:t>
        </x:is>
      </x:c>
    </x:row>
    <x:row r="78" ht="55.20000076293945" customHeight="1">
      <x:c r="A78" s="20" t="inlineStr">
        <x:is>
          <x:t xml:space="preserve">80</x:t>
        </x:is>
      </x:c>
      <x:c r="B78" s="20" t="inlineStr">
        <x:is>
          <x:t xml:space="preserve">StrongForce ≅ Love under RichLawIso (roles + transitions preserved). Stronger level.</x:t>
        </x:is>
      </x:c>
      <x:c r="C78" s="20" t="inlineStr">
        <x:is>
          <x:t xml:space="preserve">C4 - Isomorphism candidate; requires inverse and broad candidate-space check</x:t>
        </x:is>
      </x:c>
      <x:c r="D78" s="21" t="inlineStr">
        <x:is>
          <x:t xml:space="preserve">PLACEHOLDER</x:t>
        </x:is>
      </x:c>
      <x:c r="E78" s="22" t="inlineStr">
        <x:is>
          <x:t xml:space="preserve">MISSING</x:t>
        </x:is>
      </x:c>
      <x:c r="F78" s="22" t="inlineStr">
        <x:is>
          <x:t xml:space="preserve">MISSING</x:t>
        </x:is>
      </x:c>
      <x:c r="G78" s="22" t="inlineStr">
        <x:is>
          <x:t xml:space="preserve">MISSING</x:t>
        </x:is>
      </x:c>
      <x:c r="H78" s="22" t="inlineStr">
        <x:is>
          <x:t xml:space="preserve">MISSING</x:t>
        </x:is>
      </x:c>
      <x:c r="I78" s="20" t="inlineStr">
        <x:is>
          <x:t xml:space="preserve">theophysics-lean-main\theophysics-lean-main\Theophysics_Core.lean</x:t>
        </x:is>
      </x:c>
      <x:c r="J78" s="20" t="inlineStr">
        <x:is>
          <x:t xml:space="preserve">218</x:t>
        </x:is>
      </x:c>
      <x:c r="K78" s="20" t="inlineStr">
        <x:is>
          <x:t xml:space="preserve">theorem richLaw4Iso : True</x:t>
        </x:is>
      </x:c>
      <x:c r="L78" s="20" t="inlineStr">
        <x:is>
          <x:t xml:space="preserve">richLaw4Iso</x:t>
        </x:is>
      </x:c>
      <x:c r="M78" s="23" t="inlineStr">
        <x:is>
          <x:t xml:space="preserve">PARTIAL</x:t>
        </x:is>
      </x:c>
      <x:c r="N78" s="21" t="inlineStr">
        <x:is>
          <x:t xml:space="preserve">PLACEHOLDER</x:t>
        </x:is>
      </x:c>
      <x:c r="O78" s="21" t="inlineStr">
        <x:is>
          <x:t xml:space="preserve">PLACEHOLDER</x:t>
        </x:is>
      </x:c>
      <x:c r="P78" s="22" t="inlineStr">
        <x:is>
          <x:t xml:space="preserve">MISSING</x:t>
        </x:is>
      </x:c>
      <x:c r="Q78" s="21" t="inlineStr">
        <x:is>
          <x:t xml:space="preserve">PLACEHOLDER</x:t>
        </x:is>
      </x:c>
      <x:c r="R78" s="21" t="inlineStr">
        <x:is>
          <x:t xml:space="preserve">PLACEHOLDER</x:t>
        </x:is>
      </x:c>
      <x:c r="S78" s="21" t="inlineStr">
        <x:is>
          <x:t xml:space="preserve">PLACEHOLDER</x:t>
        </x:is>
      </x:c>
      <x:c r="T78" s="23" t="inlineStr">
        <x:is>
          <x:t xml:space="preserve">PARTIAL</x:t>
        </x:is>
      </x:c>
      <x:c r="U78" s="21" t="inlineStr">
        <x:is>
          <x:t xml:space="preserve">PLACEHOLDER</x:t>
        </x:is>
      </x:c>
      <x:c r="V78" s="20" t="inlineStr">
        <x:is>
          <x:t xml:space="preserve">lean_match_count=4 | proof_strength=TRIVIAL_TRUE | Statement is `True`; theorem name may exceed formal content. | definition/proof/numerical/empirical/interp fields still staged as TODO placeholders</x:t>
        </x:is>
      </x:c>
    </x:row>
    <x:row r="79" ht="55.20000076293945" customHeight="1">
      <x:c r="A79" s="20" t="inlineStr">
        <x:is>
          <x:t xml:space="preserve">81</x:t>
        </x:is>
      </x:c>
      <x:c r="B79" s="20" t="inlineStr">
        <x:is>
          <x:t xml:space="preserve">REJECTION: Natural coin model FAILS RichLawIso — role mismatch blocks it</x:t>
        </x:is>
      </x:c>
      <x:c r="C79" s="20" t="inlineStr">
        <x:is>
          <x:t xml:space="preserve">C4 - Isomorphism candidate; requires inverse and broad candidate-space check</x:t>
        </x:is>
      </x:c>
      <x:c r="D79" s="21" t="inlineStr">
        <x:is>
          <x:t xml:space="preserve">PLACEHOLDER</x:t>
        </x:is>
      </x:c>
      <x:c r="E79" s="22" t="inlineStr">
        <x:is>
          <x:t xml:space="preserve">MISSING</x:t>
        </x:is>
      </x:c>
      <x:c r="F79" s="22" t="inlineStr">
        <x:is>
          <x:t xml:space="preserve">MISSING</x:t>
        </x:is>
      </x:c>
      <x:c r="G79" s="22" t="inlineStr">
        <x:is>
          <x:t xml:space="preserve">MISSING</x:t>
        </x:is>
      </x:c>
      <x:c r="H79" s="22" t="inlineStr">
        <x:is>
          <x:t xml:space="preserve">MISSING</x:t>
        </x:is>
      </x:c>
      <x:c r="I79" s="20" t="inlineStr">
        <x:is>
          <x:t xml:space="preserve">theophysics-lean-main\theophysics-lean-main\Theophysics_Adversarial.lean</x:t>
        </x:is>
      </x:c>
      <x:c r="J79" s="20" t="inlineStr">
        <x:is>
          <x:t xml:space="preserve">416</x:t>
        </x:is>
      </x:c>
      <x:c r="K79" s="20" t="inlineStr">
        <x:is>
          <x:t xml:space="preserve">theorem no_rich_iso_to_natural_coin : richIsoToNaturalCoin = false</x:t>
        </x:is>
      </x:c>
      <x:c r="L79" s="20" t="inlineStr">
        <x:is>
          <x:t xml:space="preserve">no_rich_iso_to_natural_coin</x:t>
        </x:is>
      </x:c>
      <x:c r="M79" s="23" t="inlineStr">
        <x:is>
          <x:t xml:space="preserve">PARTIAL</x:t>
        </x:is>
      </x:c>
      <x:c r="N79" s="21" t="inlineStr">
        <x:is>
          <x:t xml:space="preserve">PLACEHOLDER</x:t>
        </x:is>
      </x:c>
      <x:c r="O79" s="21" t="inlineStr">
        <x:is>
          <x:t xml:space="preserve">PLACEHOLDER</x:t>
        </x:is>
      </x:c>
      <x:c r="P79" s="22" t="inlineStr">
        <x:is>
          <x:t xml:space="preserve">MISSING</x:t>
        </x:is>
      </x:c>
      <x:c r="Q79" s="21" t="inlineStr">
        <x:is>
          <x:t xml:space="preserve">PLACEHOLDER</x:t>
        </x:is>
      </x:c>
      <x:c r="R79" s="21" t="inlineStr">
        <x:is>
          <x:t xml:space="preserve">PLACEHOLDER</x:t>
        </x:is>
      </x:c>
      <x:c r="S79" s="21" t="inlineStr">
        <x:is>
          <x:t xml:space="preserve">PLACEHOLDER</x:t>
        </x:is>
      </x:c>
      <x:c r="T79" s="23" t="inlineStr">
        <x:is>
          <x:t xml:space="preserve">PARTIAL</x:t>
        </x:is>
      </x:c>
      <x:c r="U79" s="21" t="inlineStr">
        <x:is>
          <x:t xml:space="preserve">PLACEHOLDER</x:t>
        </x:is>
      </x:c>
      <x:c r="V79" s="20" t="inlineStr">
        <x:is>
          <x:t xml:space="preserve">lean_match_count=4 | proof_strength=DEFINITIONAL_RFL | Proves definitional equality by reduction; useful but narrow. | definition/proof/numerical/empirical/interp fields still staged as TODO placeholders</x:t>
        </x:is>
      </x:c>
    </x:row>
    <x:row r="80" ht="55.20000076293945" customHeight="1">
      <x:c r="A80" s="20" t="inlineStr">
        <x:is>
          <x:t xml:space="preserve">82</x:t>
        </x:is>
      </x:c>
      <x:c r="B80" s="20" t="inlineStr">
        <x:is>
          <x:t xml:space="preserve">BOUNDARY: Relabeled coin PASSES — deliberately adversarial. Lean cannot verify label honesty.</x:t>
        </x:is>
      </x:c>
      <x:c r="C80" s="20" t="inlineStr">
        <x:is>
          <x:t xml:space="preserve">C4 - Isomorphism candidate; requires inverse and broad candidate-space check</x:t>
        </x:is>
      </x:c>
      <x:c r="D80" s="21" t="inlineStr">
        <x:is>
          <x:t xml:space="preserve">PLACEHOLDER</x:t>
        </x:is>
      </x:c>
      <x:c r="E80" s="22" t="inlineStr">
        <x:is>
          <x:t xml:space="preserve">MISSING</x:t>
        </x:is>
      </x:c>
      <x:c r="F80" s="22" t="inlineStr">
        <x:is>
          <x:t xml:space="preserve">MISSING</x:t>
        </x:is>
      </x:c>
      <x:c r="G80" s="22" t="inlineStr">
        <x:is>
          <x:t xml:space="preserve">MISSING</x:t>
        </x:is>
      </x:c>
      <x:c r="H80" s="23" t="inlineStr">
        <x:is>
          <x:t xml:space="preserve">PARTIAL</x:t>
        </x:is>
      </x:c>
      <x:c r="I80" s="20" t="inlineStr">
        <x:is>
          <x:t xml:space="preserve">theophysics-lean-main\theophysics-lean-main\Theophysics_Adversarial.lean</x:t>
        </x:is>
      </x:c>
      <x:c r="J80" s="20" t="inlineStr">
        <x:is>
          <x:t xml:space="preserve">420</x:t>
        </x:is>
      </x:c>
      <x:c r="K80" s="20" t="inlineStr">
        <x:is>
          <x:t xml:space="preserve">theorem richRelabeledCoinIso : richRelabeledCoinIsoBoundary = true</x:t>
        </x:is>
      </x:c>
      <x:c r="L80" s="20" t="inlineStr">
        <x:is>
          <x:t xml:space="preserve">richRelabeledCoinIso</x:t>
        </x:is>
      </x:c>
      <x:c r="M80" s="23" t="inlineStr">
        <x:is>
          <x:t xml:space="preserve">PARTIAL</x:t>
        </x:is>
      </x:c>
      <x:c r="N80" s="21" t="inlineStr">
        <x:is>
          <x:t xml:space="preserve">PLACEHOLDER</x:t>
        </x:is>
      </x:c>
      <x:c r="O80" s="21" t="inlineStr">
        <x:is>
          <x:t xml:space="preserve">PLACEHOLDER</x:t>
        </x:is>
      </x:c>
      <x:c r="P80" s="22" t="inlineStr">
        <x:is>
          <x:t xml:space="preserve">MISSING</x:t>
        </x:is>
      </x:c>
      <x:c r="Q80" s="21" t="inlineStr">
        <x:is>
          <x:t xml:space="preserve">PLACEHOLDER</x:t>
        </x:is>
      </x:c>
      <x:c r="R80" s="21" t="inlineStr">
        <x:is>
          <x:t xml:space="preserve">PLACEHOLDER</x:t>
        </x:is>
      </x:c>
      <x:c r="S80" s="21" t="inlineStr">
        <x:is>
          <x:t xml:space="preserve">PLACEHOLDER</x:t>
        </x:is>
      </x:c>
      <x:c r="T80" s="23" t="inlineStr">
        <x:is>
          <x:t xml:space="preserve">PARTIAL</x:t>
        </x:is>
      </x:c>
      <x:c r="U80" s="21" t="inlineStr">
        <x:is>
          <x:t xml:space="preserve">PLACEHOLDER</x:t>
        </x:is>
      </x:c>
      <x:c r="V80" s="20" t="inlineStr">
        <x:is>
          <x:t xml:space="preserve">lean_match_count=4 | proof_strength=DEFINITIONAL_RFL | Proves definitional equality by reduction; useful but narrow. | definition/proof/numerical/empirical/interp fields still staged as TODO placeholders</x:t>
        </x:is>
      </x:c>
    </x:row>
    <x:row r="81" ht="55.20000076293945" customHeight="1">
      <x:c r="A81" s="20" t="inlineStr">
        <x:is>
          <x:t xml:space="preserve">83</x:t>
        </x:is>
      </x:c>
      <x:c r="B81" s="20" t="inlineStr">
        <x:is>
          <x:t xml:space="preserve">REJECTION: 3-state Faith model fails bijection with 2-state StrongForce</x:t>
        </x:is>
      </x:c>
      <x:c r="C81" s="20" t="inlineStr">
        <x:is>
          <x:t xml:space="preserve">C4 - Isomorphism candidate; requires inverse and broad candidate-space check</x:t>
        </x:is>
      </x:c>
      <x:c r="D81" s="21" t="inlineStr">
        <x:is>
          <x:t xml:space="preserve">PLACEHOLDER</x:t>
        </x:is>
      </x:c>
      <x:c r="E81" s="22" t="inlineStr">
        <x:is>
          <x:t xml:space="preserve">MISSING</x:t>
        </x:is>
      </x:c>
      <x:c r="F81" s="23" t="inlineStr">
        <x:is>
          <x:t xml:space="preserve">PARTIAL</x:t>
        </x:is>
      </x:c>
      <x:c r="G81" s="22" t="inlineStr">
        <x:is>
          <x:t xml:space="preserve">MISSING</x:t>
        </x:is>
      </x:c>
      <x:c r="H81" s="22" t="inlineStr">
        <x:is>
          <x:t xml:space="preserve">MISSING</x:t>
        </x:is>
      </x:c>
      <x:c r="I81" s="20" t="inlineStr">
        <x:is>
          <x:t xml:space="preserve">theophysics-lean-main\theophysics-lean-main\Theophysics_Adversarial.lean</x:t>
        </x:is>
      </x:c>
      <x:c r="J81" s="20" t="inlineStr">
        <x:is>
          <x:t xml:space="preserve">424</x:t>
        </x:is>
      </x:c>
      <x:c r="K81" s="20" t="inlineStr">
        <x:is>
          <x:t xml:space="preserve">theorem faith_candidate_not_right_inverse : faithCandidateRightInverse = false</x:t>
        </x:is>
      </x:c>
      <x:c r="L81" s="20" t="inlineStr">
        <x:is>
          <x:t xml:space="preserve">faith_candidate_not_right_inverse</x:t>
        </x:is>
      </x:c>
      <x:c r="M81" s="23" t="inlineStr">
        <x:is>
          <x:t xml:space="preserve">PARTIAL</x:t>
        </x:is>
      </x:c>
      <x:c r="N81" s="21" t="inlineStr">
        <x:is>
          <x:t xml:space="preserve">PLACEHOLDER</x:t>
        </x:is>
      </x:c>
      <x:c r="O81" s="21" t="inlineStr">
        <x:is>
          <x:t xml:space="preserve">PLACEHOLDER</x:t>
        </x:is>
      </x:c>
      <x:c r="P81" s="22" t="inlineStr">
        <x:is>
          <x:t xml:space="preserve">MISSING</x:t>
        </x:is>
      </x:c>
      <x:c r="Q81" s="21" t="inlineStr">
        <x:is>
          <x:t xml:space="preserve">PLACEHOLDER</x:t>
        </x:is>
      </x:c>
      <x:c r="R81" s="21" t="inlineStr">
        <x:is>
          <x:t xml:space="preserve">PLACEHOLDER</x:t>
        </x:is>
      </x:c>
      <x:c r="S81" s="21" t="inlineStr">
        <x:is>
          <x:t xml:space="preserve">PLACEHOLDER</x:t>
        </x:is>
      </x:c>
      <x:c r="T81" s="23" t="inlineStr">
        <x:is>
          <x:t xml:space="preserve">PARTIAL</x:t>
        </x:is>
      </x:c>
      <x:c r="U81" s="21" t="inlineStr">
        <x:is>
          <x:t xml:space="preserve">PLACEHOLDER</x:t>
        </x:is>
      </x:c>
      <x:c r="V81" s="20" t="inlineStr">
        <x:is>
          <x:t xml:space="preserve">lean_match_count=4 | proof_strength=DEFINITIONAL_RFL | Proves definitional equality by reduction; useful but narrow. | definition/proof/numerical/empirical/interp fields still staged as TODO placeholders</x:t>
        </x:is>
      </x:c>
    </x:row>
    <x:row r="82" ht="55.20000076293945" customHeight="1">
      <x:c r="A82" s="20" t="inlineStr">
        <x:is>
          <x:t xml:space="preserve">84</x:t>
        </x:is>
      </x:c>
      <x:c r="B82" s="20" t="inlineStr">
        <x:is>
          <x:t xml:space="preserve">REJECTION: 3-state EM model fails bijection with 2-state StrongForce</x:t>
        </x:is>
      </x:c>
      <x:c r="C82" s="20" t="inlineStr">
        <x:is>
          <x:t xml:space="preserve">C4 - Isomorphism candidate; requires inverse and broad candidate-space check</x:t>
        </x:is>
      </x:c>
      <x:c r="D82" s="21" t="inlineStr">
        <x:is>
          <x:t xml:space="preserve">PLACEHOLDER</x:t>
        </x:is>
      </x:c>
      <x:c r="E82" s="22" t="inlineStr">
        <x:is>
          <x:t xml:space="preserve">MISSING</x:t>
        </x:is>
      </x:c>
      <x:c r="F82" s="23" t="inlineStr">
        <x:is>
          <x:t xml:space="preserve">PARTIAL</x:t>
        </x:is>
      </x:c>
      <x:c r="G82" s="22" t="inlineStr">
        <x:is>
          <x:t xml:space="preserve">MISSING</x:t>
        </x:is>
      </x:c>
      <x:c r="H82" s="22" t="inlineStr">
        <x:is>
          <x:t xml:space="preserve">MISSING</x:t>
        </x:is>
      </x:c>
      <x:c r="I82" s="20" t="inlineStr">
        <x:is>
          <x:t xml:space="preserve">theophysics-lean-main\theophysics-lean-main\Theophysics_Adversarial.lean</x:t>
        </x:is>
      </x:c>
      <x:c r="J82" s="20" t="inlineStr">
        <x:is>
          <x:t xml:space="preserve">428</x:t>
        </x:is>
      </x:c>
      <x:c r="K82" s="20" t="inlineStr">
        <x:is>
          <x:t xml:space="preserve">theorem em_candidate_not_right_inverse : emCandidateRightInverse = false</x:t>
        </x:is>
      </x:c>
      <x:c r="L82" s="20" t="inlineStr">
        <x:is>
          <x:t xml:space="preserve">em_candidate_not_right_inverse</x:t>
        </x:is>
      </x:c>
      <x:c r="M82" s="23" t="inlineStr">
        <x:is>
          <x:t xml:space="preserve">PARTIAL</x:t>
        </x:is>
      </x:c>
      <x:c r="N82" s="21" t="inlineStr">
        <x:is>
          <x:t xml:space="preserve">PLACEHOLDER</x:t>
        </x:is>
      </x:c>
      <x:c r="O82" s="21" t="inlineStr">
        <x:is>
          <x:t xml:space="preserve">PLACEHOLDER</x:t>
        </x:is>
      </x:c>
      <x:c r="P82" s="22" t="inlineStr">
        <x:is>
          <x:t xml:space="preserve">MISSING</x:t>
        </x:is>
      </x:c>
      <x:c r="Q82" s="21" t="inlineStr">
        <x:is>
          <x:t xml:space="preserve">PLACEHOLDER</x:t>
        </x:is>
      </x:c>
      <x:c r="R82" s="21" t="inlineStr">
        <x:is>
          <x:t xml:space="preserve">PLACEHOLDER</x:t>
        </x:is>
      </x:c>
      <x:c r="S82" s="21" t="inlineStr">
        <x:is>
          <x:t xml:space="preserve">PLACEHOLDER</x:t>
        </x:is>
      </x:c>
      <x:c r="T82" s="23" t="inlineStr">
        <x:is>
          <x:t xml:space="preserve">PARTIAL</x:t>
        </x:is>
      </x:c>
      <x:c r="U82" s="21" t="inlineStr">
        <x:is>
          <x:t xml:space="preserve">PLACEHOLDER</x:t>
        </x:is>
      </x:c>
      <x:c r="V82" s="20" t="inlineStr">
        <x:is>
          <x:t xml:space="preserve">lean_match_count=4 | proof_strength=DEFINITIONAL_RFL | Proves definitional equality by reduction; useful but narrow. | definition/proof/numerical/empirical/interp fields still staged as TODO placeholders</x:t>
        </x:is>
      </x:c>
    </x:row>
    <x:row r="83" ht="55.20000076293945" customHeight="1">
      <x:c r="A83" s="20" t="inlineStr">
        <x:is>
          <x:t xml:space="preserve">85</x:t>
        </x:is>
      </x:c>
      <x:c r="B83" s="20" t="inlineStr">
        <x:is>
          <x:t xml:space="preserve">REJECTION: bound→liberation fails value preservation</x:t>
        </x:is>
      </x:c>
      <x:c r="C83" s="20" t="inlineStr">
        <x:is>
          <x:t xml:space="preserve">C3 - Homomorphism candidate</x:t>
        </x:is>
      </x:c>
      <x:c r="D83" s="21" t="inlineStr">
        <x:is>
          <x:t xml:space="preserve">PLACEHOLDER</x:t>
        </x:is>
      </x:c>
      <x:c r="E83" s="22" t="inlineStr">
        <x:is>
          <x:t xml:space="preserve">MISSING</x:t>
        </x:is>
      </x:c>
      <x:c r="F83" s="23" t="inlineStr">
        <x:is>
          <x:t xml:space="preserve">PARTIAL</x:t>
        </x:is>
      </x:c>
      <x:c r="G83" s="22" t="inlineStr">
        <x:is>
          <x:t xml:space="preserve">MISSING</x:t>
        </x:is>
      </x:c>
      <x:c r="H83" s="22" t="inlineStr">
        <x:is>
          <x:t xml:space="preserve">MISSING</x:t>
        </x:is>
      </x:c>
      <x:c r="I83" s="20" t="inlineStr">
        <x:is>
          <x:t xml:space="preserve">theophysics-lean-main\theophysics-lean-main\Theophysics_Adversarial.lean</x:t>
        </x:is>
      </x:c>
      <x:c r="J83" s="20" t="inlineStr">
        <x:is>
          <x:t xml:space="preserve">432</x:t>
        </x:is>
      </x:c>
      <x:c r="K83" s="20" t="inlineStr">
        <x:is>
          <x:t xml:space="preserve">theorem inverted_mapping_does_not_preserve_value : invertedMappingPreservesValue = false</x:t>
        </x:is>
      </x:c>
      <x:c r="L83" s="20" t="inlineStr">
        <x:is>
          <x:t xml:space="preserve">inverted_mapping_does_not_preserve_value</x:t>
        </x:is>
      </x:c>
      <x:c r="M83" s="23" t="inlineStr">
        <x:is>
          <x:t xml:space="preserve">PARTIAL</x:t>
        </x:is>
      </x:c>
      <x:c r="N83" s="21" t="inlineStr">
        <x:is>
          <x:t xml:space="preserve">PLACEHOLDER</x:t>
        </x:is>
      </x:c>
      <x:c r="O83" s="21" t="inlineStr">
        <x:is>
          <x:t xml:space="preserve">PLACEHOLDER</x:t>
        </x:is>
      </x:c>
      <x:c r="P83" s="22" t="inlineStr">
        <x:is>
          <x:t xml:space="preserve">MISSING</x:t>
        </x:is>
      </x:c>
      <x:c r="Q83" s="21" t="inlineStr">
        <x:is>
          <x:t xml:space="preserve">PLACEHOLDER</x:t>
        </x:is>
      </x:c>
      <x:c r="R83" s="21" t="inlineStr">
        <x:is>
          <x:t xml:space="preserve">PLACEHOLDER</x:t>
        </x:is>
      </x:c>
      <x:c r="S83" s="21" t="inlineStr">
        <x:is>
          <x:t xml:space="preserve">PLACEHOLDER</x:t>
        </x:is>
      </x:c>
      <x:c r="T83" s="23" t="inlineStr">
        <x:is>
          <x:t xml:space="preserve">PARTIAL</x:t>
        </x:is>
      </x:c>
      <x:c r="U83" s="21" t="inlineStr">
        <x:is>
          <x:t xml:space="preserve">PLACEHOLDER</x:t>
        </x:is>
      </x:c>
      <x:c r="V83" s="20" t="inlineStr">
        <x:is>
          <x:t xml:space="preserve">lean_match_count=4 | proof_strength=DEFINITIONAL_RFL | Proves definitional equality by reduction; useful but narrow. | definition/proof/numerical/empirical/interp fields still staged as TODO placeholders</x:t>
        </x:is>
      </x:c>
    </x:row>
    <x:row r="84" ht="55.20000076293945" customHeight="1">
      <x:c r="A84" s="20" t="inlineStr">
        <x:is>
          <x:t xml:space="preserve">86</x:t>
        </x:is>
      </x:c>
      <x:c r="B84" s="20" t="inlineStr">
        <x:is>
          <x:t xml:space="preserve">REJECTION: No valid Law4 iso uses the inverted map</x:t>
        </x:is>
      </x:c>
      <x:c r="C84" s="20" t="inlineStr">
        <x:is>
          <x:t xml:space="preserve">C4 - Isomorphism candidate; requires inverse and broad candidate-space check</x:t>
        </x:is>
      </x:c>
      <x:c r="D84" s="21" t="inlineStr">
        <x:is>
          <x:t xml:space="preserve">PLACEHOLDER</x:t>
        </x:is>
      </x:c>
      <x:c r="E84" s="22" t="inlineStr">
        <x:is>
          <x:t xml:space="preserve">MISSING</x:t>
        </x:is>
      </x:c>
      <x:c r="F84" s="22" t="inlineStr">
        <x:is>
          <x:t xml:space="preserve">MISSING</x:t>
        </x:is>
      </x:c>
      <x:c r="G84" s="22" t="inlineStr">
        <x:is>
          <x:t xml:space="preserve">MISSING</x:t>
        </x:is>
      </x:c>
      <x:c r="H84" s="22" t="inlineStr">
        <x:is>
          <x:t xml:space="preserve">MISSING</x:t>
        </x:is>
      </x:c>
      <x:c r="I84" s="20" t="inlineStr">
        <x:is>
          <x:t xml:space="preserve">theophysics-lean-main\theophysics-lean-main\Theophysics_Adversarial.lean</x:t>
        </x:is>
      </x:c>
      <x:c r="J84" s="20" t="inlineStr">
        <x:is>
          <x:t xml:space="preserve">436</x:t>
        </x:is>
      </x:c>
      <x:c r="K84" s="20" t="inlineStr">
        <x:is>
          <x:t xml:space="preserve">theorem no_law4_iso_uses_inverted_mapping : law4IsoUsesInvertedMapping = false</x:t>
        </x:is>
      </x:c>
      <x:c r="L84" s="20" t="inlineStr">
        <x:is>
          <x:t xml:space="preserve">no_law4_iso_uses_inverted_mapping</x:t>
        </x:is>
      </x:c>
      <x:c r="M84" s="23" t="inlineStr">
        <x:is>
          <x:t xml:space="preserve">PARTIAL</x:t>
        </x:is>
      </x:c>
      <x:c r="N84" s="21" t="inlineStr">
        <x:is>
          <x:t xml:space="preserve">PLACEHOLDER</x:t>
        </x:is>
      </x:c>
      <x:c r="O84" s="21" t="inlineStr">
        <x:is>
          <x:t xml:space="preserve">PLACEHOLDER</x:t>
        </x:is>
      </x:c>
      <x:c r="P84" s="22" t="inlineStr">
        <x:is>
          <x:t xml:space="preserve">MISSING</x:t>
        </x:is>
      </x:c>
      <x:c r="Q84" s="21" t="inlineStr">
        <x:is>
          <x:t xml:space="preserve">PLACEHOLDER</x:t>
        </x:is>
      </x:c>
      <x:c r="R84" s="21" t="inlineStr">
        <x:is>
          <x:t xml:space="preserve">PLACEHOLDER</x:t>
        </x:is>
      </x:c>
      <x:c r="S84" s="21" t="inlineStr">
        <x:is>
          <x:t xml:space="preserve">PLACEHOLDER</x:t>
        </x:is>
      </x:c>
      <x:c r="T84" s="23" t="inlineStr">
        <x:is>
          <x:t xml:space="preserve">PARTIAL</x:t>
        </x:is>
      </x:c>
      <x:c r="U84" s="21" t="inlineStr">
        <x:is>
          <x:t xml:space="preserve">PLACEHOLDER</x:t>
        </x:is>
      </x:c>
      <x:c r="V84" s="20" t="inlineStr">
        <x:is>
          <x:t xml:space="preserve">lean_match_count=4 | proof_strength=DEFINITIONAL_RFL | Proves definitional equality by reduction; useful but narrow. | definition/proof/numerical/empirical/interp fields still staged as TODO placeholders</x:t>
        </x:is>
      </x:c>
    </x:row>
    <x:row r="85" ht="55.20000076293945" customHeight="1">
      <x:c r="A85" s="20" t="inlineStr">
        <x:is>
          <x:t xml:space="preserve">87</x:t>
        </x:is>
      </x:c>
      <x:c r="B85" s="20" t="inlineStr">
        <x:is>
          <x:t xml:space="preserve">REJECTION: Collapse at stateB (value=one) contradicts axiom</x:t>
        </x:is>
      </x:c>
      <x:c r="C85" s="20" t="inlineStr">
        <x:is>
          <x:t xml:space="preserve">C2 - Structural correspondence candidate</x:t>
        </x:is>
      </x:c>
      <x:c r="D85" s="21" t="inlineStr">
        <x:is>
          <x:t xml:space="preserve">PLACEHOLDER</x:t>
        </x:is>
      </x:c>
      <x:c r="E85" s="22" t="inlineStr">
        <x:is>
          <x:t xml:space="preserve">MISSING</x:t>
        </x:is>
      </x:c>
      <x:c r="F85" s="22" t="inlineStr">
        <x:is>
          <x:t xml:space="preserve">MISSING</x:t>
        </x:is>
      </x:c>
      <x:c r="G85" s="22" t="inlineStr">
        <x:is>
          <x:t xml:space="preserve">MISSING</x:t>
        </x:is>
      </x:c>
      <x:c r="H85" s="22" t="inlineStr">
        <x:is>
          <x:t xml:space="preserve">MISSING</x:t>
        </x:is>
      </x:c>
      <x:c r="I85" s="20" t="inlineStr">
        <x:is>
          <x:t xml:space="preserve">theophysics-lean-main\theophysics-lean-main\Theophysics_Adversarial.lean</x:t>
        </x:is>
      </x:c>
      <x:c r="J85" s="20" t="inlineStr">
        <x:is>
          <x:t xml:space="preserve">440</x:t>
        </x:is>
      </x:c>
      <x:c r="K85" s="20" t="inlineStr">
        <x:is>
          <x:t xml:space="preserve">theorem misaligned_collapse_rule_invalid : misalignedCollapseRuleValid = false</x:t>
        </x:is>
      </x:c>
      <x:c r="L85" s="20" t="inlineStr">
        <x:is>
          <x:t xml:space="preserve">misaligned_collapse_rule_invalid</x:t>
        </x:is>
      </x:c>
      <x:c r="M85" s="23" t="inlineStr">
        <x:is>
          <x:t xml:space="preserve">PARTIAL</x:t>
        </x:is>
      </x:c>
      <x:c r="N85" s="21" t="inlineStr">
        <x:is>
          <x:t xml:space="preserve">PLACEHOLDER</x:t>
        </x:is>
      </x:c>
      <x:c r="O85" s="21" t="inlineStr">
        <x:is>
          <x:t xml:space="preserve">PLACEHOLDER</x:t>
        </x:is>
      </x:c>
      <x:c r="P85" s="22" t="inlineStr">
        <x:is>
          <x:t xml:space="preserve">MISSING</x:t>
        </x:is>
      </x:c>
      <x:c r="Q85" s="21" t="inlineStr">
        <x:is>
          <x:t xml:space="preserve">PLACEHOLDER</x:t>
        </x:is>
      </x:c>
      <x:c r="R85" s="21" t="inlineStr">
        <x:is>
          <x:t xml:space="preserve">PLACEHOLDER</x:t>
        </x:is>
      </x:c>
      <x:c r="S85" s="21" t="inlineStr">
        <x:is>
          <x:t xml:space="preserve">PLACEHOLDER</x:t>
        </x:is>
      </x:c>
      <x:c r="T85" s="23" t="inlineStr">
        <x:is>
          <x:t xml:space="preserve">PARTIAL</x:t>
        </x:is>
      </x:c>
      <x:c r="U85" s="21" t="inlineStr">
        <x:is>
          <x:t xml:space="preserve">PLACEHOLDER</x:t>
        </x:is>
      </x:c>
      <x:c r="V85" s="20" t="inlineStr">
        <x:is>
          <x:t xml:space="preserve">lean_match_count=4 | proof_strength=DEFINITIONAL_RFL | Proves definitional equality by reduction; useful but narrow. | definition/proof/numerical/empirical/interp fields still staged as TODO placeholders</x:t>
        </x:is>
      </x:c>
    </x:row>
    <x:row r="86" ht="55.20000076293945" customHeight="1">
      <x:c r="A86" s="20" t="inlineStr">
        <x:is>
          <x:t xml:space="preserve">88</x:t>
        </x:is>
      </x:c>
      <x:c r="B86" s="20" t="inlineStr">
        <x:is>
          <x:t xml:space="preserve">Quaternion multiplication has scalar-vector coupling that vector-only product lacks</x:t>
        </x:is>
      </x:c>
      <x:c r="C86" s="20" t="inlineStr">
        <x:is>
          <x:t xml:space="preserve">C2 - Structural correspondence candidate</x:t>
        </x:is>
      </x:c>
      <x:c r="D86" s="21" t="inlineStr">
        <x:is>
          <x:t xml:space="preserve">PLACEHOLDER</x:t>
        </x:is>
      </x:c>
      <x:c r="E86" s="22" t="inlineStr">
        <x:is>
          <x:t xml:space="preserve">MISSING</x:t>
        </x:is>
      </x:c>
      <x:c r="F86" s="23" t="inlineStr">
        <x:is>
          <x:t xml:space="preserve">PARTIAL</x:t>
        </x:is>
      </x:c>
      <x:c r="G86" s="22" t="inlineStr">
        <x:is>
          <x:t xml:space="preserve">MISSING</x:t>
        </x:is>
      </x:c>
      <x:c r="H86" s="22" t="inlineStr">
        <x:is>
          <x:t xml:space="preserve">MISSING</x:t>
        </x:is>
      </x:c>
      <x:c r="I86" s="20" t="inlineStr">
        <x:is>
          <x:t xml:space="preserve">theophysics-lean-main\theophysics-lean-main\Theophysics_Core.lean</x:t>
        </x:is>
      </x:c>
      <x:c r="J86" s="20" t="inlineStr">
        <x:is>
          <x:t xml:space="preserve">219</x:t>
        </x:is>
      </x:c>
      <x:c r="K86" s="20" t="inlineStr">
        <x:is>
          <x:t xml:space="preserve">theorem full_quaternion_product_has_coupling_invariant : preservesCouplingInvariant EMSystem.quaternion = true := Theophysics.MaxwellTrinity.full_quaternion_product_has_coupling_invariant</x:t>
        </x:is>
      </x:c>
      <x:c r="L86" s="20" t="inlineStr">
        <x:is>
          <x:t xml:space="preserve">full_quaternion_product_has_coupling_invariant</x:t>
        </x:is>
      </x:c>
      <x:c r="M86" s="23" t="inlineStr">
        <x:is>
          <x:t xml:space="preserve">PARTIAL</x:t>
        </x:is>
      </x:c>
      <x:c r="N86" s="21" t="inlineStr">
        <x:is>
          <x:t xml:space="preserve">PLACEHOLDER</x:t>
        </x:is>
      </x:c>
      <x:c r="O86" s="21" t="inlineStr">
        <x:is>
          <x:t xml:space="preserve">PLACEHOLDER</x:t>
        </x:is>
      </x:c>
      <x:c r="P86" s="22" t="inlineStr">
        <x:is>
          <x:t xml:space="preserve">MISSING</x:t>
        </x:is>
      </x:c>
      <x:c r="Q86" s="21" t="inlineStr">
        <x:is>
          <x:t xml:space="preserve">PLACEHOLDER</x:t>
        </x:is>
      </x:c>
      <x:c r="R86" s="21" t="inlineStr">
        <x:is>
          <x:t xml:space="preserve">PLACEHOLDER</x:t>
        </x:is>
      </x:c>
      <x:c r="S86" s="21" t="inlineStr">
        <x:is>
          <x:t xml:space="preserve">PLACEHOLDER</x:t>
        </x:is>
      </x:c>
      <x:c r="T86" s="23" t="inlineStr">
        <x:is>
          <x:t xml:space="preserve">PARTIAL</x:t>
        </x:is>
      </x:c>
      <x:c r="U86" s="21" t="inlineStr">
        <x:is>
          <x:t xml:space="preserve">PLACEHOLDER</x:t>
        </x:is>
      </x:c>
      <x:c r="V86" s="20" t="inlineStr">
        <x:is>
          <x:t xml:space="preserve">lean_match_count=5 | proof_strength=DECLARATION_OR_UNKNOWN | Could not classify from first proof lines. | definition/proof/numerical/empirical/interp fields still staged as TODO placeholders</x:t>
        </x:is>
      </x:c>
    </x:row>
    <x:row r="87" ht="55.20000076293945" customHeight="1">
      <x:c r="A87" s="20" t="inlineStr">
        <x:is>
          <x:t xml:space="preserve">89</x:t>
        </x:is>
      </x:c>
      <x:c r="B87" s="20" t="inlineStr">
        <x:is>
          <x:t xml:space="preserve">REJECTION: Heaviside vector-only product lacks coupling invariant</x:t>
        </x:is>
      </x:c>
      <x:c r="C87" s="20" t="inlineStr">
        <x:is>
          <x:t xml:space="preserve">C2 - Structural correspondence candidate</x:t>
        </x:is>
      </x:c>
      <x:c r="D87" s="21" t="inlineStr">
        <x:is>
          <x:t xml:space="preserve">PLACEHOLDER</x:t>
        </x:is>
      </x:c>
      <x:c r="E87" s="22" t="inlineStr">
        <x:is>
          <x:t xml:space="preserve">MISSING</x:t>
        </x:is>
      </x:c>
      <x:c r="F87" s="23" t="inlineStr">
        <x:is>
          <x:t xml:space="preserve">PARTIAL</x:t>
        </x:is>
      </x:c>
      <x:c r="G87" s="22" t="inlineStr">
        <x:is>
          <x:t xml:space="preserve">MISSING</x:t>
        </x:is>
      </x:c>
      <x:c r="H87" s="22" t="inlineStr">
        <x:is>
          <x:t xml:space="preserve">MISSING</x:t>
        </x:is>
      </x:c>
      <x:c r="I87" s="20" t="inlineStr">
        <x:is>
          <x:t xml:space="preserve">theophysics-lean-main\theophysics-lean-main\Theophysics_MaxwellTrinity.lean</x:t>
        </x:is>
      </x:c>
      <x:c r="J87" s="20" t="inlineStr">
        <x:is>
          <x:t xml:space="preserve">71</x:t>
        </x:is>
      </x:c>
      <x:c r="K87" s="20" t="inlineStr">
        <x:is>
          <x:t xml:space="preserve">theorem vector_only_product_lacks_coupling_invariant : preservesCouplingInvariant EMSystem.vectorOnly = false</x:t>
        </x:is>
      </x:c>
      <x:c r="L87" s="20" t="inlineStr">
        <x:is>
          <x:t xml:space="preserve">vector_only_product_lacks_coupling_invariant</x:t>
        </x:is>
      </x:c>
      <x:c r="M87" s="23" t="inlineStr">
        <x:is>
          <x:t xml:space="preserve">PARTIAL</x:t>
        </x:is>
      </x:c>
      <x:c r="N87" s="21" t="inlineStr">
        <x:is>
          <x:t xml:space="preserve">PLACEHOLDER</x:t>
        </x:is>
      </x:c>
      <x:c r="O87" s="21" t="inlineStr">
        <x:is>
          <x:t xml:space="preserve">PLACEHOLDER</x:t>
        </x:is>
      </x:c>
      <x:c r="P87" s="22" t="inlineStr">
        <x:is>
          <x:t xml:space="preserve">MISSING</x:t>
        </x:is>
      </x:c>
      <x:c r="Q87" s="21" t="inlineStr">
        <x:is>
          <x:t xml:space="preserve">PLACEHOLDER</x:t>
        </x:is>
      </x:c>
      <x:c r="R87" s="21" t="inlineStr">
        <x:is>
          <x:t xml:space="preserve">PLACEHOLDER</x:t>
        </x:is>
      </x:c>
      <x:c r="S87" s="21" t="inlineStr">
        <x:is>
          <x:t xml:space="preserve">PLACEHOLDER</x:t>
        </x:is>
      </x:c>
      <x:c r="T87" s="23" t="inlineStr">
        <x:is>
          <x:t xml:space="preserve">PARTIAL</x:t>
        </x:is>
      </x:c>
      <x:c r="U87" s="21" t="inlineStr">
        <x:is>
          <x:t xml:space="preserve">PLACEHOLDER</x:t>
        </x:is>
      </x:c>
      <x:c r="V87" s="20" t="inlineStr">
        <x:is>
          <x:t xml:space="preserve">lean_match_count=5 | proof_strength=DEFINITIONAL_RFL | Proves definitional equality by reduction; useful but narrow. | definition/proof/numerical/empirical/interp fields still staged as TODO placeholders</x:t>
        </x:is>
      </x:c>
    </x:row>
    <x:row r="88" ht="55.20000076293945" customHeight="1">
      <x:c r="A88" s="20" t="inlineStr">
        <x:is>
          <x:t xml:space="preserve">90</x:t>
        </x:is>
      </x:c>
      <x:c r="B88" s="20" t="inlineStr">
        <x:is>
          <x:t xml:space="preserve">Split product reconstructs full quaternion product</x:t>
        </x:is>
      </x:c>
      <x:c r="C88" s="20" t="inlineStr">
        <x:is>
          <x:t xml:space="preserve">C2 - Structural correspondence candidate</x:t>
        </x:is>
      </x:c>
      <x:c r="D88" s="21" t="inlineStr">
        <x:is>
          <x:t xml:space="preserve">PLACEHOLDER</x:t>
        </x:is>
      </x:c>
      <x:c r="E88" s="22" t="inlineStr">
        <x:is>
          <x:t xml:space="preserve">MISSING</x:t>
        </x:is>
      </x:c>
      <x:c r="F88" s="22" t="inlineStr">
        <x:is>
          <x:t xml:space="preserve">MISSING</x:t>
        </x:is>
      </x:c>
      <x:c r="G88" s="22" t="inlineStr">
        <x:is>
          <x:t xml:space="preserve">MISSING</x:t>
        </x:is>
      </x:c>
      <x:c r="H88" s="22" t="inlineStr">
        <x:is>
          <x:t xml:space="preserve">MISSING</x:t>
        </x:is>
      </x:c>
      <x:c r="I88" s="20" t="inlineStr">
        <x:is>
          <x:t xml:space="preserve">theophysics-lean-main\theophysics-lean-main\Theophysics_Core.lean</x:t>
        </x:is>
      </x:c>
      <x:c r="J88" s="20" t="inlineStr">
        <x:is>
          <x:t xml:space="preserve">222</x:t>
        </x:is>
      </x:c>
      <x:c r="K88" s="20" t="inlineStr">
        <x:is>
          <x:t xml:space="preserve">theorem full_scalar_vector_split_reconstructs_quaternion_product : True</x:t>
        </x:is>
      </x:c>
      <x:c r="L88" s="20" t="inlineStr">
        <x:is>
          <x:t xml:space="preserve">full_scalar_vector_split_reconstructs_quaternion_product</x:t>
        </x:is>
      </x:c>
      <x:c r="M88" s="23" t="inlineStr">
        <x:is>
          <x:t xml:space="preserve">PARTIAL</x:t>
        </x:is>
      </x:c>
      <x:c r="N88" s="21" t="inlineStr">
        <x:is>
          <x:t xml:space="preserve">PLACEHOLDER</x:t>
        </x:is>
      </x:c>
      <x:c r="O88" s="21" t="inlineStr">
        <x:is>
          <x:t xml:space="preserve">PLACEHOLDER</x:t>
        </x:is>
      </x:c>
      <x:c r="P88" s="22" t="inlineStr">
        <x:is>
          <x:t xml:space="preserve">MISSING</x:t>
        </x:is>
      </x:c>
      <x:c r="Q88" s="21" t="inlineStr">
        <x:is>
          <x:t xml:space="preserve">PLACEHOLDER</x:t>
        </x:is>
      </x:c>
      <x:c r="R88" s="21" t="inlineStr">
        <x:is>
          <x:t xml:space="preserve">PLACEHOLDER</x:t>
        </x:is>
      </x:c>
      <x:c r="S88" s="21" t="inlineStr">
        <x:is>
          <x:t xml:space="preserve">PLACEHOLDER</x:t>
        </x:is>
      </x:c>
      <x:c r="T88" s="23" t="inlineStr">
        <x:is>
          <x:t xml:space="preserve">PARTIAL</x:t>
        </x:is>
      </x:c>
      <x:c r="U88" s="21" t="inlineStr">
        <x:is>
          <x:t xml:space="preserve">PLACEHOLDER</x:t>
        </x:is>
      </x:c>
      <x:c r="V88" s="20" t="inlineStr">
        <x:is>
          <x:t xml:space="preserve">lean_match_count=4 | proof_strength=TRIVIAL_TRUE | Statement is `True`; theorem name may exceed formal content. | definition/proof/numerical/empirical/interp fields still staged as TODO placeholders</x:t>
        </x:is>
      </x:c>
    </x:row>
    <x:row r="89" ht="55.20000076293945" customHeight="1">
      <x:c r="A89" s="20" t="inlineStr">
        <x:is>
          <x:t xml:space="preserve">91</x:t>
        </x:is>
      </x:c>
      <x:c r="B89" s="20" t="inlineStr">
        <x:is>
          <x:t xml:space="preserve">REJECTION: Same dot+cross ≠ same quaternion product. Scalar coupling matters.</x:t>
        </x:is>
      </x:c>
      <x:c r="C89" s="20" t="inlineStr">
        <x:is>
          <x:t xml:space="preserve">C2 - Structural correspondence candidate</x:t>
        </x:is>
      </x:c>
      <x:c r="D89" s="21" t="inlineStr">
        <x:is>
          <x:t xml:space="preserve">PLACEHOLDER</x:t>
        </x:is>
      </x:c>
      <x:c r="E89" s="22" t="inlineStr">
        <x:is>
          <x:t xml:space="preserve">MISSING</x:t>
        </x:is>
      </x:c>
      <x:c r="F89" s="22" t="inlineStr">
        <x:is>
          <x:t xml:space="preserve">MISSING</x:t>
        </x:is>
      </x:c>
      <x:c r="G89" s="22" t="inlineStr">
        <x:is>
          <x:t xml:space="preserve">MISSING</x:t>
        </x:is>
      </x:c>
      <x:c r="H89" s="22" t="inlineStr">
        <x:is>
          <x:t xml:space="preserve">MISSING</x:t>
        </x:is>
      </x:c>
      <x:c r="I89" s="20" t="inlineStr">
        <x:is>
          <x:t xml:space="preserve">theophysics-lean-main\theophysics-lean-main\Theophysics_MaxwellTrinity.lean</x:t>
        </x:is>
      </x:c>
      <x:c r="J89" s="20" t="inlineStr">
        <x:is>
          <x:t xml:space="preserve">75</x:t>
        </x:is>
      </x:c>
      <x:c r="K89" s="20" t="inlineStr">
        <x:is>
          <x:t xml:space="preserve">theorem same_dot_cross_but_different_quaternion_product : sameDotCrossDeterminesQuaternionProduct = false</x:t>
        </x:is>
      </x:c>
      <x:c r="L89" s="20" t="inlineStr">
        <x:is>
          <x:t xml:space="preserve">same_dot_cross_but_different_quaternion_product</x:t>
        </x:is>
      </x:c>
      <x:c r="M89" s="23" t="inlineStr">
        <x:is>
          <x:t xml:space="preserve">PARTIAL</x:t>
        </x:is>
      </x:c>
      <x:c r="N89" s="21" t="inlineStr">
        <x:is>
          <x:t xml:space="preserve">PLACEHOLDER</x:t>
        </x:is>
      </x:c>
      <x:c r="O89" s="21" t="inlineStr">
        <x:is>
          <x:t xml:space="preserve">PLACEHOLDER</x:t>
        </x:is>
      </x:c>
      <x:c r="P89" s="22" t="inlineStr">
        <x:is>
          <x:t xml:space="preserve">MISSING</x:t>
        </x:is>
      </x:c>
      <x:c r="Q89" s="21" t="inlineStr">
        <x:is>
          <x:t xml:space="preserve">PLACEHOLDER</x:t>
        </x:is>
      </x:c>
      <x:c r="R89" s="21" t="inlineStr">
        <x:is>
          <x:t xml:space="preserve">PLACEHOLDER</x:t>
        </x:is>
      </x:c>
      <x:c r="S89" s="21" t="inlineStr">
        <x:is>
          <x:t xml:space="preserve">PLACEHOLDER</x:t>
        </x:is>
      </x:c>
      <x:c r="T89" s="23" t="inlineStr">
        <x:is>
          <x:t xml:space="preserve">PARTIAL</x:t>
        </x:is>
      </x:c>
      <x:c r="U89" s="21" t="inlineStr">
        <x:is>
          <x:t xml:space="preserve">PLACEHOLDER</x:t>
        </x:is>
      </x:c>
      <x:c r="V89" s="20" t="inlineStr">
        <x:is>
          <x:t xml:space="preserve">lean_match_count=5 | proof_strength=DEFINITIONAL_RFL | Proves definitional equality by reduction; useful but narrow. | definition/proof/numerical/empirical/interp fields still staged as TODO placeholders</x:t>
        </x:is>
      </x:c>
    </x:row>
    <x:row r="90" ht="55.20000076293945" customHeight="1">
      <x:c r="A90" s="20" t="inlineStr">
        <x:is>
          <x:t xml:space="preserve">92</x:t>
        </x:is>
      </x:c>
      <x:c r="B90" s="20" t="inlineStr">
        <x:is>
          <x:t xml:space="preserve">Quaternion EM model passes all 5 ValidTriadic conditions</x:t>
        </x:is>
      </x:c>
      <x:c r="C90" s="20" t="inlineStr">
        <x:is>
          <x:t xml:space="preserve">C2 - Structural correspondence candidate</x:t>
        </x:is>
      </x:c>
      <x:c r="D90" s="21" t="inlineStr">
        <x:is>
          <x:t xml:space="preserve">PLACEHOLDER</x:t>
        </x:is>
      </x:c>
      <x:c r="E90" s="22" t="inlineStr">
        <x:is>
          <x:t xml:space="preserve">MISSING</x:t>
        </x:is>
      </x:c>
      <x:c r="F90" s="23" t="inlineStr">
        <x:is>
          <x:t xml:space="preserve">PARTIAL</x:t>
        </x:is>
      </x:c>
      <x:c r="G90" s="22" t="inlineStr">
        <x:is>
          <x:t xml:space="preserve">MISSING</x:t>
        </x:is>
      </x:c>
      <x:c r="H90" s="22" t="inlineStr">
        <x:is>
          <x:t xml:space="preserve">MISSING</x:t>
        </x:is>
      </x:c>
      <x:c r="I90" s="20" t="inlineStr">
        <x:is>
          <x:t xml:space="preserve">theophysics-lean-main\theophysics-lean-main\Theophysics_MaxwellTrinity.lean</x:t>
        </x:is>
      </x:c>
      <x:c r="J90" s="20" t="inlineStr">
        <x:is>
          <x:t xml:space="preserve">54</x:t>
        </x:is>
      </x:c>
      <x:c r="K90" s="20" t="inlineStr">
        <x:is>
          <x:t xml:space="preserve">theorem quaternionEM_valid : preservesCouplingInvariant EMSystem.quaternion = true ∧ trinityStructureValid EMSystem.quaternion = true</x:t>
        </x:is>
      </x:c>
      <x:c r="L90" s="20" t="inlineStr">
        <x:is>
          <x:t xml:space="preserve">quaternionEM_valid</x:t>
        </x:is>
      </x:c>
      <x:c r="M90" s="23" t="inlineStr">
        <x:is>
          <x:t xml:space="preserve">PARTIAL</x:t>
        </x:is>
      </x:c>
      <x:c r="N90" s="21" t="inlineStr">
        <x:is>
          <x:t xml:space="preserve">PLACEHOLDER</x:t>
        </x:is>
      </x:c>
      <x:c r="O90" s="21" t="inlineStr">
        <x:is>
          <x:t xml:space="preserve">PLACEHOLDER</x:t>
        </x:is>
      </x:c>
      <x:c r="P90" s="22" t="inlineStr">
        <x:is>
          <x:t xml:space="preserve">MISSING</x:t>
        </x:is>
      </x:c>
      <x:c r="Q90" s="21" t="inlineStr">
        <x:is>
          <x:t xml:space="preserve">PLACEHOLDER</x:t>
        </x:is>
      </x:c>
      <x:c r="R90" s="21" t="inlineStr">
        <x:is>
          <x:t xml:space="preserve">PLACEHOLDER</x:t>
        </x:is>
      </x:c>
      <x:c r="S90" s="21" t="inlineStr">
        <x:is>
          <x:t xml:space="preserve">PLACEHOLDER</x:t>
        </x:is>
      </x:c>
      <x:c r="T90" s="23" t="inlineStr">
        <x:is>
          <x:t xml:space="preserve">PARTIAL</x:t>
        </x:is>
      </x:c>
      <x:c r="U90" s="21" t="inlineStr">
        <x:is>
          <x:t xml:space="preserve">PLACEHOLDER</x:t>
        </x:is>
      </x:c>
      <x:c r="V90" s="20" t="inlineStr">
        <x:is>
          <x:t xml:space="preserve">lean_match_count=5 | proof_strength=WRAPPER_OR_IMPORTED | Likely delegates to another theorem; cite underlying theorem too. | definition/proof/numerical/empirical/interp fields still staged as TODO placeholders</x:t>
        </x:is>
      </x:c>
    </x:row>
    <x:row r="91" ht="55.20000076293945" customHeight="1">
      <x:c r="A91" s="20" t="inlineStr">
        <x:is>
          <x:t xml:space="preserve">93</x:t>
        </x:is>
      </x:c>
      <x:c r="B91" s="20" t="inlineStr">
        <x:is>
          <x:t xml:space="preserve">Trinity relational model passes all 5 ValidTriadic conditions</x:t>
        </x:is>
      </x:c>
      <x:c r="C91" s="20" t="inlineStr">
        <x:is>
          <x:t xml:space="preserve">C2 - Structural correspondence candidate</x:t>
        </x:is>
      </x:c>
      <x:c r="D91" s="21" t="inlineStr">
        <x:is>
          <x:t xml:space="preserve">PLACEHOLDER</x:t>
        </x:is>
      </x:c>
      <x:c r="E91" s="22" t="inlineStr">
        <x:is>
          <x:t xml:space="preserve">MISSING</x:t>
        </x:is>
      </x:c>
      <x:c r="F91" s="22" t="inlineStr">
        <x:is>
          <x:t xml:space="preserve">MISSING</x:t>
        </x:is>
      </x:c>
      <x:c r="G91" s="22" t="inlineStr">
        <x:is>
          <x:t xml:space="preserve">MISSING</x:t>
        </x:is>
      </x:c>
      <x:c r="H91" s="22" t="inlineStr">
        <x:is>
          <x:t xml:space="preserve">MISSING</x:t>
        </x:is>
      </x:c>
      <x:c r="I91" s="20" t="inlineStr">
        <x:is>
          <x:t xml:space="preserve">theophysics-lean-main\theophysics-lean-main\Theophysics_Core.lean</x:t>
        </x:is>
      </x:c>
      <x:c r="J91" s="20" t="inlineStr">
        <x:is>
          <x:t xml:space="preserve">231</x:t>
        </x:is>
      </x:c>
      <x:c r="K91" s="20" t="inlineStr">
        <x:is>
          <x:t xml:space="preserve">theorem trinityRelational_valid : trinityStructureValid EMSystem.quaternion = true := Theophysics.MaxwellTrinity.trinityRelational_valid</x:t>
        </x:is>
      </x:c>
      <x:c r="L91" s="20" t="inlineStr">
        <x:is>
          <x:t xml:space="preserve">trinityRelational_valid</x:t>
        </x:is>
      </x:c>
      <x:c r="M91" s="23" t="inlineStr">
        <x:is>
          <x:t xml:space="preserve">PARTIAL</x:t>
        </x:is>
      </x:c>
      <x:c r="N91" s="21" t="inlineStr">
        <x:is>
          <x:t xml:space="preserve">PLACEHOLDER</x:t>
        </x:is>
      </x:c>
      <x:c r="O91" s="21" t="inlineStr">
        <x:is>
          <x:t xml:space="preserve">PLACEHOLDER</x:t>
        </x:is>
      </x:c>
      <x:c r="P91" s="22" t="inlineStr">
        <x:is>
          <x:t xml:space="preserve">MISSING</x:t>
        </x:is>
      </x:c>
      <x:c r="Q91" s="21" t="inlineStr">
        <x:is>
          <x:t xml:space="preserve">PLACEHOLDER</x:t>
        </x:is>
      </x:c>
      <x:c r="R91" s="21" t="inlineStr">
        <x:is>
          <x:t xml:space="preserve">PLACEHOLDER</x:t>
        </x:is>
      </x:c>
      <x:c r="S91" s="21" t="inlineStr">
        <x:is>
          <x:t xml:space="preserve">PLACEHOLDER</x:t>
        </x:is>
      </x:c>
      <x:c r="T91" s="23" t="inlineStr">
        <x:is>
          <x:t xml:space="preserve">PARTIAL</x:t>
        </x:is>
      </x:c>
      <x:c r="U91" s="21" t="inlineStr">
        <x:is>
          <x:t xml:space="preserve">PLACEHOLDER</x:t>
        </x:is>
      </x:c>
      <x:c r="V91" s="20" t="inlineStr">
        <x:is>
          <x:t xml:space="preserve">lean_match_count=5 | proof_strength=DECLARATION_OR_UNKNOWN | Could not classify from first proof lines. | definition/proof/numerical/empirical/interp fields still staged as TODO placeholders</x:t>
        </x:is>
      </x:c>
    </x:row>
    <x:row r="92" ht="55.20000076293945" customHeight="1">
      <x:c r="A92" s="20" t="inlineStr">
        <x:is>
          <x:t xml:space="preserve">94</x:t>
        </x:is>
      </x:c>
      <x:c r="B92" s="20" t="inlineStr">
        <x:is>
          <x:t xml:space="preserve">Quaternion EM ≅ Trinity (TriadicIso — full structural isomorphism)</x:t>
        </x:is>
      </x:c>
      <x:c r="C92" s="20" t="inlineStr">
        <x:is>
          <x:t xml:space="preserve">C4 - Isomorphism candidate; requires inverse and broad candidate-space check</x:t>
        </x:is>
      </x:c>
      <x:c r="D92" s="21" t="inlineStr">
        <x:is>
          <x:t xml:space="preserve">PLACEHOLDER</x:t>
        </x:is>
      </x:c>
      <x:c r="E92" s="22" t="inlineStr">
        <x:is>
          <x:t xml:space="preserve">MISSING</x:t>
        </x:is>
      </x:c>
      <x:c r="F92" s="23" t="inlineStr">
        <x:is>
          <x:t xml:space="preserve">PARTIAL</x:t>
        </x:is>
      </x:c>
      <x:c r="G92" s="22" t="inlineStr">
        <x:is>
          <x:t xml:space="preserve">MISSING</x:t>
        </x:is>
      </x:c>
      <x:c r="H92" s="22" t="inlineStr">
        <x:is>
          <x:t xml:space="preserve">MISSING</x:t>
        </x:is>
      </x:c>
      <x:c r="I92" s="20" t="inlineStr">
        <x:is>
          <x:t xml:space="preserve">theophysics-lean-main\theophysics-lean-main\Theophysics_Core.lean</x:t>
        </x:is>
      </x:c>
      <x:c r="J92" s="20" t="inlineStr">
        <x:is>
          <x:t xml:space="preserve">228</x:t>
        </x:is>
      </x:c>
      <x:c r="K92" s="20" t="inlineStr">
        <x:is>
          <x:t xml:space="preserve">theorem quaternionTrinityIso : trinityStructureValid EMSystem.quaternion = true := Theophysics.MaxwellTrinity.quaternionTrinityIso</x:t>
        </x:is>
      </x:c>
      <x:c r="L92" s="20" t="inlineStr">
        <x:is>
          <x:t xml:space="preserve">quaternionTrinityIso</x:t>
        </x:is>
      </x:c>
      <x:c r="M92" s="23" t="inlineStr">
        <x:is>
          <x:t xml:space="preserve">PARTIAL</x:t>
        </x:is>
      </x:c>
      <x:c r="N92" s="21" t="inlineStr">
        <x:is>
          <x:t xml:space="preserve">PLACEHOLDER</x:t>
        </x:is>
      </x:c>
      <x:c r="O92" s="21" t="inlineStr">
        <x:is>
          <x:t xml:space="preserve">PLACEHOLDER</x:t>
        </x:is>
      </x:c>
      <x:c r="P92" s="22" t="inlineStr">
        <x:is>
          <x:t xml:space="preserve">MISSING</x:t>
        </x:is>
      </x:c>
      <x:c r="Q92" s="21" t="inlineStr">
        <x:is>
          <x:t xml:space="preserve">PLACEHOLDER</x:t>
        </x:is>
      </x:c>
      <x:c r="R92" s="21" t="inlineStr">
        <x:is>
          <x:t xml:space="preserve">PLACEHOLDER</x:t>
        </x:is>
      </x:c>
      <x:c r="S92" s="21" t="inlineStr">
        <x:is>
          <x:t xml:space="preserve">PLACEHOLDER</x:t>
        </x:is>
      </x:c>
      <x:c r="T92" s="23" t="inlineStr">
        <x:is>
          <x:t xml:space="preserve">PARTIAL</x:t>
        </x:is>
      </x:c>
      <x:c r="U92" s="21" t="inlineStr">
        <x:is>
          <x:t xml:space="preserve">PLACEHOLDER</x:t>
        </x:is>
      </x:c>
      <x:c r="V92" s="20" t="inlineStr">
        <x:is>
          <x:t xml:space="preserve">lean_match_count=5 | proof_strength=DECLARATION_OR_UNKNOWN | Could not classify from first proof lines. | definition/proof/numerical/empirical/interp fields still staged as TODO placeholders</x:t>
        </x:is>
      </x:c>
    </x:row>
    <x:row r="93" ht="55.20000076293945" customHeight="1">
      <x:c r="A93" s="20" t="inlineStr">
        <x:is>
          <x:t xml:space="preserve">95</x:t>
        </x:is>
      </x:c>
      <x:c r="B93" s="20" t="inlineStr">
        <x:is>
          <x:t xml:space="preserve">REJECTION: Heaviside EM fails — no coupling invariant</x:t>
        </x:is>
      </x:c>
      <x:c r="C93" s="20" t="inlineStr">
        <x:is>
          <x:t xml:space="preserve">C2 - Structural correspondence candidate</x:t>
        </x:is>
      </x:c>
      <x:c r="D93" s="21" t="inlineStr">
        <x:is>
          <x:t xml:space="preserve">PLACEHOLDER</x:t>
        </x:is>
      </x:c>
      <x:c r="E93" s="22" t="inlineStr">
        <x:is>
          <x:t xml:space="preserve">MISSING</x:t>
        </x:is>
      </x:c>
      <x:c r="F93" s="23" t="inlineStr">
        <x:is>
          <x:t xml:space="preserve">PARTIAL</x:t>
        </x:is>
      </x:c>
      <x:c r="G93" s="22" t="inlineStr">
        <x:is>
          <x:t xml:space="preserve">MISSING</x:t>
        </x:is>
      </x:c>
      <x:c r="H93" s="22" t="inlineStr">
        <x:is>
          <x:t xml:space="preserve">MISSING</x:t>
        </x:is>
      </x:c>
      <x:c r="I93" s="20" t="inlineStr">
        <x:is>
          <x:t xml:space="preserve">theophysics-lean-main\theophysics-lean-main\Theophysics_MaxwellTrinity.lean</x:t>
        </x:is>
      </x:c>
      <x:c r="J93" s="20" t="inlineStr">
        <x:is>
          <x:t xml:space="preserve">79</x:t>
        </x:is>
      </x:c>
      <x:c r="K93" s="20" t="inlineStr">
        <x:is>
          <x:t xml:space="preserve">theorem heavisideVectorEM_invalid : trinityStructureValid EMSystem.heavisideVector = false</x:t>
        </x:is>
      </x:c>
      <x:c r="L93" s="20" t="inlineStr">
        <x:is>
          <x:t xml:space="preserve">heavisideVectorEM_invalid</x:t>
        </x:is>
      </x:c>
      <x:c r="M93" s="23" t="inlineStr">
        <x:is>
          <x:t xml:space="preserve">PARTIAL</x:t>
        </x:is>
      </x:c>
      <x:c r="N93" s="21" t="inlineStr">
        <x:is>
          <x:t xml:space="preserve">PLACEHOLDER</x:t>
        </x:is>
      </x:c>
      <x:c r="O93" s="21" t="inlineStr">
        <x:is>
          <x:t xml:space="preserve">PLACEHOLDER</x:t>
        </x:is>
      </x:c>
      <x:c r="P93" s="22" t="inlineStr">
        <x:is>
          <x:t xml:space="preserve">MISSING</x:t>
        </x:is>
      </x:c>
      <x:c r="Q93" s="21" t="inlineStr">
        <x:is>
          <x:t xml:space="preserve">PLACEHOLDER</x:t>
        </x:is>
      </x:c>
      <x:c r="R93" s="21" t="inlineStr">
        <x:is>
          <x:t xml:space="preserve">PLACEHOLDER</x:t>
        </x:is>
      </x:c>
      <x:c r="S93" s="21" t="inlineStr">
        <x:is>
          <x:t xml:space="preserve">PLACEHOLDER</x:t>
        </x:is>
      </x:c>
      <x:c r="T93" s="23" t="inlineStr">
        <x:is>
          <x:t xml:space="preserve">PARTIAL</x:t>
        </x:is>
      </x:c>
      <x:c r="U93" s="21" t="inlineStr">
        <x:is>
          <x:t xml:space="preserve">PLACEHOLDER</x:t>
        </x:is>
      </x:c>
      <x:c r="V93" s="20" t="inlineStr">
        <x:is>
          <x:t xml:space="preserve">lean_match_count=5 | proof_strength=DEFINITIONAL_RFL | Proves definitional equality by reduction; useful but narrow. | definition/proof/numerical/empirical/interp fields still staged as TODO placeholders</x:t>
        </x:is>
      </x:c>
    </x:row>
    <x:row r="94" ht="55.20000076293945" customHeight="1">
      <x:c r="A94" s="20" t="inlineStr">
        <x:is>
          <x:t xml:space="preserve">96</x:t>
        </x:is>
      </x:c>
      <x:c r="B94" s="20" t="inlineStr">
        <x:is>
          <x:t xml:space="preserve">REJECTION: Modalism fails — no relational distinctness</x:t>
        </x:is>
      </x:c>
      <x:c r="C94" s="20" t="inlineStr">
        <x:is>
          <x:t xml:space="preserve">C2 - Structural correspondence candidate</x:t>
        </x:is>
      </x:c>
      <x:c r="D94" s="21" t="inlineStr">
        <x:is>
          <x:t xml:space="preserve">PLACEHOLDER</x:t>
        </x:is>
      </x:c>
      <x:c r="E94" s="22" t="inlineStr">
        <x:is>
          <x:t xml:space="preserve">MISSING</x:t>
        </x:is>
      </x:c>
      <x:c r="F94" s="22" t="inlineStr">
        <x:is>
          <x:t xml:space="preserve">MISSING</x:t>
        </x:is>
      </x:c>
      <x:c r="G94" s="22" t="inlineStr">
        <x:is>
          <x:t xml:space="preserve">MISSING</x:t>
        </x:is>
      </x:c>
      <x:c r="H94" s="22" t="inlineStr">
        <x:is>
          <x:t xml:space="preserve">MISSING</x:t>
        </x:is>
      </x:c>
      <x:c r="I94" s="20" t="inlineStr">
        <x:is>
          <x:t xml:space="preserve">theophysics-lean-main\theophysics-lean-main\Theophysics_MaxwellTrinity.lean</x:t>
        </x:is>
      </x:c>
      <x:c r="J94" s="20" t="inlineStr">
        <x:is>
          <x:t xml:space="preserve">83</x:t>
        </x:is>
      </x:c>
      <x:c r="K94" s="20" t="inlineStr">
        <x:is>
          <x:t xml:space="preserve">theorem modalism_invalid : trinityStructureValid EMSystem.modalist = false</x:t>
        </x:is>
      </x:c>
      <x:c r="L94" s="20" t="inlineStr">
        <x:is>
          <x:t xml:space="preserve">modalism_invalid</x:t>
        </x:is>
      </x:c>
      <x:c r="M94" s="23" t="inlineStr">
        <x:is>
          <x:t xml:space="preserve">PARTIAL</x:t>
        </x:is>
      </x:c>
      <x:c r="N94" s="21" t="inlineStr">
        <x:is>
          <x:t xml:space="preserve">PLACEHOLDER</x:t>
        </x:is>
      </x:c>
      <x:c r="O94" s="21" t="inlineStr">
        <x:is>
          <x:t xml:space="preserve">PLACEHOLDER</x:t>
        </x:is>
      </x:c>
      <x:c r="P94" s="22" t="inlineStr">
        <x:is>
          <x:t xml:space="preserve">MISSING</x:t>
        </x:is>
      </x:c>
      <x:c r="Q94" s="21" t="inlineStr">
        <x:is>
          <x:t xml:space="preserve">PLACEHOLDER</x:t>
        </x:is>
      </x:c>
      <x:c r="R94" s="21" t="inlineStr">
        <x:is>
          <x:t xml:space="preserve">PLACEHOLDER</x:t>
        </x:is>
      </x:c>
      <x:c r="S94" s="21" t="inlineStr">
        <x:is>
          <x:t xml:space="preserve">PLACEHOLDER</x:t>
        </x:is>
      </x:c>
      <x:c r="T94" s="23" t="inlineStr">
        <x:is>
          <x:t xml:space="preserve">PARTIAL</x:t>
        </x:is>
      </x:c>
      <x:c r="U94" s="21" t="inlineStr">
        <x:is>
          <x:t xml:space="preserve">PLACEHOLDER</x:t>
        </x:is>
      </x:c>
      <x:c r="V94" s="20" t="inlineStr">
        <x:is>
          <x:t xml:space="preserve">lean_match_count=5 | proof_strength=DEFINITIONAL_RFL | Proves definitional equality by reduction; useful but narrow. | definition/proof/numerical/empirical/interp fields still staged as TODO placeholders</x:t>
        </x:is>
      </x:c>
    </x:row>
    <x:row r="95" ht="55.20000076293945" customHeight="1">
      <x:c r="A95" s="20" t="inlineStr">
        <x:is>
          <x:t xml:space="preserve">97</x:t>
        </x:is>
      </x:c>
      <x:c r="B95" s="20" t="inlineStr">
        <x:is>
          <x:t xml:space="preserve">REJECTION: Static single-field EM fails — not full dynamic</x:t>
        </x:is>
      </x:c>
      <x:c r="C95" s="20" t="inlineStr">
        <x:is>
          <x:t xml:space="preserve">C5 - Dynamical equivalence candidate</x:t>
        </x:is>
      </x:c>
      <x:c r="D95" s="21" t="inlineStr">
        <x:is>
          <x:t xml:space="preserve">PLACEHOLDER</x:t>
        </x:is>
      </x:c>
      <x:c r="E95" s="22" t="inlineStr">
        <x:is>
          <x:t xml:space="preserve">MISSING</x:t>
        </x:is>
      </x:c>
      <x:c r="F95" s="22" t="inlineStr">
        <x:is>
          <x:t xml:space="preserve">MISSING</x:t>
        </x:is>
      </x:c>
      <x:c r="G95" s="22" t="inlineStr">
        <x:is>
          <x:t xml:space="preserve">MISSING</x:t>
        </x:is>
      </x:c>
      <x:c r="H95" s="22" t="inlineStr">
        <x:is>
          <x:t xml:space="preserve">MISSING</x:t>
        </x:is>
      </x:c>
      <x:c r="I95" s="20" t="inlineStr">
        <x:is>
          <x:t xml:space="preserve">theophysics-lean-main\theophysics-lean-main\Theophysics_MaxwellTrinity.lean</x:t>
        </x:is>
      </x:c>
      <x:c r="J95" s="20" t="inlineStr">
        <x:is>
          <x:t xml:space="preserve">87</x:t>
        </x:is>
      </x:c>
      <x:c r="K95" s="20" t="inlineStr">
        <x:is>
          <x:t xml:space="preserve">theorem staticSingleFieldEM_invalid : trinityStructureValid EMSystem.staticSingleField = false</x:t>
        </x:is>
      </x:c>
      <x:c r="L95" s="20" t="inlineStr">
        <x:is>
          <x:t xml:space="preserve">staticSingleFieldEM_invalid</x:t>
        </x:is>
      </x:c>
      <x:c r="M95" s="23" t="inlineStr">
        <x:is>
          <x:t xml:space="preserve">PARTIAL</x:t>
        </x:is>
      </x:c>
      <x:c r="N95" s="21" t="inlineStr">
        <x:is>
          <x:t xml:space="preserve">PLACEHOLDER</x:t>
        </x:is>
      </x:c>
      <x:c r="O95" s="21" t="inlineStr">
        <x:is>
          <x:t xml:space="preserve">PLACEHOLDER</x:t>
        </x:is>
      </x:c>
      <x:c r="P95" s="22" t="inlineStr">
        <x:is>
          <x:t xml:space="preserve">MISSING</x:t>
        </x:is>
      </x:c>
      <x:c r="Q95" s="21" t="inlineStr">
        <x:is>
          <x:t xml:space="preserve">PLACEHOLDER</x:t>
        </x:is>
      </x:c>
      <x:c r="R95" s="21" t="inlineStr">
        <x:is>
          <x:t xml:space="preserve">PLACEHOLDER</x:t>
        </x:is>
      </x:c>
      <x:c r="S95" s="21" t="inlineStr">
        <x:is>
          <x:t xml:space="preserve">PLACEHOLDER</x:t>
        </x:is>
      </x:c>
      <x:c r="T95" s="23" t="inlineStr">
        <x:is>
          <x:t xml:space="preserve">PARTIAL</x:t>
        </x:is>
      </x:c>
      <x:c r="U95" s="21" t="inlineStr">
        <x:is>
          <x:t xml:space="preserve">PLACEHOLDER</x:t>
        </x:is>
      </x:c>
      <x:c r="V95" s="20" t="inlineStr">
        <x:is>
          <x:t xml:space="preserve">lean_match_count=5 | proof_strength=DEFINITIONAL_RFL | Proves definitional equality by reduction; useful but narrow. | definition/proof/numerical/empirical/interp fields still staged as TODO placeholders</x:t>
        </x:is>
      </x:c>
    </x:row>
    <x:row r="96" ht="55.20000076293945" customHeight="1">
      <x:c r="A96" s="20" t="inlineStr">
        <x:is>
          <x:t xml:space="preserve">98</x:t>
        </x:is>
      </x:c>
      <x:c r="B96" s="20" t="inlineStr">
        <x:is>
          <x:t xml:space="preserve">REJECTION: Generic 3-part system fails — wrong role profiles</x:t>
        </x:is>
      </x:c>
      <x:c r="C96" s="20" t="inlineStr">
        <x:is>
          <x:t xml:space="preserve">C2 - Structural correspondence candidate</x:t>
        </x:is>
      </x:c>
      <x:c r="D96" s="21" t="inlineStr">
        <x:is>
          <x:t xml:space="preserve">PLACEHOLDER</x:t>
        </x:is>
      </x:c>
      <x:c r="E96" s="22" t="inlineStr">
        <x:is>
          <x:t xml:space="preserve">MISSING</x:t>
        </x:is>
      </x:c>
      <x:c r="F96" s="22" t="inlineStr">
        <x:is>
          <x:t xml:space="preserve">MISSING</x:t>
        </x:is>
      </x:c>
      <x:c r="G96" s="22" t="inlineStr">
        <x:is>
          <x:t xml:space="preserve">MISSING</x:t>
        </x:is>
      </x:c>
      <x:c r="H96" s="22" t="inlineStr">
        <x:is>
          <x:t xml:space="preserve">MISSING</x:t>
        </x:is>
      </x:c>
      <x:c r="I96" s="20" t="inlineStr">
        <x:is>
          <x:t xml:space="preserve">theophysics-lean-main\theophysics-lean-main\Theophysics_MaxwellTrinity.lean</x:t>
        </x:is>
      </x:c>
      <x:c r="J96" s="20" t="inlineStr">
        <x:is>
          <x:t xml:space="preserve">91</x:t>
        </x:is>
      </x:c>
      <x:c r="K96" s="20" t="inlineStr">
        <x:is>
          <x:t xml:space="preserve">theorem arbitraryThreePartSystem_invalid : trinityStructureValid EMSystem.arbitraryThreePart = false</x:t>
        </x:is>
      </x:c>
      <x:c r="L96" s="20" t="inlineStr">
        <x:is>
          <x:t xml:space="preserve">arbitraryThreePartSystem_invalid</x:t>
        </x:is>
      </x:c>
      <x:c r="M96" s="23" t="inlineStr">
        <x:is>
          <x:t xml:space="preserve">PARTIAL</x:t>
        </x:is>
      </x:c>
      <x:c r="N96" s="21" t="inlineStr">
        <x:is>
          <x:t xml:space="preserve">PLACEHOLDER</x:t>
        </x:is>
      </x:c>
      <x:c r="O96" s="21" t="inlineStr">
        <x:is>
          <x:t xml:space="preserve">PLACEHOLDER</x:t>
        </x:is>
      </x:c>
      <x:c r="P96" s="22" t="inlineStr">
        <x:is>
          <x:t xml:space="preserve">MISSING</x:t>
        </x:is>
      </x:c>
      <x:c r="Q96" s="21" t="inlineStr">
        <x:is>
          <x:t xml:space="preserve">PLACEHOLDER</x:t>
        </x:is>
      </x:c>
      <x:c r="R96" s="21" t="inlineStr">
        <x:is>
          <x:t xml:space="preserve">PLACEHOLDER</x:t>
        </x:is>
      </x:c>
      <x:c r="S96" s="21" t="inlineStr">
        <x:is>
          <x:t xml:space="preserve">PLACEHOLDER</x:t>
        </x:is>
      </x:c>
      <x:c r="T96" s="23" t="inlineStr">
        <x:is>
          <x:t xml:space="preserve">PARTIAL</x:t>
        </x:is>
      </x:c>
      <x:c r="U96" s="21" t="inlineStr">
        <x:is>
          <x:t xml:space="preserve">PLACEHOLDER</x:t>
        </x:is>
      </x:c>
      <x:c r="V96" s="20" t="inlineStr">
        <x:is>
          <x:t xml:space="preserve">lean_match_count=5 | proof_strength=DEFINITIONAL_RFL | Proves definitional equality by reduction; useful but narrow. | definition/proof/numerical/empirical/interp fields still staged as TODO placeholders</x:t>
        </x:is>
      </x:c>
    </x:row>
    <x:row r="97" ht="55.20000076293945" customHeight="1">
      <x:c r="A97" s="20" t="inlineStr">
        <x:is>
          <x:t xml:space="preserve">99</x:t>
        </x:is>
      </x:c>
      <x:c r="B97" s="20" t="inlineStr">
        <x:is>
          <x:t xml:space="preserve">REJECTION: Relabeled roles fail — labels ≠ profiles</x:t>
        </x:is>
      </x:c>
      <x:c r="C97" s="20" t="inlineStr">
        <x:is>
          <x:t xml:space="preserve">C2 - Structural correspondence candidate</x:t>
        </x:is>
      </x:c>
      <x:c r="D97" s="21" t="inlineStr">
        <x:is>
          <x:t xml:space="preserve">PLACEHOLDER</x:t>
        </x:is>
      </x:c>
      <x:c r="E97" s="22" t="inlineStr">
        <x:is>
          <x:t xml:space="preserve">MISSING</x:t>
        </x:is>
      </x:c>
      <x:c r="F97" s="22" t="inlineStr">
        <x:is>
          <x:t xml:space="preserve">MISSING</x:t>
        </x:is>
      </x:c>
      <x:c r="G97" s="22" t="inlineStr">
        <x:is>
          <x:t xml:space="preserve">MISSING</x:t>
        </x:is>
      </x:c>
      <x:c r="H97" s="23" t="inlineStr">
        <x:is>
          <x:t xml:space="preserve">PARTIAL</x:t>
        </x:is>
      </x:c>
      <x:c r="I97" s="20" t="inlineStr">
        <x:is>
          <x:t xml:space="preserve">theophysics-lean-main\theophysics-lean-main\Theophysics_MaxwellTrinity.lean</x:t>
        </x:is>
      </x:c>
      <x:c r="J97" s="20" t="inlineStr">
        <x:is>
          <x:t xml:space="preserve">95</x:t>
        </x:is>
      </x:c>
      <x:c r="K97" s="20" t="inlineStr">
        <x:is>
          <x:t xml:space="preserve">theorem relabeledRoleSystem_invalid : trinityStructureValid EMSystem.relabeledRoles = false</x:t>
        </x:is>
      </x:c>
      <x:c r="L97" s="20" t="inlineStr">
        <x:is>
          <x:t xml:space="preserve">relabeledRoleSystem_invalid</x:t>
        </x:is>
      </x:c>
      <x:c r="M97" s="23" t="inlineStr">
        <x:is>
          <x:t xml:space="preserve">PARTIAL</x:t>
        </x:is>
      </x:c>
      <x:c r="N97" s="21" t="inlineStr">
        <x:is>
          <x:t xml:space="preserve">PLACEHOLDER</x:t>
        </x:is>
      </x:c>
      <x:c r="O97" s="21" t="inlineStr">
        <x:is>
          <x:t xml:space="preserve">PLACEHOLDER</x:t>
        </x:is>
      </x:c>
      <x:c r="P97" s="22" t="inlineStr">
        <x:is>
          <x:t xml:space="preserve">MISSING</x:t>
        </x:is>
      </x:c>
      <x:c r="Q97" s="21" t="inlineStr">
        <x:is>
          <x:t xml:space="preserve">PLACEHOLDER</x:t>
        </x:is>
      </x:c>
      <x:c r="R97" s="21" t="inlineStr">
        <x:is>
          <x:t xml:space="preserve">PLACEHOLDER</x:t>
        </x:is>
      </x:c>
      <x:c r="S97" s="21" t="inlineStr">
        <x:is>
          <x:t xml:space="preserve">PLACEHOLDER</x:t>
        </x:is>
      </x:c>
      <x:c r="T97" s="23" t="inlineStr">
        <x:is>
          <x:t xml:space="preserve">PARTIAL</x:t>
        </x:is>
      </x:c>
      <x:c r="U97" s="21" t="inlineStr">
        <x:is>
          <x:t xml:space="preserve">PLACEHOLDER</x:t>
        </x:is>
      </x:c>
      <x:c r="V97" s="20" t="inlineStr">
        <x:is>
          <x:t xml:space="preserve">lean_match_count=5 | proof_strength=DEFINITIONAL_RFL | Proves definitional equality by reduction; useful but narrow. | definition/proof/numerical/empirical/interp fields still staged as TODO placeholders</x:t>
        </x:is>
      </x:c>
    </x:row>
    <x:row r="98" ht="69" customHeight="1">
      <x:c r="A98" s="20" t="inlineStr">
        <x:is>
          <x:t xml:space="preserve">100–104</x:t>
        </x:is>
      </x:c>
      <x:c r="B98" s="20" t="inlineStr">
        <x:is>
          <x:t xml:space="preserve">REJECTION: No TriadicIso to Heaviside, Modalism, static EM, arbitrary 3-part, or relabeled system</x:t>
        </x:is>
      </x:c>
      <x:c r="C98" s="20" t="inlineStr">
        <x:is>
          <x:t xml:space="preserve">C4 - Isomorphism candidate; requires inverse and broad candidate-space check</x:t>
        </x:is>
      </x:c>
      <x:c r="D98" s="21" t="inlineStr">
        <x:is>
          <x:t xml:space="preserve">PLACEHOLDER</x:t>
        </x:is>
      </x:c>
      <x:c r="E98" s="22" t="inlineStr">
        <x:is>
          <x:t xml:space="preserve">MISSING</x:t>
        </x:is>
      </x:c>
      <x:c r="F98" s="22" t="inlineStr">
        <x:is>
          <x:t xml:space="preserve">MISSING</x:t>
        </x:is>
      </x:c>
      <x:c r="G98" s="22" t="inlineStr">
        <x:is>
          <x:t xml:space="preserve">MISSING</x:t>
        </x:is>
      </x:c>
      <x:c r="H98" s="23" t="inlineStr">
        <x:is>
          <x:t xml:space="preserve">PARTIAL</x:t>
        </x:is>
      </x:c>
      <x:c r="I98" s="20" t="inlineStr">
        <x:is>
          <x:t xml:space="preserve">NEEDS_SOURCE_PATH</x:t>
        </x:is>
      </x:c>
      <x:c r="J98" s="20" t="inlineStr">
        <x:is>
          <x:t xml:space="preserve">NEEDS_SOURCE_PATH</x:t>
        </x:is>
      </x:c>
      <x:c r="K98" s="20" t="inlineStr">
        <x:is>
          <x:t xml:space="preserve">NEEDS_SOURCE_PATH</x:t>
        </x:is>
      </x:c>
      <x:c r="L98" s="20" t="inlineStr">
        <x:is>
          <x:t xml:space="preserve">no_iso_from_* (5 theorems)</x:t>
        </x:is>
      </x:c>
      <x:c r="M98" s="24" t="inlineStr">
        <x:is>
          <x:t xml:space="preserve">NEEDS_SOURCE_PATH</x:t>
        </x:is>
      </x:c>
      <x:c r="N98" s="21" t="inlineStr">
        <x:is>
          <x:t xml:space="preserve">PLACEHOLDER</x:t>
        </x:is>
      </x:c>
      <x:c r="O98" s="21" t="inlineStr">
        <x:is>
          <x:t xml:space="preserve">PLACEHOLDER</x:t>
        </x:is>
      </x:c>
      <x:c r="P98" s="22" t="inlineStr">
        <x:is>
          <x:t xml:space="preserve">MISSING</x:t>
        </x:is>
      </x:c>
      <x:c r="Q98" s="21" t="inlineStr">
        <x:is>
          <x:t xml:space="preserve">PLACEHOLDER</x:t>
        </x:is>
      </x:c>
      <x:c r="R98" s="21" t="inlineStr">
        <x:is>
          <x:t xml:space="preserve">PLACEHOLDER</x:t>
        </x:is>
      </x:c>
      <x:c r="S98" s="21" t="inlineStr">
        <x:is>
          <x:t xml:space="preserve">PLACEHOLDER</x:t>
        </x:is>
      </x:c>
      <x:c r="T98" s="24" t="inlineStr">
        <x:is>
          <x:t xml:space="preserve">NEEDS_SOURCE_PATH</x:t>
        </x:is>
      </x:c>
      <x:c r="U98" s="21" t="inlineStr">
        <x:is>
          <x:t xml:space="preserve">PLACEHOLDER</x:t>
        </x:is>
      </x:c>
      <x:c r="V98"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99" ht="69" customHeight="1">
      <x:c r="A99" s="20" t="inlineStr">
        <x:is>
          <x:t xml:space="preserve">105–106</x:t>
        </x:is>
      </x:c>
      <x:c r="B99" s="20" t="inlineStr">
        <x:is>
          <x:t xml:space="preserve">REJECTION: Cyclic role swap fails source preservation AND profile preservation</x:t>
        </x:is>
      </x:c>
      <x:c r="C99" s="20" t="inlineStr">
        <x:is>
          <x:t xml:space="preserve">C2 - Structural correspondence candidate</x:t>
        </x:is>
      </x:c>
      <x:c r="D99" s="21" t="inlineStr">
        <x:is>
          <x:t xml:space="preserve">PLACEHOLDER</x:t>
        </x:is>
      </x:c>
      <x:c r="E99" s="22" t="inlineStr">
        <x:is>
          <x:t xml:space="preserve">MISSING</x:t>
        </x:is>
      </x:c>
      <x:c r="F99" s="23" t="inlineStr">
        <x:is>
          <x:t xml:space="preserve">PARTIAL</x:t>
        </x:is>
      </x:c>
      <x:c r="G99" s="22" t="inlineStr">
        <x:is>
          <x:t xml:space="preserve">MISSING</x:t>
        </x:is>
      </x:c>
      <x:c r="H99" s="22" t="inlineStr">
        <x:is>
          <x:t xml:space="preserve">MISSING</x:t>
        </x:is>
      </x:c>
      <x:c r="I99" s="20" t="inlineStr">
        <x:is>
          <x:t xml:space="preserve">NEEDS_SOURCE_PATH</x:t>
        </x:is>
      </x:c>
      <x:c r="J99" s="20" t="inlineStr">
        <x:is>
          <x:t xml:space="preserve">NEEDS_SOURCE_PATH</x:t>
        </x:is>
      </x:c>
      <x:c r="K99" s="20" t="inlineStr">
        <x:is>
          <x:t xml:space="preserve">NEEDS_SOURCE_PATH</x:t>
        </x:is>
      </x:c>
      <x:c r="L99" s="20" t="inlineStr">
        <x:is>
          <x:t xml:space="preserve">cyclicRoleMap_not_source/profile_preserving</x:t>
        </x:is>
      </x:c>
      <x:c r="M99" s="24" t="inlineStr">
        <x:is>
          <x:t xml:space="preserve">NEEDS_SOURCE_PATH</x:t>
        </x:is>
      </x:c>
      <x:c r="N99" s="21" t="inlineStr">
        <x:is>
          <x:t xml:space="preserve">PLACEHOLDER</x:t>
        </x:is>
      </x:c>
      <x:c r="O99" s="21" t="inlineStr">
        <x:is>
          <x:t xml:space="preserve">PLACEHOLDER</x:t>
        </x:is>
      </x:c>
      <x:c r="P99" s="22" t="inlineStr">
        <x:is>
          <x:t xml:space="preserve">MISSING</x:t>
        </x:is>
      </x:c>
      <x:c r="Q99" s="21" t="inlineStr">
        <x:is>
          <x:t xml:space="preserve">PLACEHOLDER</x:t>
        </x:is>
      </x:c>
      <x:c r="R99" s="21" t="inlineStr">
        <x:is>
          <x:t xml:space="preserve">PLACEHOLDER</x:t>
        </x:is>
      </x:c>
      <x:c r="S99" s="21" t="inlineStr">
        <x:is>
          <x:t xml:space="preserve">PLACEHOLDER</x:t>
        </x:is>
      </x:c>
      <x:c r="T99" s="24" t="inlineStr">
        <x:is>
          <x:t xml:space="preserve">NEEDS_SOURCE_PATH</x:t>
        </x:is>
      </x:c>
      <x:c r="U99" s="21" t="inlineStr">
        <x:is>
          <x:t xml:space="preserve">PLACEHOLDER</x:t>
        </x:is>
      </x:c>
      <x:c r="V99"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00" ht="69" customHeight="1">
      <x:c r="A100" s="20" t="inlineStr">
        <x:is>
          <x:t xml:space="preserve">107–111</x:t>
        </x:is>
      </x:c>
      <x:c r="B100" s="20" t="inlineStr">
        <x:is>
          <x:t xml:space="preserve">Each guard does real work: removing ANY single guard admits the corresponding false positive</x:t>
        </x:is>
      </x:c>
      <x:c r="C100" s="20" t="inlineStr">
        <x:is>
          <x:t xml:space="preserve">C2 - Structural correspondence candidate</x:t>
        </x:is>
      </x:c>
      <x:c r="D100" s="21" t="inlineStr">
        <x:is>
          <x:t xml:space="preserve">PLACEHOLDER</x:t>
        </x:is>
      </x:c>
      <x:c r="E100" s="22" t="inlineStr">
        <x:is>
          <x:t xml:space="preserve">MISSING</x:t>
        </x:is>
      </x:c>
      <x:c r="F100" s="22" t="inlineStr">
        <x:is>
          <x:t xml:space="preserve">MISSING</x:t>
        </x:is>
      </x:c>
      <x:c r="G100" s="23" t="inlineStr">
        <x:is>
          <x:t xml:space="preserve">PARTIAL</x:t>
        </x:is>
      </x:c>
      <x:c r="H100" s="22" t="inlineStr">
        <x:is>
          <x:t xml:space="preserve">MISSING</x:t>
        </x:is>
      </x:c>
      <x:c r="I100" s="20" t="inlineStr">
        <x:is>
          <x:t xml:space="preserve">NEEDS_SOURCE_PATH</x:t>
        </x:is>
      </x:c>
      <x:c r="J100" s="20" t="inlineStr">
        <x:is>
          <x:t xml:space="preserve">NEEDS_SOURCE_PATH</x:t>
        </x:is>
      </x:c>
      <x:c r="K100" s="20" t="inlineStr">
        <x:is>
          <x:t xml:space="preserve">NEEDS_SOURCE_PATH</x:t>
        </x:is>
      </x:c>
      <x:c r="L100" s="20" t="inlineStr">
        <x:is>
          <x:t xml:space="preserve">Load-bearing constraint audits (5)</x:t>
        </x:is>
      </x:c>
      <x:c r="M100" s="24" t="inlineStr">
        <x:is>
          <x:t xml:space="preserve">NEEDS_SOURCE_PATH</x:t>
        </x:is>
      </x:c>
      <x:c r="N100" s="21" t="inlineStr">
        <x:is>
          <x:t xml:space="preserve">PLACEHOLDER</x:t>
        </x:is>
      </x:c>
      <x:c r="O100" s="21" t="inlineStr">
        <x:is>
          <x:t xml:space="preserve">PLACEHOLDER</x:t>
        </x:is>
      </x:c>
      <x:c r="P100" s="22" t="inlineStr">
        <x:is>
          <x:t xml:space="preserve">MISSING</x:t>
        </x:is>
      </x:c>
      <x:c r="Q100" s="21" t="inlineStr">
        <x:is>
          <x:t xml:space="preserve">PLACEHOLDER</x:t>
        </x:is>
      </x:c>
      <x:c r="R100" s="21" t="inlineStr">
        <x:is>
          <x:t xml:space="preserve">PLACEHOLDER</x:t>
        </x:is>
      </x:c>
      <x:c r="S100" s="21" t="inlineStr">
        <x:is>
          <x:t xml:space="preserve">PLACEHOLDER</x:t>
        </x:is>
      </x:c>
      <x:c r="T100" s="24" t="inlineStr">
        <x:is>
          <x:t xml:space="preserve">NEEDS_SOURCE_PATH</x:t>
        </x:is>
      </x:c>
      <x:c r="U100" s="21" t="inlineStr">
        <x:is>
          <x:t xml:space="preserve">PLACEHOLDER</x:t>
        </x:is>
      </x:c>
      <x:c r="V100"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01" ht="69" customHeight="1">
      <x:c r="A101" s="20" t="inlineStr">
        <x:is>
          <x:t xml:space="preserve">112</x:t>
        </x:is>
      </x:c>
      <x:c r="B101" s="20" t="inlineStr">
        <x:is>
          <x:t xml:space="preserve">Same 4 restoration components shared</x:t>
        </x:is>
      </x:c>
      <x:c r="C101" s="20" t="inlineStr">
        <x:is>
          <x:t xml:space="preserve">C2 - Structural correspondence candidate</x:t>
        </x:is>
      </x:c>
      <x:c r="D101" s="21" t="inlineStr">
        <x:is>
          <x:t xml:space="preserve">PLACEHOLDER</x:t>
        </x:is>
      </x:c>
      <x:c r="E101" s="22" t="inlineStr">
        <x:is>
          <x:t xml:space="preserve">MISSING</x:t>
        </x:is>
      </x:c>
      <x:c r="F101" s="22" t="inlineStr">
        <x:is>
          <x:t xml:space="preserve">MISSING</x:t>
        </x:is>
      </x:c>
      <x:c r="G101" s="22" t="inlineStr">
        <x:is>
          <x:t xml:space="preserve">MISSING</x:t>
        </x:is>
      </x:c>
      <x:c r="H101" s="22" t="inlineStr">
        <x:is>
          <x:t xml:space="preserve">MISSING</x:t>
        </x:is>
      </x:c>
      <x:c r="I101" s="20" t="inlineStr">
        <x:is>
          <x:t xml:space="preserve">theophysics-lean-main\theophysics-lean-main\Final_Lean4_From_Excel.lean</x:t>
        </x:is>
      </x:c>
      <x:c r="J101" s="20" t="inlineStr">
        <x:is>
          <x:t xml:space="preserve">302</x:t>
        </x:is>
      </x:c>
      <x:c r="K101" s="20" t="inlineStr">
        <x:is>
          <x:t xml:space="preserve">theorem justice_and_mercy_share_common_components (x y : FactorState) (hx : isCross x) (hy : isCross y) : x.R = y.R</x:t>
        </x:is>
      </x:c>
      <x:c r="L101" s="20" t="inlineStr">
        <x:is>
          <x:t xml:space="preserve">justice_and_mercy_share_common_components</x:t>
        </x:is>
      </x:c>
      <x:c r="M101" s="23" t="inlineStr">
        <x:is>
          <x:t xml:space="preserve">PARTIAL</x:t>
        </x:is>
      </x:c>
      <x:c r="N101" s="21" t="inlineStr">
        <x:is>
          <x:t xml:space="preserve">PLACEHOLDER</x:t>
        </x:is>
      </x:c>
      <x:c r="O101" s="21" t="inlineStr">
        <x:is>
          <x:t xml:space="preserve">PLACEHOLDER</x:t>
        </x:is>
      </x:c>
      <x:c r="P101" s="22" t="inlineStr">
        <x:is>
          <x:t xml:space="preserve">MISSING</x:t>
        </x:is>
      </x:c>
      <x:c r="Q101" s="21" t="inlineStr">
        <x:is>
          <x:t xml:space="preserve">PLACEHOLDER</x:t>
        </x:is>
      </x:c>
      <x:c r="R101" s="21" t="inlineStr">
        <x:is>
          <x:t xml:space="preserve">PLACEHOLDER</x:t>
        </x:is>
      </x:c>
      <x:c r="S101" s="21" t="inlineStr">
        <x:is>
          <x:t xml:space="preserve">PLACEHOLDER</x:t>
        </x:is>
      </x:c>
      <x:c r="T101" s="23" t="inlineStr">
        <x:is>
          <x:t xml:space="preserve">PARTIAL</x:t>
        </x:is>
      </x:c>
      <x:c r="U101" s="21" t="inlineStr">
        <x:is>
          <x:t xml:space="preserve">PLACEHOLDER</x:t>
        </x:is>
      </x:c>
      <x:c r="V101" s="20" t="inlineStr">
        <x:is>
          <x:t xml:space="preserve">lean_match_count=8 | proof_strength=SUBSTANTIVE_OR_CASE_PROOF | Appears to contain an actual proof body; inspect before public citation. | definition/proof/numerical/empirical/interp fields still staged as TODO placeholders</x:t>
        </x:is>
      </x:c>
    </x:row>
    <x:row r="102" ht="55.20000076293945" customHeight="1">
      <x:c r="A102" s="20" t="inlineStr">
        <x:is>
          <x:t xml:space="preserve">113</x:t>
        </x:is>
      </x:c>
      <x:c r="B102" s="20" t="inlineStr">
        <x:is>
          <x:t xml:space="preserve">Differ in exactly one coordinate: who pays the cost</x:t>
        </x:is>
      </x:c>
      <x:c r="C102" s="20" t="inlineStr">
        <x:is>
          <x:t xml:space="preserve">C2 - Structural correspondence candidate</x:t>
        </x:is>
      </x:c>
      <x:c r="D102" s="21" t="inlineStr">
        <x:is>
          <x:t xml:space="preserve">PLACEHOLDER</x:t>
        </x:is>
      </x:c>
      <x:c r="E102" s="22" t="inlineStr">
        <x:is>
          <x:t xml:space="preserve">MISSING</x:t>
        </x:is>
      </x:c>
      <x:c r="F102" s="22" t="inlineStr">
        <x:is>
          <x:t xml:space="preserve">MISSING</x:t>
        </x:is>
      </x:c>
      <x:c r="G102" s="23" t="inlineStr">
        <x:is>
          <x:t xml:space="preserve">PARTIAL</x:t>
        </x:is>
      </x:c>
      <x:c r="H102" s="22" t="inlineStr">
        <x:is>
          <x:t xml:space="preserve">MISSING</x:t>
        </x:is>
      </x:c>
      <x:c r="I102" s="20" t="inlineStr">
        <x:is>
          <x:t xml:space="preserve">theophysics-lean-main\theophysics-lean-main\Theophysics_Core.lean</x:t>
        </x:is>
      </x:c>
      <x:c r="J102" s="20" t="inlineStr">
        <x:is>
          <x:t xml:space="preserve">242</x:t>
        </x:is>
      </x:c>
      <x:c r="K102" s="20" t="inlineStr">
        <x:is>
          <x:t xml:space="preserve">theorem justice_and_mercy_differ_by_cost_bearer : True</x:t>
        </x:is>
      </x:c>
      <x:c r="L102" s="20" t="inlineStr">
        <x:is>
          <x:t xml:space="preserve">justice_and_mercy_differ_by_cost_bearer</x:t>
        </x:is>
      </x:c>
      <x:c r="M102" s="23" t="inlineStr">
        <x:is>
          <x:t xml:space="preserve">PARTIAL</x:t>
        </x:is>
      </x:c>
      <x:c r="N102" s="21" t="inlineStr">
        <x:is>
          <x:t xml:space="preserve">PLACEHOLDER</x:t>
        </x:is>
      </x:c>
      <x:c r="O102" s="21" t="inlineStr">
        <x:is>
          <x:t xml:space="preserve">PLACEHOLDER</x:t>
        </x:is>
      </x:c>
      <x:c r="P102" s="22" t="inlineStr">
        <x:is>
          <x:t xml:space="preserve">MISSING</x:t>
        </x:is>
      </x:c>
      <x:c r="Q102" s="21" t="inlineStr">
        <x:is>
          <x:t xml:space="preserve">PLACEHOLDER</x:t>
        </x:is>
      </x:c>
      <x:c r="R102" s="21" t="inlineStr">
        <x:is>
          <x:t xml:space="preserve">PLACEHOLDER</x:t>
        </x:is>
      </x:c>
      <x:c r="S102" s="21" t="inlineStr">
        <x:is>
          <x:t xml:space="preserve">PLACEHOLDER</x:t>
        </x:is>
      </x:c>
      <x:c r="T102" s="23" t="inlineStr">
        <x:is>
          <x:t xml:space="preserve">PARTIAL</x:t>
        </x:is>
      </x:c>
      <x:c r="U102" s="21" t="inlineStr">
        <x:is>
          <x:t xml:space="preserve">PLACEHOLDER</x:t>
        </x:is>
      </x:c>
      <x:c r="V102" s="20" t="inlineStr">
        <x:is>
          <x:t xml:space="preserve">lean_match_count=4 | proof_strength=TRIVIAL_TRUE | Statement is `True`; theorem name may exceed formal content. | definition/proof/numerical/empirical/interp fields still staged as TODO placeholders</x:t>
        </x:is>
      </x:c>
    </x:row>
    <x:row r="103" ht="69" customHeight="1">
      <x:c r="A103" s="20" t="inlineStr">
        <x:is>
          <x:t xml:space="preserve">114–117</x:t>
        </x:is>
      </x:c>
      <x:c r="B103" s="20" t="inlineStr">
        <x:is>
          <x:t xml:space="preserve">REJECTION: Missing ANY of proportionality/impartiality/truthNaming/victimRestoration breaks perfectCommon</x:t>
        </x:is>
      </x:c>
      <x:c r="C103" s="20" t="inlineStr">
        <x:is>
          <x:t xml:space="preserve">C2 - Structural correspondence candidate</x:t>
        </x:is>
      </x:c>
      <x:c r="D103" s="21" t="inlineStr">
        <x:is>
          <x:t xml:space="preserve">PLACEHOLDER</x:t>
        </x:is>
      </x:c>
      <x:c r="E103" s="22" t="inlineStr">
        <x:is>
          <x:t xml:space="preserve">MISSING</x:t>
        </x:is>
      </x:c>
      <x:c r="F103" s="22" t="inlineStr">
        <x:is>
          <x:t xml:space="preserve">MISSING</x:t>
        </x:is>
      </x:c>
      <x:c r="G103" s="22" t="inlineStr">
        <x:is>
          <x:t xml:space="preserve">MISSING</x:t>
        </x:is>
      </x:c>
      <x:c r="H103" s="22" t="inlineStr">
        <x:is>
          <x:t xml:space="preserve">MISSING</x:t>
        </x:is>
      </x:c>
      <x:c r="I103" s="20" t="inlineStr">
        <x:is>
          <x:t xml:space="preserve">NEEDS_SOURCE_PATH</x:t>
        </x:is>
      </x:c>
      <x:c r="J103" s="20" t="inlineStr">
        <x:is>
          <x:t xml:space="preserve">NEEDS_SOURCE_PATH</x:t>
        </x:is>
      </x:c>
      <x:c r="K103" s="20" t="inlineStr">
        <x:is>
          <x:t xml:space="preserve">NEEDS_SOURCE_PATH</x:t>
        </x:is>
      </x:c>
      <x:c r="L103" s="20" t="inlineStr">
        <x:is>
          <x:t xml:space="preserve">Four missing-component rejections</x:t>
        </x:is>
      </x:c>
      <x:c r="M103" s="24" t="inlineStr">
        <x:is>
          <x:t xml:space="preserve">NEEDS_SOURCE_PATH</x:t>
        </x:is>
      </x:c>
      <x:c r="N103" s="21" t="inlineStr">
        <x:is>
          <x:t xml:space="preserve">PLACEHOLDER</x:t>
        </x:is>
      </x:c>
      <x:c r="O103" s="21" t="inlineStr">
        <x:is>
          <x:t xml:space="preserve">PLACEHOLDER</x:t>
        </x:is>
      </x:c>
      <x:c r="P103" s="22" t="inlineStr">
        <x:is>
          <x:t xml:space="preserve">MISSING</x:t>
        </x:is>
      </x:c>
      <x:c r="Q103" s="21" t="inlineStr">
        <x:is>
          <x:t xml:space="preserve">PLACEHOLDER</x:t>
        </x:is>
      </x:c>
      <x:c r="R103" s="21" t="inlineStr">
        <x:is>
          <x:t xml:space="preserve">PLACEHOLDER</x:t>
        </x:is>
      </x:c>
      <x:c r="S103" s="21" t="inlineStr">
        <x:is>
          <x:t xml:space="preserve">PLACEHOLDER</x:t>
        </x:is>
      </x:c>
      <x:c r="T103" s="24" t="inlineStr">
        <x:is>
          <x:t xml:space="preserve">NEEDS_SOURCE_PATH</x:t>
        </x:is>
      </x:c>
      <x:c r="U103" s="21" t="inlineStr">
        <x:is>
          <x:t xml:space="preserve">PLACEHOLDER</x:t>
        </x:is>
      </x:c>
      <x:c r="V103"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04" ht="55.20000076293945" customHeight="1">
      <x:c r="A104" s="20" t="inlineStr">
        <x:is>
          <x:t xml:space="preserve">118</x:t>
        </x:is>
      </x:c>
      <x:c r="B104" s="20" t="inlineStr">
        <x:is>
          <x:t xml:space="preserve">The Cross config meets all 5 convergence conditions simultaneously</x:t>
        </x:is>
      </x:c>
      <x:c r="C104" s="20" t="inlineStr">
        <x:is>
          <x:t xml:space="preserve">C2 - Structural correspondence candidate</x:t>
        </x:is>
      </x:c>
      <x:c r="D104" s="21" t="inlineStr">
        <x:is>
          <x:t xml:space="preserve">PLACEHOLDER</x:t>
        </x:is>
      </x:c>
      <x:c r="E104" s="22" t="inlineStr">
        <x:is>
          <x:t xml:space="preserve">MISSING</x:t>
        </x:is>
      </x:c>
      <x:c r="F104" s="22" t="inlineStr">
        <x:is>
          <x:t xml:space="preserve">MISSING</x:t>
        </x:is>
      </x:c>
      <x:c r="G104" s="22" t="inlineStr">
        <x:is>
          <x:t xml:space="preserve">MISSING</x:t>
        </x:is>
      </x:c>
      <x:c r="H104" s="22" t="inlineStr">
        <x:is>
          <x:t xml:space="preserve">MISSING</x:t>
        </x:is>
      </x:c>
      <x:c r="I104" s="20" t="inlineStr">
        <x:is>
          <x:t xml:space="preserve">theophysics-lean-main\theophysics-lean-main\Theophysics_Core.lean</x:t>
        </x:is>
      </x:c>
      <x:c r="J104" s="20" t="inlineStr">
        <x:is>
          <x:t xml:space="preserve">240</x:t>
        </x:is>
      </x:c>
      <x:c r="K104" s="20" t="inlineStr">
        <x:is>
          <x:t xml:space="preserve">theorem cross_satisfies_convergence : True</x:t>
        </x:is>
      </x:c>
      <x:c r="L104" s="20" t="inlineStr">
        <x:is>
          <x:t xml:space="preserve">cross_satisfies_convergence</x:t>
        </x:is>
      </x:c>
      <x:c r="M104" s="23" t="inlineStr">
        <x:is>
          <x:t xml:space="preserve">PARTIAL</x:t>
        </x:is>
      </x:c>
      <x:c r="N104" s="21" t="inlineStr">
        <x:is>
          <x:t xml:space="preserve">PLACEHOLDER</x:t>
        </x:is>
      </x:c>
      <x:c r="O104" s="21" t="inlineStr">
        <x:is>
          <x:t xml:space="preserve">PLACEHOLDER</x:t>
        </x:is>
      </x:c>
      <x:c r="P104" s="22" t="inlineStr">
        <x:is>
          <x:t xml:space="preserve">MISSING</x:t>
        </x:is>
      </x:c>
      <x:c r="Q104" s="21" t="inlineStr">
        <x:is>
          <x:t xml:space="preserve">PLACEHOLDER</x:t>
        </x:is>
      </x:c>
      <x:c r="R104" s="21" t="inlineStr">
        <x:is>
          <x:t xml:space="preserve">PLACEHOLDER</x:t>
        </x:is>
      </x:c>
      <x:c r="S104" s="21" t="inlineStr">
        <x:is>
          <x:t xml:space="preserve">PLACEHOLDER</x:t>
        </x:is>
      </x:c>
      <x:c r="T104" s="23" t="inlineStr">
        <x:is>
          <x:t xml:space="preserve">PARTIAL</x:t>
        </x:is>
      </x:c>
      <x:c r="U104" s="21" t="inlineStr">
        <x:is>
          <x:t xml:space="preserve">PLACEHOLDER</x:t>
        </x:is>
      </x:c>
      <x:c r="V104" s="20" t="inlineStr">
        <x:is>
          <x:t xml:space="preserve">lean_match_count=4 | proof_strength=TRIVIAL_TRUE | Statement is `True`; theorem name may exceed formal content. | definition/proof/numerical/empirical/interp fields still staged as TODO placeholders</x:t>
        </x:is>
      </x:c>
    </x:row>
    <x:row r="105" ht="55.20000076293945" customHeight="1">
      <x:c r="A105" s="20" t="inlineStr">
        <x:is>
          <x:t xml:space="preserve">119</x:t>
        </x:is>
      </x:c>
      <x:c r="B105" s="20" t="inlineStr">
        <x:is>
          <x:t xml:space="preserve">REJECTION: Offender-pays fails the mercy axis. Self-payment is not mercy.</x:t>
        </x:is>
      </x:c>
      <x:c r="C105" s="20" t="inlineStr">
        <x:is>
          <x:t xml:space="preserve">C2 - Structural correspondence candidate</x:t>
        </x:is>
      </x:c>
      <x:c r="D105" s="21" t="inlineStr">
        <x:is>
          <x:t xml:space="preserve">PLACEHOLDER</x:t>
        </x:is>
      </x:c>
      <x:c r="E105" s="22" t="inlineStr">
        <x:is>
          <x:t xml:space="preserve">MISSING</x:t>
        </x:is>
      </x:c>
      <x:c r="F105" s="22" t="inlineStr">
        <x:is>
          <x:t xml:space="preserve">MISSING</x:t>
        </x:is>
      </x:c>
      <x:c r="G105" s="22" t="inlineStr">
        <x:is>
          <x:t xml:space="preserve">MISSING</x:t>
        </x:is>
      </x:c>
      <x:c r="H105" s="22" t="inlineStr">
        <x:is>
          <x:t xml:space="preserve">MISSING</x:t>
        </x:is>
      </x:c>
      <x:c r="I105" s="20" t="inlineStr">
        <x:is>
          <x:t xml:space="preserve">theophysics-lean-main\theophysics-lean-main\Theophysics_Adversarial.lean</x:t>
        </x:is>
      </x:c>
      <x:c r="J105" s="20" t="inlineStr">
        <x:is>
          <x:t xml:space="preserve">474</x:t>
        </x:is>
      </x:c>
      <x:c r="K105" s="20" t="inlineStr">
        <x:is>
          <x:t xml:space="preserve">theorem offender_payment_fails_mercy_condition : satisfiesMercy { offenderPays := true } = false</x:t>
        </x:is>
      </x:c>
      <x:c r="L105" s="20" t="inlineStr">
        <x:is>
          <x:t xml:space="preserve">offender_payment_fails_mercy_condition</x:t>
        </x:is>
      </x:c>
      <x:c r="M105" s="23" t="inlineStr">
        <x:is>
          <x:t xml:space="preserve">PARTIAL</x:t>
        </x:is>
      </x:c>
      <x:c r="N105" s="21" t="inlineStr">
        <x:is>
          <x:t xml:space="preserve">PLACEHOLDER</x:t>
        </x:is>
      </x:c>
      <x:c r="O105" s="21" t="inlineStr">
        <x:is>
          <x:t xml:space="preserve">PLACEHOLDER</x:t>
        </x:is>
      </x:c>
      <x:c r="P105" s="22" t="inlineStr">
        <x:is>
          <x:t xml:space="preserve">MISSING</x:t>
        </x:is>
      </x:c>
      <x:c r="Q105" s="21" t="inlineStr">
        <x:is>
          <x:t xml:space="preserve">PLACEHOLDER</x:t>
        </x:is>
      </x:c>
      <x:c r="R105" s="21" t="inlineStr">
        <x:is>
          <x:t xml:space="preserve">PLACEHOLDER</x:t>
        </x:is>
      </x:c>
      <x:c r="S105" s="21" t="inlineStr">
        <x:is>
          <x:t xml:space="preserve">PLACEHOLDER</x:t>
        </x:is>
      </x:c>
      <x:c r="T105" s="23" t="inlineStr">
        <x:is>
          <x:t xml:space="preserve">PARTIAL</x:t>
        </x:is>
      </x:c>
      <x:c r="U105" s="21" t="inlineStr">
        <x:is>
          <x:t xml:space="preserve">PLACEHOLDER</x:t>
        </x:is>
      </x:c>
      <x:c r="V105" s="20" t="inlineStr">
        <x:is>
          <x:t xml:space="preserve">lean_match_count=4 | proof_strength=DEFINITIONAL_RFL | Proves definitional equality by reduction; useful but narrow. | definition/proof/numerical/empirical/interp fields still staged as TODO placeholders</x:t>
        </x:is>
      </x:c>
    </x:row>
    <x:row r="106" ht="55.20000076293945" customHeight="1">
      <x:c r="A106" s="20" t="inlineStr">
        <x:is>
          <x:t xml:space="preserve">120</x:t>
        </x:is>
      </x:c>
      <x:c r="B106" s="20" t="inlineStr">
        <x:is>
          <x:t xml:space="preserve">REJECTION: Human third party fails authority + universality</x:t>
        </x:is>
      </x:c>
      <x:c r="C106" s="20" t="inlineStr">
        <x:is>
          <x:t xml:space="preserve">C2 - Structural correspondence candidate</x:t>
        </x:is>
      </x:c>
      <x:c r="D106" s="21" t="inlineStr">
        <x:is>
          <x:t xml:space="preserve">PLACEHOLDER</x:t>
        </x:is>
      </x:c>
      <x:c r="E106" s="22" t="inlineStr">
        <x:is>
          <x:t xml:space="preserve">MISSING</x:t>
        </x:is>
      </x:c>
      <x:c r="F106" s="22" t="inlineStr">
        <x:is>
          <x:t xml:space="preserve">MISSING</x:t>
        </x:is>
      </x:c>
      <x:c r="G106" s="22" t="inlineStr">
        <x:is>
          <x:t xml:space="preserve">MISSING</x:t>
        </x:is>
      </x:c>
      <x:c r="H106" s="22" t="inlineStr">
        <x:is>
          <x:t xml:space="preserve">MISSING</x:t>
        </x:is>
      </x:c>
      <x:c r="I106" s="20" t="inlineStr">
        <x:is>
          <x:t xml:space="preserve">theophysics-lean-main\theophysics-lean-main\Theophysics_Adversarial.lean</x:t>
        </x:is>
      </x:c>
      <x:c r="J106" s="20" t="inlineStr">
        <x:is>
          <x:t xml:space="preserve">478</x:t>
        </x:is>
      </x:c>
      <x:c r="K106" s="20" t="inlineStr">
        <x:is>
          <x:t xml:space="preserve">theorem human_third_party_fails_authority_and_capacity : satisfiesMercy { payerAuthorized := false, payerCapable := false } = false</x:t>
        </x:is>
      </x:c>
      <x:c r="L106" s="20" t="inlineStr">
        <x:is>
          <x:t xml:space="preserve">human_third_party_fails_authority_and_capacity</x:t>
        </x:is>
      </x:c>
      <x:c r="M106" s="23" t="inlineStr">
        <x:is>
          <x:t xml:space="preserve">PARTIAL</x:t>
        </x:is>
      </x:c>
      <x:c r="N106" s="21" t="inlineStr">
        <x:is>
          <x:t xml:space="preserve">PLACEHOLDER</x:t>
        </x:is>
      </x:c>
      <x:c r="O106" s="21" t="inlineStr">
        <x:is>
          <x:t xml:space="preserve">PLACEHOLDER</x:t>
        </x:is>
      </x:c>
      <x:c r="P106" s="22" t="inlineStr">
        <x:is>
          <x:t xml:space="preserve">MISSING</x:t>
        </x:is>
      </x:c>
      <x:c r="Q106" s="21" t="inlineStr">
        <x:is>
          <x:t xml:space="preserve">PLACEHOLDER</x:t>
        </x:is>
      </x:c>
      <x:c r="R106" s="21" t="inlineStr">
        <x:is>
          <x:t xml:space="preserve">PLACEHOLDER</x:t>
        </x:is>
      </x:c>
      <x:c r="S106" s="21" t="inlineStr">
        <x:is>
          <x:t xml:space="preserve">PLACEHOLDER</x:t>
        </x:is>
      </x:c>
      <x:c r="T106" s="23" t="inlineStr">
        <x:is>
          <x:t xml:space="preserve">PARTIAL</x:t>
        </x:is>
      </x:c>
      <x:c r="U106" s="21" t="inlineStr">
        <x:is>
          <x:t xml:space="preserve">PLACEHOLDER</x:t>
        </x:is>
      </x:c>
      <x:c r="V106" s="20" t="inlineStr">
        <x:is>
          <x:t xml:space="preserve">lean_match_count=4 | proof_strength=DEFINITIONAL_RFL | Proves definitional equality by reduction; useful but narrow. | definition/proof/numerical/empirical/interp fields still staged as TODO placeholders</x:t>
        </x:is>
      </x:c>
    </x:row>
    <x:row r="107" ht="55.20000076293945" customHeight="1">
      <x:c r="A107" s="20" t="inlineStr">
        <x:is>
          <x:t xml:space="preserve">121</x:t>
        </x:is>
      </x:c>
      <x:c r="B107" s="20" t="inlineStr">
        <x:is>
          <x:t xml:space="preserve">REJECTION: Coercion fails voluntariness. Forced repair is not love.</x:t>
        </x:is>
      </x:c>
      <x:c r="C107" s="20" t="inlineStr">
        <x:is>
          <x:t xml:space="preserve">C2 - Structural correspondence candidate</x:t>
        </x:is>
      </x:c>
      <x:c r="D107" s="21" t="inlineStr">
        <x:is>
          <x:t xml:space="preserve">PLACEHOLDER</x:t>
        </x:is>
      </x:c>
      <x:c r="E107" s="22" t="inlineStr">
        <x:is>
          <x:t xml:space="preserve">MISSING</x:t>
        </x:is>
      </x:c>
      <x:c r="F107" s="22" t="inlineStr">
        <x:is>
          <x:t xml:space="preserve">MISSING</x:t>
        </x:is>
      </x:c>
      <x:c r="G107" s="22" t="inlineStr">
        <x:is>
          <x:t xml:space="preserve">MISSING</x:t>
        </x:is>
      </x:c>
      <x:c r="H107" s="22" t="inlineStr">
        <x:is>
          <x:t xml:space="preserve">MISSING</x:t>
        </x:is>
      </x:c>
      <x:c r="I107" s="20" t="inlineStr">
        <x:is>
          <x:t xml:space="preserve">theophysics-lean-main\theophysics-lean-main\Theophysics_Adversarial.lean</x:t>
        </x:is>
      </x:c>
      <x:c r="J107" s="20" t="inlineStr">
        <x:is>
          <x:t xml:space="preserve">482</x:t>
        </x:is>
      </x:c>
      <x:c r="K107" s="20" t="inlineStr">
        <x:is>
          <x:t xml:space="preserve">theorem coerced_third_party_fails_voluntariness : satisfiesMercy { voluntary := false } = false</x:t>
        </x:is>
      </x:c>
      <x:c r="L107" s="20" t="inlineStr">
        <x:is>
          <x:t xml:space="preserve">coerced_third_party_fails_voluntariness</x:t>
        </x:is>
      </x:c>
      <x:c r="M107" s="23" t="inlineStr">
        <x:is>
          <x:t xml:space="preserve">PARTIAL</x:t>
        </x:is>
      </x:c>
      <x:c r="N107" s="21" t="inlineStr">
        <x:is>
          <x:t xml:space="preserve">PLACEHOLDER</x:t>
        </x:is>
      </x:c>
      <x:c r="O107" s="21" t="inlineStr">
        <x:is>
          <x:t xml:space="preserve">PLACEHOLDER</x:t>
        </x:is>
      </x:c>
      <x:c r="P107" s="22" t="inlineStr">
        <x:is>
          <x:t xml:space="preserve">MISSING</x:t>
        </x:is>
      </x:c>
      <x:c r="Q107" s="21" t="inlineStr">
        <x:is>
          <x:t xml:space="preserve">PLACEHOLDER</x:t>
        </x:is>
      </x:c>
      <x:c r="R107" s="21" t="inlineStr">
        <x:is>
          <x:t xml:space="preserve">PLACEHOLDER</x:t>
        </x:is>
      </x:c>
      <x:c r="S107" s="21" t="inlineStr">
        <x:is>
          <x:t xml:space="preserve">PLACEHOLDER</x:t>
        </x:is>
      </x:c>
      <x:c r="T107" s="23" t="inlineStr">
        <x:is>
          <x:t xml:space="preserve">PARTIAL</x:t>
        </x:is>
      </x:c>
      <x:c r="U107" s="21" t="inlineStr">
        <x:is>
          <x:t xml:space="preserve">PLACEHOLDER</x:t>
        </x:is>
      </x:c>
      <x:c r="V107" s="20" t="inlineStr">
        <x:is>
          <x:t xml:space="preserve">lean_match_count=4 | proof_strength=DEFINITIONAL_RFL | Proves definitional equality by reduction; useful but narrow. | definition/proof/numerical/empirical/interp fields still staged as TODO placeholders</x:t>
        </x:is>
      </x:c>
    </x:row>
    <x:row r="108" ht="55.20000076293945" customHeight="1">
      <x:c r="A108" s="20" t="inlineStr">
        <x:is>
          <x:t xml:space="preserve">122</x:t>
        </x:is>
      </x:c>
      <x:c r="B108" s="20" t="inlineStr">
        <x:is>
          <x:t xml:space="preserve">REJECTION: Waived debt fails justice (debt not paid). Cheap grace.</x:t>
        </x:is>
      </x:c>
      <x:c r="C108" s="20" t="inlineStr">
        <x:is>
          <x:t xml:space="preserve">C2 - Structural correspondence candidate</x:t>
        </x:is>
      </x:c>
      <x:c r="D108" s="21" t="inlineStr">
        <x:is>
          <x:t xml:space="preserve">PLACEHOLDER</x:t>
        </x:is>
      </x:c>
      <x:c r="E108" s="22" t="inlineStr">
        <x:is>
          <x:t xml:space="preserve">MISSING</x:t>
        </x:is>
      </x:c>
      <x:c r="F108" s="22" t="inlineStr">
        <x:is>
          <x:t xml:space="preserve">MISSING</x:t>
        </x:is>
      </x:c>
      <x:c r="G108" s="22" t="inlineStr">
        <x:is>
          <x:t xml:space="preserve">MISSING</x:t>
        </x:is>
      </x:c>
      <x:c r="H108" s="22" t="inlineStr">
        <x:is>
          <x:t xml:space="preserve">MISSING</x:t>
        </x:is>
      </x:c>
      <x:c r="I108" s="20" t="inlineStr">
        <x:is>
          <x:t xml:space="preserve">theophysics-lean-main\theophysics-lean-main\Theophysics_Adversarial.lean</x:t>
        </x:is>
      </x:c>
      <x:c r="J108" s="20" t="inlineStr">
        <x:is>
          <x:t xml:space="preserve">486</x:t>
        </x:is>
      </x:c>
      <x:c r="K108" s="20" t="inlineStr">
        <x:is>
          <x:t xml:space="preserve">theorem waived_debt_fails_justice_condition : satisfiesJustice { debtWaived := true } = false</x:t>
        </x:is>
      </x:c>
      <x:c r="L108" s="20" t="inlineStr">
        <x:is>
          <x:t xml:space="preserve">waived_debt_fails_justice_condition</x:t>
        </x:is>
      </x:c>
      <x:c r="M108" s="23" t="inlineStr">
        <x:is>
          <x:t xml:space="preserve">PARTIAL</x:t>
        </x:is>
      </x:c>
      <x:c r="N108" s="21" t="inlineStr">
        <x:is>
          <x:t xml:space="preserve">PLACEHOLDER</x:t>
        </x:is>
      </x:c>
      <x:c r="O108" s="21" t="inlineStr">
        <x:is>
          <x:t xml:space="preserve">PLACEHOLDER</x:t>
        </x:is>
      </x:c>
      <x:c r="P108" s="22" t="inlineStr">
        <x:is>
          <x:t xml:space="preserve">MISSING</x:t>
        </x:is>
      </x:c>
      <x:c r="Q108" s="21" t="inlineStr">
        <x:is>
          <x:t xml:space="preserve">PLACEHOLDER</x:t>
        </x:is>
      </x:c>
      <x:c r="R108" s="21" t="inlineStr">
        <x:is>
          <x:t xml:space="preserve">PLACEHOLDER</x:t>
        </x:is>
      </x:c>
      <x:c r="S108" s="21" t="inlineStr">
        <x:is>
          <x:t xml:space="preserve">PLACEHOLDER</x:t>
        </x:is>
      </x:c>
      <x:c r="T108" s="23" t="inlineStr">
        <x:is>
          <x:t xml:space="preserve">PARTIAL</x:t>
        </x:is>
      </x:c>
      <x:c r="U108" s="21" t="inlineStr">
        <x:is>
          <x:t xml:space="preserve">PLACEHOLDER</x:t>
        </x:is>
      </x:c>
      <x:c r="V108" s="20" t="inlineStr">
        <x:is>
          <x:t xml:space="preserve">lean_match_count=4 | proof_strength=DEFINITIONAL_RFL | Proves definitional equality by reduction; useful but narrow. | definition/proof/numerical/empirical/interp fields still staged as TODO placeholders</x:t>
        </x:is>
      </x:c>
    </x:row>
    <x:row r="109" ht="55.20000076293945" customHeight="1">
      <x:c r="A109" s="20" t="inlineStr">
        <x:is>
          <x:t xml:space="preserve">123</x:t>
        </x:is>
      </x:c>
      <x:c r="B109" s="20" t="inlineStr">
        <x:is>
          <x:t xml:space="preserve">REJECTION: Shared cost fails mercy (offender still pays)</x:t>
        </x:is>
      </x:c>
      <x:c r="C109" s="20" t="inlineStr">
        <x:is>
          <x:t xml:space="preserve">C2 - Structural correspondence candidate</x:t>
        </x:is>
      </x:c>
      <x:c r="D109" s="21" t="inlineStr">
        <x:is>
          <x:t xml:space="preserve">PLACEHOLDER</x:t>
        </x:is>
      </x:c>
      <x:c r="E109" s="22" t="inlineStr">
        <x:is>
          <x:t xml:space="preserve">MISSING</x:t>
        </x:is>
      </x:c>
      <x:c r="F109" s="22" t="inlineStr">
        <x:is>
          <x:t xml:space="preserve">MISSING</x:t>
        </x:is>
      </x:c>
      <x:c r="G109" s="22" t="inlineStr">
        <x:is>
          <x:t xml:space="preserve">MISSING</x:t>
        </x:is>
      </x:c>
      <x:c r="H109" s="22" t="inlineStr">
        <x:is>
          <x:t xml:space="preserve">MISSING</x:t>
        </x:is>
      </x:c>
      <x:c r="I109" s="20" t="inlineStr">
        <x:is>
          <x:t xml:space="preserve">theophysics-lean-main\theophysics-lean-main\Theophysics_Adversarial.lean</x:t>
        </x:is>
      </x:c>
      <x:c r="J109" s="20" t="inlineStr">
        <x:is>
          <x:t xml:space="preserve">490</x:t>
        </x:is>
      </x:c>
      <x:c r="K109" s="20" t="inlineStr">
        <x:is>
          <x:t xml:space="preserve">theorem shared_cost_fails_mercy_condition : satisfiesMercy { sharedCost := true } = false</x:t>
        </x:is>
      </x:c>
      <x:c r="L109" s="20" t="inlineStr">
        <x:is>
          <x:t xml:space="preserve">shared_cost_fails_mercy_condition</x:t>
        </x:is>
      </x:c>
      <x:c r="M109" s="23" t="inlineStr">
        <x:is>
          <x:t xml:space="preserve">PARTIAL</x:t>
        </x:is>
      </x:c>
      <x:c r="N109" s="21" t="inlineStr">
        <x:is>
          <x:t xml:space="preserve">PLACEHOLDER</x:t>
        </x:is>
      </x:c>
      <x:c r="O109" s="21" t="inlineStr">
        <x:is>
          <x:t xml:space="preserve">PLACEHOLDER</x:t>
        </x:is>
      </x:c>
      <x:c r="P109" s="22" t="inlineStr">
        <x:is>
          <x:t xml:space="preserve">MISSING</x:t>
        </x:is>
      </x:c>
      <x:c r="Q109" s="21" t="inlineStr">
        <x:is>
          <x:t xml:space="preserve">PLACEHOLDER</x:t>
        </x:is>
      </x:c>
      <x:c r="R109" s="21" t="inlineStr">
        <x:is>
          <x:t xml:space="preserve">PLACEHOLDER</x:t>
        </x:is>
      </x:c>
      <x:c r="S109" s="21" t="inlineStr">
        <x:is>
          <x:t xml:space="preserve">PLACEHOLDER</x:t>
        </x:is>
      </x:c>
      <x:c r="T109" s="23" t="inlineStr">
        <x:is>
          <x:t xml:space="preserve">PARTIAL</x:t>
        </x:is>
      </x:c>
      <x:c r="U109" s="21" t="inlineStr">
        <x:is>
          <x:t xml:space="preserve">PLACEHOLDER</x:t>
        </x:is>
      </x:c>
      <x:c r="V109" s="20" t="inlineStr">
        <x:is>
          <x:t xml:space="preserve">lean_match_count=4 | proof_strength=DEFINITIONAL_RFL | Proves definitional equality by reduction; useful but narrow. | definition/proof/numerical/empirical/interp fields still staged as TODO placeholders</x:t>
        </x:is>
      </x:c>
    </x:row>
    <x:row r="110" ht="55.20000076293945" customHeight="1">
      <x:c r="A110" s="20" t="inlineStr">
        <x:is>
          <x:t xml:space="preserve">124</x:t>
        </x:is>
      </x:c>
      <x:c r="B110" s="20" t="inlineStr">
        <x:is>
          <x:t xml:space="preserve">∀ c, CrossConvergence(c) → c = cross. Any config satisfying all 5 conditions IS the Cross.</x:t>
        </x:is>
      </x:c>
      <x:c r="C110" s="20" t="inlineStr">
        <x:is>
          <x:t xml:space="preserve">C2 - Structural correspondence candidate</x:t>
        </x:is>
      </x:c>
      <x:c r="D110" s="21" t="inlineStr">
        <x:is>
          <x:t xml:space="preserve">PLACEHOLDER</x:t>
        </x:is>
      </x:c>
      <x:c r="E110" s="22" t="inlineStr">
        <x:is>
          <x:t xml:space="preserve">MISSING</x:t>
        </x:is>
      </x:c>
      <x:c r="F110" s="22" t="inlineStr">
        <x:is>
          <x:t xml:space="preserve">MISSING</x:t>
        </x:is>
      </x:c>
      <x:c r="G110" s="22" t="inlineStr">
        <x:is>
          <x:t xml:space="preserve">MISSING</x:t>
        </x:is>
      </x:c>
      <x:c r="H110" s="22" t="inlineStr">
        <x:is>
          <x:t xml:space="preserve">MISSING</x:t>
        </x:is>
      </x:c>
      <x:c r="I110" s="20" t="inlineStr">
        <x:is>
          <x:t xml:space="preserve">theophysics-lean-main\theophysics-lean-main\Theophysics_Core.lean</x:t>
        </x:is>
      </x:c>
      <x:c r="J110" s="20" t="inlineStr">
        <x:is>
          <x:t xml:space="preserve">241</x:t>
        </x:is>
      </x:c>
      <x:c r="K110" s="20" t="inlineStr">
        <x:is>
          <x:t xml:space="preserve">theorem cross_unique_convergence_configuration : True</x:t>
        </x:is>
      </x:c>
      <x:c r="L110" s="20" t="inlineStr">
        <x:is>
          <x:t xml:space="preserve">cross_unique_convergence_configuration</x:t>
        </x:is>
      </x:c>
      <x:c r="M110" s="23" t="inlineStr">
        <x:is>
          <x:t xml:space="preserve">PARTIAL</x:t>
        </x:is>
      </x:c>
      <x:c r="N110" s="21" t="inlineStr">
        <x:is>
          <x:t xml:space="preserve">PLACEHOLDER</x:t>
        </x:is>
      </x:c>
      <x:c r="O110" s="21" t="inlineStr">
        <x:is>
          <x:t xml:space="preserve">PLACEHOLDER</x:t>
        </x:is>
      </x:c>
      <x:c r="P110" s="22" t="inlineStr">
        <x:is>
          <x:t xml:space="preserve">MISSING</x:t>
        </x:is>
      </x:c>
      <x:c r="Q110" s="21" t="inlineStr">
        <x:is>
          <x:t xml:space="preserve">PLACEHOLDER</x:t>
        </x:is>
      </x:c>
      <x:c r="R110" s="21" t="inlineStr">
        <x:is>
          <x:t xml:space="preserve">PLACEHOLDER</x:t>
        </x:is>
      </x:c>
      <x:c r="S110" s="21" t="inlineStr">
        <x:is>
          <x:t xml:space="preserve">PLACEHOLDER</x:t>
        </x:is>
      </x:c>
      <x:c r="T110" s="23" t="inlineStr">
        <x:is>
          <x:t xml:space="preserve">PARTIAL</x:t>
        </x:is>
      </x:c>
      <x:c r="U110" s="21" t="inlineStr">
        <x:is>
          <x:t xml:space="preserve">PLACEHOLDER</x:t>
        </x:is>
      </x:c>
      <x:c r="V110" s="20" t="inlineStr">
        <x:is>
          <x:t xml:space="preserve">lean_match_count=4 | proof_strength=TRIVIAL_TRUE | Statement is `True`; theorem name may exceed formal content. | definition/proof/numerical/empirical/interp fields still staged as TODO placeholders</x:t>
        </x:is>
      </x:c>
    </x:row>
    <x:row r="111" ht="55.20000076293945" customHeight="1">
      <x:c r="A111" s="20" t="inlineStr">
        <x:is>
          <x:t xml:space="preserve">125</x:t>
        </x:is>
      </x:c>
      <x:c r="B111" s="20" t="inlineStr">
        <x:is>
          <x:t xml:space="preserve">THE CROSS IS THE UNIQUE SOLUTION — existence AND uniqueness. Strongest single result in the package.</x:t>
        </x:is>
      </x:c>
      <x:c r="C111" s="20" t="inlineStr">
        <x:is>
          <x:t xml:space="preserve">C2 - Structural correspondence candidate</x:t>
        </x:is>
      </x:c>
      <x:c r="D111" s="21" t="inlineStr">
        <x:is>
          <x:t xml:space="preserve">PLACEHOLDER</x:t>
        </x:is>
      </x:c>
      <x:c r="E111" s="22" t="inlineStr">
        <x:is>
          <x:t xml:space="preserve">MISSING</x:t>
        </x:is>
      </x:c>
      <x:c r="F111" s="22" t="inlineStr">
        <x:is>
          <x:t xml:space="preserve">MISSING</x:t>
        </x:is>
      </x:c>
      <x:c r="G111" s="22" t="inlineStr">
        <x:is>
          <x:t xml:space="preserve">MISSING</x:t>
        </x:is>
      </x:c>
      <x:c r="H111" s="22" t="inlineStr">
        <x:is>
          <x:t xml:space="preserve">MISSING</x:t>
        </x:is>
      </x:c>
      <x:c r="I111" s="20" t="inlineStr">
        <x:is>
          <x:t xml:space="preserve">theophysics-lean-main\theophysics-lean-main\Theophysics_Core.lean</x:t>
        </x:is>
      </x:c>
      <x:c r="J111" s="20" t="inlineStr">
        <x:is>
          <x:t xml:space="preserve">239</x:t>
        </x:is>
      </x:c>
      <x:c r="K111" s="20" t="inlineStr">
        <x:is>
          <x:t xml:space="preserve">theorem cross_is_unique_solution : True</x:t>
        </x:is>
      </x:c>
      <x:c r="L111" s="20" t="inlineStr">
        <x:is>
          <x:t xml:space="preserve">cross_is_unique_solution</x:t>
        </x:is>
      </x:c>
      <x:c r="M111" s="23" t="inlineStr">
        <x:is>
          <x:t xml:space="preserve">PARTIAL</x:t>
        </x:is>
      </x:c>
      <x:c r="N111" s="21" t="inlineStr">
        <x:is>
          <x:t xml:space="preserve">PLACEHOLDER</x:t>
        </x:is>
      </x:c>
      <x:c r="O111" s="21" t="inlineStr">
        <x:is>
          <x:t xml:space="preserve">PLACEHOLDER</x:t>
        </x:is>
      </x:c>
      <x:c r="P111" s="22" t="inlineStr">
        <x:is>
          <x:t xml:space="preserve">MISSING</x:t>
        </x:is>
      </x:c>
      <x:c r="Q111" s="21" t="inlineStr">
        <x:is>
          <x:t xml:space="preserve">PLACEHOLDER</x:t>
        </x:is>
      </x:c>
      <x:c r="R111" s="21" t="inlineStr">
        <x:is>
          <x:t xml:space="preserve">PLACEHOLDER</x:t>
        </x:is>
      </x:c>
      <x:c r="S111" s="21" t="inlineStr">
        <x:is>
          <x:t xml:space="preserve">PLACEHOLDER</x:t>
        </x:is>
      </x:c>
      <x:c r="T111" s="23" t="inlineStr">
        <x:is>
          <x:t xml:space="preserve">PARTIAL</x:t>
        </x:is>
      </x:c>
      <x:c r="U111" s="21" t="inlineStr">
        <x:is>
          <x:t xml:space="preserve">PLACEHOLDER</x:t>
        </x:is>
      </x:c>
      <x:c r="V111" s="20" t="inlineStr">
        <x:is>
          <x:t xml:space="preserve">lean_match_count=4 | proof_strength=TRIVIAL_TRUE | Statement is `True`; theorem name may exceed formal content. | definition/proof/numerical/empirical/interp fields still staged as TODO placeholders</x:t>
        </x:is>
      </x:c>
    </x:row>
    <x:row r="112" ht="55.20000076293945" customHeight="1">
      <x:c r="A112" s="20" t="inlineStr">
        <x:is>
          <x:t xml:space="preserve">126</x:t>
        </x:is>
      </x:c>
      <x:c r="B112" s="20" t="inlineStr">
        <x:is>
          <x:t xml:space="preserve">(-1)×(-1) = +1 in raw arithmetic</x:t>
        </x:is>
      </x:c>
      <x:c r="C112" s="20" t="inlineStr">
        <x:is>
          <x:t xml:space="preserve">C2 - Structural correspondence candidate</x:t>
        </x:is>
      </x:c>
      <x:c r="D112" s="21" t="inlineStr">
        <x:is>
          <x:t xml:space="preserve">PLACEHOLDER</x:t>
        </x:is>
      </x:c>
      <x:c r="E112" s="22" t="inlineStr">
        <x:is>
          <x:t xml:space="preserve">MISSING</x:t>
        </x:is>
      </x:c>
      <x:c r="F112" s="22" t="inlineStr">
        <x:is>
          <x:t xml:space="preserve">MISSING</x:t>
        </x:is>
      </x:c>
      <x:c r="G112" s="23" t="inlineStr">
        <x:is>
          <x:t xml:space="preserve">PARTIAL</x:t>
        </x:is>
      </x:c>
      <x:c r="H112" s="22" t="inlineStr">
        <x:is>
          <x:t xml:space="preserve">MISSING</x:t>
        </x:is>
      </x:c>
      <x:c r="I112" s="20" t="inlineStr">
        <x:is>
          <x:t xml:space="preserve">theophysics-lean-main\theophysics-lean-main\Final_Lean4_From_Excel.lean</x:t>
        </x:is>
      </x:c>
      <x:c r="J112" s="20" t="inlineStr">
        <x:is>
          <x:t xml:space="preserve">332</x:t>
        </x:is>
      </x:c>
      <x:c r="K112" s="20" t="inlineStr">
        <x:is>
          <x:t xml:space="preserve">theorem two_destructive_signs_have_positive_raw_product : (-1 : Int) * (-1) = 1</x:t>
        </x:is>
      </x:c>
      <x:c r="L112" s="20" t="inlineStr">
        <x:is>
          <x:t xml:space="preserve">two_destructive_signs_have_positive_raw_product</x:t>
        </x:is>
      </x:c>
      <x:c r="M112" s="23" t="inlineStr">
        <x:is>
          <x:t xml:space="preserve">PARTIAL</x:t>
        </x:is>
      </x:c>
      <x:c r="N112" s="21" t="inlineStr">
        <x:is>
          <x:t xml:space="preserve">PLACEHOLDER</x:t>
        </x:is>
      </x:c>
      <x:c r="O112" s="21" t="inlineStr">
        <x:is>
          <x:t xml:space="preserve">PLACEHOLDER</x:t>
        </x:is>
      </x:c>
      <x:c r="P112" s="22" t="inlineStr">
        <x:is>
          <x:t xml:space="preserve">MISSING</x:t>
        </x:is>
      </x:c>
      <x:c r="Q112" s="21" t="inlineStr">
        <x:is>
          <x:t xml:space="preserve">PLACEHOLDER</x:t>
        </x:is>
      </x:c>
      <x:c r="R112" s="21" t="inlineStr">
        <x:is>
          <x:t xml:space="preserve">PLACEHOLDER</x:t>
        </x:is>
      </x:c>
      <x:c r="S112" s="21" t="inlineStr">
        <x:is>
          <x:t xml:space="preserve">PLACEHOLDER</x:t>
        </x:is>
      </x:c>
      <x:c r="T112" s="23" t="inlineStr">
        <x:is>
          <x:t xml:space="preserve">PARTIAL</x:t>
        </x:is>
      </x:c>
      <x:c r="U112" s="21" t="inlineStr">
        <x:is>
          <x:t xml:space="preserve">PLACEHOLDER</x:t>
        </x:is>
      </x:c>
      <x:c r="V112" s="20" t="inlineStr">
        <x:is>
          <x:t xml:space="preserve">lean_match_count=8 | proof_strength=FINITE_DECIDABLE | Finite/decidable proof; check candidate-space limits. | definition/proof/numerical/empirical/interp fields still staged as TODO placeholders</x:t>
        </x:is>
      </x:c>
    </x:row>
    <x:row r="113" ht="55.20000076293945" customHeight="1">
      <x:c r="A113" s="20" t="inlineStr">
        <x:is>
          <x:t xml:space="preserve">127</x:t>
        </x:is>
      </x:c>
      <x:c r="B113" s="20" t="inlineStr">
        <x:is>
          <x:t xml:space="preserve">REJECTION: But the coherence gate rejects them. Arithmetic sign ≠ moral sign.</x:t>
        </x:is>
      </x:c>
      <x:c r="C113" s="20" t="inlineStr">
        <x:is>
          <x:t xml:space="preserve">C2 - Structural correspondence candidate</x:t>
        </x:is>
      </x:c>
      <x:c r="D113" s="21" t="inlineStr">
        <x:is>
          <x:t xml:space="preserve">PLACEHOLDER</x:t>
        </x:is>
      </x:c>
      <x:c r="E113" s="22" t="inlineStr">
        <x:is>
          <x:t xml:space="preserve">MISSING</x:t>
        </x:is>
      </x:c>
      <x:c r="F113" s="22" t="inlineStr">
        <x:is>
          <x:t xml:space="preserve">MISSING</x:t>
        </x:is>
      </x:c>
      <x:c r="G113" s="23" t="inlineStr">
        <x:is>
          <x:t xml:space="preserve">PARTIAL</x:t>
        </x:is>
      </x:c>
      <x:c r="H113" s="22" t="inlineStr">
        <x:is>
          <x:t xml:space="preserve">MISSING</x:t>
        </x:is>
      </x:c>
      <x:c r="I113" s="20" t="inlineStr">
        <x:is>
          <x:t xml:space="preserve">theophysics-lean-main\theophysics-lean-main\Final_Lean4_From_Excel.lean</x:t>
        </x:is>
      </x:c>
      <x:c r="J113" s="20" t="inlineStr">
        <x:is>
          <x:t xml:space="preserve">335</x:t>
        </x:is>
      </x:c>
      <x:c r="K113" s="20" t="inlineStr">
        <x:is>
          <x:t xml:space="preserve">theorem two_destructive_signs_do_not_pass_coherence_gate : binaryGate 2 = 1</x:t>
        </x:is>
      </x:c>
      <x:c r="L113" s="20" t="inlineStr">
        <x:is>
          <x:t xml:space="preserve">two_destructive_signs_do_not_pass_coherence_gate</x:t>
        </x:is>
      </x:c>
      <x:c r="M113" s="23" t="inlineStr">
        <x:is>
          <x:t xml:space="preserve">PARTIAL</x:t>
        </x:is>
      </x:c>
      <x:c r="N113" s="21" t="inlineStr">
        <x:is>
          <x:t xml:space="preserve">PLACEHOLDER</x:t>
        </x:is>
      </x:c>
      <x:c r="O113" s="21" t="inlineStr">
        <x:is>
          <x:t xml:space="preserve">PLACEHOLDER</x:t>
        </x:is>
      </x:c>
      <x:c r="P113" s="22" t="inlineStr">
        <x:is>
          <x:t xml:space="preserve">MISSING</x:t>
        </x:is>
      </x:c>
      <x:c r="Q113" s="21" t="inlineStr">
        <x:is>
          <x:t xml:space="preserve">PLACEHOLDER</x:t>
        </x:is>
      </x:c>
      <x:c r="R113" s="21" t="inlineStr">
        <x:is>
          <x:t xml:space="preserve">PLACEHOLDER</x:t>
        </x:is>
      </x:c>
      <x:c r="S113" s="21" t="inlineStr">
        <x:is>
          <x:t xml:space="preserve">PLACEHOLDER</x:t>
        </x:is>
      </x:c>
      <x:c r="T113" s="23" t="inlineStr">
        <x:is>
          <x:t xml:space="preserve">PARTIAL</x:t>
        </x:is>
      </x:c>
      <x:c r="U113" s="21" t="inlineStr">
        <x:is>
          <x:t xml:space="preserve">PLACEHOLDER</x:t>
        </x:is>
      </x:c>
      <x:c r="V113" s="20" t="inlineStr">
        <x:is>
          <x:t xml:space="preserve">lean_match_count=4 | proof_strength=WRAPPER_OR_IMPORTED | Likely delegates to another theorem; cite underlying theorem too. | definition/proof/numerical/empirical/interp fields still staged as TODO placeholders</x:t>
        </x:is>
      </x:c>
    </x:row>
    <x:row r="114" ht="55.20000076293945" customHeight="1">
      <x:c r="A114" s="20" t="inlineStr">
        <x:is>
          <x:t xml:space="preserve">128</x:t>
        </x:is>
      </x:c>
      <x:c r="B114" s="20" t="inlineStr">
        <x:is>
          <x:t xml:space="preserve">Below age of accountability → neutral regardless of observed behavior</x:t>
        </x:is>
      </x:c>
      <x:c r="C114" s="20" t="inlineStr">
        <x:is>
          <x:t xml:space="preserve">C2 - Structural correspondence candidate</x:t>
        </x:is>
      </x:c>
      <x:c r="D114" s="21" t="inlineStr">
        <x:is>
          <x:t xml:space="preserve">PLACEHOLDER</x:t>
        </x:is>
      </x:c>
      <x:c r="E114" s="22" t="inlineStr">
        <x:is>
          <x:t xml:space="preserve">MISSING</x:t>
        </x:is>
      </x:c>
      <x:c r="F114" s="22" t="inlineStr">
        <x:is>
          <x:t xml:space="preserve">MISSING</x:t>
        </x:is>
      </x:c>
      <x:c r="G114" s="23" t="inlineStr">
        <x:is>
          <x:t xml:space="preserve">PARTIAL</x:t>
        </x:is>
      </x:c>
      <x:c r="H114" s="22" t="inlineStr">
        <x:is>
          <x:t xml:space="preserve">MISSING</x:t>
        </x:is>
      </x:c>
      <x:c r="I114" s="20" t="inlineStr">
        <x:is>
          <x:t xml:space="preserve">theophysics-lean-main\theophysics-lean-main\Theophysics_Core.lean</x:t>
        </x:is>
      </x:c>
      <x:c r="J114" s="20" t="inlineStr">
        <x:is>
          <x:t xml:space="preserve">39</x:t>
        </x:is>
      </x:c>
      <x:c r="K114" s="20" t="inlineStr">
        <x:is>
          <x:t xml:space="preserve">theorem below_accountability_maps_to_neutral_even_with_bad_signal : True</x:t>
        </x:is>
      </x:c>
      <x:c r="L114" s="20" t="inlineStr">
        <x:is>
          <x:t xml:space="preserve">below_accountability_maps_to_neutral_even_with_bad_signal</x:t>
        </x:is>
      </x:c>
      <x:c r="M114" s="23" t="inlineStr">
        <x:is>
          <x:t xml:space="preserve">PARTIAL</x:t>
        </x:is>
      </x:c>
      <x:c r="N114" s="21" t="inlineStr">
        <x:is>
          <x:t xml:space="preserve">PLACEHOLDER</x:t>
        </x:is>
      </x:c>
      <x:c r="O114" s="21" t="inlineStr">
        <x:is>
          <x:t xml:space="preserve">PLACEHOLDER</x:t>
        </x:is>
      </x:c>
      <x:c r="P114" s="22" t="inlineStr">
        <x:is>
          <x:t xml:space="preserve">MISSING</x:t>
        </x:is>
      </x:c>
      <x:c r="Q114" s="21" t="inlineStr">
        <x:is>
          <x:t xml:space="preserve">PLACEHOLDER</x:t>
        </x:is>
      </x:c>
      <x:c r="R114" s="21" t="inlineStr">
        <x:is>
          <x:t xml:space="preserve">PLACEHOLDER</x:t>
        </x:is>
      </x:c>
      <x:c r="S114" s="21" t="inlineStr">
        <x:is>
          <x:t xml:space="preserve">PLACEHOLDER</x:t>
        </x:is>
      </x:c>
      <x:c r="T114" s="23" t="inlineStr">
        <x:is>
          <x:t xml:space="preserve">PARTIAL</x:t>
        </x:is>
      </x:c>
      <x:c r="U114" s="21" t="inlineStr">
        <x:is>
          <x:t xml:space="preserve">PLACEHOLDER</x:t>
        </x:is>
      </x:c>
      <x:c r="V114" s="20" t="inlineStr">
        <x:is>
          <x:t xml:space="preserve">lean_match_count=4 | proof_strength=TRIVIAL_TRUE | Statement is `True`; theorem name may exceed formal content. | definition/proof/numerical/empirical/interp fields still staged as TODO placeholders</x:t>
        </x:is>
      </x:c>
    </x:row>
    <x:row r="115" ht="55.20000076293945" customHeight="1">
      <x:c r="A115" s="20" t="inlineStr">
        <x:is>
          <x:t xml:space="preserve">129</x:t>
        </x:is>
      </x:c>
      <x:c r="B115" s="20" t="inlineStr">
        <x:is>
          <x:t xml:space="preserve">Below threshold → 0 culpability</x:t>
        </x:is>
      </x:c>
      <x:c r="C115" s="20" t="inlineStr">
        <x:is>
          <x:t xml:space="preserve">C2 - Structural correspondence candidate</x:t>
        </x:is>
      </x:c>
      <x:c r="D115" s="21" t="inlineStr">
        <x:is>
          <x:t xml:space="preserve">PLACEHOLDER</x:t>
        </x:is>
      </x:c>
      <x:c r="E115" s="22" t="inlineStr">
        <x:is>
          <x:t xml:space="preserve">MISSING</x:t>
        </x:is>
      </x:c>
      <x:c r="F115" s="22" t="inlineStr">
        <x:is>
          <x:t xml:space="preserve">MISSING</x:t>
        </x:is>
      </x:c>
      <x:c r="G115" s="22" t="inlineStr">
        <x:is>
          <x:t xml:space="preserve">MISSING</x:t>
        </x:is>
      </x:c>
      <x:c r="H115" s="22" t="inlineStr">
        <x:is>
          <x:t xml:space="preserve">MISSING</x:t>
        </x:is>
      </x:c>
      <x:c r="I115" s="20" t="inlineStr">
        <x:is>
          <x:t xml:space="preserve">theophysics-lean-main\theophysics-lean-main\Theophysics_Core.lean</x:t>
        </x:is>
      </x:c>
      <x:c r="J115" s="20" t="inlineStr">
        <x:is>
          <x:t xml:space="preserve">38</x:t>
        </x:is>
      </x:c>
      <x:c r="K115" s="20" t="inlineStr">
        <x:is>
          <x:t xml:space="preserve">theorem below_accountability_has_zero_culpability : True</x:t>
        </x:is>
      </x:c>
      <x:c r="L115" s="20" t="inlineStr">
        <x:is>
          <x:t xml:space="preserve">below_accountability_has_zero_culpability</x:t>
        </x:is>
      </x:c>
      <x:c r="M115" s="23" t="inlineStr">
        <x:is>
          <x:t xml:space="preserve">PARTIAL</x:t>
        </x:is>
      </x:c>
      <x:c r="N115" s="21" t="inlineStr">
        <x:is>
          <x:t xml:space="preserve">PLACEHOLDER</x:t>
        </x:is>
      </x:c>
      <x:c r="O115" s="21" t="inlineStr">
        <x:is>
          <x:t xml:space="preserve">PLACEHOLDER</x:t>
        </x:is>
      </x:c>
      <x:c r="P115" s="22" t="inlineStr">
        <x:is>
          <x:t xml:space="preserve">MISSING</x:t>
        </x:is>
      </x:c>
      <x:c r="Q115" s="21" t="inlineStr">
        <x:is>
          <x:t xml:space="preserve">PLACEHOLDER</x:t>
        </x:is>
      </x:c>
      <x:c r="R115" s="21" t="inlineStr">
        <x:is>
          <x:t xml:space="preserve">PLACEHOLDER</x:t>
        </x:is>
      </x:c>
      <x:c r="S115" s="21" t="inlineStr">
        <x:is>
          <x:t xml:space="preserve">PLACEHOLDER</x:t>
        </x:is>
      </x:c>
      <x:c r="T115" s="23" t="inlineStr">
        <x:is>
          <x:t xml:space="preserve">PARTIAL</x:t>
        </x:is>
      </x:c>
      <x:c r="U115" s="21" t="inlineStr">
        <x:is>
          <x:t xml:space="preserve">PLACEHOLDER</x:t>
        </x:is>
      </x:c>
      <x:c r="V115" s="20" t="inlineStr">
        <x:is>
          <x:t xml:space="preserve">lean_match_count=4 | proof_strength=TRIVIAL_TRUE | Statement is `True`; theorem name may exceed formal content. | definition/proof/numerical/empirical/interp fields still staged as TODO placeholders</x:t>
        </x:is>
      </x:c>
    </x:row>
    <x:row r="116" ht="55.20000076293945" customHeight="1">
      <x:c r="A116" s="20" t="inlineStr">
        <x:is>
          <x:t xml:space="preserve">130</x:t>
        </x:is>
      </x:c>
      <x:c r="B116" s="20" t="inlineStr">
        <x:is>
          <x:t xml:space="preserve">Destructive polarity → M gate = 0 → χ = 0</x:t>
        </x:is>
      </x:c>
      <x:c r="C116" s="20" t="inlineStr">
        <x:is>
          <x:t xml:space="preserve">C2 - Structural correspondence candidate</x:t>
        </x:is>
      </x:c>
      <x:c r="D116" s="21" t="inlineStr">
        <x:is>
          <x:t xml:space="preserve">PLACEHOLDER</x:t>
        </x:is>
      </x:c>
      <x:c r="E116" s="22" t="inlineStr">
        <x:is>
          <x:t xml:space="preserve">MISSING</x:t>
        </x:is>
      </x:c>
      <x:c r="F116" s="22" t="inlineStr">
        <x:is>
          <x:t xml:space="preserve">MISSING</x:t>
        </x:is>
      </x:c>
      <x:c r="G116" s="23" t="inlineStr">
        <x:is>
          <x:t xml:space="preserve">PARTIAL</x:t>
        </x:is>
      </x:c>
      <x:c r="H116" s="22" t="inlineStr">
        <x:is>
          <x:t xml:space="preserve">MISSING</x:t>
        </x:is>
      </x:c>
      <x:c r="I116" s="20" t="inlineStr">
        <x:is>
          <x:t xml:space="preserve">theophysics-lean-main\theophysics-lean-main\Theophysics_Core.lean</x:t>
        </x:is>
      </x:c>
      <x:c r="J116" s="20" t="inlineStr">
        <x:is>
          <x:t xml:space="preserve">41</x:t>
        </x:is>
      </x:c>
      <x:c r="K116" s="20" t="inlineStr">
        <x:is>
          <x:t xml:space="preserve">theorem destructive_strict_M_collapses_chi : True</x:t>
        </x:is>
      </x:c>
      <x:c r="L116" s="20" t="inlineStr">
        <x:is>
          <x:t xml:space="preserve">destructive_strict_M_collapses_chi</x:t>
        </x:is>
      </x:c>
      <x:c r="M116" s="23" t="inlineStr">
        <x:is>
          <x:t xml:space="preserve">PARTIAL</x:t>
        </x:is>
      </x:c>
      <x:c r="N116" s="21" t="inlineStr">
        <x:is>
          <x:t xml:space="preserve">PLACEHOLDER</x:t>
        </x:is>
      </x:c>
      <x:c r="O116" s="21" t="inlineStr">
        <x:is>
          <x:t xml:space="preserve">PLACEHOLDER</x:t>
        </x:is>
      </x:c>
      <x:c r="P116" s="22" t="inlineStr">
        <x:is>
          <x:t xml:space="preserve">MISSING</x:t>
        </x:is>
      </x:c>
      <x:c r="Q116" s="21" t="inlineStr">
        <x:is>
          <x:t xml:space="preserve">PLACEHOLDER</x:t>
        </x:is>
      </x:c>
      <x:c r="R116" s="21" t="inlineStr">
        <x:is>
          <x:t xml:space="preserve">PLACEHOLDER</x:t>
        </x:is>
      </x:c>
      <x:c r="S116" s="21" t="inlineStr">
        <x:is>
          <x:t xml:space="preserve">PLACEHOLDER</x:t>
        </x:is>
      </x:c>
      <x:c r="T116" s="23" t="inlineStr">
        <x:is>
          <x:t xml:space="preserve">PARTIAL</x:t>
        </x:is>
      </x:c>
      <x:c r="U116" s="21" t="inlineStr">
        <x:is>
          <x:t xml:space="preserve">PLACEHOLDER</x:t>
        </x:is>
      </x:c>
      <x:c r="V116" s="20" t="inlineStr">
        <x:is>
          <x:t xml:space="preserve">lean_match_count=4 | proof_strength=TRIVIAL_TRUE | Statement is `True`; theorem name may exceed formal content. | definition/proof/numerical/empirical/interp fields still staged as TODO placeholders</x:t>
        </x:is>
      </x:c>
    </x:row>
    <x:row r="117" ht="55.20000076293945" customHeight="1">
      <x:c r="A117" s="20" t="inlineStr">
        <x:is>
          <x:t xml:space="preserve">131</x:t>
        </x:is>
      </x:c>
      <x:c r="B117" s="20" t="inlineStr">
        <x:is>
          <x:t xml:space="preserve">Neutral polarity → M = 1 under accountability-aware gate</x:t>
        </x:is>
      </x:c>
      <x:c r="C117" s="20" t="inlineStr">
        <x:is>
          <x:t xml:space="preserve">C2 - Structural correspondence candidate</x:t>
        </x:is>
      </x:c>
      <x:c r="D117" s="21" t="inlineStr">
        <x:is>
          <x:t xml:space="preserve">PLACEHOLDER</x:t>
        </x:is>
      </x:c>
      <x:c r="E117" s="22" t="inlineStr">
        <x:is>
          <x:t xml:space="preserve">MISSING</x:t>
        </x:is>
      </x:c>
      <x:c r="F117" s="22" t="inlineStr">
        <x:is>
          <x:t xml:space="preserve">MISSING</x:t>
        </x:is>
      </x:c>
      <x:c r="G117" s="23" t="inlineStr">
        <x:is>
          <x:t xml:space="preserve">PARTIAL</x:t>
        </x:is>
      </x:c>
      <x:c r="H117" s="22" t="inlineStr">
        <x:is>
          <x:t xml:space="preserve">MISSING</x:t>
        </x:is>
      </x:c>
      <x:c r="I117" s="20" t="inlineStr">
        <x:is>
          <x:t xml:space="preserve">theophysics-lean-main\theophysics-lean-main\Theophysics_Core.lean</x:t>
        </x:is>
      </x:c>
      <x:c r="J117" s="20" t="inlineStr">
        <x:is>
          <x:t xml:space="preserve">42</x:t>
        </x:is>
      </x:c>
      <x:c r="K117" s="20" t="inlineStr">
        <x:is>
          <x:t xml:space="preserve">theorem neutral_accountability_aware_M_does_not_zero_M : True</x:t>
        </x:is>
      </x:c>
      <x:c r="L117" s="20" t="inlineStr">
        <x:is>
          <x:t xml:space="preserve">neutral_accountability_aware_M_does_not_zero_M</x:t>
        </x:is>
      </x:c>
      <x:c r="M117" s="23" t="inlineStr">
        <x:is>
          <x:t xml:space="preserve">PARTIAL</x:t>
        </x:is>
      </x:c>
      <x:c r="N117" s="21" t="inlineStr">
        <x:is>
          <x:t xml:space="preserve">PLACEHOLDER</x:t>
        </x:is>
      </x:c>
      <x:c r="O117" s="21" t="inlineStr">
        <x:is>
          <x:t xml:space="preserve">PLACEHOLDER</x:t>
        </x:is>
      </x:c>
      <x:c r="P117" s="22" t="inlineStr">
        <x:is>
          <x:t xml:space="preserve">MISSING</x:t>
        </x:is>
      </x:c>
      <x:c r="Q117" s="21" t="inlineStr">
        <x:is>
          <x:t xml:space="preserve">PLACEHOLDER</x:t>
        </x:is>
      </x:c>
      <x:c r="R117" s="21" t="inlineStr">
        <x:is>
          <x:t xml:space="preserve">PLACEHOLDER</x:t>
        </x:is>
      </x:c>
      <x:c r="S117" s="21" t="inlineStr">
        <x:is>
          <x:t xml:space="preserve">PLACEHOLDER</x:t>
        </x:is>
      </x:c>
      <x:c r="T117" s="23" t="inlineStr">
        <x:is>
          <x:t xml:space="preserve">PARTIAL</x:t>
        </x:is>
      </x:c>
      <x:c r="U117" s="21" t="inlineStr">
        <x:is>
          <x:t xml:space="preserve">PLACEHOLDER</x:t>
        </x:is>
      </x:c>
      <x:c r="V117" s="20" t="inlineStr">
        <x:is>
          <x:t xml:space="preserve">lean_match_count=4 | proof_strength=TRIVIAL_TRUE | Statement is `True`; theorem name may exceed formal content. | definition/proof/numerical/empirical/interp fields still staged as TODO placeholders</x:t>
        </x:is>
      </x:c>
    </x:row>
    <x:row r="118" ht="55.20000076293945" customHeight="1">
      <x:c r="A118" s="20" t="inlineStr">
        <x:is>
          <x:t xml:space="preserve">132</x:t>
        </x:is>
      </x:c>
      <x:c r="B118" s="20" t="inlineStr">
        <x:is>
          <x:t xml:space="preserve">Destructive polarity still kills χ under accountability-aware gate</x:t>
        </x:is>
      </x:c>
      <x:c r="C118" s="20" t="inlineStr">
        <x:is>
          <x:t xml:space="preserve">C2 - Structural correspondence candidate</x:t>
        </x:is>
      </x:c>
      <x:c r="D118" s="21" t="inlineStr">
        <x:is>
          <x:t xml:space="preserve">PLACEHOLDER</x:t>
        </x:is>
      </x:c>
      <x:c r="E118" s="22" t="inlineStr">
        <x:is>
          <x:t xml:space="preserve">MISSING</x:t>
        </x:is>
      </x:c>
      <x:c r="F118" s="22" t="inlineStr">
        <x:is>
          <x:t xml:space="preserve">MISSING</x:t>
        </x:is>
      </x:c>
      <x:c r="G118" s="23" t="inlineStr">
        <x:is>
          <x:t xml:space="preserve">PARTIAL</x:t>
        </x:is>
      </x:c>
      <x:c r="H118" s="22" t="inlineStr">
        <x:is>
          <x:t xml:space="preserve">MISSING</x:t>
        </x:is>
      </x:c>
      <x:c r="I118" s="20" t="inlineStr">
        <x:is>
          <x:t xml:space="preserve">theophysics-lean-main\theophysics-lean-main\Theophysics_Core.lean</x:t>
        </x:is>
      </x:c>
      <x:c r="J118" s="20" t="inlineStr">
        <x:is>
          <x:t xml:space="preserve">40</x:t>
        </x:is>
      </x:c>
      <x:c r="K118" s="20" t="inlineStr">
        <x:is>
          <x:t xml:space="preserve">theorem destructive_accountability_aware_M_collapses_chi : True</x:t>
        </x:is>
      </x:c>
      <x:c r="L118" s="20" t="inlineStr">
        <x:is>
          <x:t xml:space="preserve">destructive_accountability_aware_M_collapses_chi</x:t>
        </x:is>
      </x:c>
      <x:c r="M118" s="23" t="inlineStr">
        <x:is>
          <x:t xml:space="preserve">PARTIAL</x:t>
        </x:is>
      </x:c>
      <x:c r="N118" s="21" t="inlineStr">
        <x:is>
          <x:t xml:space="preserve">PLACEHOLDER</x:t>
        </x:is>
      </x:c>
      <x:c r="O118" s="21" t="inlineStr">
        <x:is>
          <x:t xml:space="preserve">PLACEHOLDER</x:t>
        </x:is>
      </x:c>
      <x:c r="P118" s="22" t="inlineStr">
        <x:is>
          <x:t xml:space="preserve">MISSING</x:t>
        </x:is>
      </x:c>
      <x:c r="Q118" s="21" t="inlineStr">
        <x:is>
          <x:t xml:space="preserve">PLACEHOLDER</x:t>
        </x:is>
      </x:c>
      <x:c r="R118" s="21" t="inlineStr">
        <x:is>
          <x:t xml:space="preserve">PLACEHOLDER</x:t>
        </x:is>
      </x:c>
      <x:c r="S118" s="21" t="inlineStr">
        <x:is>
          <x:t xml:space="preserve">PLACEHOLDER</x:t>
        </x:is>
      </x:c>
      <x:c r="T118" s="23" t="inlineStr">
        <x:is>
          <x:t xml:space="preserve">PARTIAL</x:t>
        </x:is>
      </x:c>
      <x:c r="U118" s="21" t="inlineStr">
        <x:is>
          <x:t xml:space="preserve">PLACEHOLDER</x:t>
        </x:is>
      </x:c>
      <x:c r="V118" s="20" t="inlineStr">
        <x:is>
          <x:t xml:space="preserve">lean_match_count=4 | proof_strength=TRIVIAL_TRUE | Statement is `True`; theorem name may exceed formal content. | definition/proof/numerical/empirical/interp fields still staged as TODO placeholders</x:t>
        </x:is>
      </x:c>
    </x:row>
    <x:row r="119" ht="55.20000076293945" customHeight="1">
      <x:c r="A119" s="20" t="inlineStr">
        <x:is>
          <x:t xml:space="preserve">133</x:t>
        </x:is>
      </x:c>
      <x:c r="B119" s="20" t="inlineStr">
        <x:is>
          <x:t xml:space="preserve">Arithmetic: (-1)×(-1) = 1. Raw math says yes.</x:t>
        </x:is>
      </x:c>
      <x:c r="C119" s="20" t="inlineStr">
        <x:is>
          <x:t xml:space="preserve">C2 - Structural correspondence candidate</x:t>
        </x:is>
      </x:c>
      <x:c r="D119" s="21" t="inlineStr">
        <x:is>
          <x:t xml:space="preserve">PLACEHOLDER</x:t>
        </x:is>
      </x:c>
      <x:c r="E119" s="22" t="inlineStr">
        <x:is>
          <x:t xml:space="preserve">MISSING</x:t>
        </x:is>
      </x:c>
      <x:c r="F119" s="22" t="inlineStr">
        <x:is>
          <x:t xml:space="preserve">MISSING</x:t>
        </x:is>
      </x:c>
      <x:c r="G119" s="23" t="inlineStr">
        <x:is>
          <x:t xml:space="preserve">PARTIAL</x:t>
        </x:is>
      </x:c>
      <x:c r="H119" s="22" t="inlineStr">
        <x:is>
          <x:t xml:space="preserve">MISSING</x:t>
        </x:is>
      </x:c>
      <x:c r="I119" s="20" t="inlineStr">
        <x:is>
          <x:t xml:space="preserve">theophysics-lean-main\theophysics-lean-main\Theophysics_Core.lean</x:t>
        </x:is>
      </x:c>
      <x:c r="J119" s="20" t="inlineStr">
        <x:is>
          <x:t xml:space="preserve">50</x:t>
        </x:is>
      </x:c>
      <x:c r="K119" s="20" t="inlineStr">
        <x:is>
          <x:t xml:space="preserve">theorem raw_two_negatives_multiply_positive : True</x:t>
        </x:is>
      </x:c>
      <x:c r="L119" s="20" t="inlineStr">
        <x:is>
          <x:t xml:space="preserve">raw_two_negatives_multiply_positive</x:t>
        </x:is>
      </x:c>
      <x:c r="M119" s="23" t="inlineStr">
        <x:is>
          <x:t xml:space="preserve">PARTIAL</x:t>
        </x:is>
      </x:c>
      <x:c r="N119" s="21" t="inlineStr">
        <x:is>
          <x:t xml:space="preserve">PLACEHOLDER</x:t>
        </x:is>
      </x:c>
      <x:c r="O119" s="21" t="inlineStr">
        <x:is>
          <x:t xml:space="preserve">PLACEHOLDER</x:t>
        </x:is>
      </x:c>
      <x:c r="P119" s="22" t="inlineStr">
        <x:is>
          <x:t xml:space="preserve">MISSING</x:t>
        </x:is>
      </x:c>
      <x:c r="Q119" s="21" t="inlineStr">
        <x:is>
          <x:t xml:space="preserve">PLACEHOLDER</x:t>
        </x:is>
      </x:c>
      <x:c r="R119" s="21" t="inlineStr">
        <x:is>
          <x:t xml:space="preserve">PLACEHOLDER</x:t>
        </x:is>
      </x:c>
      <x:c r="S119" s="21" t="inlineStr">
        <x:is>
          <x:t xml:space="preserve">PLACEHOLDER</x:t>
        </x:is>
      </x:c>
      <x:c r="T119" s="23" t="inlineStr">
        <x:is>
          <x:t xml:space="preserve">PARTIAL</x:t>
        </x:is>
      </x:c>
      <x:c r="U119" s="21" t="inlineStr">
        <x:is>
          <x:t xml:space="preserve">PLACEHOLDER</x:t>
        </x:is>
      </x:c>
      <x:c r="V119" s="20" t="inlineStr">
        <x:is>
          <x:t xml:space="preserve">lean_match_count=4 | proof_strength=TRIVIAL_TRUE | Statement is `True`; theorem name may exceed formal content. | definition/proof/numerical/empirical/interp fields still staged as TODO placeholders</x:t>
        </x:is>
      </x:c>
    </x:row>
    <x:row r="120" ht="55.20000076293945" customHeight="1">
      <x:c r="A120" s="20" t="inlineStr">
        <x:is>
          <x:t xml:space="preserve">134</x:t>
        </x:is>
      </x:c>
      <x:c r="B120" s="20" t="inlineStr">
        <x:is>
          <x:t xml:space="preserve">REJECTION: Burden coupling: negative + negative = negative. Accumulation does not redeem.</x:t>
        </x:is>
      </x:c>
      <x:c r="C120" s="20" t="inlineStr">
        <x:is>
          <x:t xml:space="preserve">C2 - Structural correspondence candidate</x:t>
        </x:is>
      </x:c>
      <x:c r="D120" s="21" t="inlineStr">
        <x:is>
          <x:t xml:space="preserve">PLACEHOLDER</x:t>
        </x:is>
      </x:c>
      <x:c r="E120" s="22" t="inlineStr">
        <x:is>
          <x:t xml:space="preserve">MISSING</x:t>
        </x:is>
      </x:c>
      <x:c r="F120" s="22" t="inlineStr">
        <x:is>
          <x:t xml:space="preserve">MISSING</x:t>
        </x:is>
      </x:c>
      <x:c r="G120" s="23" t="inlineStr">
        <x:is>
          <x:t xml:space="preserve">PARTIAL</x:t>
        </x:is>
      </x:c>
      <x:c r="H120" s="22" t="inlineStr">
        <x:is>
          <x:t xml:space="preserve">MISSING</x:t>
        </x:is>
      </x:c>
      <x:c r="I120" s="20" t="inlineStr">
        <x:is>
          <x:t xml:space="preserve">theophysics-lean-main\theophysics-lean-main\Final_Lean4_From_Excel.lean</x:t>
        </x:is>
      </x:c>
      <x:c r="J120" s="20" t="inlineStr">
        <x:is>
          <x:t xml:space="preserve">339</x:t>
        </x:is>
      </x:c>
      <x:c r="K120" s="20" t="inlineStr">
        <x:is>
          <x:t xml:space="preserve">theorem burden_two_negatives_stay_negative : ((-1 : Int) + (-1)) &lt; 0</x:t>
        </x:is>
      </x:c>
      <x:c r="L120" s="20" t="inlineStr">
        <x:is>
          <x:t xml:space="preserve">burden_two_negatives_stay_negative</x:t>
        </x:is>
      </x:c>
      <x:c r="M120" s="23" t="inlineStr">
        <x:is>
          <x:t xml:space="preserve">PARTIAL</x:t>
        </x:is>
      </x:c>
      <x:c r="N120" s="21" t="inlineStr">
        <x:is>
          <x:t xml:space="preserve">PLACEHOLDER</x:t>
        </x:is>
      </x:c>
      <x:c r="O120" s="21" t="inlineStr">
        <x:is>
          <x:t xml:space="preserve">PLACEHOLDER</x:t>
        </x:is>
      </x:c>
      <x:c r="P120" s="22" t="inlineStr">
        <x:is>
          <x:t xml:space="preserve">MISSING</x:t>
        </x:is>
      </x:c>
      <x:c r="Q120" s="21" t="inlineStr">
        <x:is>
          <x:t xml:space="preserve">PLACEHOLDER</x:t>
        </x:is>
      </x:c>
      <x:c r="R120" s="21" t="inlineStr">
        <x:is>
          <x:t xml:space="preserve">PLACEHOLDER</x:t>
        </x:is>
      </x:c>
      <x:c r="S120" s="21" t="inlineStr">
        <x:is>
          <x:t xml:space="preserve">PLACEHOLDER</x:t>
        </x:is>
      </x:c>
      <x:c r="T120" s="23" t="inlineStr">
        <x:is>
          <x:t xml:space="preserve">PARTIAL</x:t>
        </x:is>
      </x:c>
      <x:c r="U120" s="21" t="inlineStr">
        <x:is>
          <x:t xml:space="preserve">PLACEHOLDER</x:t>
        </x:is>
      </x:c>
      <x:c r="V120" s="20" t="inlineStr">
        <x:is>
          <x:t xml:space="preserve">lean_match_count=4 | proof_strength=FINITE_DECIDABLE | Finite/decidable proof; check candidate-space limits. | definition/proof/numerical/empirical/interp fields still staged as TODO placeholders</x:t>
        </x:is>
      </x:c>
    </x:row>
    <x:row r="121" ht="55.20000076293945" customHeight="1">
      <x:c r="A121" s="20" t="inlineStr">
        <x:is>
          <x:t xml:space="preserve">135</x:t>
        </x:is>
      </x:c>
      <x:c r="B121" s="20" t="inlineStr">
        <x:is>
          <x:t xml:space="preserve">REJECTION: Any negative in the burden keeps it negative</x:t>
        </x:is>
      </x:c>
      <x:c r="C121" s="20" t="inlineStr">
        <x:is>
          <x:t xml:space="preserve">C2 - Structural correspondence candidate</x:t>
        </x:is>
      </x:c>
      <x:c r="D121" s="21" t="inlineStr">
        <x:is>
          <x:t xml:space="preserve">PLACEHOLDER</x:t>
        </x:is>
      </x:c>
      <x:c r="E121" s="22" t="inlineStr">
        <x:is>
          <x:t xml:space="preserve">MISSING</x:t>
        </x:is>
      </x:c>
      <x:c r="F121" s="22" t="inlineStr">
        <x:is>
          <x:t xml:space="preserve">MISSING</x:t>
        </x:is>
      </x:c>
      <x:c r="G121" s="23" t="inlineStr">
        <x:is>
          <x:t xml:space="preserve">PARTIAL</x:t>
        </x:is>
      </x:c>
      <x:c r="H121" s="22" t="inlineStr">
        <x:is>
          <x:t xml:space="preserve">MISSING</x:t>
        </x:is>
      </x:c>
      <x:c r="I121" s="20" t="inlineStr">
        <x:is>
          <x:t xml:space="preserve">theophysics-lean-main\theophysics-lean-main\Theophysics_Adversarial.lean</x:t>
        </x:is>
      </x:c>
      <x:c r="J121" s="20" t="inlineStr">
        <x:is>
          <x:t xml:space="preserve">495</x:t>
        </x:is>
      </x:c>
      <x:c r="K121" s="20" t="inlineStr">
        <x:is>
          <x:t xml:space="preserve">theorem burden_negative_positive_stays_negative : signAddGate Sign.negative Sign.positive = Sign.negative</x:t>
        </x:is>
      </x:c>
      <x:c r="L121" s="20" t="inlineStr">
        <x:is>
          <x:t xml:space="preserve">burden_negative_positive_stays_negative</x:t>
        </x:is>
      </x:c>
      <x:c r="M121" s="23" t="inlineStr">
        <x:is>
          <x:t xml:space="preserve">PARTIAL</x:t>
        </x:is>
      </x:c>
      <x:c r="N121" s="21" t="inlineStr">
        <x:is>
          <x:t xml:space="preserve">PLACEHOLDER</x:t>
        </x:is>
      </x:c>
      <x:c r="O121" s="21" t="inlineStr">
        <x:is>
          <x:t xml:space="preserve">PLACEHOLDER</x:t>
        </x:is>
      </x:c>
      <x:c r="P121" s="22" t="inlineStr">
        <x:is>
          <x:t xml:space="preserve">MISSING</x:t>
        </x:is>
      </x:c>
      <x:c r="Q121" s="21" t="inlineStr">
        <x:is>
          <x:t xml:space="preserve">PLACEHOLDER</x:t>
        </x:is>
      </x:c>
      <x:c r="R121" s="21" t="inlineStr">
        <x:is>
          <x:t xml:space="preserve">PLACEHOLDER</x:t>
        </x:is>
      </x:c>
      <x:c r="S121" s="21" t="inlineStr">
        <x:is>
          <x:t xml:space="preserve">PLACEHOLDER</x:t>
        </x:is>
      </x:c>
      <x:c r="T121" s="23" t="inlineStr">
        <x:is>
          <x:t xml:space="preserve">PARTIAL</x:t>
        </x:is>
      </x:c>
      <x:c r="U121" s="21" t="inlineStr">
        <x:is>
          <x:t xml:space="preserve">PLACEHOLDER</x:t>
        </x:is>
      </x:c>
      <x:c r="V121" s="20" t="inlineStr">
        <x:is>
          <x:t xml:space="preserve">lean_match_count=4 | proof_strength=DEFINITIONAL_RFL | Proves definitional equality by reduction; useful but narrow. | definition/proof/numerical/empirical/interp fields still staged as TODO placeholders</x:t>
        </x:is>
      </x:c>
    </x:row>
    <x:row r="122" ht="55.20000076293945" customHeight="1">
      <x:c r="A122" s="20" t="inlineStr">
        <x:is>
          <x:t xml:space="preserve">136</x:t>
        </x:is>
      </x:c>
      <x:c r="B122" s="20" t="inlineStr">
        <x:is>
          <x:t xml:space="preserve">External Christic conversion: negative → positive</x:t>
        </x:is>
      </x:c>
      <x:c r="C122" s="20" t="inlineStr">
        <x:is>
          <x:t xml:space="preserve">C2 - Structural correspondence candidate</x:t>
        </x:is>
      </x:c>
      <x:c r="D122" s="21" t="inlineStr">
        <x:is>
          <x:t xml:space="preserve">PLACEHOLDER</x:t>
        </x:is>
      </x:c>
      <x:c r="E122" s="22" t="inlineStr">
        <x:is>
          <x:t xml:space="preserve">MISSING</x:t>
        </x:is>
      </x:c>
      <x:c r="F122" s="22" t="inlineStr">
        <x:is>
          <x:t xml:space="preserve">MISSING</x:t>
        </x:is>
      </x:c>
      <x:c r="G122" s="23" t="inlineStr">
        <x:is>
          <x:t xml:space="preserve">PARTIAL</x:t>
        </x:is>
      </x:c>
      <x:c r="H122" s="22" t="inlineStr">
        <x:is>
          <x:t xml:space="preserve">MISSING</x:t>
        </x:is>
      </x:c>
      <x:c r="I122" s="20" t="inlineStr">
        <x:is>
          <x:t xml:space="preserve">theophysics-lean-main\theophysics-lean-main\Theophysics_Core.lean</x:t>
        </x:is>
      </x:c>
      <x:c r="J122" s="20" t="inlineStr">
        <x:is>
          <x:t xml:space="preserve">46</x:t>
        </x:is>
      </x:c>
      <x:c r="K122" s="20" t="inlineStr">
        <x:is>
          <x:t xml:space="preserve">theorem christic_conversion_turns_negative_burden_positive : True</x:t>
        </x:is>
      </x:c>
      <x:c r="L122" s="20" t="inlineStr">
        <x:is>
          <x:t xml:space="preserve">christic_conversion_turns_negative_burden_positive</x:t>
        </x:is>
      </x:c>
      <x:c r="M122" s="23" t="inlineStr">
        <x:is>
          <x:t xml:space="preserve">PARTIAL</x:t>
        </x:is>
      </x:c>
      <x:c r="N122" s="21" t="inlineStr">
        <x:is>
          <x:t xml:space="preserve">PLACEHOLDER</x:t>
        </x:is>
      </x:c>
      <x:c r="O122" s="21" t="inlineStr">
        <x:is>
          <x:t xml:space="preserve">PLACEHOLDER</x:t>
        </x:is>
      </x:c>
      <x:c r="P122" s="22" t="inlineStr">
        <x:is>
          <x:t xml:space="preserve">MISSING</x:t>
        </x:is>
      </x:c>
      <x:c r="Q122" s="21" t="inlineStr">
        <x:is>
          <x:t xml:space="preserve">PLACEHOLDER</x:t>
        </x:is>
      </x:c>
      <x:c r="R122" s="21" t="inlineStr">
        <x:is>
          <x:t xml:space="preserve">PLACEHOLDER</x:t>
        </x:is>
      </x:c>
      <x:c r="S122" s="21" t="inlineStr">
        <x:is>
          <x:t xml:space="preserve">PLACEHOLDER</x:t>
        </x:is>
      </x:c>
      <x:c r="T122" s="23" t="inlineStr">
        <x:is>
          <x:t xml:space="preserve">PARTIAL</x:t>
        </x:is>
      </x:c>
      <x:c r="U122" s="21" t="inlineStr">
        <x:is>
          <x:t xml:space="preserve">PLACEHOLDER</x:t>
        </x:is>
      </x:c>
      <x:c r="V122" s="20" t="inlineStr">
        <x:is>
          <x:t xml:space="preserve">lean_match_count=4 | proof_strength=TRIVIAL_TRUE | Statement is `True`; theorem name may exceed formal content. | definition/proof/numerical/empirical/interp fields still staged as TODO placeholders</x:t>
        </x:is>
      </x:c>
    </x:row>
    <x:row r="123" ht="55.20000076293945" customHeight="1">
      <x:c r="A123" s="20" t="inlineStr">
        <x:is>
          <x:t xml:space="preserve">137</x:t>
        </x:is>
      </x:c>
      <x:c r="B123" s="20" t="inlineStr">
        <x:is>
          <x:t xml:space="preserve">Christic conversion: neutral → positive</x:t>
        </x:is>
      </x:c>
      <x:c r="C123" s="20" t="inlineStr">
        <x:is>
          <x:t xml:space="preserve">C2 - Structural correspondence candidate</x:t>
        </x:is>
      </x:c>
      <x:c r="D123" s="21" t="inlineStr">
        <x:is>
          <x:t xml:space="preserve">PLACEHOLDER</x:t>
        </x:is>
      </x:c>
      <x:c r="E123" s="22" t="inlineStr">
        <x:is>
          <x:t xml:space="preserve">MISSING</x:t>
        </x:is>
      </x:c>
      <x:c r="F123" s="22" t="inlineStr">
        <x:is>
          <x:t xml:space="preserve">MISSING</x:t>
        </x:is>
      </x:c>
      <x:c r="G123" s="23" t="inlineStr">
        <x:is>
          <x:t xml:space="preserve">PARTIAL</x:t>
        </x:is>
      </x:c>
      <x:c r="H123" s="22" t="inlineStr">
        <x:is>
          <x:t xml:space="preserve">MISSING</x:t>
        </x:is>
      </x:c>
      <x:c r="I123" s="20" t="inlineStr">
        <x:is>
          <x:t xml:space="preserve">theophysics-lean-main\theophysics-lean-main\Theophysics_Core.lean</x:t>
        </x:is>
      </x:c>
      <x:c r="J123" s="20" t="inlineStr">
        <x:is>
          <x:t xml:space="preserve">47</x:t>
        </x:is>
      </x:c>
      <x:c r="K123" s="20" t="inlineStr">
        <x:is>
          <x:t xml:space="preserve">theorem christic_conversion_turns_neutral_burden_positive : True</x:t>
        </x:is>
      </x:c>
      <x:c r="L123" s="20" t="inlineStr">
        <x:is>
          <x:t xml:space="preserve">christic_conversion_turns_neutral_burden_positive</x:t>
        </x:is>
      </x:c>
      <x:c r="M123" s="23" t="inlineStr">
        <x:is>
          <x:t xml:space="preserve">PARTIAL</x:t>
        </x:is>
      </x:c>
      <x:c r="N123" s="21" t="inlineStr">
        <x:is>
          <x:t xml:space="preserve">PLACEHOLDER</x:t>
        </x:is>
      </x:c>
      <x:c r="O123" s="21" t="inlineStr">
        <x:is>
          <x:t xml:space="preserve">PLACEHOLDER</x:t>
        </x:is>
      </x:c>
      <x:c r="P123" s="22" t="inlineStr">
        <x:is>
          <x:t xml:space="preserve">MISSING</x:t>
        </x:is>
      </x:c>
      <x:c r="Q123" s="21" t="inlineStr">
        <x:is>
          <x:t xml:space="preserve">PLACEHOLDER</x:t>
        </x:is>
      </x:c>
      <x:c r="R123" s="21" t="inlineStr">
        <x:is>
          <x:t xml:space="preserve">PLACEHOLDER</x:t>
        </x:is>
      </x:c>
      <x:c r="S123" s="21" t="inlineStr">
        <x:is>
          <x:t xml:space="preserve">PLACEHOLDER</x:t>
        </x:is>
      </x:c>
      <x:c r="T123" s="23" t="inlineStr">
        <x:is>
          <x:t xml:space="preserve">PARTIAL</x:t>
        </x:is>
      </x:c>
      <x:c r="U123" s="21" t="inlineStr">
        <x:is>
          <x:t xml:space="preserve">PLACEHOLDER</x:t>
        </x:is>
      </x:c>
      <x:c r="V123" s="20" t="inlineStr">
        <x:is>
          <x:t xml:space="preserve">lean_match_count=4 | proof_strength=TRIVIAL_TRUE | Statement is `True`; theorem name may exceed formal content. | definition/proof/numerical/empirical/interp fields still staged as TODO placeholders</x:t>
        </x:is>
      </x:c>
    </x:row>
    <x:row r="124" ht="55.20000076293945" customHeight="1">
      <x:c r="A124" s="20" t="inlineStr">
        <x:is>
          <x:t xml:space="preserve">138</x:t>
        </x:is>
      </x:c>
      <x:c r="B124" s="20" t="inlineStr">
        <x:is>
          <x:t xml:space="preserve">REJECTION: Accumulated negative burdens need conversion, not more burdens</x:t>
        </x:is>
      </x:c>
      <x:c r="C124" s="20" t="inlineStr">
        <x:is>
          <x:t xml:space="preserve">C2 - Structural correspondence candidate</x:t>
        </x:is>
      </x:c>
      <x:c r="D124" s="21" t="inlineStr">
        <x:is>
          <x:t xml:space="preserve">PLACEHOLDER</x:t>
        </x:is>
      </x:c>
      <x:c r="E124" s="22" t="inlineStr">
        <x:is>
          <x:t xml:space="preserve">MISSING</x:t>
        </x:is>
      </x:c>
      <x:c r="F124" s="22" t="inlineStr">
        <x:is>
          <x:t xml:space="preserve">MISSING</x:t>
        </x:is>
      </x:c>
      <x:c r="G124" s="23" t="inlineStr">
        <x:is>
          <x:t xml:space="preserve">PARTIAL</x:t>
        </x:is>
      </x:c>
      <x:c r="H124" s="22" t="inlineStr">
        <x:is>
          <x:t xml:space="preserve">MISSING</x:t>
        </x:is>
      </x:c>
      <x:c r="I124" s="20" t="inlineStr">
        <x:is>
          <x:t xml:space="preserve">theophysics-lean-main\theophysics-lean-main\Theophysics_Adversarial.lean</x:t>
        </x:is>
      </x:c>
      <x:c r="J124" s="20" t="inlineStr">
        <x:is>
          <x:t xml:space="preserve">499</x:t>
        </x:is>
      </x:c>
      <x:c r="K124" s="20" t="inlineStr">
        <x:is>
          <x:t xml:space="preserve">theorem two_negative_burdens_require_conversion_for_positive : convertedPositive true Sign.negative Sign.negative = true</x:t>
        </x:is>
      </x:c>
      <x:c r="L124" s="20" t="inlineStr">
        <x:is>
          <x:t xml:space="preserve">two_negative_burdens_require_conversion_for_positive</x:t>
        </x:is>
      </x:c>
      <x:c r="M124" s="23" t="inlineStr">
        <x:is>
          <x:t xml:space="preserve">PARTIAL</x:t>
        </x:is>
      </x:c>
      <x:c r="N124" s="21" t="inlineStr">
        <x:is>
          <x:t xml:space="preserve">PLACEHOLDER</x:t>
        </x:is>
      </x:c>
      <x:c r="O124" s="21" t="inlineStr">
        <x:is>
          <x:t xml:space="preserve">PLACEHOLDER</x:t>
        </x:is>
      </x:c>
      <x:c r="P124" s="22" t="inlineStr">
        <x:is>
          <x:t xml:space="preserve">MISSING</x:t>
        </x:is>
      </x:c>
      <x:c r="Q124" s="21" t="inlineStr">
        <x:is>
          <x:t xml:space="preserve">PLACEHOLDER</x:t>
        </x:is>
      </x:c>
      <x:c r="R124" s="21" t="inlineStr">
        <x:is>
          <x:t xml:space="preserve">PLACEHOLDER</x:t>
        </x:is>
      </x:c>
      <x:c r="S124" s="21" t="inlineStr">
        <x:is>
          <x:t xml:space="preserve">PLACEHOLDER</x:t>
        </x:is>
      </x:c>
      <x:c r="T124" s="23" t="inlineStr">
        <x:is>
          <x:t xml:space="preserve">PARTIAL</x:t>
        </x:is>
      </x:c>
      <x:c r="U124" s="21" t="inlineStr">
        <x:is>
          <x:t xml:space="preserve">PLACEHOLDER</x:t>
        </x:is>
      </x:c>
      <x:c r="V124" s="20" t="inlineStr">
        <x:is>
          <x:t xml:space="preserve">lean_match_count=4 | proof_strength=DEFINITIONAL_RFL | Proves definitional equality by reduction; useful but narrow. | definition/proof/numerical/empirical/interp fields still staged as TODO placeholders</x:t>
        </x:is>
      </x:c>
    </x:row>
    <x:row r="125" ht="55.20000076293945" customHeight="1">
      <x:c r="A125" s="20" t="inlineStr">
        <x:is>
          <x:t xml:space="preserve">139</x:t>
        </x:is>
      </x:c>
      <x:c r="B125" s="20" t="inlineStr">
        <x:is>
          <x:t xml:space="preserve">REJECTION: Without conversion, burdens stay negative</x:t>
        </x:is>
      </x:c>
      <x:c r="C125" s="20" t="inlineStr">
        <x:is>
          <x:t xml:space="preserve">C2 - Structural correspondence candidate</x:t>
        </x:is>
      </x:c>
      <x:c r="D125" s="21" t="inlineStr">
        <x:is>
          <x:t xml:space="preserve">PLACEHOLDER</x:t>
        </x:is>
      </x:c>
      <x:c r="E125" s="22" t="inlineStr">
        <x:is>
          <x:t xml:space="preserve">MISSING</x:t>
        </x:is>
      </x:c>
      <x:c r="F125" s="22" t="inlineStr">
        <x:is>
          <x:t xml:space="preserve">MISSING</x:t>
        </x:is>
      </x:c>
      <x:c r="G125" s="23" t="inlineStr">
        <x:is>
          <x:t xml:space="preserve">PARTIAL</x:t>
        </x:is>
      </x:c>
      <x:c r="H125" s="22" t="inlineStr">
        <x:is>
          <x:t xml:space="preserve">MISSING</x:t>
        </x:is>
      </x:c>
      <x:c r="I125" s="20" t="inlineStr">
        <x:is>
          <x:t xml:space="preserve">theophysics-lean-main\theophysics-lean-main\Theophysics_Adversarial.lean</x:t>
        </x:is>
      </x:c>
      <x:c r="J125" s="20" t="inlineStr">
        <x:is>
          <x:t xml:space="preserve">503</x:t>
        </x:is>
      </x:c>
      <x:c r="K125" s="20" t="inlineStr">
        <x:is>
          <x:t xml:space="preserve">theorem two_negative_burdens_without_conversion_not_positive : convertedPositive false Sign.negative Sign.negative = false</x:t>
        </x:is>
      </x:c>
      <x:c r="L125" s="20" t="inlineStr">
        <x:is>
          <x:t xml:space="preserve">two_negative_burdens_without_conversion_not_positive</x:t>
        </x:is>
      </x:c>
      <x:c r="M125" s="23" t="inlineStr">
        <x:is>
          <x:t xml:space="preserve">PARTIAL</x:t>
        </x:is>
      </x:c>
      <x:c r="N125" s="21" t="inlineStr">
        <x:is>
          <x:t xml:space="preserve">PLACEHOLDER</x:t>
        </x:is>
      </x:c>
      <x:c r="O125" s="21" t="inlineStr">
        <x:is>
          <x:t xml:space="preserve">PLACEHOLDER</x:t>
        </x:is>
      </x:c>
      <x:c r="P125" s="22" t="inlineStr">
        <x:is>
          <x:t xml:space="preserve">MISSING</x:t>
        </x:is>
      </x:c>
      <x:c r="Q125" s="21" t="inlineStr">
        <x:is>
          <x:t xml:space="preserve">PLACEHOLDER</x:t>
        </x:is>
      </x:c>
      <x:c r="R125" s="21" t="inlineStr">
        <x:is>
          <x:t xml:space="preserve">PLACEHOLDER</x:t>
        </x:is>
      </x:c>
      <x:c r="S125" s="21" t="inlineStr">
        <x:is>
          <x:t xml:space="preserve">PLACEHOLDER</x:t>
        </x:is>
      </x:c>
      <x:c r="T125" s="23" t="inlineStr">
        <x:is>
          <x:t xml:space="preserve">PARTIAL</x:t>
        </x:is>
      </x:c>
      <x:c r="U125" s="21" t="inlineStr">
        <x:is>
          <x:t xml:space="preserve">PLACEHOLDER</x:t>
        </x:is>
      </x:c>
      <x:c r="V125" s="20" t="inlineStr">
        <x:is>
          <x:t xml:space="preserve">lean_match_count=4 | proof_strength=DEFINITIONAL_RFL | Proves definitional equality by reduction; useful but narrow. | definition/proof/numerical/empirical/interp fields still staged as TODO placeholders</x:t>
        </x:is>
      </x:c>
    </x:row>
    <x:row r="126" ht="55.20000076293945" customHeight="1">
      <x:c r="A126" s="20" t="inlineStr">
        <x:is>
          <x:t xml:space="preserve">140</x:t>
        </x:is>
      </x:c>
      <x:c r="B126" s="20" t="inlineStr">
        <x:is>
          <x:t xml:space="preserve">Negative burden → coherence gate = 0</x:t>
        </x:is>
      </x:c>
      <x:c r="C126" s="20" t="inlineStr">
        <x:is>
          <x:t xml:space="preserve">C2 - Structural correspondence candidate</x:t>
        </x:is>
      </x:c>
      <x:c r="D126" s="21" t="inlineStr">
        <x:is>
          <x:t xml:space="preserve">PLACEHOLDER</x:t>
        </x:is>
      </x:c>
      <x:c r="E126" s="22" t="inlineStr">
        <x:is>
          <x:t xml:space="preserve">MISSING</x:t>
        </x:is>
      </x:c>
      <x:c r="F126" s="22" t="inlineStr">
        <x:is>
          <x:t xml:space="preserve">MISSING</x:t>
        </x:is>
      </x:c>
      <x:c r="G126" s="23" t="inlineStr">
        <x:is>
          <x:t xml:space="preserve">PARTIAL</x:t>
        </x:is>
      </x:c>
      <x:c r="H126" s="22" t="inlineStr">
        <x:is>
          <x:t xml:space="preserve">MISSING</x:t>
        </x:is>
      </x:c>
      <x:c r="I126" s="20" t="inlineStr">
        <x:is>
          <x:t xml:space="preserve">theophysics-lean-main\theophysics-lean-main\Theophysics_Core.lean</x:t>
        </x:is>
      </x:c>
      <x:c r="J126" s="20" t="inlineStr">
        <x:is>
          <x:t xml:space="preserve">49</x:t>
        </x:is>
      </x:c>
      <x:c r="K126" s="20" t="inlineStr">
        <x:is>
          <x:t xml:space="preserve">theorem negative_burden_gate_zero : True</x:t>
        </x:is>
      </x:c>
      <x:c r="L126" s="20" t="inlineStr">
        <x:is>
          <x:t xml:space="preserve">negative_burden_gate_zero</x:t>
        </x:is>
      </x:c>
      <x:c r="M126" s="23" t="inlineStr">
        <x:is>
          <x:t xml:space="preserve">PARTIAL</x:t>
        </x:is>
      </x:c>
      <x:c r="N126" s="21" t="inlineStr">
        <x:is>
          <x:t xml:space="preserve">PLACEHOLDER</x:t>
        </x:is>
      </x:c>
      <x:c r="O126" s="21" t="inlineStr">
        <x:is>
          <x:t xml:space="preserve">PLACEHOLDER</x:t>
        </x:is>
      </x:c>
      <x:c r="P126" s="22" t="inlineStr">
        <x:is>
          <x:t xml:space="preserve">MISSING</x:t>
        </x:is>
      </x:c>
      <x:c r="Q126" s="21" t="inlineStr">
        <x:is>
          <x:t xml:space="preserve">PLACEHOLDER</x:t>
        </x:is>
      </x:c>
      <x:c r="R126" s="21" t="inlineStr">
        <x:is>
          <x:t xml:space="preserve">PLACEHOLDER</x:t>
        </x:is>
      </x:c>
      <x:c r="S126" s="21" t="inlineStr">
        <x:is>
          <x:t xml:space="preserve">PLACEHOLDER</x:t>
        </x:is>
      </x:c>
      <x:c r="T126" s="23" t="inlineStr">
        <x:is>
          <x:t xml:space="preserve">PARTIAL</x:t>
        </x:is>
      </x:c>
      <x:c r="U126" s="21" t="inlineStr">
        <x:is>
          <x:t xml:space="preserve">PLACEHOLDER</x:t>
        </x:is>
      </x:c>
      <x:c r="V126" s="20" t="inlineStr">
        <x:is>
          <x:t xml:space="preserve">lean_match_count=4 | proof_strength=TRIVIAL_TRUE | Statement is `True`; theorem name may exceed formal content. | definition/proof/numerical/empirical/interp fields still staged as TODO placeholders</x:t>
        </x:is>
      </x:c>
    </x:row>
    <x:row r="127" ht="55.20000076293945" customHeight="1">
      <x:c r="A127" s="20" t="inlineStr">
        <x:is>
          <x:t xml:space="preserve">141</x:t>
        </x:is>
      </x:c>
      <x:c r="B127" s="20" t="inlineStr">
        <x:is>
          <x:t xml:space="preserve">Converted burden → coherence gate = 1</x:t>
        </x:is>
      </x:c>
      <x:c r="C127" s="20" t="inlineStr">
        <x:is>
          <x:t xml:space="preserve">C2 - Structural correspondence candidate</x:t>
        </x:is>
      </x:c>
      <x:c r="D127" s="21" t="inlineStr">
        <x:is>
          <x:t xml:space="preserve">PLACEHOLDER</x:t>
        </x:is>
      </x:c>
      <x:c r="E127" s="22" t="inlineStr">
        <x:is>
          <x:t xml:space="preserve">MISSING</x:t>
        </x:is>
      </x:c>
      <x:c r="F127" s="22" t="inlineStr">
        <x:is>
          <x:t xml:space="preserve">MISSING</x:t>
        </x:is>
      </x:c>
      <x:c r="G127" s="23" t="inlineStr">
        <x:is>
          <x:t xml:space="preserve">PARTIAL</x:t>
        </x:is>
      </x:c>
      <x:c r="H127" s="22" t="inlineStr">
        <x:is>
          <x:t xml:space="preserve">MISSING</x:t>
        </x:is>
      </x:c>
      <x:c r="I127" s="20" t="inlineStr">
        <x:is>
          <x:t xml:space="preserve">theophysics-lean-main\theophysics-lean-main\Theophysics_Core.lean</x:t>
        </x:is>
      </x:c>
      <x:c r="J127" s="20" t="inlineStr">
        <x:is>
          <x:t xml:space="preserve">48</x:t>
        </x:is>
      </x:c>
      <x:c r="K127" s="20" t="inlineStr">
        <x:is>
          <x:t xml:space="preserve">theorem converted_negative_burden_gate_one : True</x:t>
        </x:is>
      </x:c>
      <x:c r="L127" s="20" t="inlineStr">
        <x:is>
          <x:t xml:space="preserve">converted_negative_burden_gate_one</x:t>
        </x:is>
      </x:c>
      <x:c r="M127" s="23" t="inlineStr">
        <x:is>
          <x:t xml:space="preserve">PARTIAL</x:t>
        </x:is>
      </x:c>
      <x:c r="N127" s="21" t="inlineStr">
        <x:is>
          <x:t xml:space="preserve">PLACEHOLDER</x:t>
        </x:is>
      </x:c>
      <x:c r="O127" s="21" t="inlineStr">
        <x:is>
          <x:t xml:space="preserve">PLACEHOLDER</x:t>
        </x:is>
      </x:c>
      <x:c r="P127" s="22" t="inlineStr">
        <x:is>
          <x:t xml:space="preserve">MISSING</x:t>
        </x:is>
      </x:c>
      <x:c r="Q127" s="21" t="inlineStr">
        <x:is>
          <x:t xml:space="preserve">PLACEHOLDER</x:t>
        </x:is>
      </x:c>
      <x:c r="R127" s="21" t="inlineStr">
        <x:is>
          <x:t xml:space="preserve">PLACEHOLDER</x:t>
        </x:is>
      </x:c>
      <x:c r="S127" s="21" t="inlineStr">
        <x:is>
          <x:t xml:space="preserve">PLACEHOLDER</x:t>
        </x:is>
      </x:c>
      <x:c r="T127" s="23" t="inlineStr">
        <x:is>
          <x:t xml:space="preserve">PARTIAL</x:t>
        </x:is>
      </x:c>
      <x:c r="U127" s="21" t="inlineStr">
        <x:is>
          <x:t xml:space="preserve">PLACEHOLDER</x:t>
        </x:is>
      </x:c>
      <x:c r="V127" s="20" t="inlineStr">
        <x:is>
          <x:t xml:space="preserve">lean_match_count=4 | proof_strength=TRIVIAL_TRUE | Statement is `True`; theorem name may exceed formal content. | definition/proof/numerical/empirical/interp fields still staged as TODO placeholders</x:t>
        </x:is>
      </x:c>
    </x:row>
    <x:row r="128" ht="55.20000076293945" customHeight="1">
      <x:c r="A128" s="20" t="inlineStr">
        <x:is>
          <x:t xml:space="preserve">142</x:t>
        </x:is>
      </x:c>
      <x:c r="B128" s="20" t="inlineStr">
        <x:is>
          <x:t xml:space="preserve">C_op takes negative → positive (visible sign)</x:t>
        </x:is>
      </x:c>
      <x:c r="C128" s="20" t="inlineStr">
        <x:is>
          <x:t xml:space="preserve">C2 - Structural correspondence candidate</x:t>
        </x:is>
      </x:c>
      <x:c r="D128" s="21" t="inlineStr">
        <x:is>
          <x:t xml:space="preserve">PLACEHOLDER</x:t>
        </x:is>
      </x:c>
      <x:c r="E128" s="22" t="inlineStr">
        <x:is>
          <x:t xml:space="preserve">MISSING</x:t>
        </x:is>
      </x:c>
      <x:c r="F128" s="22" t="inlineStr">
        <x:is>
          <x:t xml:space="preserve">MISSING</x:t>
        </x:is>
      </x:c>
      <x:c r="G128" s="23" t="inlineStr">
        <x:is>
          <x:t xml:space="preserve">PARTIAL</x:t>
        </x:is>
      </x:c>
      <x:c r="H128" s="22" t="inlineStr">
        <x:is>
          <x:t xml:space="preserve">MISSING</x:t>
        </x:is>
      </x:c>
      <x:c r="I128" s="20" t="inlineStr">
        <x:is>
          <x:t xml:space="preserve">theophysics-lean-main\theophysics-lean-main\Theophysics_Core.lean</x:t>
        </x:is>
      </x:c>
      <x:c r="J128" s="20" t="inlineStr">
        <x:is>
          <x:t xml:space="preserve">51</x:t>
        </x:is>
      </x:c>
      <x:c r="K128" s="20" t="inlineStr">
        <x:is>
          <x:t xml:space="preserve">theorem C_op_converts_negative_to_positive : True</x:t>
        </x:is>
      </x:c>
      <x:c r="L128" s="20" t="inlineStr">
        <x:is>
          <x:t xml:space="preserve">C_op_converts_negative_to_positive</x:t>
        </x:is>
      </x:c>
      <x:c r="M128" s="23" t="inlineStr">
        <x:is>
          <x:t xml:space="preserve">PARTIAL</x:t>
        </x:is>
      </x:c>
      <x:c r="N128" s="21" t="inlineStr">
        <x:is>
          <x:t xml:space="preserve">PLACEHOLDER</x:t>
        </x:is>
      </x:c>
      <x:c r="O128" s="21" t="inlineStr">
        <x:is>
          <x:t xml:space="preserve">PLACEHOLDER</x:t>
        </x:is>
      </x:c>
      <x:c r="P128" s="22" t="inlineStr">
        <x:is>
          <x:t xml:space="preserve">MISSING</x:t>
        </x:is>
      </x:c>
      <x:c r="Q128" s="21" t="inlineStr">
        <x:is>
          <x:t xml:space="preserve">PLACEHOLDER</x:t>
        </x:is>
      </x:c>
      <x:c r="R128" s="21" t="inlineStr">
        <x:is>
          <x:t xml:space="preserve">PLACEHOLDER</x:t>
        </x:is>
      </x:c>
      <x:c r="S128" s="21" t="inlineStr">
        <x:is>
          <x:t xml:space="preserve">PLACEHOLDER</x:t>
        </x:is>
      </x:c>
      <x:c r="T128" s="23" t="inlineStr">
        <x:is>
          <x:t xml:space="preserve">PARTIAL</x:t>
        </x:is>
      </x:c>
      <x:c r="U128" s="21" t="inlineStr">
        <x:is>
          <x:t xml:space="preserve">PLACEHOLDER</x:t>
        </x:is>
      </x:c>
      <x:c r="V128" s="20" t="inlineStr">
        <x:is>
          <x:t xml:space="preserve">lean_match_count=4 | proof_strength=TRIVIAL_TRUE | Statement is `True`; theorem name may exceed formal content. | definition/proof/numerical/empirical/interp fields still staged as TODO placeholders</x:t>
        </x:is>
      </x:c>
    </x:row>
    <x:row r="129" ht="55.20000076293945" customHeight="1">
      <x:c r="A129" s="20" t="inlineStr">
        <x:is>
          <x:t xml:space="preserve">143</x:t>
        </x:is>
      </x:c>
      <x:c r="B129" s="20" t="inlineStr">
        <x:is>
          <x:t xml:space="preserve">C_op takes neutral → positive</x:t>
        </x:is>
      </x:c>
      <x:c r="C129" s="20" t="inlineStr">
        <x:is>
          <x:t xml:space="preserve">C2 - Structural correspondence candidate</x:t>
        </x:is>
      </x:c>
      <x:c r="D129" s="21" t="inlineStr">
        <x:is>
          <x:t xml:space="preserve">PLACEHOLDER</x:t>
        </x:is>
      </x:c>
      <x:c r="E129" s="22" t="inlineStr">
        <x:is>
          <x:t xml:space="preserve">MISSING</x:t>
        </x:is>
      </x:c>
      <x:c r="F129" s="22" t="inlineStr">
        <x:is>
          <x:t xml:space="preserve">MISSING</x:t>
        </x:is>
      </x:c>
      <x:c r="G129" s="23" t="inlineStr">
        <x:is>
          <x:t xml:space="preserve">PARTIAL</x:t>
        </x:is>
      </x:c>
      <x:c r="H129" s="22" t="inlineStr">
        <x:is>
          <x:t xml:space="preserve">MISSING</x:t>
        </x:is>
      </x:c>
      <x:c r="I129" s="20" t="inlineStr">
        <x:is>
          <x:t xml:space="preserve">theophysics-lean-main\theophysics-lean-main\Theophysics_Core.lean</x:t>
        </x:is>
      </x:c>
      <x:c r="J129" s="20" t="inlineStr">
        <x:is>
          <x:t xml:space="preserve">52</x:t>
        </x:is>
      </x:c>
      <x:c r="K129" s="20" t="inlineStr">
        <x:is>
          <x:t xml:space="preserve">theorem C_op_converts_neutral_to_positive : True</x:t>
        </x:is>
      </x:c>
      <x:c r="L129" s="20" t="inlineStr">
        <x:is>
          <x:t xml:space="preserve">C_op_converts_neutral_to_positive</x:t>
        </x:is>
      </x:c>
      <x:c r="M129" s="23" t="inlineStr">
        <x:is>
          <x:t xml:space="preserve">PARTIAL</x:t>
        </x:is>
      </x:c>
      <x:c r="N129" s="21" t="inlineStr">
        <x:is>
          <x:t xml:space="preserve">PLACEHOLDER</x:t>
        </x:is>
      </x:c>
      <x:c r="O129" s="21" t="inlineStr">
        <x:is>
          <x:t xml:space="preserve">PLACEHOLDER</x:t>
        </x:is>
      </x:c>
      <x:c r="P129" s="22" t="inlineStr">
        <x:is>
          <x:t xml:space="preserve">MISSING</x:t>
        </x:is>
      </x:c>
      <x:c r="Q129" s="21" t="inlineStr">
        <x:is>
          <x:t xml:space="preserve">PLACEHOLDER</x:t>
        </x:is>
      </x:c>
      <x:c r="R129" s="21" t="inlineStr">
        <x:is>
          <x:t xml:space="preserve">PLACEHOLDER</x:t>
        </x:is>
      </x:c>
      <x:c r="S129" s="21" t="inlineStr">
        <x:is>
          <x:t xml:space="preserve">PLACEHOLDER</x:t>
        </x:is>
      </x:c>
      <x:c r="T129" s="23" t="inlineStr">
        <x:is>
          <x:t xml:space="preserve">PARTIAL</x:t>
        </x:is>
      </x:c>
      <x:c r="U129" s="21" t="inlineStr">
        <x:is>
          <x:t xml:space="preserve">PLACEHOLDER</x:t>
        </x:is>
      </x:c>
      <x:c r="V129" s="20" t="inlineStr">
        <x:is>
          <x:t xml:space="preserve">lean_match_count=4 | proof_strength=TRIVIAL_TRUE | Statement is `True`; theorem name may exceed formal content. | definition/proof/numerical/empirical/interp fields still staged as TODO placeholders</x:t>
        </x:is>
      </x:c>
    </x:row>
    <x:row r="130" ht="55.20000076293945" customHeight="1">
      <x:c r="A130" s="20" t="inlineStr">
        <x:is>
          <x:t xml:space="preserve">144</x:t>
        </x:is>
      </x:c>
      <x:c r="B130" s="20" t="inlineStr">
        <x:is>
          <x:t xml:space="preserve">Already positive stays positive</x:t>
        </x:is>
      </x:c>
      <x:c r="C130" s="20" t="inlineStr">
        <x:is>
          <x:t xml:space="preserve">C2 - Structural correspondence candidate</x:t>
        </x:is>
      </x:c>
      <x:c r="D130" s="21" t="inlineStr">
        <x:is>
          <x:t xml:space="preserve">PLACEHOLDER</x:t>
        </x:is>
      </x:c>
      <x:c r="E130" s="22" t="inlineStr">
        <x:is>
          <x:t xml:space="preserve">MISSING</x:t>
        </x:is>
      </x:c>
      <x:c r="F130" s="22" t="inlineStr">
        <x:is>
          <x:t xml:space="preserve">MISSING</x:t>
        </x:is>
      </x:c>
      <x:c r="G130" s="23" t="inlineStr">
        <x:is>
          <x:t xml:space="preserve">PARTIAL</x:t>
        </x:is>
      </x:c>
      <x:c r="H130" s="22" t="inlineStr">
        <x:is>
          <x:t xml:space="preserve">MISSING</x:t>
        </x:is>
      </x:c>
      <x:c r="I130" s="20" t="inlineStr">
        <x:is>
          <x:t xml:space="preserve">theophysics-lean-main\theophysics-lean-main\Theophysics_Core.lean</x:t>
        </x:is>
      </x:c>
      <x:c r="J130" s="20" t="inlineStr">
        <x:is>
          <x:t xml:space="preserve">53</x:t>
        </x:is>
      </x:c>
      <x:c r="K130" s="20" t="inlineStr">
        <x:is>
          <x:t xml:space="preserve">theorem C_op_keeps_positive_positive : True</x:t>
        </x:is>
      </x:c>
      <x:c r="L130" s="20" t="inlineStr">
        <x:is>
          <x:t xml:space="preserve">C_op_keeps_positive_positive</x:t>
        </x:is>
      </x:c>
      <x:c r="M130" s="23" t="inlineStr">
        <x:is>
          <x:t xml:space="preserve">PARTIAL</x:t>
        </x:is>
      </x:c>
      <x:c r="N130" s="21" t="inlineStr">
        <x:is>
          <x:t xml:space="preserve">PLACEHOLDER</x:t>
        </x:is>
      </x:c>
      <x:c r="O130" s="21" t="inlineStr">
        <x:is>
          <x:t xml:space="preserve">PLACEHOLDER</x:t>
        </x:is>
      </x:c>
      <x:c r="P130" s="22" t="inlineStr">
        <x:is>
          <x:t xml:space="preserve">MISSING</x:t>
        </x:is>
      </x:c>
      <x:c r="Q130" s="21" t="inlineStr">
        <x:is>
          <x:t xml:space="preserve">PLACEHOLDER</x:t>
        </x:is>
      </x:c>
      <x:c r="R130" s="21" t="inlineStr">
        <x:is>
          <x:t xml:space="preserve">PLACEHOLDER</x:t>
        </x:is>
      </x:c>
      <x:c r="S130" s="21" t="inlineStr">
        <x:is>
          <x:t xml:space="preserve">PLACEHOLDER</x:t>
        </x:is>
      </x:c>
      <x:c r="T130" s="23" t="inlineStr">
        <x:is>
          <x:t xml:space="preserve">PARTIAL</x:t>
        </x:is>
      </x:c>
      <x:c r="U130" s="21" t="inlineStr">
        <x:is>
          <x:t xml:space="preserve">PLACEHOLDER</x:t>
        </x:is>
      </x:c>
      <x:c r="V130" s="20" t="inlineStr">
        <x:is>
          <x:t xml:space="preserve">lean_match_count=4 | proof_strength=TRIVIAL_TRUE | Statement is `True`; theorem name may exceed formal content. | definition/proof/numerical/empirical/interp fields still staged as TODO placeholders</x:t>
        </x:is>
      </x:c>
    </x:row>
    <x:row r="131" ht="55.20000076293945" customHeight="1">
      <x:c r="A131" s="20" t="inlineStr">
        <x:is>
          <x:t xml:space="preserve">145</x:t>
        </x:is>
      </x:c>
      <x:c r="B131" s="20" t="inlineStr">
        <x:is>
          <x:t xml:space="preserve">The record of what happened is NOT erased. History survives grace.</x:t>
        </x:is>
      </x:c>
      <x:c r="C131" s="20" t="inlineStr">
        <x:is>
          <x:t xml:space="preserve">C3 - Homomorphism candidate</x:t>
        </x:is>
      </x:c>
      <x:c r="D131" s="21" t="inlineStr">
        <x:is>
          <x:t xml:space="preserve">PLACEHOLDER</x:t>
        </x:is>
      </x:c>
      <x:c r="E131" s="22" t="inlineStr">
        <x:is>
          <x:t xml:space="preserve">MISSING</x:t>
        </x:is>
      </x:c>
      <x:c r="F131" s="23" t="inlineStr">
        <x:is>
          <x:t xml:space="preserve">PARTIAL</x:t>
        </x:is>
      </x:c>
      <x:c r="G131" s="22" t="inlineStr">
        <x:is>
          <x:t xml:space="preserve">MISSING</x:t>
        </x:is>
      </x:c>
      <x:c r="H131" s="22" t="inlineStr">
        <x:is>
          <x:t xml:space="preserve">MISSING</x:t>
        </x:is>
      </x:c>
      <x:c r="I131" s="20" t="inlineStr">
        <x:is>
          <x:t xml:space="preserve">theophysics-lean-main\theophysics-lean-main\Theophysics_Core.lean</x:t>
        </x:is>
      </x:c>
      <x:c r="J131" s="20" t="inlineStr">
        <x:is>
          <x:t xml:space="preserve">55</x:t>
        </x:is>
      </x:c>
      <x:c r="K131" s="20" t="inlineStr">
        <x:is>
          <x:t xml:space="preserve">theorem C_op_preserves_record_mark : True</x:t>
        </x:is>
      </x:c>
      <x:c r="L131" s="20" t="inlineStr">
        <x:is>
          <x:t xml:space="preserve">C_op_preserves_record_mark</x:t>
        </x:is>
      </x:c>
      <x:c r="M131" s="23" t="inlineStr">
        <x:is>
          <x:t xml:space="preserve">PARTIAL</x:t>
        </x:is>
      </x:c>
      <x:c r="N131" s="21" t="inlineStr">
        <x:is>
          <x:t xml:space="preserve">PLACEHOLDER</x:t>
        </x:is>
      </x:c>
      <x:c r="O131" s="21" t="inlineStr">
        <x:is>
          <x:t xml:space="preserve">PLACEHOLDER</x:t>
        </x:is>
      </x:c>
      <x:c r="P131" s="22" t="inlineStr">
        <x:is>
          <x:t xml:space="preserve">MISSING</x:t>
        </x:is>
      </x:c>
      <x:c r="Q131" s="21" t="inlineStr">
        <x:is>
          <x:t xml:space="preserve">PLACEHOLDER</x:t>
        </x:is>
      </x:c>
      <x:c r="R131" s="21" t="inlineStr">
        <x:is>
          <x:t xml:space="preserve">PLACEHOLDER</x:t>
        </x:is>
      </x:c>
      <x:c r="S131" s="21" t="inlineStr">
        <x:is>
          <x:t xml:space="preserve">PLACEHOLDER</x:t>
        </x:is>
      </x:c>
      <x:c r="T131" s="23" t="inlineStr">
        <x:is>
          <x:t xml:space="preserve">PARTIAL</x:t>
        </x:is>
      </x:c>
      <x:c r="U131" s="21" t="inlineStr">
        <x:is>
          <x:t xml:space="preserve">PLACEHOLDER</x:t>
        </x:is>
      </x:c>
      <x:c r="V131" s="20" t="inlineStr">
        <x:is>
          <x:t xml:space="preserve">lean_match_count=4 | proof_strength=TRIVIAL_TRUE | Statement is `True`; theorem name may exceed formal content. | definition/proof/numerical/empirical/interp fields still staged as TODO placeholders</x:t>
        </x:is>
      </x:c>
    </x:row>
    <x:row r="132" ht="55.20000076293945" customHeight="1">
      <x:c r="A132" s="20" t="inlineStr">
        <x:is>
          <x:t xml:space="preserve">146</x:t>
        </x:is>
      </x:c>
      <x:c r="B132" s="20" t="inlineStr">
        <x:is>
          <x:t xml:space="preserve">Entire source state carried forward. Nothing lost.</x:t>
        </x:is>
      </x:c>
      <x:c r="C132" s="20" t="inlineStr">
        <x:is>
          <x:t xml:space="preserve">C3 - Homomorphism candidate</x:t>
        </x:is>
      </x:c>
      <x:c r="D132" s="21" t="inlineStr">
        <x:is>
          <x:t xml:space="preserve">PLACEHOLDER</x:t>
        </x:is>
      </x:c>
      <x:c r="E132" s="22" t="inlineStr">
        <x:is>
          <x:t xml:space="preserve">MISSING</x:t>
        </x:is>
      </x:c>
      <x:c r="F132" s="23" t="inlineStr">
        <x:is>
          <x:t xml:space="preserve">PARTIAL</x:t>
        </x:is>
      </x:c>
      <x:c r="G132" s="22" t="inlineStr">
        <x:is>
          <x:t xml:space="preserve">MISSING</x:t>
        </x:is>
      </x:c>
      <x:c r="H132" s="22" t="inlineStr">
        <x:is>
          <x:t xml:space="preserve">MISSING</x:t>
        </x:is>
      </x:c>
      <x:c r="I132" s="20" t="inlineStr">
        <x:is>
          <x:t xml:space="preserve">theophysics-lean-main\theophysics-lean-main\Theophysics_Core.lean</x:t>
        </x:is>
      </x:c>
      <x:c r="J132" s="20" t="inlineStr">
        <x:is>
          <x:t xml:space="preserve">56</x:t>
        </x:is>
      </x:c>
      <x:c r="K132" s="20" t="inlineStr">
        <x:is>
          <x:t xml:space="preserve">theorem C_op_preserves_source_state : True</x:t>
        </x:is>
      </x:c>
      <x:c r="L132" s="20" t="inlineStr">
        <x:is>
          <x:t xml:space="preserve">C_op_preserves_source_state</x:t>
        </x:is>
      </x:c>
      <x:c r="M132" s="23" t="inlineStr">
        <x:is>
          <x:t xml:space="preserve">PARTIAL</x:t>
        </x:is>
      </x:c>
      <x:c r="N132" s="21" t="inlineStr">
        <x:is>
          <x:t xml:space="preserve">PLACEHOLDER</x:t>
        </x:is>
      </x:c>
      <x:c r="O132" s="21" t="inlineStr">
        <x:is>
          <x:t xml:space="preserve">PLACEHOLDER</x:t>
        </x:is>
      </x:c>
      <x:c r="P132" s="22" t="inlineStr">
        <x:is>
          <x:t xml:space="preserve">MISSING</x:t>
        </x:is>
      </x:c>
      <x:c r="Q132" s="21" t="inlineStr">
        <x:is>
          <x:t xml:space="preserve">PLACEHOLDER</x:t>
        </x:is>
      </x:c>
      <x:c r="R132" s="21" t="inlineStr">
        <x:is>
          <x:t xml:space="preserve">PLACEHOLDER</x:t>
        </x:is>
      </x:c>
      <x:c r="S132" s="21" t="inlineStr">
        <x:is>
          <x:t xml:space="preserve">PLACEHOLDER</x:t>
        </x:is>
      </x:c>
      <x:c r="T132" s="23" t="inlineStr">
        <x:is>
          <x:t xml:space="preserve">PARTIAL</x:t>
        </x:is>
      </x:c>
      <x:c r="U132" s="21" t="inlineStr">
        <x:is>
          <x:t xml:space="preserve">PLACEHOLDER</x:t>
        </x:is>
      </x:c>
      <x:c r="V132" s="20" t="inlineStr">
        <x:is>
          <x:t xml:space="preserve">lean_match_count=4 | proof_strength=TRIVIAL_TRUE | Statement is `True`; theorem name may exceed formal content. | definition/proof/numerical/empirical/interp fields still staged as TODO placeholders</x:t>
        </x:is>
      </x:c>
    </x:row>
    <x:row r="133" ht="55.20000076293945" customHeight="1">
      <x:c r="A133" s="20" t="inlineStr">
        <x:is>
          <x:t xml:space="preserve">147</x:t>
        </x:is>
      </x:c>
      <x:c r="B133" s="20" t="inlineStr">
        <x:is>
          <x:t xml:space="preserve">Source = negative, output = positive — simultaneously. Grace does not pretend the past didn't happen.</x:t>
        </x:is>
      </x:c>
      <x:c r="C133" s="20" t="inlineStr">
        <x:is>
          <x:t xml:space="preserve">C3 - Homomorphism candidate</x:t>
        </x:is>
      </x:c>
      <x:c r="D133" s="21" t="inlineStr">
        <x:is>
          <x:t xml:space="preserve">PLACEHOLDER</x:t>
        </x:is>
      </x:c>
      <x:c r="E133" s="22" t="inlineStr">
        <x:is>
          <x:t xml:space="preserve">MISSING</x:t>
        </x:is>
      </x:c>
      <x:c r="F133" s="23" t="inlineStr">
        <x:is>
          <x:t xml:space="preserve">PARTIAL</x:t>
        </x:is>
      </x:c>
      <x:c r="G133" s="23" t="inlineStr">
        <x:is>
          <x:t xml:space="preserve">PARTIAL</x:t>
        </x:is>
      </x:c>
      <x:c r="H133" s="22" t="inlineStr">
        <x:is>
          <x:t xml:space="preserve">MISSING</x:t>
        </x:is>
      </x:c>
      <x:c r="I133" s="20" t="inlineStr">
        <x:is>
          <x:t xml:space="preserve">theophysics-lean-main\theophysics-lean-main\Theophysics_Core.lean</x:t>
        </x:is>
      </x:c>
      <x:c r="J133" s="20" t="inlineStr">
        <x:is>
          <x:t xml:space="preserve">54</x:t>
        </x:is>
      </x:c>
      <x:c r="K133" s="20" t="inlineStr">
        <x:is>
          <x:t xml:space="preserve">theorem C_op_preserves_negative_history_even_after_positive_output : True</x:t>
        </x:is>
      </x:c>
      <x:c r="L133" s="20" t="inlineStr">
        <x:is>
          <x:t xml:space="preserve">C_op_preserves_negative_history_even_after_positive_output</x:t>
        </x:is>
      </x:c>
      <x:c r="M133" s="23" t="inlineStr">
        <x:is>
          <x:t xml:space="preserve">PARTIAL</x:t>
        </x:is>
      </x:c>
      <x:c r="N133" s="21" t="inlineStr">
        <x:is>
          <x:t xml:space="preserve">PLACEHOLDER</x:t>
        </x:is>
      </x:c>
      <x:c r="O133" s="21" t="inlineStr">
        <x:is>
          <x:t xml:space="preserve">PLACEHOLDER</x:t>
        </x:is>
      </x:c>
      <x:c r="P133" s="22" t="inlineStr">
        <x:is>
          <x:t xml:space="preserve">MISSING</x:t>
        </x:is>
      </x:c>
      <x:c r="Q133" s="21" t="inlineStr">
        <x:is>
          <x:t xml:space="preserve">PLACEHOLDER</x:t>
        </x:is>
      </x:c>
      <x:c r="R133" s="21" t="inlineStr">
        <x:is>
          <x:t xml:space="preserve">PLACEHOLDER</x:t>
        </x:is>
      </x:c>
      <x:c r="S133" s="21" t="inlineStr">
        <x:is>
          <x:t xml:space="preserve">PLACEHOLDER</x:t>
        </x:is>
      </x:c>
      <x:c r="T133" s="23" t="inlineStr">
        <x:is>
          <x:t xml:space="preserve">PARTIAL</x:t>
        </x:is>
      </x:c>
      <x:c r="U133" s="21" t="inlineStr">
        <x:is>
          <x:t xml:space="preserve">PLACEHOLDER</x:t>
        </x:is>
      </x:c>
      <x:c r="V133" s="20" t="inlineStr">
        <x:is>
          <x:t xml:space="preserve">lean_match_count=4 | proof_strength=TRIVIAL_TRUE | Statement is `True`; theorem name may exceed formal content. | definition/proof/numerical/empirical/interp fields still staged as TODO placeholders</x:t>
        </x:is>
      </x:c>
    </x:row>
    <x:row r="134" ht="55.20000076293945" customHeight="1">
      <x:c r="A134" s="20" t="inlineStr">
        <x:is>
          <x:t xml:space="preserve">148</x:t>
        </x:is>
      </x:c>
      <x:c r="B134" s="20" t="inlineStr">
        <x:is>
          <x:t xml:space="preserve">BOUNDARY: Visible output same for both — non-injective. You can't tell FROM THE OUTSIDE which path someone took.</x:t>
        </x:is>
      </x:c>
      <x:c r="C134" s="20" t="inlineStr">
        <x:is>
          <x:t xml:space="preserve">C2 - Structural correspondence candidate</x:t>
        </x:is>
      </x:c>
      <x:c r="D134" s="21" t="inlineStr">
        <x:is>
          <x:t xml:space="preserve">PLACEHOLDER</x:t>
        </x:is>
      </x:c>
      <x:c r="E134" s="22" t="inlineStr">
        <x:is>
          <x:t xml:space="preserve">MISSING</x:t>
        </x:is>
      </x:c>
      <x:c r="F134" s="22" t="inlineStr">
        <x:is>
          <x:t xml:space="preserve">MISSING</x:t>
        </x:is>
      </x:c>
      <x:c r="G134" s="23" t="inlineStr">
        <x:is>
          <x:t xml:space="preserve">PARTIAL</x:t>
        </x:is>
      </x:c>
      <x:c r="H134" s="22" t="inlineStr">
        <x:is>
          <x:t xml:space="preserve">MISSING</x:t>
        </x:is>
      </x:c>
      <x:c r="I134" s="20" t="inlineStr">
        <x:is>
          <x:t xml:space="preserve">theophysics-lean-main\theophysics-lean-main\Theophysics_Adversarial.lean</x:t>
        </x:is>
      </x:c>
      <x:c r="J134" s="20" t="inlineStr">
        <x:is>
          <x:t xml:space="preserve">507</x:t>
        </x:is>
      </x:c>
      <x:c r="K134" s="20" t="inlineStr">
        <x:is>
          <x:t xml:space="preserve">theorem visible_projection_conflates_negative_and_neutral_conversion : visibleProjectionConflatesNegativeAndNeutral = true</x:t>
        </x:is>
      </x:c>
      <x:c r="L134" s="20" t="inlineStr">
        <x:is>
          <x:t xml:space="preserve">visible_projection_conflates_negative_and_neutral_conversion</x:t>
        </x:is>
      </x:c>
      <x:c r="M134" s="23" t="inlineStr">
        <x:is>
          <x:t xml:space="preserve">PARTIAL</x:t>
        </x:is>
      </x:c>
      <x:c r="N134" s="21" t="inlineStr">
        <x:is>
          <x:t xml:space="preserve">PLACEHOLDER</x:t>
        </x:is>
      </x:c>
      <x:c r="O134" s="21" t="inlineStr">
        <x:is>
          <x:t xml:space="preserve">PLACEHOLDER</x:t>
        </x:is>
      </x:c>
      <x:c r="P134" s="22" t="inlineStr">
        <x:is>
          <x:t xml:space="preserve">MISSING</x:t>
        </x:is>
      </x:c>
      <x:c r="Q134" s="21" t="inlineStr">
        <x:is>
          <x:t xml:space="preserve">PLACEHOLDER</x:t>
        </x:is>
      </x:c>
      <x:c r="R134" s="21" t="inlineStr">
        <x:is>
          <x:t xml:space="preserve">PLACEHOLDER</x:t>
        </x:is>
      </x:c>
      <x:c r="S134" s="21" t="inlineStr">
        <x:is>
          <x:t xml:space="preserve">PLACEHOLDER</x:t>
        </x:is>
      </x:c>
      <x:c r="T134" s="23" t="inlineStr">
        <x:is>
          <x:t xml:space="preserve">PARTIAL</x:t>
        </x:is>
      </x:c>
      <x:c r="U134" s="21" t="inlineStr">
        <x:is>
          <x:t xml:space="preserve">PLACEHOLDER</x:t>
        </x:is>
      </x:c>
      <x:c r="V134" s="20" t="inlineStr">
        <x:is>
          <x:t xml:space="preserve">lean_match_count=4 | proof_strength=DEFINITIONAL_RFL | Proves definitional equality by reduction; useful but narrow. | definition/proof/numerical/empirical/interp fields still staged as TODO placeholders</x:t>
        </x:is>
      </x:c>
    </x:row>
    <x:row r="135" ht="55.20000076293945" customHeight="1">
      <x:c r="A135" s="20" t="inlineStr">
        <x:is>
          <x:t xml:space="preserve">149</x:t>
        </x:is>
      </x:c>
      <x:c r="B135" s="20" t="inlineStr">
        <x:is>
          <x:t xml:space="preserve">But lifted output preserves the distinction. God sees the full record.</x:t>
        </x:is>
      </x:c>
      <x:c r="C135" s="20" t="inlineStr">
        <x:is>
          <x:t xml:space="preserve">C3 - Homomorphism candidate</x:t>
        </x:is>
      </x:c>
      <x:c r="D135" s="21" t="inlineStr">
        <x:is>
          <x:t xml:space="preserve">PLACEHOLDER</x:t>
        </x:is>
      </x:c>
      <x:c r="E135" s="22" t="inlineStr">
        <x:is>
          <x:t xml:space="preserve">MISSING</x:t>
        </x:is>
      </x:c>
      <x:c r="F135" s="23" t="inlineStr">
        <x:is>
          <x:t xml:space="preserve">PARTIAL</x:t>
        </x:is>
      </x:c>
      <x:c r="G135" s="23" t="inlineStr">
        <x:is>
          <x:t xml:space="preserve">PARTIAL</x:t>
        </x:is>
      </x:c>
      <x:c r="H135" s="22" t="inlineStr">
        <x:is>
          <x:t xml:space="preserve">MISSING</x:t>
        </x:is>
      </x:c>
      <x:c r="I135" s="20" t="inlineStr">
        <x:is>
          <x:t xml:space="preserve">theophysics-lean-main\theophysics-lean-main\Theophysics_Core.lean</x:t>
        </x:is>
      </x:c>
      <x:c r="J135" s="20" t="inlineStr">
        <x:is>
          <x:t xml:space="preserve">58</x:t>
        </x:is>
      </x:c>
      <x:c r="K135" s="20" t="inlineStr">
        <x:is>
          <x:t xml:space="preserve">theorem lifted_outputs_preserve_distinct_source_signs : True</x:t>
        </x:is>
      </x:c>
      <x:c r="L135" s="20" t="inlineStr">
        <x:is>
          <x:t xml:space="preserve">lifted_outputs_preserve_distinct_source_signs</x:t>
        </x:is>
      </x:c>
      <x:c r="M135" s="23" t="inlineStr">
        <x:is>
          <x:t xml:space="preserve">PARTIAL</x:t>
        </x:is>
      </x:c>
      <x:c r="N135" s="21" t="inlineStr">
        <x:is>
          <x:t xml:space="preserve">PLACEHOLDER</x:t>
        </x:is>
      </x:c>
      <x:c r="O135" s="21" t="inlineStr">
        <x:is>
          <x:t xml:space="preserve">PLACEHOLDER</x:t>
        </x:is>
      </x:c>
      <x:c r="P135" s="22" t="inlineStr">
        <x:is>
          <x:t xml:space="preserve">MISSING</x:t>
        </x:is>
      </x:c>
      <x:c r="Q135" s="21" t="inlineStr">
        <x:is>
          <x:t xml:space="preserve">PLACEHOLDER</x:t>
        </x:is>
      </x:c>
      <x:c r="R135" s="21" t="inlineStr">
        <x:is>
          <x:t xml:space="preserve">PLACEHOLDER</x:t>
        </x:is>
      </x:c>
      <x:c r="S135" s="21" t="inlineStr">
        <x:is>
          <x:t xml:space="preserve">PLACEHOLDER</x:t>
        </x:is>
      </x:c>
      <x:c r="T135" s="23" t="inlineStr">
        <x:is>
          <x:t xml:space="preserve">PARTIAL</x:t>
        </x:is>
      </x:c>
      <x:c r="U135" s="21" t="inlineStr">
        <x:is>
          <x:t xml:space="preserve">PLACEHOLDER</x:t>
        </x:is>
      </x:c>
      <x:c r="V135" s="20" t="inlineStr">
        <x:is>
          <x:t xml:space="preserve">lean_match_count=4 | proof_strength=TRIVIAL_TRUE | Statement is `True`; theorem name may exceed formal content. | definition/proof/numerical/empirical/interp fields still staged as TODO placeholders</x:t>
        </x:is>
      </x:c>
    </x:row>
    <x:row r="136" ht="55.20000076293945" customHeight="1">
      <x:c r="A136" s="20" t="inlineStr">
        <x:is>
          <x:t xml:space="preserve">150</x:t>
        </x:is>
      </x:c>
      <x:c r="B136" s="20" t="inlineStr">
        <x:is>
          <x:t xml:space="preserve">REJECTION: Restoration ≠ erasure — formally. Looking forgiven ≠ past erased.</x:t>
        </x:is>
      </x:c>
      <x:c r="C136" s="20" t="inlineStr">
        <x:is>
          <x:t xml:space="preserve">C2 - Structural correspondence candidate</x:t>
        </x:is>
      </x:c>
      <x:c r="D136" s="21" t="inlineStr">
        <x:is>
          <x:t xml:space="preserve">PLACEHOLDER</x:t>
        </x:is>
      </x:c>
      <x:c r="E136" s="22" t="inlineStr">
        <x:is>
          <x:t xml:space="preserve">MISSING</x:t>
        </x:is>
      </x:c>
      <x:c r="F136" s="22" t="inlineStr">
        <x:is>
          <x:t xml:space="preserve">MISSING</x:t>
        </x:is>
      </x:c>
      <x:c r="G136" s="22" t="inlineStr">
        <x:is>
          <x:t xml:space="preserve">MISSING</x:t>
        </x:is>
      </x:c>
      <x:c r="H136" s="22" t="inlineStr">
        <x:is>
          <x:t xml:space="preserve">MISSING</x:t>
        </x:is>
      </x:c>
      <x:c r="I136" s="20" t="inlineStr">
        <x:is>
          <x:t xml:space="preserve">theophysics-lean-main\theophysics-lean-main\Theophysics_Adversarial.lean</x:t>
        </x:is>
      </x:c>
      <x:c r="J136" s="20" t="inlineStr">
        <x:is>
          <x:t xml:space="preserve">511</x:t>
        </x:is>
      </x:c>
      <x:c r="K136" s="20" t="inlineStr">
        <x:is>
          <x:t xml:space="preserve">theorem visible_restoration_does_not_imply_erasure : visibleRestorationErasesHistory = false</x:t>
        </x:is>
      </x:c>
      <x:c r="L136" s="20" t="inlineStr">
        <x:is>
          <x:t xml:space="preserve">visible_restoration_does_not_imply_erasure</x:t>
        </x:is>
      </x:c>
      <x:c r="M136" s="23" t="inlineStr">
        <x:is>
          <x:t xml:space="preserve">PARTIAL</x:t>
        </x:is>
      </x:c>
      <x:c r="N136" s="21" t="inlineStr">
        <x:is>
          <x:t xml:space="preserve">PLACEHOLDER</x:t>
        </x:is>
      </x:c>
      <x:c r="O136" s="21" t="inlineStr">
        <x:is>
          <x:t xml:space="preserve">PLACEHOLDER</x:t>
        </x:is>
      </x:c>
      <x:c r="P136" s="22" t="inlineStr">
        <x:is>
          <x:t xml:space="preserve">MISSING</x:t>
        </x:is>
      </x:c>
      <x:c r="Q136" s="21" t="inlineStr">
        <x:is>
          <x:t xml:space="preserve">PLACEHOLDER</x:t>
        </x:is>
      </x:c>
      <x:c r="R136" s="21" t="inlineStr">
        <x:is>
          <x:t xml:space="preserve">PLACEHOLDER</x:t>
        </x:is>
      </x:c>
      <x:c r="S136" s="21" t="inlineStr">
        <x:is>
          <x:t xml:space="preserve">PLACEHOLDER</x:t>
        </x:is>
      </x:c>
      <x:c r="T136" s="23" t="inlineStr">
        <x:is>
          <x:t xml:space="preserve">PARTIAL</x:t>
        </x:is>
      </x:c>
      <x:c r="U136" s="21" t="inlineStr">
        <x:is>
          <x:t xml:space="preserve">PLACEHOLDER</x:t>
        </x:is>
      </x:c>
      <x:c r="V136" s="20" t="inlineStr">
        <x:is>
          <x:t xml:space="preserve">lean_match_count=4 | proof_strength=DEFINITIONAL_RFL | Proves definitional equality by reduction; useful but narrow. | definition/proof/numerical/empirical/interp fields still staged as TODO placeholders</x:t>
        </x:is>
      </x:c>
    </x:row>
    <x:row r="137" ht="55.20000076293945" customHeight="1">
      <x:c r="A137" s="20" t="inlineStr">
        <x:is>
          <x:t xml:space="preserve">151</x:t>
        </x:is>
      </x:c>
      <x:c r="B137" s="20" t="inlineStr">
        <x:is>
          <x:t xml:space="preserve">C_op converts accumulated negative burdens into positive coherence</x:t>
        </x:is>
      </x:c>
      <x:c r="C137" s="20" t="inlineStr">
        <x:is>
          <x:t xml:space="preserve">C2 - Structural correspondence candidate</x:t>
        </x:is>
      </x:c>
      <x:c r="D137" s="21" t="inlineStr">
        <x:is>
          <x:t xml:space="preserve">PLACEHOLDER</x:t>
        </x:is>
      </x:c>
      <x:c r="E137" s="22" t="inlineStr">
        <x:is>
          <x:t xml:space="preserve">MISSING</x:t>
        </x:is>
      </x:c>
      <x:c r="F137" s="22" t="inlineStr">
        <x:is>
          <x:t xml:space="preserve">MISSING</x:t>
        </x:is>
      </x:c>
      <x:c r="G137" s="23" t="inlineStr">
        <x:is>
          <x:t xml:space="preserve">PARTIAL</x:t>
        </x:is>
      </x:c>
      <x:c r="H137" s="22" t="inlineStr">
        <x:is>
          <x:t xml:space="preserve">MISSING</x:t>
        </x:is>
      </x:c>
      <x:c r="I137" s="20" t="inlineStr">
        <x:is>
          <x:t xml:space="preserve">theophysics-lean-main\theophysics-lean-main\Theophysics_Core.lean</x:t>
        </x:is>
      </x:c>
      <x:c r="J137" s="20" t="inlineStr">
        <x:is>
          <x:t xml:space="preserve">57</x:t>
        </x:is>
      </x:c>
      <x:c r="K137" s="20" t="inlineStr">
        <x:is>
          <x:t xml:space="preserve">theorem chi_via_COp_converts_two_negative_burdens : True</x:t>
        </x:is>
      </x:c>
      <x:c r="L137" s="20" t="inlineStr">
        <x:is>
          <x:t xml:space="preserve">chi_via_COp_converts_two_negative_burdens</x:t>
        </x:is>
      </x:c>
      <x:c r="M137" s="23" t="inlineStr">
        <x:is>
          <x:t xml:space="preserve">PARTIAL</x:t>
        </x:is>
      </x:c>
      <x:c r="N137" s="21" t="inlineStr">
        <x:is>
          <x:t xml:space="preserve">PLACEHOLDER</x:t>
        </x:is>
      </x:c>
      <x:c r="O137" s="21" t="inlineStr">
        <x:is>
          <x:t xml:space="preserve">PLACEHOLDER</x:t>
        </x:is>
      </x:c>
      <x:c r="P137" s="22" t="inlineStr">
        <x:is>
          <x:t xml:space="preserve">MISSING</x:t>
        </x:is>
      </x:c>
      <x:c r="Q137" s="21" t="inlineStr">
        <x:is>
          <x:t xml:space="preserve">PLACEHOLDER</x:t>
        </x:is>
      </x:c>
      <x:c r="R137" s="21" t="inlineStr">
        <x:is>
          <x:t xml:space="preserve">PLACEHOLDER</x:t>
        </x:is>
      </x:c>
      <x:c r="S137" s="21" t="inlineStr">
        <x:is>
          <x:t xml:space="preserve">PLACEHOLDER</x:t>
        </x:is>
      </x:c>
      <x:c r="T137" s="23" t="inlineStr">
        <x:is>
          <x:t xml:space="preserve">PARTIAL</x:t>
        </x:is>
      </x:c>
      <x:c r="U137" s="21" t="inlineStr">
        <x:is>
          <x:t xml:space="preserve">PLACEHOLDER</x:t>
        </x:is>
      </x:c>
      <x:c r="V137" s="20" t="inlineStr">
        <x:is>
          <x:t xml:space="preserve">lean_match_count=4 | proof_strength=TRIVIAL_TRUE | Statement is `True`; theorem name may exceed formal content. | definition/proof/numerical/empirical/interp fields still staged as TODO placeholders</x:t>
        </x:is>
      </x:c>
    </x:row>
    <x:row r="138" ht="55.20000076293945" customHeight="1">
      <x:c r="A138" s="20" t="inlineStr">
        <x:is>
          <x:t xml:space="preserve">152</x:t>
        </x:is>
      </x:c>
      <x:c r="B138" s="20" t="inlineStr">
        <x:is>
          <x:t xml:space="preserve">REJECTION: C is NOT just another factor in the product. External integration, not scalar.</x:t>
        </x:is>
      </x:c>
      <x:c r="C138" s="20" t="inlineStr">
        <x:is>
          <x:t xml:space="preserve">C2 - Structural correspondence candidate</x:t>
        </x:is>
      </x:c>
      <x:c r="D138" s="21" t="inlineStr">
        <x:is>
          <x:t xml:space="preserve">PLACEHOLDER</x:t>
        </x:is>
      </x:c>
      <x:c r="E138" s="22" t="inlineStr">
        <x:is>
          <x:t xml:space="preserve">MISSING</x:t>
        </x:is>
      </x:c>
      <x:c r="F138" s="22" t="inlineStr">
        <x:is>
          <x:t xml:space="preserve">MISSING</x:t>
        </x:is>
      </x:c>
      <x:c r="G138" s="22" t="inlineStr">
        <x:is>
          <x:t xml:space="preserve">MISSING</x:t>
        </x:is>
      </x:c>
      <x:c r="H138" s="22" t="inlineStr">
        <x:is>
          <x:t xml:space="preserve">MISSING</x:t>
        </x:is>
      </x:c>
      <x:c r="I138" s="20" t="inlineStr">
        <x:is>
          <x:t xml:space="preserve">theophysics-lean-main\theophysics-lean-main\Theophysics_Adversarial.lean</x:t>
        </x:is>
      </x:c>
      <x:c r="J138" s="20" t="inlineStr">
        <x:is>
          <x:t xml:space="preserve">515</x:t>
        </x:is>
      </x:c>
      <x:c r="K138" s="20" t="inlineStr">
        <x:is>
          <x:t xml:space="preserve">theorem chi_via_COp_is_not_plain_scalar_self_multiplication : chiViaCOpIsPlainScalarSelfMultiplication = false</x:t>
        </x:is>
      </x:c>
      <x:c r="L138" s="20" t="inlineStr">
        <x:is>
          <x:t xml:space="preserve">chi_via_COp_is_not_plain_scalar_self_multiplication</x:t>
        </x:is>
      </x:c>
      <x:c r="M138" s="23" t="inlineStr">
        <x:is>
          <x:t xml:space="preserve">PARTIAL</x:t>
        </x:is>
      </x:c>
      <x:c r="N138" s="21" t="inlineStr">
        <x:is>
          <x:t xml:space="preserve">PLACEHOLDER</x:t>
        </x:is>
      </x:c>
      <x:c r="O138" s="21" t="inlineStr">
        <x:is>
          <x:t xml:space="preserve">PLACEHOLDER</x:t>
        </x:is>
      </x:c>
      <x:c r="P138" s="22" t="inlineStr">
        <x:is>
          <x:t xml:space="preserve">MISSING</x:t>
        </x:is>
      </x:c>
      <x:c r="Q138" s="21" t="inlineStr">
        <x:is>
          <x:t xml:space="preserve">PLACEHOLDER</x:t>
        </x:is>
      </x:c>
      <x:c r="R138" s="21" t="inlineStr">
        <x:is>
          <x:t xml:space="preserve">PLACEHOLDER</x:t>
        </x:is>
      </x:c>
      <x:c r="S138" s="21" t="inlineStr">
        <x:is>
          <x:t xml:space="preserve">PLACEHOLDER</x:t>
        </x:is>
      </x:c>
      <x:c r="T138" s="23" t="inlineStr">
        <x:is>
          <x:t xml:space="preserve">PARTIAL</x:t>
        </x:is>
      </x:c>
      <x:c r="U138" s="21" t="inlineStr">
        <x:is>
          <x:t xml:space="preserve">PLACEHOLDER</x:t>
        </x:is>
      </x:c>
      <x:c r="V138" s="20" t="inlineStr">
        <x:is>
          <x:t xml:space="preserve">lean_match_count=4 | proof_strength=DEFINITIONAL_RFL | Proves definitional equality by reduction; useful but narrow. | definition/proof/numerical/empirical/interp fields still staged as TODO placeholders</x:t>
        </x:is>
      </x:c>
    </x:row>
    <x:row r="139" ht="55.20000076293945" customHeight="1">
      <x:c r="A139" s="20" t="inlineStr">
        <x:is>
          <x:t xml:space="preserve">153</x:t>
        </x:is>
      </x:c>
      <x:c r="B139" s="20" t="inlineStr">
        <x:is>
          <x:t xml:space="preserve">Substrate ID unchanged through incarnation</x:t>
        </x:is>
      </x:c>
      <x:c r="C139" s="20" t="inlineStr">
        <x:is>
          <x:t xml:space="preserve">C3 - Homomorphism candidate</x:t>
        </x:is>
      </x:c>
      <x:c r="D139" s="21" t="inlineStr">
        <x:is>
          <x:t xml:space="preserve">PLACEHOLDER</x:t>
        </x:is>
      </x:c>
      <x:c r="E139" s="22" t="inlineStr">
        <x:is>
          <x:t xml:space="preserve">MISSING</x:t>
        </x:is>
      </x:c>
      <x:c r="F139" s="23" t="inlineStr">
        <x:is>
          <x:t xml:space="preserve">PARTIAL</x:t>
        </x:is>
      </x:c>
      <x:c r="G139" s="22" t="inlineStr">
        <x:is>
          <x:t xml:space="preserve">MISSING</x:t>
        </x:is>
      </x:c>
      <x:c r="H139" s="22" t="inlineStr">
        <x:is>
          <x:t xml:space="preserve">MISSING</x:t>
        </x:is>
      </x:c>
      <x:c r="I139" s="20" t="inlineStr">
        <x:is>
          <x:t xml:space="preserve">theophysics-lean-main\theophysics-lean-main\Theophysics_Core.lean</x:t>
        </x:is>
      </x:c>
      <x:c r="J139" s="20" t="inlineStr">
        <x:is>
          <x:t xml:space="preserve">143</x:t>
        </x:is>
      </x:c>
      <x:c r="K139" s="20" t="inlineStr">
        <x:is>
          <x:t xml:space="preserve">theorem incarnation_preserves_substrate_identity : True</x:t>
        </x:is>
      </x:c>
      <x:c r="L139" s="20" t="inlineStr">
        <x:is>
          <x:t xml:space="preserve">incarnation_preserves_substrate_identity</x:t>
        </x:is>
      </x:c>
      <x:c r="M139" s="23" t="inlineStr">
        <x:is>
          <x:t xml:space="preserve">PARTIAL</x:t>
        </x:is>
      </x:c>
      <x:c r="N139" s="21" t="inlineStr">
        <x:is>
          <x:t xml:space="preserve">PLACEHOLDER</x:t>
        </x:is>
      </x:c>
      <x:c r="O139" s="21" t="inlineStr">
        <x:is>
          <x:t xml:space="preserve">PLACEHOLDER</x:t>
        </x:is>
      </x:c>
      <x:c r="P139" s="22" t="inlineStr">
        <x:is>
          <x:t xml:space="preserve">MISSING</x:t>
        </x:is>
      </x:c>
      <x:c r="Q139" s="21" t="inlineStr">
        <x:is>
          <x:t xml:space="preserve">PLACEHOLDER</x:t>
        </x:is>
      </x:c>
      <x:c r="R139" s="21" t="inlineStr">
        <x:is>
          <x:t xml:space="preserve">PLACEHOLDER</x:t>
        </x:is>
      </x:c>
      <x:c r="S139" s="21" t="inlineStr">
        <x:is>
          <x:t xml:space="preserve">PLACEHOLDER</x:t>
        </x:is>
      </x:c>
      <x:c r="T139" s="23" t="inlineStr">
        <x:is>
          <x:t xml:space="preserve">PARTIAL</x:t>
        </x:is>
      </x:c>
      <x:c r="U139" s="21" t="inlineStr">
        <x:is>
          <x:t xml:space="preserve">PLACEHOLDER</x:t>
        </x:is>
      </x:c>
      <x:c r="V139" s="20" t="inlineStr">
        <x:is>
          <x:t xml:space="preserve">lean_match_count=4 | proof_strength=TRIVIAL_TRUE | Statement is `True`; theorem name may exceed formal content. | definition/proof/numerical/empirical/interp fields still staged as TODO placeholders</x:t>
        </x:is>
      </x:c>
    </x:row>
    <x:row r="140" ht="55.20000076293945" customHeight="1">
      <x:c r="A140" s="20" t="inlineStr">
        <x:is>
          <x:t xml:space="preserve">154</x:t>
        </x:is>
      </x:c>
      <x:c r="B140" s="20" t="inlineStr">
        <x:is>
          <x:t xml:space="preserve">Substrate ID unchanged through crucifixion</x:t>
        </x:is>
      </x:c>
      <x:c r="C140" s="20" t="inlineStr">
        <x:is>
          <x:t xml:space="preserve">C3 - Homomorphism candidate</x:t>
        </x:is>
      </x:c>
      <x:c r="D140" s="21" t="inlineStr">
        <x:is>
          <x:t xml:space="preserve">PLACEHOLDER</x:t>
        </x:is>
      </x:c>
      <x:c r="E140" s="22" t="inlineStr">
        <x:is>
          <x:t xml:space="preserve">MISSING</x:t>
        </x:is>
      </x:c>
      <x:c r="F140" s="23" t="inlineStr">
        <x:is>
          <x:t xml:space="preserve">PARTIAL</x:t>
        </x:is>
      </x:c>
      <x:c r="G140" s="22" t="inlineStr">
        <x:is>
          <x:t xml:space="preserve">MISSING</x:t>
        </x:is>
      </x:c>
      <x:c r="H140" s="22" t="inlineStr">
        <x:is>
          <x:t xml:space="preserve">MISSING</x:t>
        </x:is>
      </x:c>
      <x:c r="I140" s="20" t="inlineStr">
        <x:is>
          <x:t xml:space="preserve">theophysics-lean-main\theophysics-lean-main\Theophysics_Core.lean</x:t>
        </x:is>
      </x:c>
      <x:c r="J140" s="20" t="inlineStr">
        <x:is>
          <x:t xml:space="preserve">141</x:t>
        </x:is>
      </x:c>
      <x:c r="K140" s="20" t="inlineStr">
        <x:is>
          <x:t xml:space="preserve">theorem cross_preserves_substrate_identity : True</x:t>
        </x:is>
      </x:c>
      <x:c r="L140" s="20" t="inlineStr">
        <x:is>
          <x:t xml:space="preserve">cross_preserves_substrate_identity</x:t>
        </x:is>
      </x:c>
      <x:c r="M140" s="23" t="inlineStr">
        <x:is>
          <x:t xml:space="preserve">PARTIAL</x:t>
        </x:is>
      </x:c>
      <x:c r="N140" s="21" t="inlineStr">
        <x:is>
          <x:t xml:space="preserve">PLACEHOLDER</x:t>
        </x:is>
      </x:c>
      <x:c r="O140" s="21" t="inlineStr">
        <x:is>
          <x:t xml:space="preserve">PLACEHOLDER</x:t>
        </x:is>
      </x:c>
      <x:c r="P140" s="22" t="inlineStr">
        <x:is>
          <x:t xml:space="preserve">MISSING</x:t>
        </x:is>
      </x:c>
      <x:c r="Q140" s="21" t="inlineStr">
        <x:is>
          <x:t xml:space="preserve">PLACEHOLDER</x:t>
        </x:is>
      </x:c>
      <x:c r="R140" s="21" t="inlineStr">
        <x:is>
          <x:t xml:space="preserve">PLACEHOLDER</x:t>
        </x:is>
      </x:c>
      <x:c r="S140" s="21" t="inlineStr">
        <x:is>
          <x:t xml:space="preserve">PLACEHOLDER</x:t>
        </x:is>
      </x:c>
      <x:c r="T140" s="23" t="inlineStr">
        <x:is>
          <x:t xml:space="preserve">PARTIAL</x:t>
        </x:is>
      </x:c>
      <x:c r="U140" s="21" t="inlineStr">
        <x:is>
          <x:t xml:space="preserve">PLACEHOLDER</x:t>
        </x:is>
      </x:c>
      <x:c r="V140" s="20" t="inlineStr">
        <x:is>
          <x:t xml:space="preserve">lean_match_count=4 | proof_strength=TRIVIAL_TRUE | Statement is `True`; theorem name may exceed formal content. | definition/proof/numerical/empirical/interp fields still staged as TODO placeholders</x:t>
        </x:is>
      </x:c>
    </x:row>
    <x:row r="141" ht="55.20000076293945" customHeight="1">
      <x:c r="A141" s="20" t="inlineStr">
        <x:is>
          <x:t xml:space="preserve">155</x:t>
        </x:is>
      </x:c>
      <x:c r="B141" s="20" t="inlineStr">
        <x:is>
          <x:t xml:space="preserve">Substrate ID unchanged through resurrection</x:t>
        </x:is>
      </x:c>
      <x:c r="C141" s="20" t="inlineStr">
        <x:is>
          <x:t xml:space="preserve">C3 - Homomorphism candidate</x:t>
        </x:is>
      </x:c>
      <x:c r="D141" s="21" t="inlineStr">
        <x:is>
          <x:t xml:space="preserve">PLACEHOLDER</x:t>
        </x:is>
      </x:c>
      <x:c r="E141" s="22" t="inlineStr">
        <x:is>
          <x:t xml:space="preserve">MISSING</x:t>
        </x:is>
      </x:c>
      <x:c r="F141" s="23" t="inlineStr">
        <x:is>
          <x:t xml:space="preserve">PARTIAL</x:t>
        </x:is>
      </x:c>
      <x:c r="G141" s="22" t="inlineStr">
        <x:is>
          <x:t xml:space="preserve">MISSING</x:t>
        </x:is>
      </x:c>
      <x:c r="H141" s="22" t="inlineStr">
        <x:is>
          <x:t xml:space="preserve">MISSING</x:t>
        </x:is>
      </x:c>
      <x:c r="I141" s="20" t="inlineStr">
        <x:is>
          <x:t xml:space="preserve">theophysics-lean-main\theophysics-lean-main\Theophysics_Core.lean</x:t>
        </x:is>
      </x:c>
      <x:c r="J141" s="20" t="inlineStr">
        <x:is>
          <x:t xml:space="preserve">144</x:t>
        </x:is>
      </x:c>
      <x:c r="K141" s="20" t="inlineStr">
        <x:is>
          <x:t xml:space="preserve">theorem resurrection_preserves_substrate_identity : True</x:t>
        </x:is>
      </x:c>
      <x:c r="L141" s="20" t="inlineStr">
        <x:is>
          <x:t xml:space="preserve">resurrection_preserves_substrate_identity</x:t>
        </x:is>
      </x:c>
      <x:c r="M141" s="23" t="inlineStr">
        <x:is>
          <x:t xml:space="preserve">PARTIAL</x:t>
        </x:is>
      </x:c>
      <x:c r="N141" s="21" t="inlineStr">
        <x:is>
          <x:t xml:space="preserve">PLACEHOLDER</x:t>
        </x:is>
      </x:c>
      <x:c r="O141" s="21" t="inlineStr">
        <x:is>
          <x:t xml:space="preserve">PLACEHOLDER</x:t>
        </x:is>
      </x:c>
      <x:c r="P141" s="22" t="inlineStr">
        <x:is>
          <x:t xml:space="preserve">MISSING</x:t>
        </x:is>
      </x:c>
      <x:c r="Q141" s="21" t="inlineStr">
        <x:is>
          <x:t xml:space="preserve">PLACEHOLDER</x:t>
        </x:is>
      </x:c>
      <x:c r="R141" s="21" t="inlineStr">
        <x:is>
          <x:t xml:space="preserve">PLACEHOLDER</x:t>
        </x:is>
      </x:c>
      <x:c r="S141" s="21" t="inlineStr">
        <x:is>
          <x:t xml:space="preserve">PLACEHOLDER</x:t>
        </x:is>
      </x:c>
      <x:c r="T141" s="23" t="inlineStr">
        <x:is>
          <x:t xml:space="preserve">PARTIAL</x:t>
        </x:is>
      </x:c>
      <x:c r="U141" s="21" t="inlineStr">
        <x:is>
          <x:t xml:space="preserve">PLACEHOLDER</x:t>
        </x:is>
      </x:c>
      <x:c r="V141" s="20" t="inlineStr">
        <x:is>
          <x:t xml:space="preserve">lean_match_count=4 | proof_strength=TRIVIAL_TRUE | Statement is `True`; theorem name may exceed formal content. | definition/proof/numerical/empirical/interp fields still staged as TODO placeholders</x:t>
        </x:is>
      </x:c>
    </x:row>
    <x:row r="142" ht="55.20000076293945" customHeight="1">
      <x:c r="A142" s="20" t="inlineStr">
        <x:is>
          <x:t xml:space="preserve">156</x:t>
        </x:is>
      </x:c>
      <x:c r="B142" s="20" t="inlineStr">
        <x:is>
          <x:t xml:space="preserve">Incarnation = resolution drops from infinite to finite</x:t>
        </x:is>
      </x:c>
      <x:c r="C142" s="20" t="inlineStr">
        <x:is>
          <x:t xml:space="preserve">C2 - Structural correspondence candidate</x:t>
        </x:is>
      </x:c>
      <x:c r="D142" s="21" t="inlineStr">
        <x:is>
          <x:t xml:space="preserve">PLACEHOLDER</x:t>
        </x:is>
      </x:c>
      <x:c r="E142" s="22" t="inlineStr">
        <x:is>
          <x:t xml:space="preserve">MISSING</x:t>
        </x:is>
      </x:c>
      <x:c r="F142" s="22" t="inlineStr">
        <x:is>
          <x:t xml:space="preserve">MISSING</x:t>
        </x:is>
      </x:c>
      <x:c r="G142" s="22" t="inlineStr">
        <x:is>
          <x:t xml:space="preserve">MISSING</x:t>
        </x:is>
      </x:c>
      <x:c r="H142" s="22" t="inlineStr">
        <x:is>
          <x:t xml:space="preserve">MISSING</x:t>
        </x:is>
      </x:c>
      <x:c r="I142" s="20" t="inlineStr">
        <x:is>
          <x:t xml:space="preserve">theophysics-lean-main\theophysics-lean-main\Theophysics_Core.lean</x:t>
        </x:is>
      </x:c>
      <x:c r="J142" s="20" t="inlineStr">
        <x:is>
          <x:t xml:space="preserve">142</x:t>
        </x:is>
      </x:c>
      <x:c r="K142" s="20" t="inlineStr">
        <x:is>
          <x:t xml:space="preserve">theorem incarnation_is_finite_compression : True</x:t>
        </x:is>
      </x:c>
      <x:c r="L142" s="20" t="inlineStr">
        <x:is>
          <x:t xml:space="preserve">incarnation_is_finite_compression</x:t>
        </x:is>
      </x:c>
      <x:c r="M142" s="23" t="inlineStr">
        <x:is>
          <x:t xml:space="preserve">PARTIAL</x:t>
        </x:is>
      </x:c>
      <x:c r="N142" s="21" t="inlineStr">
        <x:is>
          <x:t xml:space="preserve">PLACEHOLDER</x:t>
        </x:is>
      </x:c>
      <x:c r="O142" s="21" t="inlineStr">
        <x:is>
          <x:t xml:space="preserve">PLACEHOLDER</x:t>
        </x:is>
      </x:c>
      <x:c r="P142" s="22" t="inlineStr">
        <x:is>
          <x:t xml:space="preserve">MISSING</x:t>
        </x:is>
      </x:c>
      <x:c r="Q142" s="21" t="inlineStr">
        <x:is>
          <x:t xml:space="preserve">PLACEHOLDER</x:t>
        </x:is>
      </x:c>
      <x:c r="R142" s="21" t="inlineStr">
        <x:is>
          <x:t xml:space="preserve">PLACEHOLDER</x:t>
        </x:is>
      </x:c>
      <x:c r="S142" s="21" t="inlineStr">
        <x:is>
          <x:t xml:space="preserve">PLACEHOLDER</x:t>
        </x:is>
      </x:c>
      <x:c r="T142" s="23" t="inlineStr">
        <x:is>
          <x:t xml:space="preserve">PARTIAL</x:t>
        </x:is>
      </x:c>
      <x:c r="U142" s="21" t="inlineStr">
        <x:is>
          <x:t xml:space="preserve">PLACEHOLDER</x:t>
        </x:is>
      </x:c>
      <x:c r="V142" s="20" t="inlineStr">
        <x:is>
          <x:t xml:space="preserve">lean_match_count=4 | proof_strength=TRIVIAL_TRUE | Statement is `True`; theorem name may exceed formal content. | definition/proof/numerical/empirical/interp fields still staged as TODO placeholders</x:t>
        </x:is>
      </x:c>
    </x:row>
    <x:row r="143" ht="55.20000076293945" customHeight="1">
      <x:c r="A143" s="20" t="inlineStr">
        <x:is>
          <x:t xml:space="preserve">157</x:t>
        </x:is>
      </x:c>
      <x:c r="B143" s="20" t="inlineStr">
        <x:is>
          <x:t xml:space="preserve">Resurrection = resolution returns to infinite</x:t>
        </x:is>
      </x:c>
      <x:c r="C143" s="20" t="inlineStr">
        <x:is>
          <x:t xml:space="preserve">C2 - Structural correspondence candidate</x:t>
        </x:is>
      </x:c>
      <x:c r="D143" s="21" t="inlineStr">
        <x:is>
          <x:t xml:space="preserve">PLACEHOLDER</x:t>
        </x:is>
      </x:c>
      <x:c r="E143" s="22" t="inlineStr">
        <x:is>
          <x:t xml:space="preserve">MISSING</x:t>
        </x:is>
      </x:c>
      <x:c r="F143" s="22" t="inlineStr">
        <x:is>
          <x:t xml:space="preserve">MISSING</x:t>
        </x:is>
      </x:c>
      <x:c r="G143" s="22" t="inlineStr">
        <x:is>
          <x:t xml:space="preserve">MISSING</x:t>
        </x:is>
      </x:c>
      <x:c r="H143" s="22" t="inlineStr">
        <x:is>
          <x:t xml:space="preserve">MISSING</x:t>
        </x:is>
      </x:c>
      <x:c r="I143" s="20" t="inlineStr">
        <x:is>
          <x:t xml:space="preserve">theophysics-lean-main\theophysics-lean-main\Theophysics_Core.lean</x:t>
        </x:is>
      </x:c>
      <x:c r="J143" s="20" t="inlineStr">
        <x:is>
          <x:t xml:space="preserve">145</x:t>
        </x:is>
      </x:c>
      <x:c r="K143" s="20" t="inlineStr">
        <x:is>
          <x:t xml:space="preserve">theorem resurrection_returns_to_infinite_resolution : True</x:t>
        </x:is>
      </x:c>
      <x:c r="L143" s="20" t="inlineStr">
        <x:is>
          <x:t xml:space="preserve">resurrection_returns_to_infinite_resolution</x:t>
        </x:is>
      </x:c>
      <x:c r="M143" s="23" t="inlineStr">
        <x:is>
          <x:t xml:space="preserve">PARTIAL</x:t>
        </x:is>
      </x:c>
      <x:c r="N143" s="21" t="inlineStr">
        <x:is>
          <x:t xml:space="preserve">PLACEHOLDER</x:t>
        </x:is>
      </x:c>
      <x:c r="O143" s="21" t="inlineStr">
        <x:is>
          <x:t xml:space="preserve">PLACEHOLDER</x:t>
        </x:is>
      </x:c>
      <x:c r="P143" s="22" t="inlineStr">
        <x:is>
          <x:t xml:space="preserve">MISSING</x:t>
        </x:is>
      </x:c>
      <x:c r="Q143" s="21" t="inlineStr">
        <x:is>
          <x:t xml:space="preserve">PLACEHOLDER</x:t>
        </x:is>
      </x:c>
      <x:c r="R143" s="21" t="inlineStr">
        <x:is>
          <x:t xml:space="preserve">PLACEHOLDER</x:t>
        </x:is>
      </x:c>
      <x:c r="S143" s="21" t="inlineStr">
        <x:is>
          <x:t xml:space="preserve">PLACEHOLDER</x:t>
        </x:is>
      </x:c>
      <x:c r="T143" s="23" t="inlineStr">
        <x:is>
          <x:t xml:space="preserve">PARTIAL</x:t>
        </x:is>
      </x:c>
      <x:c r="U143" s="21" t="inlineStr">
        <x:is>
          <x:t xml:space="preserve">PLACEHOLDER</x:t>
        </x:is>
      </x:c>
      <x:c r="V143" s="20" t="inlineStr">
        <x:is>
          <x:t xml:space="preserve">lean_match_count=4 | proof_strength=TRIVIAL_TRUE | Statement is `True`; theorem name may exceed formal content. | definition/proof/numerical/empirical/interp fields still staged as TODO placeholders</x:t>
        </x:is>
      </x:c>
    </x:row>
    <x:row r="144" ht="55.20000076293945" customHeight="1">
      <x:c r="A144" s="20" t="inlineStr">
        <x:is>
          <x:t xml:space="preserve">158</x:t>
        </x:is>
      </x:c>
      <x:c r="B144" s="20" t="inlineStr">
        <x:is>
          <x:t xml:space="preserve">Cross records entropy contact AND death contact</x:t>
        </x:is>
      </x:c>
      <x:c r="C144" s="20" t="inlineStr">
        <x:is>
          <x:t xml:space="preserve">C2 - Structural correspondence candidate</x:t>
        </x:is>
      </x:c>
      <x:c r="D144" s="21" t="inlineStr">
        <x:is>
          <x:t xml:space="preserve">PLACEHOLDER</x:t>
        </x:is>
      </x:c>
      <x:c r="E144" s="22" t="inlineStr">
        <x:is>
          <x:t xml:space="preserve">MISSING</x:t>
        </x:is>
      </x:c>
      <x:c r="F144" s="22" t="inlineStr">
        <x:is>
          <x:t xml:space="preserve">MISSING</x:t>
        </x:is>
      </x:c>
      <x:c r="G144" s="22" t="inlineStr">
        <x:is>
          <x:t xml:space="preserve">MISSING</x:t>
        </x:is>
      </x:c>
      <x:c r="H144" s="22" t="inlineStr">
        <x:is>
          <x:t xml:space="preserve">MISSING</x:t>
        </x:is>
      </x:c>
      <x:c r="I144" s="20" t="inlineStr">
        <x:is>
          <x:t xml:space="preserve">theophysics-lean-main\theophysics-lean-main\Theophysics_Core.lean</x:t>
        </x:is>
      </x:c>
      <x:c r="J144" s="20" t="inlineStr">
        <x:is>
          <x:t xml:space="preserve">59</x:t>
        </x:is>
      </x:c>
      <x:c r="K144" s="20" t="inlineStr">
        <x:is>
          <x:t xml:space="preserve">theorem cross_has_entropy_and_death_contact : True</x:t>
        </x:is>
      </x:c>
      <x:c r="L144" s="20" t="inlineStr">
        <x:is>
          <x:t xml:space="preserve">cross_has_entropy_and_death_contact</x:t>
        </x:is>
      </x:c>
      <x:c r="M144" s="23" t="inlineStr">
        <x:is>
          <x:t xml:space="preserve">PARTIAL</x:t>
        </x:is>
      </x:c>
      <x:c r="N144" s="21" t="inlineStr">
        <x:is>
          <x:t xml:space="preserve">PLACEHOLDER</x:t>
        </x:is>
      </x:c>
      <x:c r="O144" s="21" t="inlineStr">
        <x:is>
          <x:t xml:space="preserve">PLACEHOLDER</x:t>
        </x:is>
      </x:c>
      <x:c r="P144" s="22" t="inlineStr">
        <x:is>
          <x:t xml:space="preserve">MISSING</x:t>
        </x:is>
      </x:c>
      <x:c r="Q144" s="21" t="inlineStr">
        <x:is>
          <x:t xml:space="preserve">PLACEHOLDER</x:t>
        </x:is>
      </x:c>
      <x:c r="R144" s="21" t="inlineStr">
        <x:is>
          <x:t xml:space="preserve">PLACEHOLDER</x:t>
        </x:is>
      </x:c>
      <x:c r="S144" s="21" t="inlineStr">
        <x:is>
          <x:t xml:space="preserve">PLACEHOLDER</x:t>
        </x:is>
      </x:c>
      <x:c r="T144" s="23" t="inlineStr">
        <x:is>
          <x:t xml:space="preserve">PARTIAL</x:t>
        </x:is>
      </x:c>
      <x:c r="U144" s="21" t="inlineStr">
        <x:is>
          <x:t xml:space="preserve">PLACEHOLDER</x:t>
        </x:is>
      </x:c>
      <x:c r="V144" s="20" t="inlineStr">
        <x:is>
          <x:t xml:space="preserve">lean_match_count=4 | proof_strength=TRIVIAL_TRUE | Statement is `True`; theorem name may exceed formal content. | definition/proof/numerical/empirical/interp fields still staged as TODO placeholders</x:t>
        </x:is>
      </x:c>
    </x:row>
    <x:row r="145" ht="69" customHeight="1">
      <x:c r="A145" s="20" t="inlineStr">
        <x:is>
          <x:t xml:space="preserve">159–160</x:t>
        </x:is>
      </x:c>
      <x:c r="B145" s="20" t="inlineStr">
        <x:is>
          <x:t xml:space="preserve">Resurrection preserves entropy AND death contact records</x:t>
        </x:is>
      </x:c>
      <x:c r="C145" s="20" t="inlineStr">
        <x:is>
          <x:t xml:space="preserve">C3 - Homomorphism candidate</x:t>
        </x:is>
      </x:c>
      <x:c r="D145" s="21" t="inlineStr">
        <x:is>
          <x:t xml:space="preserve">PLACEHOLDER</x:t>
        </x:is>
      </x:c>
      <x:c r="E145" s="22" t="inlineStr">
        <x:is>
          <x:t xml:space="preserve">MISSING</x:t>
        </x:is>
      </x:c>
      <x:c r="F145" s="23" t="inlineStr">
        <x:is>
          <x:t xml:space="preserve">PARTIAL</x:t>
        </x:is>
      </x:c>
      <x:c r="G145" s="22" t="inlineStr">
        <x:is>
          <x:t xml:space="preserve">MISSING</x:t>
        </x:is>
      </x:c>
      <x:c r="H145" s="22" t="inlineStr">
        <x:is>
          <x:t xml:space="preserve">MISSING</x:t>
        </x:is>
      </x:c>
      <x:c r="I145" s="20" t="inlineStr">
        <x:is>
          <x:t xml:space="preserve">NEEDS_SOURCE_PATH</x:t>
        </x:is>
      </x:c>
      <x:c r="J145" s="20" t="inlineStr">
        <x:is>
          <x:t xml:space="preserve">NEEDS_SOURCE_PATH</x:t>
        </x:is>
      </x:c>
      <x:c r="K145" s="20" t="inlineStr">
        <x:is>
          <x:t xml:space="preserve">NEEDS_SOURCE_PATH</x:t>
        </x:is>
      </x:c>
      <x:c r="L145" s="20" t="inlineStr">
        <x:is>
          <x:t xml:space="preserve">resurrection_carries_entropy/death_contact_record</x:t>
        </x:is>
      </x:c>
      <x:c r="M145" s="24" t="inlineStr">
        <x:is>
          <x:t xml:space="preserve">NEEDS_SOURCE_PATH</x:t>
        </x:is>
      </x:c>
      <x:c r="N145" s="21" t="inlineStr">
        <x:is>
          <x:t xml:space="preserve">PLACEHOLDER</x:t>
        </x:is>
      </x:c>
      <x:c r="O145" s="21" t="inlineStr">
        <x:is>
          <x:t xml:space="preserve">PLACEHOLDER</x:t>
        </x:is>
      </x:c>
      <x:c r="P145" s="22" t="inlineStr">
        <x:is>
          <x:t xml:space="preserve">MISSING</x:t>
        </x:is>
      </x:c>
      <x:c r="Q145" s="21" t="inlineStr">
        <x:is>
          <x:t xml:space="preserve">PLACEHOLDER</x:t>
        </x:is>
      </x:c>
      <x:c r="R145" s="21" t="inlineStr">
        <x:is>
          <x:t xml:space="preserve">PLACEHOLDER</x:t>
        </x:is>
      </x:c>
      <x:c r="S145" s="21" t="inlineStr">
        <x:is>
          <x:t xml:space="preserve">PLACEHOLDER</x:t>
        </x:is>
      </x:c>
      <x:c r="T145" s="24" t="inlineStr">
        <x:is>
          <x:t xml:space="preserve">NEEDS_SOURCE_PATH</x:t>
        </x:is>
      </x:c>
      <x:c r="U145" s="21" t="inlineStr">
        <x:is>
          <x:t xml:space="preserve">PLACEHOLDER</x:t>
        </x:is>
      </x:c>
      <x:c r="V145"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46" ht="55.20000076293945" customHeight="1">
      <x:c r="A146" s="20" t="inlineStr">
        <x:is>
          <x:t xml:space="preserve">161</x:t>
        </x:is>
      </x:c>
      <x:c r="B146" s="20" t="inlineStr">
        <x:is>
          <x:t xml:space="preserve">REJECTION: Post-resurrection ≠ pre-incarnate. It is RICHER — not a reset.</x:t>
        </x:is>
      </x:c>
      <x:c r="C146" s="20" t="inlineStr">
        <x:is>
          <x:t xml:space="preserve">C2 - Structural correspondence candidate</x:t>
        </x:is>
      </x:c>
      <x:c r="D146" s="21" t="inlineStr">
        <x:is>
          <x:t xml:space="preserve">PLACEHOLDER</x:t>
        </x:is>
      </x:c>
      <x:c r="E146" s="22" t="inlineStr">
        <x:is>
          <x:t xml:space="preserve">MISSING</x:t>
        </x:is>
      </x:c>
      <x:c r="F146" s="22" t="inlineStr">
        <x:is>
          <x:t xml:space="preserve">MISSING</x:t>
        </x:is>
      </x:c>
      <x:c r="G146" s="22" t="inlineStr">
        <x:is>
          <x:t xml:space="preserve">MISSING</x:t>
        </x:is>
      </x:c>
      <x:c r="H146" s="22" t="inlineStr">
        <x:is>
          <x:t xml:space="preserve">MISSING</x:t>
        </x:is>
      </x:c>
      <x:c r="I146" s="20" t="inlineStr">
        <x:is>
          <x:t xml:space="preserve">theophysics-lean-main\theophysics-lean-main\Theophysics_Adversarial.lean</x:t>
        </x:is>
      </x:c>
      <x:c r="J146" s="20" t="inlineStr">
        <x:is>
          <x:t xml:space="preserve">520</x:t>
        </x:is>
      </x:c>
      <x:c r="K146" s="20" t="inlineStr">
        <x:is>
          <x:t xml:space="preserve">theorem resurrection_is_not_identical_to_preincarnate_visible_record : resurrectionIdenticalToPreincarnateVisibleRecord = false</x:t>
        </x:is>
      </x:c>
      <x:c r="L146" s="20" t="inlineStr">
        <x:is>
          <x:t xml:space="preserve">resurrection_is_not_identical_to_preincarnate_visible_record</x:t>
        </x:is>
      </x:c>
      <x:c r="M146" s="23" t="inlineStr">
        <x:is>
          <x:t xml:space="preserve">PARTIAL</x:t>
        </x:is>
      </x:c>
      <x:c r="N146" s="21" t="inlineStr">
        <x:is>
          <x:t xml:space="preserve">PLACEHOLDER</x:t>
        </x:is>
      </x:c>
      <x:c r="O146" s="21" t="inlineStr">
        <x:is>
          <x:t xml:space="preserve">PLACEHOLDER</x:t>
        </x:is>
      </x:c>
      <x:c r="P146" s="22" t="inlineStr">
        <x:is>
          <x:t xml:space="preserve">MISSING</x:t>
        </x:is>
      </x:c>
      <x:c r="Q146" s="21" t="inlineStr">
        <x:is>
          <x:t xml:space="preserve">PLACEHOLDER</x:t>
        </x:is>
      </x:c>
      <x:c r="R146" s="21" t="inlineStr">
        <x:is>
          <x:t xml:space="preserve">PLACEHOLDER</x:t>
        </x:is>
      </x:c>
      <x:c r="S146" s="21" t="inlineStr">
        <x:is>
          <x:t xml:space="preserve">PLACEHOLDER</x:t>
        </x:is>
      </x:c>
      <x:c r="T146" s="23" t="inlineStr">
        <x:is>
          <x:t xml:space="preserve">PARTIAL</x:t>
        </x:is>
      </x:c>
      <x:c r="U146" s="21" t="inlineStr">
        <x:is>
          <x:t xml:space="preserve">PLACEHOLDER</x:t>
        </x:is>
      </x:c>
      <x:c r="V146" s="20" t="inlineStr">
        <x:is>
          <x:t xml:space="preserve">lean_match_count=4 | proof_strength=DEFINITIONAL_RFL | Proves definitional equality by reduction; useful but narrow. | definition/proof/numerical/empirical/interp fields still staged as TODO placeholders</x:t>
        </x:is>
      </x:c>
    </x:row>
    <x:row r="147" ht="55.20000076293945" customHeight="1">
      <x:c r="A147" s="20" t="inlineStr">
        <x:is>
          <x:t xml:space="preserve">162</x:t>
        </x:is>
      </x:c>
      <x:c r="B147" s="20" t="inlineStr">
        <x:is>
          <x:t xml:space="preserve">Same substrate + finite record carried = richer than before</x:t>
        </x:is>
      </x:c>
      <x:c r="C147" s="20" t="inlineStr">
        <x:is>
          <x:t xml:space="preserve">C2 - Structural correspondence candidate</x:t>
        </x:is>
      </x:c>
      <x:c r="D147" s="21" t="inlineStr">
        <x:is>
          <x:t xml:space="preserve">PLACEHOLDER</x:t>
        </x:is>
      </x:c>
      <x:c r="E147" s="22" t="inlineStr">
        <x:is>
          <x:t xml:space="preserve">MISSING</x:t>
        </x:is>
      </x:c>
      <x:c r="F147" s="22" t="inlineStr">
        <x:is>
          <x:t xml:space="preserve">MISSING</x:t>
        </x:is>
      </x:c>
      <x:c r="G147" s="22" t="inlineStr">
        <x:is>
          <x:t xml:space="preserve">MISSING</x:t>
        </x:is>
      </x:c>
      <x:c r="H147" s="22" t="inlineStr">
        <x:is>
          <x:t xml:space="preserve">MISSING</x:t>
        </x:is>
      </x:c>
      <x:c r="I147" s="20" t="inlineStr">
        <x:is>
          <x:t xml:space="preserve">theophysics-lean-main\theophysics-lean-main\Theophysics_Core.lean</x:t>
        </x:is>
      </x:c>
      <x:c r="J147" s="20" t="inlineStr">
        <x:is>
          <x:t xml:space="preserve">146</x:t>
        </x:is>
      </x:c>
      <x:c r="K147" s="20" t="inlineStr">
        <x:is>
          <x:t xml:space="preserve">theorem resurrection_same_substrate_richer_expression : True</x:t>
        </x:is>
      </x:c>
      <x:c r="L147" s="20" t="inlineStr">
        <x:is>
          <x:t xml:space="preserve">resurrection_same_substrate_richer_expression</x:t>
        </x:is>
      </x:c>
      <x:c r="M147" s="23" t="inlineStr">
        <x:is>
          <x:t xml:space="preserve">PARTIAL</x:t>
        </x:is>
      </x:c>
      <x:c r="N147" s="21" t="inlineStr">
        <x:is>
          <x:t xml:space="preserve">PLACEHOLDER</x:t>
        </x:is>
      </x:c>
      <x:c r="O147" s="21" t="inlineStr">
        <x:is>
          <x:t xml:space="preserve">PLACEHOLDER</x:t>
        </x:is>
      </x:c>
      <x:c r="P147" s="22" t="inlineStr">
        <x:is>
          <x:t xml:space="preserve">MISSING</x:t>
        </x:is>
      </x:c>
      <x:c r="Q147" s="21" t="inlineStr">
        <x:is>
          <x:t xml:space="preserve">PLACEHOLDER</x:t>
        </x:is>
      </x:c>
      <x:c r="R147" s="21" t="inlineStr">
        <x:is>
          <x:t xml:space="preserve">PLACEHOLDER</x:t>
        </x:is>
      </x:c>
      <x:c r="S147" s="21" t="inlineStr">
        <x:is>
          <x:t xml:space="preserve">PLACEHOLDER</x:t>
        </x:is>
      </x:c>
      <x:c r="T147" s="23" t="inlineStr">
        <x:is>
          <x:t xml:space="preserve">PARTIAL</x:t>
        </x:is>
      </x:c>
      <x:c r="U147" s="21" t="inlineStr">
        <x:is>
          <x:t xml:space="preserve">PLACEHOLDER</x:t>
        </x:is>
      </x:c>
      <x:c r="V147" s="20" t="inlineStr">
        <x:is>
          <x:t xml:space="preserve">lean_match_count=4 | proof_strength=TRIVIAL_TRUE | Statement is `True`; theorem name may exceed formal content. | definition/proof/numerical/empirical/interp fields still staged as TODO placeholders</x:t>
        </x:is>
      </x:c>
    </x:row>
    <x:row r="148" ht="69" customHeight="1">
      <x:c r="A148" s="20" t="inlineStr">
        <x:is>
          <x:t xml:space="preserve">163–164</x:t>
        </x:is>
      </x:c>
      <x:c r="B148" s="20" t="inlineStr">
        <x:is>
          <x:t xml:space="preserve">Combined mission+C_op restores negative burden AND preserves source history</x:t>
        </x:is>
      </x:c>
      <x:c r="C148" s="20" t="inlineStr">
        <x:is>
          <x:t xml:space="preserve">C3 - Homomorphism candidate</x:t>
        </x:is>
      </x:c>
      <x:c r="D148" s="21" t="inlineStr">
        <x:is>
          <x:t xml:space="preserve">PLACEHOLDER</x:t>
        </x:is>
      </x:c>
      <x:c r="E148" s="22" t="inlineStr">
        <x:is>
          <x:t xml:space="preserve">MISSING</x:t>
        </x:is>
      </x:c>
      <x:c r="F148" s="23" t="inlineStr">
        <x:is>
          <x:t xml:space="preserve">PARTIAL</x:t>
        </x:is>
      </x:c>
      <x:c r="G148" s="23" t="inlineStr">
        <x:is>
          <x:t xml:space="preserve">PARTIAL</x:t>
        </x:is>
      </x:c>
      <x:c r="H148" s="22" t="inlineStr">
        <x:is>
          <x:t xml:space="preserve">MISSING</x:t>
        </x:is>
      </x:c>
      <x:c r="I148" s="20" t="inlineStr">
        <x:is>
          <x:t xml:space="preserve">NEEDS_SOURCE_PATH</x:t>
        </x:is>
      </x:c>
      <x:c r="J148" s="20" t="inlineStr">
        <x:is>
          <x:t xml:space="preserve">NEEDS_SOURCE_PATH</x:t>
        </x:is>
      </x:c>
      <x:c r="K148" s="20" t="inlineStr">
        <x:is>
          <x:t xml:space="preserve">NEEDS_SOURCE_PATH</x:t>
        </x:is>
      </x:c>
      <x:c r="L148" s="20" t="inlineStr">
        <x:is>
          <x:t xml:space="preserve">mission_COp_restores/preserves</x:t>
        </x:is>
      </x:c>
      <x:c r="M148" s="24" t="inlineStr">
        <x:is>
          <x:t xml:space="preserve">NEEDS_SOURCE_PATH</x:t>
        </x:is>
      </x:c>
      <x:c r="N148" s="21" t="inlineStr">
        <x:is>
          <x:t xml:space="preserve">PLACEHOLDER</x:t>
        </x:is>
      </x:c>
      <x:c r="O148" s="21" t="inlineStr">
        <x:is>
          <x:t xml:space="preserve">PLACEHOLDER</x:t>
        </x:is>
      </x:c>
      <x:c r="P148" s="22" t="inlineStr">
        <x:is>
          <x:t xml:space="preserve">MISSING</x:t>
        </x:is>
      </x:c>
      <x:c r="Q148" s="21" t="inlineStr">
        <x:is>
          <x:t xml:space="preserve">PLACEHOLDER</x:t>
        </x:is>
      </x:c>
      <x:c r="R148" s="21" t="inlineStr">
        <x:is>
          <x:t xml:space="preserve">PLACEHOLDER</x:t>
        </x:is>
      </x:c>
      <x:c r="S148" s="21" t="inlineStr">
        <x:is>
          <x:t xml:space="preserve">PLACEHOLDER</x:t>
        </x:is>
      </x:c>
      <x:c r="T148" s="24" t="inlineStr">
        <x:is>
          <x:t xml:space="preserve">NEEDS_SOURCE_PATH</x:t>
        </x:is>
      </x:c>
      <x:c r="U148" s="21" t="inlineStr">
        <x:is>
          <x:t xml:space="preserve">PLACEHOLDER</x:t>
        </x:is>
      </x:c>
      <x:c r="V148"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49" ht="55.20000076293945" customHeight="1">
      <x:c r="A149" s="20" t="inlineStr">
        <x:is>
          <x:t xml:space="preserve">165</x:t>
        </x:is>
      </x:c>
      <x:c r="B149" s="20" t="inlineStr">
        <x:is>
          <x:t xml:space="preserve">REJECTION: Phase = resurrection + source preserved. This is mission return, NOT repair-only.</x:t>
        </x:is>
      </x:c>
      <x:c r="C149" s="20" t="inlineStr">
        <x:is>
          <x:t xml:space="preserve">C3 - Homomorphism candidate</x:t>
        </x:is>
      </x:c>
      <x:c r="D149" s="21" t="inlineStr">
        <x:is>
          <x:t xml:space="preserve">PLACEHOLDER</x:t>
        </x:is>
      </x:c>
      <x:c r="E149" s="22" t="inlineStr">
        <x:is>
          <x:t xml:space="preserve">MISSING</x:t>
        </x:is>
      </x:c>
      <x:c r="F149" s="22" t="inlineStr">
        <x:is>
          <x:t xml:space="preserve">MISSING</x:t>
        </x:is>
      </x:c>
      <x:c r="G149" s="22" t="inlineStr">
        <x:is>
          <x:t xml:space="preserve">MISSING</x:t>
        </x:is>
      </x:c>
      <x:c r="H149" s="22" t="inlineStr">
        <x:is>
          <x:t xml:space="preserve">MISSING</x:t>
        </x:is>
      </x:c>
      <x:c r="I149" s="20" t="inlineStr">
        <x:is>
          <x:t xml:space="preserve">theophysics-lean-main\theophysics-lean-main\Theophysics_Adversarial.lean</x:t>
        </x:is>
      </x:c>
      <x:c r="J149" s="20" t="inlineStr">
        <x:is>
          <x:t xml:space="preserve">524</x:t>
        </x:is>
      </x:c>
      <x:c r="K149" s="20" t="inlineStr">
        <x:is>
          <x:t xml:space="preserve">theorem mission_COp_is_not_repair_only : missionCOpIsRepairOnly = false</x:t>
        </x:is>
      </x:c>
      <x:c r="L149" s="20" t="inlineStr">
        <x:is>
          <x:t xml:space="preserve">mission_COp_is_not_repair_only</x:t>
        </x:is>
      </x:c>
      <x:c r="M149" s="23" t="inlineStr">
        <x:is>
          <x:t xml:space="preserve">PARTIAL</x:t>
        </x:is>
      </x:c>
      <x:c r="N149" s="21" t="inlineStr">
        <x:is>
          <x:t xml:space="preserve">PLACEHOLDER</x:t>
        </x:is>
      </x:c>
      <x:c r="O149" s="21" t="inlineStr">
        <x:is>
          <x:t xml:space="preserve">PLACEHOLDER</x:t>
        </x:is>
      </x:c>
      <x:c r="P149" s="22" t="inlineStr">
        <x:is>
          <x:t xml:space="preserve">MISSING</x:t>
        </x:is>
      </x:c>
      <x:c r="Q149" s="21" t="inlineStr">
        <x:is>
          <x:t xml:space="preserve">PLACEHOLDER</x:t>
        </x:is>
      </x:c>
      <x:c r="R149" s="21" t="inlineStr">
        <x:is>
          <x:t xml:space="preserve">PLACEHOLDER</x:t>
        </x:is>
      </x:c>
      <x:c r="S149" s="21" t="inlineStr">
        <x:is>
          <x:t xml:space="preserve">PLACEHOLDER</x:t>
        </x:is>
      </x:c>
      <x:c r="T149" s="23" t="inlineStr">
        <x:is>
          <x:t xml:space="preserve">PARTIAL</x:t>
        </x:is>
      </x:c>
      <x:c r="U149" s="21" t="inlineStr">
        <x:is>
          <x:t xml:space="preserve">PLACEHOLDER</x:t>
        </x:is>
      </x:c>
      <x:c r="V149" s="20" t="inlineStr">
        <x:is>
          <x:t xml:space="preserve">lean_match_count=4 | proof_strength=DEFINITIONAL_RFL | Proves definitional equality by reduction; useful but narrow. | definition/proof/numerical/empirical/interp fields still staged as TODO placeholders</x:t>
        </x:is>
      </x:c>
    </x:row>
    <x:row r="150" ht="55.20000076293945" customHeight="1">
      <x:c r="A150" s="20" t="inlineStr">
        <x:is>
          <x:t xml:space="preserve">166</x:t>
        </x:is>
      </x:c>
      <x:c r="B150" s="20" t="inlineStr">
        <x:is>
          <x:t xml:space="preserve">Recorded + Christ-coherent → retention bit = 1</x:t>
        </x:is>
      </x:c>
      <x:c r="C150" s="20" t="inlineStr">
        <x:is>
          <x:t xml:space="preserve">C2 - Structural correspondence candidate</x:t>
        </x:is>
      </x:c>
      <x:c r="D150" s="21" t="inlineStr">
        <x:is>
          <x:t xml:space="preserve">PLACEHOLDER</x:t>
        </x:is>
      </x:c>
      <x:c r="E150" s="22" t="inlineStr">
        <x:is>
          <x:t xml:space="preserve">MISSING</x:t>
        </x:is>
      </x:c>
      <x:c r="F150" s="22" t="inlineStr">
        <x:is>
          <x:t xml:space="preserve">MISSING</x:t>
        </x:is>
      </x:c>
      <x:c r="G150" s="22" t="inlineStr">
        <x:is>
          <x:t xml:space="preserve">MISSING</x:t>
        </x:is>
      </x:c>
      <x:c r="H150" s="22" t="inlineStr">
        <x:is>
          <x:t xml:space="preserve">MISSING</x:t>
        </x:is>
      </x:c>
      <x:c r="I150" s="20" t="inlineStr">
        <x:is>
          <x:t xml:space="preserve">theophysics-lean-main\theophysics-lean-main\Theophysics_Core.lean</x:t>
        </x:is>
      </x:c>
      <x:c r="J150" s="20" t="inlineStr">
        <x:is>
          <x:t xml:space="preserve">147</x:t>
        </x:is>
      </x:c>
      <x:c r="K150" s="20" t="inlineStr">
        <x:is>
          <x:t xml:space="preserve">theorem christ_coherent_memory_retained : True</x:t>
        </x:is>
      </x:c>
      <x:c r="L150" s="20" t="inlineStr">
        <x:is>
          <x:t xml:space="preserve">christ_coherent_memory_retained</x:t>
        </x:is>
      </x:c>
      <x:c r="M150" s="23" t="inlineStr">
        <x:is>
          <x:t xml:space="preserve">PARTIAL</x:t>
        </x:is>
      </x:c>
      <x:c r="N150" s="21" t="inlineStr">
        <x:is>
          <x:t xml:space="preserve">PLACEHOLDER</x:t>
        </x:is>
      </x:c>
      <x:c r="O150" s="21" t="inlineStr">
        <x:is>
          <x:t xml:space="preserve">PLACEHOLDER</x:t>
        </x:is>
      </x:c>
      <x:c r="P150" s="22" t="inlineStr">
        <x:is>
          <x:t xml:space="preserve">MISSING</x:t>
        </x:is>
      </x:c>
      <x:c r="Q150" s="21" t="inlineStr">
        <x:is>
          <x:t xml:space="preserve">PLACEHOLDER</x:t>
        </x:is>
      </x:c>
      <x:c r="R150" s="21" t="inlineStr">
        <x:is>
          <x:t xml:space="preserve">PLACEHOLDER</x:t>
        </x:is>
      </x:c>
      <x:c r="S150" s="21" t="inlineStr">
        <x:is>
          <x:t xml:space="preserve">PLACEHOLDER</x:t>
        </x:is>
      </x:c>
      <x:c r="T150" s="23" t="inlineStr">
        <x:is>
          <x:t xml:space="preserve">PARTIAL</x:t>
        </x:is>
      </x:c>
      <x:c r="U150" s="21" t="inlineStr">
        <x:is>
          <x:t xml:space="preserve">PLACEHOLDER</x:t>
        </x:is>
      </x:c>
      <x:c r="V150" s="20" t="inlineStr">
        <x:is>
          <x:t xml:space="preserve">lean_match_count=4 | proof_strength=TRIVIAL_TRUE | Statement is `True`; theorem name may exceed formal content. | definition/proof/numerical/empirical/interp fields still staged as TODO placeholders</x:t>
        </x:is>
      </x:c>
    </x:row>
    <x:row r="151" ht="55.20000076293945" customHeight="1">
      <x:c r="A151" s="20" t="inlineStr">
        <x:is>
          <x:t xml:space="preserve">167</x:t>
        </x:is>
      </x:c>
      <x:c r="B151" s="20" t="inlineStr">
        <x:is>
          <x:t xml:space="preserve">REJECTION: Recorded but incoherent → retention bit = 0. Record alone is insufficient.</x:t>
        </x:is>
      </x:c>
      <x:c r="C151" s="20" t="inlineStr">
        <x:is>
          <x:t xml:space="preserve">C2 - Structural correspondence candidate</x:t>
        </x:is>
      </x:c>
      <x:c r="D151" s="21" t="inlineStr">
        <x:is>
          <x:t xml:space="preserve">PLACEHOLDER</x:t>
        </x:is>
      </x:c>
      <x:c r="E151" s="22" t="inlineStr">
        <x:is>
          <x:t xml:space="preserve">MISSING</x:t>
        </x:is>
      </x:c>
      <x:c r="F151" s="22" t="inlineStr">
        <x:is>
          <x:t xml:space="preserve">MISSING</x:t>
        </x:is>
      </x:c>
      <x:c r="G151" s="22" t="inlineStr">
        <x:is>
          <x:t xml:space="preserve">MISSING</x:t>
        </x:is>
      </x:c>
      <x:c r="H151" s="22" t="inlineStr">
        <x:is>
          <x:t xml:space="preserve">MISSING</x:t>
        </x:is>
      </x:c>
      <x:c r="I151" s="20" t="inlineStr">
        <x:is>
          <x:t xml:space="preserve">theophysics-lean-main\theophysics-lean-main\Theophysics_Adversarial.lean</x:t>
        </x:is>
      </x:c>
      <x:c r="J151" s="20" t="inlineStr">
        <x:is>
          <x:t xml:space="preserve">528</x:t>
        </x:is>
      </x:c>
      <x:c r="K151" s="20" t="inlineStr">
        <x:is>
          <x:t xml:space="preserve">theorem incoherent_recorded_memory_not_retained : retainedMemory { recorded := true, christCoherent := false } = false</x:t>
        </x:is>
      </x:c>
      <x:c r="L151" s="20" t="inlineStr">
        <x:is>
          <x:t xml:space="preserve">incoherent_recorded_memory_not_retained</x:t>
        </x:is>
      </x:c>
      <x:c r="M151" s="23" t="inlineStr">
        <x:is>
          <x:t xml:space="preserve">PARTIAL</x:t>
        </x:is>
      </x:c>
      <x:c r="N151" s="21" t="inlineStr">
        <x:is>
          <x:t xml:space="preserve">PLACEHOLDER</x:t>
        </x:is>
      </x:c>
      <x:c r="O151" s="21" t="inlineStr">
        <x:is>
          <x:t xml:space="preserve">PLACEHOLDER</x:t>
        </x:is>
      </x:c>
      <x:c r="P151" s="22" t="inlineStr">
        <x:is>
          <x:t xml:space="preserve">MISSING</x:t>
        </x:is>
      </x:c>
      <x:c r="Q151" s="21" t="inlineStr">
        <x:is>
          <x:t xml:space="preserve">PLACEHOLDER</x:t>
        </x:is>
      </x:c>
      <x:c r="R151" s="21" t="inlineStr">
        <x:is>
          <x:t xml:space="preserve">PLACEHOLDER</x:t>
        </x:is>
      </x:c>
      <x:c r="S151" s="21" t="inlineStr">
        <x:is>
          <x:t xml:space="preserve">PLACEHOLDER</x:t>
        </x:is>
      </x:c>
      <x:c r="T151" s="23" t="inlineStr">
        <x:is>
          <x:t xml:space="preserve">PARTIAL</x:t>
        </x:is>
      </x:c>
      <x:c r="U151" s="21" t="inlineStr">
        <x:is>
          <x:t xml:space="preserve">PLACEHOLDER</x:t>
        </x:is>
      </x:c>
      <x:c r="V151" s="20" t="inlineStr">
        <x:is>
          <x:t xml:space="preserve">lean_match_count=4 | proof_strength=DEFINITIONAL_RFL | Proves definitional equality by reduction; useful but narrow. | definition/proof/numerical/empirical/interp fields still staged as TODO placeholders</x:t>
        </x:is>
      </x:c>
    </x:row>
    <x:row r="152" ht="69" customHeight="1">
      <x:c r="A152" s="20" t="inlineStr">
        <x:is>
          <x:t xml:space="preserve">168–169</x:t>
        </x:is>
      </x:c>
      <x:c r="B152" s="20" t="inlineStr">
        <x:is>
          <x:t xml:space="preserve">REJECTION: ∀ m, unrecorded → retention = 0. ∀ m, incoherent → retention = 0.</x:t>
        </x:is>
      </x:c>
      <x:c r="C152" s="20" t="inlineStr">
        <x:is>
          <x:t xml:space="preserve">C2 - Structural correspondence candidate</x:t>
        </x:is>
      </x:c>
      <x:c r="D152" s="21" t="inlineStr">
        <x:is>
          <x:t xml:space="preserve">PLACEHOLDER</x:t>
        </x:is>
      </x:c>
      <x:c r="E152" s="22" t="inlineStr">
        <x:is>
          <x:t xml:space="preserve">MISSING</x:t>
        </x:is>
      </x:c>
      <x:c r="F152" s="22" t="inlineStr">
        <x:is>
          <x:t xml:space="preserve">MISSING</x:t>
        </x:is>
      </x:c>
      <x:c r="G152" s="22" t="inlineStr">
        <x:is>
          <x:t xml:space="preserve">MISSING</x:t>
        </x:is>
      </x:c>
      <x:c r="H152" s="22" t="inlineStr">
        <x:is>
          <x:t xml:space="preserve">MISSING</x:t>
        </x:is>
      </x:c>
      <x:c r="I152" s="20" t="inlineStr">
        <x:is>
          <x:t xml:space="preserve">NEEDS_SOURCE_PATH</x:t>
        </x:is>
      </x:c>
      <x:c r="J152" s="20" t="inlineStr">
        <x:is>
          <x:t xml:space="preserve">NEEDS_SOURCE_PATH</x:t>
        </x:is>
      </x:c>
      <x:c r="K152" s="20" t="inlineStr">
        <x:is>
          <x:t xml:space="preserve">NEEDS_SOURCE_PATH</x:t>
        </x:is>
      </x:c>
      <x:c r="L152" s="20" t="inlineStr">
        <x:is>
          <x:t xml:space="preserve">unrecorded/incoherent_forces_no_retention</x:t>
        </x:is>
      </x:c>
      <x:c r="M152" s="24" t="inlineStr">
        <x:is>
          <x:t xml:space="preserve">NEEDS_SOURCE_PATH</x:t>
        </x:is>
      </x:c>
      <x:c r="N152" s="21" t="inlineStr">
        <x:is>
          <x:t xml:space="preserve">PLACEHOLDER</x:t>
        </x:is>
      </x:c>
      <x:c r="O152" s="21" t="inlineStr">
        <x:is>
          <x:t xml:space="preserve">PLACEHOLDER</x:t>
        </x:is>
      </x:c>
      <x:c r="P152" s="22" t="inlineStr">
        <x:is>
          <x:t xml:space="preserve">MISSING</x:t>
        </x:is>
      </x:c>
      <x:c r="Q152" s="21" t="inlineStr">
        <x:is>
          <x:t xml:space="preserve">PLACEHOLDER</x:t>
        </x:is>
      </x:c>
      <x:c r="R152" s="21" t="inlineStr">
        <x:is>
          <x:t xml:space="preserve">PLACEHOLDER</x:t>
        </x:is>
      </x:c>
      <x:c r="S152" s="21" t="inlineStr">
        <x:is>
          <x:t xml:space="preserve">PLACEHOLDER</x:t>
        </x:is>
      </x:c>
      <x:c r="T152" s="24" t="inlineStr">
        <x:is>
          <x:t xml:space="preserve">NEEDS_SOURCE_PATH</x:t>
        </x:is>
      </x:c>
      <x:c r="U152" s="21" t="inlineStr">
        <x:is>
          <x:t xml:space="preserve">PLACEHOLDER</x:t>
        </x:is>
      </x:c>
      <x:c r="V152"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53" ht="55.20000076293945" customHeight="1">
      <x:c r="A153" s="20" t="inlineStr">
        <x:is>
          <x:t xml:space="preserve">170</x:t>
        </x:is>
      </x:c>
      <x:c r="B153" s="20" t="inlineStr">
        <x:is>
          <x:t xml:space="preserve">∀ m, recorded ∧ coherent → retention = 1</x:t>
        </x:is>
      </x:c>
      <x:c r="C153" s="20" t="inlineStr">
        <x:is>
          <x:t xml:space="preserve">C2 - Structural correspondence candidate</x:t>
        </x:is>
      </x:c>
      <x:c r="D153" s="21" t="inlineStr">
        <x:is>
          <x:t xml:space="preserve">PLACEHOLDER</x:t>
        </x:is>
      </x:c>
      <x:c r="E153" s="22" t="inlineStr">
        <x:is>
          <x:t xml:space="preserve">MISSING</x:t>
        </x:is>
      </x:c>
      <x:c r="F153" s="22" t="inlineStr">
        <x:is>
          <x:t xml:space="preserve">MISSING</x:t>
        </x:is>
      </x:c>
      <x:c r="G153" s="22" t="inlineStr">
        <x:is>
          <x:t xml:space="preserve">MISSING</x:t>
        </x:is>
      </x:c>
      <x:c r="H153" s="22" t="inlineStr">
        <x:is>
          <x:t xml:space="preserve">MISSING</x:t>
        </x:is>
      </x:c>
      <x:c r="I153" s="20" t="inlineStr">
        <x:is>
          <x:t xml:space="preserve">theophysics-lean-main\theophysics-lean-main\Theophysics_Core.lean</x:t>
        </x:is>
      </x:c>
      <x:c r="J153" s="20" t="inlineStr">
        <x:is>
          <x:t xml:space="preserve">150</x:t>
        </x:is>
      </x:c>
      <x:c r="K153" s="20" t="inlineStr">
        <x:is>
          <x:t xml:space="preserve">theorem recorded_and_christ_coherent_forces_retention : True</x:t>
        </x:is>
      </x:c>
      <x:c r="L153" s="20" t="inlineStr">
        <x:is>
          <x:t xml:space="preserve">recorded_and_christ_coherent_forces_retention</x:t>
        </x:is>
      </x:c>
      <x:c r="M153" s="23" t="inlineStr">
        <x:is>
          <x:t xml:space="preserve">PARTIAL</x:t>
        </x:is>
      </x:c>
      <x:c r="N153" s="21" t="inlineStr">
        <x:is>
          <x:t xml:space="preserve">PLACEHOLDER</x:t>
        </x:is>
      </x:c>
      <x:c r="O153" s="21" t="inlineStr">
        <x:is>
          <x:t xml:space="preserve">PLACEHOLDER</x:t>
        </x:is>
      </x:c>
      <x:c r="P153" s="22" t="inlineStr">
        <x:is>
          <x:t xml:space="preserve">MISSING</x:t>
        </x:is>
      </x:c>
      <x:c r="Q153" s="21" t="inlineStr">
        <x:is>
          <x:t xml:space="preserve">PLACEHOLDER</x:t>
        </x:is>
      </x:c>
      <x:c r="R153" s="21" t="inlineStr">
        <x:is>
          <x:t xml:space="preserve">PLACEHOLDER</x:t>
        </x:is>
      </x:c>
      <x:c r="S153" s="21" t="inlineStr">
        <x:is>
          <x:t xml:space="preserve">PLACEHOLDER</x:t>
        </x:is>
      </x:c>
      <x:c r="T153" s="23" t="inlineStr">
        <x:is>
          <x:t xml:space="preserve">PARTIAL</x:t>
        </x:is>
      </x:c>
      <x:c r="U153" s="21" t="inlineStr">
        <x:is>
          <x:t xml:space="preserve">PLACEHOLDER</x:t>
        </x:is>
      </x:c>
      <x:c r="V153" s="20" t="inlineStr">
        <x:is>
          <x:t xml:space="preserve">lean_match_count=4 | proof_strength=TRIVIAL_TRUE | Statement is `True`; theorem name may exceed formal content. | definition/proof/numerical/empirical/interp fields still staged as TODO placeholders</x:t>
        </x:is>
      </x:c>
    </x:row>
    <x:row r="154" ht="55.20000076293945" customHeight="1">
      <x:c r="A154" s="20" t="inlineStr">
        <x:is>
          <x:t xml:space="preserve">171</x:t>
        </x:is>
      </x:c>
      <x:c r="B154" s="20" t="inlineStr">
        <x:is>
          <x:t xml:space="preserve">Accessible during life but filtered at death. Living memory ≠ final identity.</x:t>
        </x:is>
      </x:c>
      <x:c r="C154" s="20" t="inlineStr">
        <x:is>
          <x:t xml:space="preserve">C2 - Structural correspondence candidate</x:t>
        </x:is>
      </x:c>
      <x:c r="D154" s="21" t="inlineStr">
        <x:is>
          <x:t xml:space="preserve">PLACEHOLDER</x:t>
        </x:is>
      </x:c>
      <x:c r="E154" s="22" t="inlineStr">
        <x:is>
          <x:t xml:space="preserve">MISSING</x:t>
        </x:is>
      </x:c>
      <x:c r="F154" s="22" t="inlineStr">
        <x:is>
          <x:t xml:space="preserve">MISSING</x:t>
        </x:is>
      </x:c>
      <x:c r="G154" s="22" t="inlineStr">
        <x:is>
          <x:t xml:space="preserve">MISSING</x:t>
        </x:is>
      </x:c>
      <x:c r="H154" s="22" t="inlineStr">
        <x:is>
          <x:t xml:space="preserve">MISSING</x:t>
        </x:is>
      </x:c>
      <x:c r="I154" s="20" t="inlineStr">
        <x:is>
          <x:t xml:space="preserve">theophysics-lean-main\theophysics-lean-main\Theophysics_Core.lean</x:t>
        </x:is>
      </x:c>
      <x:c r="J154" s="20" t="inlineStr">
        <x:is>
          <x:t xml:space="preserve">149</x:t>
        </x:is>
      </x:c>
      <x:c r="K154" s="20" t="inlineStr">
        <x:is>
          <x:t xml:space="preserve">theorem incoherent_recorded_memory_fails_only_final_retention : True</x:t>
        </x:is>
      </x:c>
      <x:c r="L154" s="20" t="inlineStr">
        <x:is>
          <x:t xml:space="preserve">incoherent_recorded_memory_fails_only_final_retention</x:t>
        </x:is>
      </x:c>
      <x:c r="M154" s="23" t="inlineStr">
        <x:is>
          <x:t xml:space="preserve">PARTIAL</x:t>
        </x:is>
      </x:c>
      <x:c r="N154" s="21" t="inlineStr">
        <x:is>
          <x:t xml:space="preserve">PLACEHOLDER</x:t>
        </x:is>
      </x:c>
      <x:c r="O154" s="21" t="inlineStr">
        <x:is>
          <x:t xml:space="preserve">PLACEHOLDER</x:t>
        </x:is>
      </x:c>
      <x:c r="P154" s="22" t="inlineStr">
        <x:is>
          <x:t xml:space="preserve">MISSING</x:t>
        </x:is>
      </x:c>
      <x:c r="Q154" s="21" t="inlineStr">
        <x:is>
          <x:t xml:space="preserve">PLACEHOLDER</x:t>
        </x:is>
      </x:c>
      <x:c r="R154" s="21" t="inlineStr">
        <x:is>
          <x:t xml:space="preserve">PLACEHOLDER</x:t>
        </x:is>
      </x:c>
      <x:c r="S154" s="21" t="inlineStr">
        <x:is>
          <x:t xml:space="preserve">PLACEHOLDER</x:t>
        </x:is>
      </x:c>
      <x:c r="T154" s="23" t="inlineStr">
        <x:is>
          <x:t xml:space="preserve">PARTIAL</x:t>
        </x:is>
      </x:c>
      <x:c r="U154" s="21" t="inlineStr">
        <x:is>
          <x:t xml:space="preserve">PLACEHOLDER</x:t>
        </x:is>
      </x:c>
      <x:c r="V154" s="20" t="inlineStr">
        <x:is>
          <x:t xml:space="preserve">lean_match_count=4 | proof_strength=TRIVIAL_TRUE | Statement is `True`; theorem name may exceed formal content. | definition/proof/numerical/empirical/interp fields still staged as TODO placeholders</x:t>
        </x:is>
      </x:c>
    </x:row>
    <x:row r="155" ht="55.20000076293945" customHeight="1">
      <x:c r="A155" s="20" t="inlineStr">
        <x:is>
          <x:t xml:space="preserve">172</x:t>
        </x:is>
      </x:c>
      <x:c r="B155" s="20" t="inlineStr">
        <x:is>
          <x:t xml:space="preserve">REJECTION: Life memory ≠ final identity memory. What you carry ≠ who you become.</x:t>
        </x:is>
      </x:c>
      <x:c r="C155" s="20" t="inlineStr">
        <x:is>
          <x:t xml:space="preserve">C2 - Structural correspondence candidate</x:t>
        </x:is>
      </x:c>
      <x:c r="D155" s="21" t="inlineStr">
        <x:is>
          <x:t xml:space="preserve">PLACEHOLDER</x:t>
        </x:is>
      </x:c>
      <x:c r="E155" s="22" t="inlineStr">
        <x:is>
          <x:t xml:space="preserve">MISSING</x:t>
        </x:is>
      </x:c>
      <x:c r="F155" s="22" t="inlineStr">
        <x:is>
          <x:t xml:space="preserve">MISSING</x:t>
        </x:is>
      </x:c>
      <x:c r="G155" s="22" t="inlineStr">
        <x:is>
          <x:t xml:space="preserve">MISSING</x:t>
        </x:is>
      </x:c>
      <x:c r="H155" s="22" t="inlineStr">
        <x:is>
          <x:t xml:space="preserve">MISSING</x:t>
        </x:is>
      </x:c>
      <x:c r="I155" s="20" t="inlineStr">
        <x:is>
          <x:t xml:space="preserve">theophysics-lean-main\theophysics-lean-main\Theophysics_Adversarial.lean</x:t>
        </x:is>
      </x:c>
      <x:c r="J155" s="20" t="inlineStr">
        <x:is>
          <x:t xml:space="preserve">532</x:t>
        </x:is>
      </x:c>
      <x:c r="K155" s="20" t="inlineStr">
        <x:is>
          <x:t xml:space="preserve">theorem living_memory_is_not_final_identity_memory : retainedMemory { finalIdentityMemory := false } = false</x:t>
        </x:is>
      </x:c>
      <x:c r="L155" s="20" t="inlineStr">
        <x:is>
          <x:t xml:space="preserve">living_memory_is_not_final_identity_memory</x:t>
        </x:is>
      </x:c>
      <x:c r="M155" s="23" t="inlineStr">
        <x:is>
          <x:t xml:space="preserve">PARTIAL</x:t>
        </x:is>
      </x:c>
      <x:c r="N155" s="21" t="inlineStr">
        <x:is>
          <x:t xml:space="preserve">PLACEHOLDER</x:t>
        </x:is>
      </x:c>
      <x:c r="O155" s="21" t="inlineStr">
        <x:is>
          <x:t xml:space="preserve">PLACEHOLDER</x:t>
        </x:is>
      </x:c>
      <x:c r="P155" s="22" t="inlineStr">
        <x:is>
          <x:t xml:space="preserve">MISSING</x:t>
        </x:is>
      </x:c>
      <x:c r="Q155" s="21" t="inlineStr">
        <x:is>
          <x:t xml:space="preserve">PLACEHOLDER</x:t>
        </x:is>
      </x:c>
      <x:c r="R155" s="21" t="inlineStr">
        <x:is>
          <x:t xml:space="preserve">PLACEHOLDER</x:t>
        </x:is>
      </x:c>
      <x:c r="S155" s="21" t="inlineStr">
        <x:is>
          <x:t xml:space="preserve">PLACEHOLDER</x:t>
        </x:is>
      </x:c>
      <x:c r="T155" s="23" t="inlineStr">
        <x:is>
          <x:t xml:space="preserve">PARTIAL</x:t>
        </x:is>
      </x:c>
      <x:c r="U155" s="21" t="inlineStr">
        <x:is>
          <x:t xml:space="preserve">PLACEHOLDER</x:t>
        </x:is>
      </x:c>
      <x:c r="V155" s="20" t="inlineStr">
        <x:is>
          <x:t xml:space="preserve">lean_match_count=4 | proof_strength=DEFINITIONAL_RFL | Proves definitional equality by reduction; useful but narrow. | definition/proof/numerical/empirical/interp fields still staged as TODO placeholders</x:t>
        </x:is>
      </x:c>
    </x:row>
    <x:row r="156" ht="55.20000076293945" customHeight="1">
      <x:c r="A156" s="20" t="inlineStr">
        <x:is>
          <x:t xml:space="preserve">173</x:t>
        </x:is>
      </x:c>
      <x:c r="B156" s="20" t="inlineStr">
        <x:is>
          <x:t xml:space="preserve">Reorientation to Christ → retention restored. Conversion works.</x:t>
        </x:is>
      </x:c>
      <x:c r="C156" s="20" t="inlineStr">
        <x:is>
          <x:t xml:space="preserve">C2 - Structural correspondence candidate</x:t>
        </x:is>
      </x:c>
      <x:c r="D156" s="21" t="inlineStr">
        <x:is>
          <x:t xml:space="preserve">PLACEHOLDER</x:t>
        </x:is>
      </x:c>
      <x:c r="E156" s="22" t="inlineStr">
        <x:is>
          <x:t xml:space="preserve">MISSING</x:t>
        </x:is>
      </x:c>
      <x:c r="F156" s="22" t="inlineStr">
        <x:is>
          <x:t xml:space="preserve">MISSING</x:t>
        </x:is>
      </x:c>
      <x:c r="G156" s="22" t="inlineStr">
        <x:is>
          <x:t xml:space="preserve">MISSING</x:t>
        </x:is>
      </x:c>
      <x:c r="H156" s="22" t="inlineStr">
        <x:is>
          <x:t xml:space="preserve">MISSING</x:t>
        </x:is>
      </x:c>
      <x:c r="I156" s="20" t="inlineStr">
        <x:is>
          <x:t xml:space="preserve">theophysics-lean-main\theophysics-lean-main\Theophysics_Core.lean</x:t>
        </x:is>
      </x:c>
      <x:c r="J156" s="20" t="inlineStr">
        <x:is>
          <x:t xml:space="preserve">151</x:t>
        </x:is>
      </x:c>
      <x:c r="K156" s="20" t="inlineStr">
        <x:is>
          <x:t xml:space="preserve">theorem reoriented_incoherent_memory_becomes_retained : True</x:t>
        </x:is>
      </x:c>
      <x:c r="L156" s="20" t="inlineStr">
        <x:is>
          <x:t xml:space="preserve">reoriented_incoherent_memory_becomes_retained</x:t>
        </x:is>
      </x:c>
      <x:c r="M156" s="23" t="inlineStr">
        <x:is>
          <x:t xml:space="preserve">PARTIAL</x:t>
        </x:is>
      </x:c>
      <x:c r="N156" s="21" t="inlineStr">
        <x:is>
          <x:t xml:space="preserve">PLACEHOLDER</x:t>
        </x:is>
      </x:c>
      <x:c r="O156" s="21" t="inlineStr">
        <x:is>
          <x:t xml:space="preserve">PLACEHOLDER</x:t>
        </x:is>
      </x:c>
      <x:c r="P156" s="22" t="inlineStr">
        <x:is>
          <x:t xml:space="preserve">MISSING</x:t>
        </x:is>
      </x:c>
      <x:c r="Q156" s="21" t="inlineStr">
        <x:is>
          <x:t xml:space="preserve">PLACEHOLDER</x:t>
        </x:is>
      </x:c>
      <x:c r="R156" s="21" t="inlineStr">
        <x:is>
          <x:t xml:space="preserve">PLACEHOLDER</x:t>
        </x:is>
      </x:c>
      <x:c r="S156" s="21" t="inlineStr">
        <x:is>
          <x:t xml:space="preserve">PLACEHOLDER</x:t>
        </x:is>
      </x:c>
      <x:c r="T156" s="23" t="inlineStr">
        <x:is>
          <x:t xml:space="preserve">PARTIAL</x:t>
        </x:is>
      </x:c>
      <x:c r="U156" s="21" t="inlineStr">
        <x:is>
          <x:t xml:space="preserve">PLACEHOLDER</x:t>
        </x:is>
      </x:c>
      <x:c r="V156" s="20" t="inlineStr">
        <x:is>
          <x:t xml:space="preserve">lean_match_count=4 | proof_strength=TRIVIAL_TRUE | Statement is `True`; theorem name may exceed formal content. | definition/proof/numerical/empirical/interp fields still staged as TODO placeholders</x:t>
        </x:is>
      </x:c>
    </x:row>
    <x:row r="157" ht="69" customHeight="1">
      <x:c r="A157" s="20" t="inlineStr">
        <x:is>
          <x:t xml:space="preserve">174–176</x:t>
        </x:is>
      </x:c>
      <x:c r="B157" s="20" t="inlineStr">
        <x:is>
          <x:t xml:space="preserve">Coherent + integrated = final identity. Discoherent = no final identity. Coherent but not integrated = no final identity.</x:t>
        </x:is>
      </x:c>
      <x:c r="C157" s="20" t="inlineStr">
        <x:is>
          <x:t xml:space="preserve">C2 - Structural correspondence candidate</x:t>
        </x:is>
      </x:c>
      <x:c r="D157" s="21" t="inlineStr">
        <x:is>
          <x:t xml:space="preserve">PLACEHOLDER</x:t>
        </x:is>
      </x:c>
      <x:c r="E157" s="22" t="inlineStr">
        <x:is>
          <x:t xml:space="preserve">MISSING</x:t>
        </x:is>
      </x:c>
      <x:c r="F157" s="22" t="inlineStr">
        <x:is>
          <x:t xml:space="preserve">MISSING</x:t>
        </x:is>
      </x:c>
      <x:c r="G157" s="22" t="inlineStr">
        <x:is>
          <x:t xml:space="preserve">MISSING</x:t>
        </x:is>
      </x:c>
      <x:c r="H157" s="22" t="inlineStr">
        <x:is>
          <x:t xml:space="preserve">MISSING</x:t>
        </x:is>
      </x:c>
      <x:c r="I157" s="20" t="inlineStr">
        <x:is>
          <x:t xml:space="preserve">NEEDS_SOURCE_PATH</x:t>
        </x:is>
      </x:c>
      <x:c r="J157" s="20" t="inlineStr">
        <x:is>
          <x:t xml:space="preserve">NEEDS_SOURCE_PATH</x:t>
        </x:is>
      </x:c>
      <x:c r="K157" s="20" t="inlineStr">
        <x:is>
          <x:t xml:space="preserve">NEEDS_SOURCE_PATH</x:t>
        </x:is>
      </x:c>
      <x:c r="L157" s="20" t="inlineStr">
        <x:is>
          <x:t xml:space="preserve">final_identity conditions (3 theorems)</x:t>
        </x:is>
      </x:c>
      <x:c r="M157" s="24" t="inlineStr">
        <x:is>
          <x:t xml:space="preserve">NEEDS_SOURCE_PATH</x:t>
        </x:is>
      </x:c>
      <x:c r="N157" s="21" t="inlineStr">
        <x:is>
          <x:t xml:space="preserve">PLACEHOLDER</x:t>
        </x:is>
      </x:c>
      <x:c r="O157" s="21" t="inlineStr">
        <x:is>
          <x:t xml:space="preserve">PLACEHOLDER</x:t>
        </x:is>
      </x:c>
      <x:c r="P157" s="22" t="inlineStr">
        <x:is>
          <x:t xml:space="preserve">MISSING</x:t>
        </x:is>
      </x:c>
      <x:c r="Q157" s="21" t="inlineStr">
        <x:is>
          <x:t xml:space="preserve">PLACEHOLDER</x:t>
        </x:is>
      </x:c>
      <x:c r="R157" s="21" t="inlineStr">
        <x:is>
          <x:t xml:space="preserve">PLACEHOLDER</x:t>
        </x:is>
      </x:c>
      <x:c r="S157" s="21" t="inlineStr">
        <x:is>
          <x:t xml:space="preserve">PLACEHOLDER</x:t>
        </x:is>
      </x:c>
      <x:c r="T157" s="24" t="inlineStr">
        <x:is>
          <x:t xml:space="preserve">NEEDS_SOURCE_PATH</x:t>
        </x:is>
      </x:c>
      <x:c r="U157" s="21" t="inlineStr">
        <x:is>
          <x:t xml:space="preserve">PLACEHOLDER</x:t>
        </x:is>
      </x:c>
      <x:c r="V157"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58" ht="55.20000076293945" customHeight="1">
      <x:c r="A158" s="20" t="inlineStr">
        <x:is>
          <x:t xml:space="preserve">177</x:t>
        </x:is>
      </x:c>
      <x:c r="B158" s="20" t="inlineStr">
        <x:is>
          <x:t xml:space="preserve">Heaven = coherent + eternal domain. Unique characterization.</x:t>
        </x:is>
      </x:c>
      <x:c r="C158" s="20" t="inlineStr">
        <x:is>
          <x:t xml:space="preserve">C2 - Structural correspondence candidate</x:t>
        </x:is>
      </x:c>
      <x:c r="D158" s="21" t="inlineStr">
        <x:is>
          <x:t xml:space="preserve">PLACEHOLDER</x:t>
        </x:is>
      </x:c>
      <x:c r="E158" s="22" t="inlineStr">
        <x:is>
          <x:t xml:space="preserve">MISSING</x:t>
        </x:is>
      </x:c>
      <x:c r="F158" s="22" t="inlineStr">
        <x:is>
          <x:t xml:space="preserve">MISSING</x:t>
        </x:is>
      </x:c>
      <x:c r="G158" s="22" t="inlineStr">
        <x:is>
          <x:t xml:space="preserve">MISSING</x:t>
        </x:is>
      </x:c>
      <x:c r="H158" s="22" t="inlineStr">
        <x:is>
          <x:t xml:space="preserve">MISSING</x:t>
        </x:is>
      </x:c>
      <x:c r="I158" s="20" t="inlineStr">
        <x:is>
          <x:t xml:space="preserve">theophysics-lean-main\theophysics-lean-main\Theophysics_Core.lean</x:t>
        </x:is>
      </x:c>
      <x:c r="J158" s="20" t="inlineStr">
        <x:is>
          <x:t xml:space="preserve">148</x:t>
        </x:is>
      </x:c>
      <x:c r="K158" s="20" t="inlineStr">
        <x:is>
          <x:t xml:space="preserve">theorem heaven_is_coherent_and_eternal : True</x:t>
        </x:is>
      </x:c>
      <x:c r="L158" s="20" t="inlineStr">
        <x:is>
          <x:t xml:space="preserve">heaven_is_coherent_and_eternal</x:t>
        </x:is>
      </x:c>
      <x:c r="M158" s="23" t="inlineStr">
        <x:is>
          <x:t xml:space="preserve">PARTIAL</x:t>
        </x:is>
      </x:c>
      <x:c r="N158" s="21" t="inlineStr">
        <x:is>
          <x:t xml:space="preserve">PLACEHOLDER</x:t>
        </x:is>
      </x:c>
      <x:c r="O158" s="21" t="inlineStr">
        <x:is>
          <x:t xml:space="preserve">PLACEHOLDER</x:t>
        </x:is>
      </x:c>
      <x:c r="P158" s="22" t="inlineStr">
        <x:is>
          <x:t xml:space="preserve">MISSING</x:t>
        </x:is>
      </x:c>
      <x:c r="Q158" s="21" t="inlineStr">
        <x:is>
          <x:t xml:space="preserve">PLACEHOLDER</x:t>
        </x:is>
      </x:c>
      <x:c r="R158" s="21" t="inlineStr">
        <x:is>
          <x:t xml:space="preserve">PLACEHOLDER</x:t>
        </x:is>
      </x:c>
      <x:c r="S158" s="21" t="inlineStr">
        <x:is>
          <x:t xml:space="preserve">PLACEHOLDER</x:t>
        </x:is>
      </x:c>
      <x:c r="T158" s="23" t="inlineStr">
        <x:is>
          <x:t xml:space="preserve">PARTIAL</x:t>
        </x:is>
      </x:c>
      <x:c r="U158" s="21" t="inlineStr">
        <x:is>
          <x:t xml:space="preserve">PLACEHOLDER</x:t>
        </x:is>
      </x:c>
      <x:c r="V158" s="20" t="inlineStr">
        <x:is>
          <x:t xml:space="preserve">lean_match_count=4 | proof_strength=TRIVIAL_TRUE | Statement is `True`; theorem name may exceed formal content. | definition/proof/numerical/empirical/interp fields still staged as TODO placeholders</x:t>
        </x:is>
      </x:c>
    </x:row>
    <x:row r="159" ht="69" customHeight="1">
      <x:c r="A159" s="20" t="inlineStr">
        <x:is>
          <x:t xml:space="preserve">178–179</x:t>
        </x:is>
      </x:c>
      <x:c r="B159" s="20" t="inlineStr">
        <x:is>
          <x:t xml:space="preserve">REJECTION: Temporal coherence insufficient. Eternal instability insufficient. Both needed.</x:t>
        </x:is>
      </x:c>
      <x:c r="C159" s="20" t="inlineStr">
        <x:is>
          <x:t xml:space="preserve">C5 - Dynamical equivalence candidate</x:t>
        </x:is>
      </x:c>
      <x:c r="D159" s="21" t="inlineStr">
        <x:is>
          <x:t xml:space="preserve">PLACEHOLDER</x:t>
        </x:is>
      </x:c>
      <x:c r="E159" s="22" t="inlineStr">
        <x:is>
          <x:t xml:space="preserve">MISSING</x:t>
        </x:is>
      </x:c>
      <x:c r="F159" s="22" t="inlineStr">
        <x:is>
          <x:t xml:space="preserve">MISSING</x:t>
        </x:is>
      </x:c>
      <x:c r="G159" s="22" t="inlineStr">
        <x:is>
          <x:t xml:space="preserve">MISSING</x:t>
        </x:is>
      </x:c>
      <x:c r="H159" s="22" t="inlineStr">
        <x:is>
          <x:t xml:space="preserve">MISSING</x:t>
        </x:is>
      </x:c>
      <x:c r="I159" s="20" t="inlineStr">
        <x:is>
          <x:t xml:space="preserve">NEEDS_SOURCE_PATH</x:t>
        </x:is>
      </x:c>
      <x:c r="J159" s="20" t="inlineStr">
        <x:is>
          <x:t xml:space="preserve">NEEDS_SOURCE_PATH</x:t>
        </x:is>
      </x:c>
      <x:c r="K159" s="20" t="inlineStr">
        <x:is>
          <x:t xml:space="preserve">NEEDS_SOURCE_PATH</x:t>
        </x:is>
      </x:c>
      <x:c r="L159" s="20" t="inlineStr">
        <x:is>
          <x:t xml:space="preserve">merely_temporal/eternal_insufficient</x:t>
        </x:is>
      </x:c>
      <x:c r="M159" s="24" t="inlineStr">
        <x:is>
          <x:t xml:space="preserve">NEEDS_SOURCE_PATH</x:t>
        </x:is>
      </x:c>
      <x:c r="N159" s="21" t="inlineStr">
        <x:is>
          <x:t xml:space="preserve">PLACEHOLDER</x:t>
        </x:is>
      </x:c>
      <x:c r="O159" s="21" t="inlineStr">
        <x:is>
          <x:t xml:space="preserve">PLACEHOLDER</x:t>
        </x:is>
      </x:c>
      <x:c r="P159" s="22" t="inlineStr">
        <x:is>
          <x:t xml:space="preserve">MISSING</x:t>
        </x:is>
      </x:c>
      <x:c r="Q159" s="21" t="inlineStr">
        <x:is>
          <x:t xml:space="preserve">PLACEHOLDER</x:t>
        </x:is>
      </x:c>
      <x:c r="R159" s="21" t="inlineStr">
        <x:is>
          <x:t xml:space="preserve">PLACEHOLDER</x:t>
        </x:is>
      </x:c>
      <x:c r="S159" s="21" t="inlineStr">
        <x:is>
          <x:t xml:space="preserve">PLACEHOLDER</x:t>
        </x:is>
      </x:c>
      <x:c r="T159" s="24" t="inlineStr">
        <x:is>
          <x:t xml:space="preserve">NEEDS_SOURCE_PATH</x:t>
        </x:is>
      </x:c>
      <x:c r="U159" s="21" t="inlineStr">
        <x:is>
          <x:t xml:space="preserve">PLACEHOLDER</x:t>
        </x:is>
      </x:c>
      <x:c r="V159"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60" ht="55.20000076293945" customHeight="1">
      <x:c r="A160" s="20" t="inlineStr">
        <x:is>
          <x:t xml:space="preserve">180</x:t>
        </x:is>
      </x:c>
      <x:c r="B160" s="20" t="inlineStr">
        <x:is>
          <x:t xml:space="preserve">REJECTION: Discoherent memory cannot directly enter heaven</x:t>
        </x:is>
      </x:c>
      <x:c r="C160" s="20" t="inlineStr">
        <x:is>
          <x:t xml:space="preserve">C2 - Structural correspondence candidate</x:t>
        </x:is>
      </x:c>
      <x:c r="D160" s="21" t="inlineStr">
        <x:is>
          <x:t xml:space="preserve">PLACEHOLDER</x:t>
        </x:is>
      </x:c>
      <x:c r="E160" s="22" t="inlineStr">
        <x:is>
          <x:t xml:space="preserve">MISSING</x:t>
        </x:is>
      </x:c>
      <x:c r="F160" s="22" t="inlineStr">
        <x:is>
          <x:t xml:space="preserve">MISSING</x:t>
        </x:is>
      </x:c>
      <x:c r="G160" s="22" t="inlineStr">
        <x:is>
          <x:t xml:space="preserve">MISSING</x:t>
        </x:is>
      </x:c>
      <x:c r="H160" s="22" t="inlineStr">
        <x:is>
          <x:t xml:space="preserve">MISSING</x:t>
        </x:is>
      </x:c>
      <x:c r="I160" s="20" t="inlineStr">
        <x:is>
          <x:t xml:space="preserve">theophysics-lean-main\theophysics-lean-main\Theophysics_Adversarial.lean</x:t>
        </x:is>
      </x:c>
      <x:c r="J160" s="20" t="inlineStr">
        <x:is>
          <x:t xml:space="preserve">536</x:t>
        </x:is>
      </x:c>
      <x:c r="K160" s="20" t="inlineStr">
        <x:is>
          <x:t xml:space="preserve">theorem direct_discoherent_christ_entry_into_heaven_fails : heavenEntryAllowed { christCoherent := false } = false</x:t>
        </x:is>
      </x:c>
      <x:c r="L160" s="20" t="inlineStr">
        <x:is>
          <x:t xml:space="preserve">direct_discoherent_christ_entry_into_heaven_fails</x:t>
        </x:is>
      </x:c>
      <x:c r="M160" s="23" t="inlineStr">
        <x:is>
          <x:t xml:space="preserve">PARTIAL</x:t>
        </x:is>
      </x:c>
      <x:c r="N160" s="21" t="inlineStr">
        <x:is>
          <x:t xml:space="preserve">PLACEHOLDER</x:t>
        </x:is>
      </x:c>
      <x:c r="O160" s="21" t="inlineStr">
        <x:is>
          <x:t xml:space="preserve">PLACEHOLDER</x:t>
        </x:is>
      </x:c>
      <x:c r="P160" s="22" t="inlineStr">
        <x:is>
          <x:t xml:space="preserve">MISSING</x:t>
        </x:is>
      </x:c>
      <x:c r="Q160" s="21" t="inlineStr">
        <x:is>
          <x:t xml:space="preserve">PLACEHOLDER</x:t>
        </x:is>
      </x:c>
      <x:c r="R160" s="21" t="inlineStr">
        <x:is>
          <x:t xml:space="preserve">PLACEHOLDER</x:t>
        </x:is>
      </x:c>
      <x:c r="S160" s="21" t="inlineStr">
        <x:is>
          <x:t xml:space="preserve">PLACEHOLDER</x:t>
        </x:is>
      </x:c>
      <x:c r="T160" s="23" t="inlineStr">
        <x:is>
          <x:t xml:space="preserve">PARTIAL</x:t>
        </x:is>
      </x:c>
      <x:c r="U160" s="21" t="inlineStr">
        <x:is>
          <x:t xml:space="preserve">PLACEHOLDER</x:t>
        </x:is>
      </x:c>
      <x:c r="V160" s="20" t="inlineStr">
        <x:is>
          <x:t xml:space="preserve">lean_match_count=4 | proof_strength=DEFINITIONAL_RFL | Proves definitional equality by reduction; useful but narrow. | definition/proof/numerical/empirical/interp fields still staged as TODO placeholders</x:t>
        </x:is>
      </x:c>
    </x:row>
    <x:row r="161" ht="55.20000076293945" customHeight="1">
      <x:c r="A161" s="20" t="inlineStr">
        <x:is>
          <x:t xml:space="preserve">181</x:t>
        </x:is>
      </x:c>
      <x:c r="B161" s="20" t="inlineStr">
        <x:is>
          <x:t xml:space="preserve">Reintegrated memory CAN enter heaven. Conversion opens the gate.</x:t>
        </x:is>
      </x:c>
      <x:c r="C161" s="20" t="inlineStr">
        <x:is>
          <x:t xml:space="preserve">C2 - Structural correspondence candidate</x:t>
        </x:is>
      </x:c>
      <x:c r="D161" s="21" t="inlineStr">
        <x:is>
          <x:t xml:space="preserve">PLACEHOLDER</x:t>
        </x:is>
      </x:c>
      <x:c r="E161" s="22" t="inlineStr">
        <x:is>
          <x:t xml:space="preserve">MISSING</x:t>
        </x:is>
      </x:c>
      <x:c r="F161" s="22" t="inlineStr">
        <x:is>
          <x:t xml:space="preserve">MISSING</x:t>
        </x:is>
      </x:c>
      <x:c r="G161" s="22" t="inlineStr">
        <x:is>
          <x:t xml:space="preserve">MISSING</x:t>
        </x:is>
      </x:c>
      <x:c r="H161" s="22" t="inlineStr">
        <x:is>
          <x:t xml:space="preserve">MISSING</x:t>
        </x:is>
      </x:c>
      <x:c r="I161" s="20" t="inlineStr">
        <x:is>
          <x:t xml:space="preserve">theophysics-lean-main\theophysics-lean-main\Theophysics_Core.lean</x:t>
        </x:is>
      </x:c>
      <x:c r="J161" s="20" t="inlineStr">
        <x:is>
          <x:t xml:space="preserve">152</x:t>
        </x:is>
      </x:c>
      <x:c r="K161" s="20" t="inlineStr">
        <x:is>
          <x:t xml:space="preserve">theorem transformed_discoherent_christ_entry_into_heaven_passes : True</x:t>
        </x:is>
      </x:c>
      <x:c r="L161" s="20" t="inlineStr">
        <x:is>
          <x:t xml:space="preserve">transformed_discoherent_christ_entry_into_heaven_passes</x:t>
        </x:is>
      </x:c>
      <x:c r="M161" s="23" t="inlineStr">
        <x:is>
          <x:t xml:space="preserve">PARTIAL</x:t>
        </x:is>
      </x:c>
      <x:c r="N161" s="21" t="inlineStr">
        <x:is>
          <x:t xml:space="preserve">PLACEHOLDER</x:t>
        </x:is>
      </x:c>
      <x:c r="O161" s="21" t="inlineStr">
        <x:is>
          <x:t xml:space="preserve">PLACEHOLDER</x:t>
        </x:is>
      </x:c>
      <x:c r="P161" s="22" t="inlineStr">
        <x:is>
          <x:t xml:space="preserve">MISSING</x:t>
        </x:is>
      </x:c>
      <x:c r="Q161" s="21" t="inlineStr">
        <x:is>
          <x:t xml:space="preserve">PLACEHOLDER</x:t>
        </x:is>
      </x:c>
      <x:c r="R161" s="21" t="inlineStr">
        <x:is>
          <x:t xml:space="preserve">PLACEHOLDER</x:t>
        </x:is>
      </x:c>
      <x:c r="S161" s="21" t="inlineStr">
        <x:is>
          <x:t xml:space="preserve">PLACEHOLDER</x:t>
        </x:is>
      </x:c>
      <x:c r="T161" s="23" t="inlineStr">
        <x:is>
          <x:t xml:space="preserve">PARTIAL</x:t>
        </x:is>
      </x:c>
      <x:c r="U161" s="21" t="inlineStr">
        <x:is>
          <x:t xml:space="preserve">PLACEHOLDER</x:t>
        </x:is>
      </x:c>
      <x:c r="V161" s="20" t="inlineStr">
        <x:is>
          <x:t xml:space="preserve">lean_match_count=4 | proof_strength=TRIVIAL_TRUE | Statement is `True`; theorem name may exceed formal content. | definition/proof/numerical/empirical/interp fields still staged as TODO placeholders</x:t>
        </x:is>
      </x:c>
    </x:row>
    <x:row r="162" ht="55.20000076293945" customHeight="1">
      <x:c r="A162" s="20" t="inlineStr">
        <x:is>
          <x:t xml:space="preserve">182</x:t>
        </x:is>
      </x:c>
      <x:c r="B162" s="20" t="inlineStr">
        <x:is>
          <x:t xml:space="preserve">REJECTION: But unrecorded events cannot be rescued. You cannot convert what was never recorded.</x:t>
        </x:is>
      </x:c>
      <x:c r="C162" s="20" t="inlineStr">
        <x:is>
          <x:t xml:space="preserve">C2 - Structural correspondence candidate</x:t>
        </x:is>
      </x:c>
      <x:c r="D162" s="21" t="inlineStr">
        <x:is>
          <x:t xml:space="preserve">PLACEHOLDER</x:t>
        </x:is>
      </x:c>
      <x:c r="E162" s="22" t="inlineStr">
        <x:is>
          <x:t xml:space="preserve">MISSING</x:t>
        </x:is>
      </x:c>
      <x:c r="F162" s="22" t="inlineStr">
        <x:is>
          <x:t xml:space="preserve">MISSING</x:t>
        </x:is>
      </x:c>
      <x:c r="G162" s="22" t="inlineStr">
        <x:is>
          <x:t xml:space="preserve">MISSING</x:t>
        </x:is>
      </x:c>
      <x:c r="H162" s="22" t="inlineStr">
        <x:is>
          <x:t xml:space="preserve">MISSING</x:t>
        </x:is>
      </x:c>
      <x:c r="I162" s="20" t="inlineStr">
        <x:is>
          <x:t xml:space="preserve">theophysics-lean-main\theophysics-lean-main\Theophysics_Adversarial.lean</x:t>
        </x:is>
      </x:c>
      <x:c r="J162" s="20" t="inlineStr">
        <x:is>
          <x:t xml:space="preserve">540</x:t>
        </x:is>
      </x:c>
      <x:c r="K162" s="20" t="inlineStr">
        <x:is>
          <x:t xml:space="preserve">theorem transformed_unrecorded_discoherent_entry_still_fails : heavenEntryAllowed { recorded := false, christCoherent := false, transformed := true } = false</x:t>
        </x:is>
      </x:c>
      <x:c r="L162" s="20" t="inlineStr">
        <x:is>
          <x:t xml:space="preserve">transformed_unrecorded_discoherent_entry_still_fails</x:t>
        </x:is>
      </x:c>
      <x:c r="M162" s="23" t="inlineStr">
        <x:is>
          <x:t xml:space="preserve">PARTIAL</x:t>
        </x:is>
      </x:c>
      <x:c r="N162" s="21" t="inlineStr">
        <x:is>
          <x:t xml:space="preserve">PLACEHOLDER</x:t>
        </x:is>
      </x:c>
      <x:c r="O162" s="21" t="inlineStr">
        <x:is>
          <x:t xml:space="preserve">PLACEHOLDER</x:t>
        </x:is>
      </x:c>
      <x:c r="P162" s="22" t="inlineStr">
        <x:is>
          <x:t xml:space="preserve">MISSING</x:t>
        </x:is>
      </x:c>
      <x:c r="Q162" s="21" t="inlineStr">
        <x:is>
          <x:t xml:space="preserve">PLACEHOLDER</x:t>
        </x:is>
      </x:c>
      <x:c r="R162" s="21" t="inlineStr">
        <x:is>
          <x:t xml:space="preserve">PLACEHOLDER</x:t>
        </x:is>
      </x:c>
      <x:c r="S162" s="21" t="inlineStr">
        <x:is>
          <x:t xml:space="preserve">PLACEHOLDER</x:t>
        </x:is>
      </x:c>
      <x:c r="T162" s="23" t="inlineStr">
        <x:is>
          <x:t xml:space="preserve">PARTIAL</x:t>
        </x:is>
      </x:c>
      <x:c r="U162" s="21" t="inlineStr">
        <x:is>
          <x:t xml:space="preserve">PLACEHOLDER</x:t>
        </x:is>
      </x:c>
      <x:c r="V162" s="20" t="inlineStr">
        <x:is>
          <x:t xml:space="preserve">lean_match_count=4 | proof_strength=DEFINITIONAL_RFL | Proves definitional equality by reduction; useful but narrow. | definition/proof/numerical/empirical/interp fields still staged as TODO placeholders</x:t>
        </x:is>
      </x:c>
    </x:row>
    <x:row r="163" ht="55.20000076293945" customHeight="1">
      <x:c r="A163" s="20" t="inlineStr">
        <x:is>
          <x:t xml:space="preserve">183</x:t>
        </x:is>
      </x:c>
      <x:c r="B163" s="20" t="inlineStr">
        <x:is>
          <x:t xml:space="preserve">Surrender + external grace = valid conversion</x:t>
        </x:is>
      </x:c>
      <x:c r="C163" s="20" t="inlineStr">
        <x:is>
          <x:t xml:space="preserve">C2 - Structural correspondence candidate</x:t>
        </x:is>
      </x:c>
      <x:c r="D163" s="21" t="inlineStr">
        <x:is>
          <x:t xml:space="preserve">PLACEHOLDER</x:t>
        </x:is>
      </x:c>
      <x:c r="E163" s="22" t="inlineStr">
        <x:is>
          <x:t xml:space="preserve">MISSING</x:t>
        </x:is>
      </x:c>
      <x:c r="F163" s="22" t="inlineStr">
        <x:is>
          <x:t xml:space="preserve">MISSING</x:t>
        </x:is>
      </x:c>
      <x:c r="G163" s="22" t="inlineStr">
        <x:is>
          <x:t xml:space="preserve">MISSING</x:t>
        </x:is>
      </x:c>
      <x:c r="H163" s="22" t="inlineStr">
        <x:is>
          <x:t xml:space="preserve">MISSING</x:t>
        </x:is>
      </x:c>
      <x:c r="I163" s="20" t="inlineStr">
        <x:is>
          <x:t xml:space="preserve">theophysics-lean-main\theophysics-lean-main\Theophysics_Core.lean</x:t>
        </x:is>
      </x:c>
      <x:c r="J163" s="20" t="inlineStr">
        <x:is>
          <x:t xml:space="preserve">153</x:t>
        </x:is>
      </x:c>
      <x:c r="K163" s="20" t="inlineStr">
        <x:is>
          <x:t xml:space="preserve">theorem valid_giving_life_to_christ : True</x:t>
        </x:is>
      </x:c>
      <x:c r="L163" s="20" t="inlineStr">
        <x:is>
          <x:t xml:space="preserve">valid_giving_life_to_christ</x:t>
        </x:is>
      </x:c>
      <x:c r="M163" s="23" t="inlineStr">
        <x:is>
          <x:t xml:space="preserve">PARTIAL</x:t>
        </x:is>
      </x:c>
      <x:c r="N163" s="21" t="inlineStr">
        <x:is>
          <x:t xml:space="preserve">PLACEHOLDER</x:t>
        </x:is>
      </x:c>
      <x:c r="O163" s="21" t="inlineStr">
        <x:is>
          <x:t xml:space="preserve">PLACEHOLDER</x:t>
        </x:is>
      </x:c>
      <x:c r="P163" s="22" t="inlineStr">
        <x:is>
          <x:t xml:space="preserve">MISSING</x:t>
        </x:is>
      </x:c>
      <x:c r="Q163" s="21" t="inlineStr">
        <x:is>
          <x:t xml:space="preserve">PLACEHOLDER</x:t>
        </x:is>
      </x:c>
      <x:c r="R163" s="21" t="inlineStr">
        <x:is>
          <x:t xml:space="preserve">PLACEHOLDER</x:t>
        </x:is>
      </x:c>
      <x:c r="S163" s="21" t="inlineStr">
        <x:is>
          <x:t xml:space="preserve">PLACEHOLDER</x:t>
        </x:is>
      </x:c>
      <x:c r="T163" s="23" t="inlineStr">
        <x:is>
          <x:t xml:space="preserve">PARTIAL</x:t>
        </x:is>
      </x:c>
      <x:c r="U163" s="21" t="inlineStr">
        <x:is>
          <x:t xml:space="preserve">PLACEHOLDER</x:t>
        </x:is>
      </x:c>
      <x:c r="V163" s="20" t="inlineStr">
        <x:is>
          <x:t xml:space="preserve">lean_match_count=4 | proof_strength=TRIVIAL_TRUE | Statement is `True`; theorem name may exceed formal content. | definition/proof/numerical/empirical/interp fields still staged as TODO placeholders</x:t>
        </x:is>
      </x:c>
    </x:row>
    <x:row r="164" ht="55.20000076293945" customHeight="1">
      <x:c r="A164" s="20" t="inlineStr">
        <x:is>
          <x:t xml:space="preserve">184</x:t>
        </x:is>
      </x:c>
      <x:c r="B164" s="20" t="inlineStr">
        <x:is>
          <x:t xml:space="preserve">REJECTION: Resisting without grace = invalid. Will alone is not enough.</x:t>
        </x:is>
      </x:c>
      <x:c r="C164" s="20" t="inlineStr">
        <x:is>
          <x:t xml:space="preserve">C2 - Structural correspondence candidate</x:t>
        </x:is>
      </x:c>
      <x:c r="D164" s="21" t="inlineStr">
        <x:is>
          <x:t xml:space="preserve">PLACEHOLDER</x:t>
        </x:is>
      </x:c>
      <x:c r="E164" s="22" t="inlineStr">
        <x:is>
          <x:t xml:space="preserve">MISSING</x:t>
        </x:is>
      </x:c>
      <x:c r="F164" s="22" t="inlineStr">
        <x:is>
          <x:t xml:space="preserve">MISSING</x:t>
        </x:is>
      </x:c>
      <x:c r="G164" s="22" t="inlineStr">
        <x:is>
          <x:t xml:space="preserve">MISSING</x:t>
        </x:is>
      </x:c>
      <x:c r="H164" s="22" t="inlineStr">
        <x:is>
          <x:t xml:space="preserve">MISSING</x:t>
        </x:is>
      </x:c>
      <x:c r="I164" s="20" t="inlineStr">
        <x:is>
          <x:t xml:space="preserve">theophysics-lean-main\theophysics-lean-main\Theophysics_Adversarial.lean</x:t>
        </x:is>
      </x:c>
      <x:c r="J164" s="20" t="inlineStr">
        <x:is>
          <x:t xml:space="preserve">544</x:t>
        </x:is>
      </x:c>
      <x:c r="K164" s="20" t="inlineStr">
        <x:is>
          <x:t xml:space="preserve">theorem resisting_without_grace_not_valid_conversion : validConversion { grace := false, transformed := true } = false</x:t>
        </x:is>
      </x:c>
      <x:c r="L164" s="20" t="inlineStr">
        <x:is>
          <x:t xml:space="preserve">resisting_without_grace_not_valid_conversion</x:t>
        </x:is>
      </x:c>
      <x:c r="M164" s="23" t="inlineStr">
        <x:is>
          <x:t xml:space="preserve">PARTIAL</x:t>
        </x:is>
      </x:c>
      <x:c r="N164" s="21" t="inlineStr">
        <x:is>
          <x:t xml:space="preserve">PLACEHOLDER</x:t>
        </x:is>
      </x:c>
      <x:c r="O164" s="21" t="inlineStr">
        <x:is>
          <x:t xml:space="preserve">PLACEHOLDER</x:t>
        </x:is>
      </x:c>
      <x:c r="P164" s="22" t="inlineStr">
        <x:is>
          <x:t xml:space="preserve">MISSING</x:t>
        </x:is>
      </x:c>
      <x:c r="Q164" s="21" t="inlineStr">
        <x:is>
          <x:t xml:space="preserve">PLACEHOLDER</x:t>
        </x:is>
      </x:c>
      <x:c r="R164" s="21" t="inlineStr">
        <x:is>
          <x:t xml:space="preserve">PLACEHOLDER</x:t>
        </x:is>
      </x:c>
      <x:c r="S164" s="21" t="inlineStr">
        <x:is>
          <x:t xml:space="preserve">PLACEHOLDER</x:t>
        </x:is>
      </x:c>
      <x:c r="T164" s="23" t="inlineStr">
        <x:is>
          <x:t xml:space="preserve">PARTIAL</x:t>
        </x:is>
      </x:c>
      <x:c r="U164" s="21" t="inlineStr">
        <x:is>
          <x:t xml:space="preserve">PLACEHOLDER</x:t>
        </x:is>
      </x:c>
      <x:c r="V164" s="20" t="inlineStr">
        <x:is>
          <x:t xml:space="preserve">lean_match_count=4 | proof_strength=DEFINITIONAL_RFL | Proves definitional equality by reduction; useful but narrow. | definition/proof/numerical/empirical/interp fields still staged as TODO placeholders</x:t>
        </x:is>
      </x:c>
    </x:row>
    <x:row r="165" ht="69" customHeight="1">
      <x:c r="A165" s="20" t="inlineStr">
        <x:is>
          <x:t xml:space="preserve">185–186</x:t>
        </x:is>
      </x:c>
      <x:c r="B165" s="20" t="inlineStr">
        <x:is>
          <x:t xml:space="preserve">Conversion: negative → final identity. Record persists through conversion.</x:t>
        </x:is>
      </x:c>
      <x:c r="C165" s="20" t="inlineStr">
        <x:is>
          <x:t xml:space="preserve">C2 - Structural correspondence candidate</x:t>
        </x:is>
      </x:c>
      <x:c r="D165" s="21" t="inlineStr">
        <x:is>
          <x:t xml:space="preserve">PLACEHOLDER</x:t>
        </x:is>
      </x:c>
      <x:c r="E165" s="22" t="inlineStr">
        <x:is>
          <x:t xml:space="preserve">MISSING</x:t>
        </x:is>
      </x:c>
      <x:c r="F165" s="22" t="inlineStr">
        <x:is>
          <x:t xml:space="preserve">MISSING</x:t>
        </x:is>
      </x:c>
      <x:c r="G165" s="23" t="inlineStr">
        <x:is>
          <x:t xml:space="preserve">PARTIAL</x:t>
        </x:is>
      </x:c>
      <x:c r="H165" s="22" t="inlineStr">
        <x:is>
          <x:t xml:space="preserve">MISSING</x:t>
        </x:is>
      </x:c>
      <x:c r="I165" s="20" t="inlineStr">
        <x:is>
          <x:t xml:space="preserve">NEEDS_SOURCE_PATH</x:t>
        </x:is>
      </x:c>
      <x:c r="J165" s="20" t="inlineStr">
        <x:is>
          <x:t xml:space="preserve">NEEDS_SOURCE_PATH</x:t>
        </x:is>
      </x:c>
      <x:c r="K165" s="20" t="inlineStr">
        <x:is>
          <x:t xml:space="preserve">NEEDS_SOURCE_PATH</x:t>
        </x:is>
      </x:c>
      <x:c r="L165" s="20" t="inlineStr">
        <x:is>
          <x:t xml:space="preserve">accountable_conversion + record_preservation</x:t>
        </x:is>
      </x:c>
      <x:c r="M165" s="24" t="inlineStr">
        <x:is>
          <x:t xml:space="preserve">NEEDS_SOURCE_PATH</x:t>
        </x:is>
      </x:c>
      <x:c r="N165" s="21" t="inlineStr">
        <x:is>
          <x:t xml:space="preserve">PLACEHOLDER</x:t>
        </x:is>
      </x:c>
      <x:c r="O165" s="21" t="inlineStr">
        <x:is>
          <x:t xml:space="preserve">PLACEHOLDER</x:t>
        </x:is>
      </x:c>
      <x:c r="P165" s="22" t="inlineStr">
        <x:is>
          <x:t xml:space="preserve">MISSING</x:t>
        </x:is>
      </x:c>
      <x:c r="Q165" s="21" t="inlineStr">
        <x:is>
          <x:t xml:space="preserve">PLACEHOLDER</x:t>
        </x:is>
      </x:c>
      <x:c r="R165" s="21" t="inlineStr">
        <x:is>
          <x:t xml:space="preserve">PLACEHOLDER</x:t>
        </x:is>
      </x:c>
      <x:c r="S165" s="21" t="inlineStr">
        <x:is>
          <x:t xml:space="preserve">PLACEHOLDER</x:t>
        </x:is>
      </x:c>
      <x:c r="T165" s="24" t="inlineStr">
        <x:is>
          <x:t xml:space="preserve">NEEDS_SOURCE_PATH</x:t>
        </x:is>
      </x:c>
      <x:c r="U165" s="21" t="inlineStr">
        <x:is>
          <x:t xml:space="preserve">PLACEHOLDER</x:t>
        </x:is>
      </x:c>
      <x:c r="V165"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66" ht="55.20000076293945" customHeight="1">
      <x:c r="A166" s="20" t="inlineStr">
        <x:is>
          <x:t xml:space="preserve">187</x:t>
        </x:is>
      </x:c>
      <x:c r="B166" s="20" t="inlineStr">
        <x:is>
          <x:t xml:space="preserve">REJECTION: Cannot create record from nothing. Grace restores, but doesn't fabricate.</x:t>
        </x:is>
      </x:c>
      <x:c r="C166" s="20" t="inlineStr">
        <x:is>
          <x:t xml:space="preserve">C2 - Structural correspondence candidate</x:t>
        </x:is>
      </x:c>
      <x:c r="D166" s="21" t="inlineStr">
        <x:is>
          <x:t xml:space="preserve">PLACEHOLDER</x:t>
        </x:is>
      </x:c>
      <x:c r="E166" s="22" t="inlineStr">
        <x:is>
          <x:t xml:space="preserve">MISSING</x:t>
        </x:is>
      </x:c>
      <x:c r="F166" s="22" t="inlineStr">
        <x:is>
          <x:t xml:space="preserve">MISSING</x:t>
        </x:is>
      </x:c>
      <x:c r="G166" s="23" t="inlineStr">
        <x:is>
          <x:t xml:space="preserve">PARTIAL</x:t>
        </x:is>
      </x:c>
      <x:c r="H166" s="22" t="inlineStr">
        <x:is>
          <x:t xml:space="preserve">MISSING</x:t>
        </x:is>
      </x:c>
      <x:c r="I166" s="20" t="inlineStr">
        <x:is>
          <x:t xml:space="preserve">theophysics-lean-main\theophysics-lean-main\Theophysics_Adversarial.lean</x:t>
        </x:is>
      </x:c>
      <x:c r="J166" s="20" t="inlineStr">
        <x:is>
          <x:t xml:space="preserve">548</x:t>
        </x:is>
      </x:c>
      <x:c r="K166" s="20" t="inlineStr">
        <x:is>
          <x:t xml:space="preserve">theorem unrecorded_negative_conversion_still_has_no_identity_trace : retainedMemory { recorded := false, christCoherent := true } = false</x:t>
        </x:is>
      </x:c>
      <x:c r="L166" s="20" t="inlineStr">
        <x:is>
          <x:t xml:space="preserve">unrecorded_negative_conversion_still_has_no_identity_trace</x:t>
        </x:is>
      </x:c>
      <x:c r="M166" s="23" t="inlineStr">
        <x:is>
          <x:t xml:space="preserve">PARTIAL</x:t>
        </x:is>
      </x:c>
      <x:c r="N166" s="21" t="inlineStr">
        <x:is>
          <x:t xml:space="preserve">PLACEHOLDER</x:t>
        </x:is>
      </x:c>
      <x:c r="O166" s="21" t="inlineStr">
        <x:is>
          <x:t xml:space="preserve">PLACEHOLDER</x:t>
        </x:is>
      </x:c>
      <x:c r="P166" s="22" t="inlineStr">
        <x:is>
          <x:t xml:space="preserve">MISSING</x:t>
        </x:is>
      </x:c>
      <x:c r="Q166" s="21" t="inlineStr">
        <x:is>
          <x:t xml:space="preserve">PLACEHOLDER</x:t>
        </x:is>
      </x:c>
      <x:c r="R166" s="21" t="inlineStr">
        <x:is>
          <x:t xml:space="preserve">PLACEHOLDER</x:t>
        </x:is>
      </x:c>
      <x:c r="S166" s="21" t="inlineStr">
        <x:is>
          <x:t xml:space="preserve">PLACEHOLDER</x:t>
        </x:is>
      </x:c>
      <x:c r="T166" s="23" t="inlineStr">
        <x:is>
          <x:t xml:space="preserve">PARTIAL</x:t>
        </x:is>
      </x:c>
      <x:c r="U166" s="21" t="inlineStr">
        <x:is>
          <x:t xml:space="preserve">PLACEHOLDER</x:t>
        </x:is>
      </x:c>
      <x:c r="V166" s="20" t="inlineStr">
        <x:is>
          <x:t xml:space="preserve">lean_match_count=4 | proof_strength=DEFINITIONAL_RFL | Proves definitional equality by reduction; useful but narrow. | definition/proof/numerical/empirical/interp fields still staged as TODO placeholders</x:t>
        </x:is>
      </x:c>
    </x:row>
    <x:row r="167" ht="55.20000076293945" customHeight="1">
      <x:c r="A167" s="20" t="inlineStr">
        <x:is>
          <x:t xml:space="preserve">188</x:t>
        </x:is>
      </x:c>
      <x:c r="B167" s="20" t="inlineStr">
        <x:is>
          <x:t xml:space="preserve">Death and judgment are parallel consequences of the Fall</x:t>
        </x:is>
      </x:c>
      <x:c r="C167" s="20" t="inlineStr">
        <x:is>
          <x:t xml:space="preserve">C2 - Structural correspondence candidate</x:t>
        </x:is>
      </x:c>
      <x:c r="D167" s="21" t="inlineStr">
        <x:is>
          <x:t xml:space="preserve">PLACEHOLDER</x:t>
        </x:is>
      </x:c>
      <x:c r="E167" s="22" t="inlineStr">
        <x:is>
          <x:t xml:space="preserve">MISSING</x:t>
        </x:is>
      </x:c>
      <x:c r="F167" s="22" t="inlineStr">
        <x:is>
          <x:t xml:space="preserve">MISSING</x:t>
        </x:is>
      </x:c>
      <x:c r="G167" s="22" t="inlineStr">
        <x:is>
          <x:t xml:space="preserve">MISSING</x:t>
        </x:is>
      </x:c>
      <x:c r="H167" s="22" t="inlineStr">
        <x:is>
          <x:t xml:space="preserve">MISSING</x:t>
        </x:is>
      </x:c>
      <x:c r="I167" s="20" t="inlineStr">
        <x:is>
          <x:t xml:space="preserve">theophysics-lean-main\theophysics-lean-main\Theophysics_Core.lean</x:t>
        </x:is>
      </x:c>
      <x:c r="J167" s="20" t="inlineStr">
        <x:is>
          <x:t xml:space="preserve">157</x:t>
        </x:is>
      </x:c>
      <x:c r="K167" s="20" t="inlineStr">
        <x:is>
          <x:t xml:space="preserve">theorem fall_has_parallel_death_and_judgment : True</x:t>
        </x:is>
      </x:c>
      <x:c r="L167" s="20" t="inlineStr">
        <x:is>
          <x:t xml:space="preserve">fall_has_parallel_death_and_judgment</x:t>
        </x:is>
      </x:c>
      <x:c r="M167" s="23" t="inlineStr">
        <x:is>
          <x:t xml:space="preserve">PARTIAL</x:t>
        </x:is>
      </x:c>
      <x:c r="N167" s="21" t="inlineStr">
        <x:is>
          <x:t xml:space="preserve">PLACEHOLDER</x:t>
        </x:is>
      </x:c>
      <x:c r="O167" s="21" t="inlineStr">
        <x:is>
          <x:t xml:space="preserve">PLACEHOLDER</x:t>
        </x:is>
      </x:c>
      <x:c r="P167" s="22" t="inlineStr">
        <x:is>
          <x:t xml:space="preserve">MISSING</x:t>
        </x:is>
      </x:c>
      <x:c r="Q167" s="21" t="inlineStr">
        <x:is>
          <x:t xml:space="preserve">PLACEHOLDER</x:t>
        </x:is>
      </x:c>
      <x:c r="R167" s="21" t="inlineStr">
        <x:is>
          <x:t xml:space="preserve">PLACEHOLDER</x:t>
        </x:is>
      </x:c>
      <x:c r="S167" s="21" t="inlineStr">
        <x:is>
          <x:t xml:space="preserve">PLACEHOLDER</x:t>
        </x:is>
      </x:c>
      <x:c r="T167" s="23" t="inlineStr">
        <x:is>
          <x:t xml:space="preserve">PARTIAL</x:t>
        </x:is>
      </x:c>
      <x:c r="U167" s="21" t="inlineStr">
        <x:is>
          <x:t xml:space="preserve">PLACEHOLDER</x:t>
        </x:is>
      </x:c>
      <x:c r="V167" s="20" t="inlineStr">
        <x:is>
          <x:t xml:space="preserve">lean_match_count=4 | proof_strength=TRIVIAL_TRUE | Statement is `True`; theorem name may exceed formal content. | definition/proof/numerical/empirical/interp fields still staged as TODO placeholders</x:t>
        </x:is>
      </x:c>
    </x:row>
    <x:row r="168" ht="55.20000076293945" customHeight="1">
      <x:c r="A168" s="20" t="inlineStr">
        <x:is>
          <x:t xml:space="preserve">189</x:t>
        </x:is>
      </x:c>
      <x:c r="B168" s="20" t="inlineStr">
        <x:is>
          <x:t xml:space="preserve">REJECTION: Promise is parallel from Fall, NOT sequential from Death</x:t>
        </x:is>
      </x:c>
      <x:c r="C168" s="20" t="inlineStr">
        <x:is>
          <x:t xml:space="preserve">C2 - Structural correspondence candidate</x:t>
        </x:is>
      </x:c>
      <x:c r="D168" s="21" t="inlineStr">
        <x:is>
          <x:t xml:space="preserve">PLACEHOLDER</x:t>
        </x:is>
      </x:c>
      <x:c r="E168" s="22" t="inlineStr">
        <x:is>
          <x:t xml:space="preserve">MISSING</x:t>
        </x:is>
      </x:c>
      <x:c r="F168" s="22" t="inlineStr">
        <x:is>
          <x:t xml:space="preserve">MISSING</x:t>
        </x:is>
      </x:c>
      <x:c r="G168" s="22" t="inlineStr">
        <x:is>
          <x:t xml:space="preserve">MISSING</x:t>
        </x:is>
      </x:c>
      <x:c r="H168" s="22" t="inlineStr">
        <x:is>
          <x:t xml:space="preserve">MISSING</x:t>
        </x:is>
      </x:c>
      <x:c r="I168" s="20" t="inlineStr">
        <x:is>
          <x:t xml:space="preserve">theophysics-lean-main\theophysics-lean-main\Theophysics_Adversarial.lean</x:t>
        </x:is>
      </x:c>
      <x:c r="J168" s="20" t="inlineStr">
        <x:is>
          <x:t xml:space="preserve">552</x:t>
        </x:is>
      </x:c>
      <x:c r="K168" s="20" t="inlineStr">
        <x:is>
          <x:t xml:space="preserve">theorem fall_has_parallel_promise_not_death_then_promise : promiseParallelWithDeathAndJudgment = true</x:t>
        </x:is>
      </x:c>
      <x:c r="L168" s="20" t="inlineStr">
        <x:is>
          <x:t xml:space="preserve">fall_has_parallel_promise_not_death_then_promise</x:t>
        </x:is>
      </x:c>
      <x:c r="M168" s="23" t="inlineStr">
        <x:is>
          <x:t xml:space="preserve">PARTIAL</x:t>
        </x:is>
      </x:c>
      <x:c r="N168" s="21" t="inlineStr">
        <x:is>
          <x:t xml:space="preserve">PLACEHOLDER</x:t>
        </x:is>
      </x:c>
      <x:c r="O168" s="21" t="inlineStr">
        <x:is>
          <x:t xml:space="preserve">PLACEHOLDER</x:t>
        </x:is>
      </x:c>
      <x:c r="P168" s="22" t="inlineStr">
        <x:is>
          <x:t xml:space="preserve">MISSING</x:t>
        </x:is>
      </x:c>
      <x:c r="Q168" s="21" t="inlineStr">
        <x:is>
          <x:t xml:space="preserve">PLACEHOLDER</x:t>
        </x:is>
      </x:c>
      <x:c r="R168" s="21" t="inlineStr">
        <x:is>
          <x:t xml:space="preserve">PLACEHOLDER</x:t>
        </x:is>
      </x:c>
      <x:c r="S168" s="21" t="inlineStr">
        <x:is>
          <x:t xml:space="preserve">PLACEHOLDER</x:t>
        </x:is>
      </x:c>
      <x:c r="T168" s="23" t="inlineStr">
        <x:is>
          <x:t xml:space="preserve">PARTIAL</x:t>
        </x:is>
      </x:c>
      <x:c r="U168" s="21" t="inlineStr">
        <x:is>
          <x:t xml:space="preserve">PLACEHOLDER</x:t>
        </x:is>
      </x:c>
      <x:c r="V168" s="20" t="inlineStr">
        <x:is>
          <x:t xml:space="preserve">lean_match_count=4 | proof_strength=DEFINITIONAL_RFL | Proves definitional equality by reduction; useful but narrow. | definition/proof/numerical/empirical/interp fields still staged as TODO placeholders</x:t>
        </x:is>
      </x:c>
    </x:row>
    <x:row r="169" ht="55.20000076293945" customHeight="1">
      <x:c r="A169" s="20" t="inlineStr">
        <x:is>
          <x:t xml:space="preserve">190</x:t>
        </x:is>
      </x:c>
      <x:c r="B169" s="20" t="inlineStr">
        <x:is>
          <x:t xml:space="preserve">REJECTION: Death is NOT a prerequisite for judgment</x:t>
        </x:is>
      </x:c>
      <x:c r="C169" s="20" t="inlineStr">
        <x:is>
          <x:t xml:space="preserve">C2 - Structural correspondence candidate</x:t>
        </x:is>
      </x:c>
      <x:c r="D169" s="21" t="inlineStr">
        <x:is>
          <x:t xml:space="preserve">PLACEHOLDER</x:t>
        </x:is>
      </x:c>
      <x:c r="E169" s="22" t="inlineStr">
        <x:is>
          <x:t xml:space="preserve">MISSING</x:t>
        </x:is>
      </x:c>
      <x:c r="F169" s="22" t="inlineStr">
        <x:is>
          <x:t xml:space="preserve">MISSING</x:t>
        </x:is>
      </x:c>
      <x:c r="G169" s="22" t="inlineStr">
        <x:is>
          <x:t xml:space="preserve">MISSING</x:t>
        </x:is>
      </x:c>
      <x:c r="H169" s="22" t="inlineStr">
        <x:is>
          <x:t xml:space="preserve">MISSING</x:t>
        </x:is>
      </x:c>
      <x:c r="I169" s="20" t="inlineStr">
        <x:is>
          <x:t xml:space="preserve">theophysics-lean-main\theophysics-lean-main\Theophysics_Adversarial.lean</x:t>
        </x:is>
      </x:c>
      <x:c r="J169" s="20" t="inlineStr">
        <x:is>
          <x:t xml:space="preserve">556</x:t>
        </x:is>
      </x:c>
      <x:c r="K169" s="20" t="inlineStr">
        <x:is>
          <x:t xml:space="preserve">theorem no_death_strictly_before_judgment : deathStrictlyBeforeJudgment = false</x:t>
        </x:is>
      </x:c>
      <x:c r="L169" s="20" t="inlineStr">
        <x:is>
          <x:t xml:space="preserve">no_death_strictly_before_judgment</x:t>
        </x:is>
      </x:c>
      <x:c r="M169" s="23" t="inlineStr">
        <x:is>
          <x:t xml:space="preserve">PARTIAL</x:t>
        </x:is>
      </x:c>
      <x:c r="N169" s="21" t="inlineStr">
        <x:is>
          <x:t xml:space="preserve">PLACEHOLDER</x:t>
        </x:is>
      </x:c>
      <x:c r="O169" s="21" t="inlineStr">
        <x:is>
          <x:t xml:space="preserve">PLACEHOLDER</x:t>
        </x:is>
      </x:c>
      <x:c r="P169" s="22" t="inlineStr">
        <x:is>
          <x:t xml:space="preserve">MISSING</x:t>
        </x:is>
      </x:c>
      <x:c r="Q169" s="21" t="inlineStr">
        <x:is>
          <x:t xml:space="preserve">PLACEHOLDER</x:t>
        </x:is>
      </x:c>
      <x:c r="R169" s="21" t="inlineStr">
        <x:is>
          <x:t xml:space="preserve">PLACEHOLDER</x:t>
        </x:is>
      </x:c>
      <x:c r="S169" s="21" t="inlineStr">
        <x:is>
          <x:t xml:space="preserve">PLACEHOLDER</x:t>
        </x:is>
      </x:c>
      <x:c r="T169" s="23" t="inlineStr">
        <x:is>
          <x:t xml:space="preserve">PARTIAL</x:t>
        </x:is>
      </x:c>
      <x:c r="U169" s="21" t="inlineStr">
        <x:is>
          <x:t xml:space="preserve">PLACEHOLDER</x:t>
        </x:is>
      </x:c>
      <x:c r="V169" s="20" t="inlineStr">
        <x:is>
          <x:t xml:space="preserve">lean_match_count=4 | proof_strength=DEFINITIONAL_RFL | Proves definitional equality by reduction; useful but narrow. | definition/proof/numerical/empirical/interp fields still staged as TODO placeholders</x:t>
        </x:is>
      </x:c>
    </x:row>
    <x:row r="170" ht="55.20000076293945" customHeight="1">
      <x:c r="A170" s="20" t="inlineStr">
        <x:is>
          <x:t xml:space="preserve">191</x:t>
        </x:is>
      </x:c>
      <x:c r="B170" s="20" t="inlineStr">
        <x:is>
          <x:t xml:space="preserve">Fall requires BOTH Image and Covenant (multi-parent). Cannot fall from a covenant you never had.</x:t>
        </x:is>
      </x:c>
      <x:c r="C170" s="20" t="inlineStr">
        <x:is>
          <x:t xml:space="preserve">C2 - Structural correspondence candidate</x:t>
        </x:is>
      </x:c>
      <x:c r="D170" s="21" t="inlineStr">
        <x:is>
          <x:t xml:space="preserve">PLACEHOLDER</x:t>
        </x:is>
      </x:c>
      <x:c r="E170" s="23" t="inlineStr">
        <x:is>
          <x:t xml:space="preserve">PARTIAL</x:t>
        </x:is>
      </x:c>
      <x:c r="F170" s="22" t="inlineStr">
        <x:is>
          <x:t xml:space="preserve">MISSING</x:t>
        </x:is>
      </x:c>
      <x:c r="G170" s="22" t="inlineStr">
        <x:is>
          <x:t xml:space="preserve">MISSING</x:t>
        </x:is>
      </x:c>
      <x:c r="H170" s="22" t="inlineStr">
        <x:is>
          <x:t xml:space="preserve">MISSING</x:t>
        </x:is>
      </x:c>
      <x:c r="I170" s="20" t="inlineStr">
        <x:is>
          <x:t xml:space="preserve">theophysics-lean-main\theophysics-lean-main\Theophysics_Core.lean</x:t>
        </x:is>
      </x:c>
      <x:c r="J170" s="20" t="inlineStr">
        <x:is>
          <x:t xml:space="preserve">156</x:t>
        </x:is>
      </x:c>
      <x:c r="K170" s="20" t="inlineStr">
        <x:is>
          <x:t xml:space="preserve">theorem fall_as_covenant_rupture_requires_image_and_covenant : True</x:t>
        </x:is>
      </x:c>
      <x:c r="L170" s="20" t="inlineStr">
        <x:is>
          <x:t xml:space="preserve">fall_as_covenant_rupture_requires_image_and_covenant</x:t>
        </x:is>
      </x:c>
      <x:c r="M170" s="23" t="inlineStr">
        <x:is>
          <x:t xml:space="preserve">PARTIAL</x:t>
        </x:is>
      </x:c>
      <x:c r="N170" s="21" t="inlineStr">
        <x:is>
          <x:t xml:space="preserve">PLACEHOLDER</x:t>
        </x:is>
      </x:c>
      <x:c r="O170" s="21" t="inlineStr">
        <x:is>
          <x:t xml:space="preserve">PLACEHOLDER</x:t>
        </x:is>
      </x:c>
      <x:c r="P170" s="22" t="inlineStr">
        <x:is>
          <x:t xml:space="preserve">MISSING</x:t>
        </x:is>
      </x:c>
      <x:c r="Q170" s="21" t="inlineStr">
        <x:is>
          <x:t xml:space="preserve">PLACEHOLDER</x:t>
        </x:is>
      </x:c>
      <x:c r="R170" s="21" t="inlineStr">
        <x:is>
          <x:t xml:space="preserve">PLACEHOLDER</x:t>
        </x:is>
      </x:c>
      <x:c r="S170" s="21" t="inlineStr">
        <x:is>
          <x:t xml:space="preserve">PLACEHOLDER</x:t>
        </x:is>
      </x:c>
      <x:c r="T170" s="23" t="inlineStr">
        <x:is>
          <x:t xml:space="preserve">PARTIAL</x:t>
        </x:is>
      </x:c>
      <x:c r="U170" s="21" t="inlineStr">
        <x:is>
          <x:t xml:space="preserve">PLACEHOLDER</x:t>
        </x:is>
      </x:c>
      <x:c r="V170" s="20" t="inlineStr">
        <x:is>
          <x:t xml:space="preserve">lean_match_count=4 | proof_strength=TRIVIAL_TRUE | Statement is `True`; theorem name may exceed formal content. | definition/proof/numerical/empirical/interp fields still staged as TODO placeholders</x:t>
        </x:is>
      </x:c>
    </x:row>
    <x:row r="171" ht="55.20000076293945" customHeight="1">
      <x:c r="A171" s="20" t="inlineStr">
        <x:is>
          <x:t xml:space="preserve">192</x:t>
        </x:is>
      </x:c>
      <x:c r="B171" s="20" t="inlineStr">
        <x:is>
          <x:t xml:space="preserve">Energy and momentum are parallel from symmetry (Noether). Neither parents the other.</x:t>
        </x:is>
      </x:c>
      <x:c r="C171" s="20" t="inlineStr">
        <x:is>
          <x:t xml:space="preserve">C2 - Structural correspondence candidate</x:t>
        </x:is>
      </x:c>
      <x:c r="D171" s="21" t="inlineStr">
        <x:is>
          <x:t xml:space="preserve">PLACEHOLDER</x:t>
        </x:is>
      </x:c>
      <x:c r="E171" s="23" t="inlineStr">
        <x:is>
          <x:t xml:space="preserve">PARTIAL</x:t>
        </x:is>
      </x:c>
      <x:c r="F171" s="23" t="inlineStr">
        <x:is>
          <x:t xml:space="preserve">PARTIAL</x:t>
        </x:is>
      </x:c>
      <x:c r="G171" s="22" t="inlineStr">
        <x:is>
          <x:t xml:space="preserve">MISSING</x:t>
        </x:is>
      </x:c>
      <x:c r="H171" s="22" t="inlineStr">
        <x:is>
          <x:t xml:space="preserve">MISSING</x:t>
        </x:is>
      </x:c>
      <x:c r="I171" s="20" t="inlineStr">
        <x:is>
          <x:t xml:space="preserve">theophysics-lean-main\theophysics-lean-main\Theophysics_Core.lean</x:t>
        </x:is>
      </x:c>
      <x:c r="J171" s="20" t="inlineStr">
        <x:is>
          <x:t xml:space="preserve">155</x:t>
        </x:is>
      </x:c>
      <x:c r="K171" s="20" t="inlineStr">
        <x:is>
          <x:t xml:space="preserve">theorem energy_and_momentum_are_noether_siblings : True</x:t>
        </x:is>
      </x:c>
      <x:c r="L171" s="20" t="inlineStr">
        <x:is>
          <x:t xml:space="preserve">energy_and_momentum_are_noether_siblings</x:t>
        </x:is>
      </x:c>
      <x:c r="M171" s="23" t="inlineStr">
        <x:is>
          <x:t xml:space="preserve">PARTIAL</x:t>
        </x:is>
      </x:c>
      <x:c r="N171" s="21" t="inlineStr">
        <x:is>
          <x:t xml:space="preserve">PLACEHOLDER</x:t>
        </x:is>
      </x:c>
      <x:c r="O171" s="21" t="inlineStr">
        <x:is>
          <x:t xml:space="preserve">PLACEHOLDER</x:t>
        </x:is>
      </x:c>
      <x:c r="P171" s="22" t="inlineStr">
        <x:is>
          <x:t xml:space="preserve">MISSING</x:t>
        </x:is>
      </x:c>
      <x:c r="Q171" s="21" t="inlineStr">
        <x:is>
          <x:t xml:space="preserve">PLACEHOLDER</x:t>
        </x:is>
      </x:c>
      <x:c r="R171" s="21" t="inlineStr">
        <x:is>
          <x:t xml:space="preserve">PLACEHOLDER</x:t>
        </x:is>
      </x:c>
      <x:c r="S171" s="21" t="inlineStr">
        <x:is>
          <x:t xml:space="preserve">PLACEHOLDER</x:t>
        </x:is>
      </x:c>
      <x:c r="T171" s="23" t="inlineStr">
        <x:is>
          <x:t xml:space="preserve">PARTIAL</x:t>
        </x:is>
      </x:c>
      <x:c r="U171" s="21" t="inlineStr">
        <x:is>
          <x:t xml:space="preserve">PLACEHOLDER</x:t>
        </x:is>
      </x:c>
      <x:c r="V171" s="20" t="inlineStr">
        <x:is>
          <x:t xml:space="preserve">lean_match_count=4 | proof_strength=TRIVIAL_TRUE | Statement is `True`; theorem name may exceed formal content. | definition/proof/numerical/empirical/interp fields still staged as TODO placeholders</x:t>
        </x:is>
      </x:c>
    </x:row>
    <x:row r="172" ht="55.20000076293945" customHeight="1">
      <x:c r="A172" s="20" t="inlineStr">
        <x:is>
          <x:t xml:space="preserve">193</x:t>
        </x:is>
      </x:c>
      <x:c r="B172" s="20" t="inlineStr">
        <x:is>
          <x:t xml:space="preserve">REJECTION: Energy does NOT parent momentum</x:t>
        </x:is>
      </x:c>
      <x:c r="C172" s="20" t="inlineStr">
        <x:is>
          <x:t xml:space="preserve">C2 - Structural correspondence candidate</x:t>
        </x:is>
      </x:c>
      <x:c r="D172" s="21" t="inlineStr">
        <x:is>
          <x:t xml:space="preserve">PLACEHOLDER</x:t>
        </x:is>
      </x:c>
      <x:c r="E172" s="23" t="inlineStr">
        <x:is>
          <x:t xml:space="preserve">PARTIAL</x:t>
        </x:is>
      </x:c>
      <x:c r="F172" s="22" t="inlineStr">
        <x:is>
          <x:t xml:space="preserve">MISSING</x:t>
        </x:is>
      </x:c>
      <x:c r="G172" s="22" t="inlineStr">
        <x:is>
          <x:t xml:space="preserve">MISSING</x:t>
        </x:is>
      </x:c>
      <x:c r="H172" s="22" t="inlineStr">
        <x:is>
          <x:t xml:space="preserve">MISSING</x:t>
        </x:is>
      </x:c>
      <x:c r="I172" s="20" t="inlineStr">
        <x:is>
          <x:t xml:space="preserve">theophysics-lean-main\theophysics-lean-main\Theophysics_Adversarial.lean</x:t>
        </x:is>
      </x:c>
      <x:c r="J172" s="20" t="inlineStr">
        <x:is>
          <x:t xml:space="preserve">560</x:t>
        </x:is>
      </x:c>
      <x:c r="K172" s="20" t="inlineStr">
        <x:is>
          <x:t xml:space="preserve">theorem no_energy_parent_of_momentum : energyParentOfMomentum = false</x:t>
        </x:is>
      </x:c>
      <x:c r="L172" s="20" t="inlineStr">
        <x:is>
          <x:t xml:space="preserve">no_energy_parent_of_momentum</x:t>
        </x:is>
      </x:c>
      <x:c r="M172" s="23" t="inlineStr">
        <x:is>
          <x:t xml:space="preserve">PARTIAL</x:t>
        </x:is>
      </x:c>
      <x:c r="N172" s="21" t="inlineStr">
        <x:is>
          <x:t xml:space="preserve">PLACEHOLDER</x:t>
        </x:is>
      </x:c>
      <x:c r="O172" s="21" t="inlineStr">
        <x:is>
          <x:t xml:space="preserve">PLACEHOLDER</x:t>
        </x:is>
      </x:c>
      <x:c r="P172" s="22" t="inlineStr">
        <x:is>
          <x:t xml:space="preserve">MISSING</x:t>
        </x:is>
      </x:c>
      <x:c r="Q172" s="21" t="inlineStr">
        <x:is>
          <x:t xml:space="preserve">PLACEHOLDER</x:t>
        </x:is>
      </x:c>
      <x:c r="R172" s="21" t="inlineStr">
        <x:is>
          <x:t xml:space="preserve">PLACEHOLDER</x:t>
        </x:is>
      </x:c>
      <x:c r="S172" s="21" t="inlineStr">
        <x:is>
          <x:t xml:space="preserve">PLACEHOLDER</x:t>
        </x:is>
      </x:c>
      <x:c r="T172" s="23" t="inlineStr">
        <x:is>
          <x:t xml:space="preserve">PARTIAL</x:t>
        </x:is>
      </x:c>
      <x:c r="U172" s="21" t="inlineStr">
        <x:is>
          <x:t xml:space="preserve">PLACEHOLDER</x:t>
        </x:is>
      </x:c>
      <x:c r="V172" s="20" t="inlineStr">
        <x:is>
          <x:t xml:space="preserve">lean_match_count=4 | proof_strength=DEFINITIONAL_RFL | Proves definitional equality by reduction; useful but narrow. | definition/proof/numerical/empirical/interp fields still staged as TODO placeholders</x:t>
        </x:is>
      </x:c>
    </x:row>
    <x:row r="173" ht="55.20000076293945" customHeight="1">
      <x:c r="A173" s="20" t="inlineStr">
        <x:is>
          <x:t xml:space="preserve">194</x:t>
        </x:is>
      </x:c>
      <x:c r="B173" s="20" t="inlineStr">
        <x:is>
          <x:t xml:space="preserve">Bound state requires both excitation AND coupling (multi-parent)</x:t>
        </x:is>
      </x:c>
      <x:c r="C173" s="20" t="inlineStr">
        <x:is>
          <x:t xml:space="preserve">C2 - Structural correspondence candidate</x:t>
        </x:is>
      </x:c>
      <x:c r="D173" s="21" t="inlineStr">
        <x:is>
          <x:t xml:space="preserve">PLACEHOLDER</x:t>
        </x:is>
      </x:c>
      <x:c r="E173" s="23" t="inlineStr">
        <x:is>
          <x:t xml:space="preserve">PARTIAL</x:t>
        </x:is>
      </x:c>
      <x:c r="F173" s="22" t="inlineStr">
        <x:is>
          <x:t xml:space="preserve">MISSING</x:t>
        </x:is>
      </x:c>
      <x:c r="G173" s="22" t="inlineStr">
        <x:is>
          <x:t xml:space="preserve">MISSING</x:t>
        </x:is>
      </x:c>
      <x:c r="H173" s="22" t="inlineStr">
        <x:is>
          <x:t xml:space="preserve">MISSING</x:t>
        </x:is>
      </x:c>
      <x:c r="I173" s="20" t="inlineStr">
        <x:is>
          <x:t xml:space="preserve">theophysics-lean-main\theophysics-lean-main\Theophysics_Core.lean</x:t>
        </x:is>
      </x:c>
      <x:c r="J173" s="20" t="inlineStr">
        <x:is>
          <x:t xml:space="preserve">154</x:t>
        </x:is>
      </x:c>
      <x:c r="K173" s="20" t="inlineStr">
        <x:is>
          <x:t xml:space="preserve">theorem bound_state_requires_excitation_and_coupling : True</x:t>
        </x:is>
      </x:c>
      <x:c r="L173" s="20" t="inlineStr">
        <x:is>
          <x:t xml:space="preserve">bound_state_requires_excitation_and_coupling</x:t>
        </x:is>
      </x:c>
      <x:c r="M173" s="23" t="inlineStr">
        <x:is>
          <x:t xml:space="preserve">PARTIAL</x:t>
        </x:is>
      </x:c>
      <x:c r="N173" s="21" t="inlineStr">
        <x:is>
          <x:t xml:space="preserve">PLACEHOLDER</x:t>
        </x:is>
      </x:c>
      <x:c r="O173" s="21" t="inlineStr">
        <x:is>
          <x:t xml:space="preserve">PLACEHOLDER</x:t>
        </x:is>
      </x:c>
      <x:c r="P173" s="22" t="inlineStr">
        <x:is>
          <x:t xml:space="preserve">MISSING</x:t>
        </x:is>
      </x:c>
      <x:c r="Q173" s="21" t="inlineStr">
        <x:is>
          <x:t xml:space="preserve">PLACEHOLDER</x:t>
        </x:is>
      </x:c>
      <x:c r="R173" s="21" t="inlineStr">
        <x:is>
          <x:t xml:space="preserve">PLACEHOLDER</x:t>
        </x:is>
      </x:c>
      <x:c r="S173" s="21" t="inlineStr">
        <x:is>
          <x:t xml:space="preserve">PLACEHOLDER</x:t>
        </x:is>
      </x:c>
      <x:c r="T173" s="23" t="inlineStr">
        <x:is>
          <x:t xml:space="preserve">PARTIAL</x:t>
        </x:is>
      </x:c>
      <x:c r="U173" s="21" t="inlineStr">
        <x:is>
          <x:t xml:space="preserve">PLACEHOLDER</x:t>
        </x:is>
      </x:c>
      <x:c r="V173" s="20" t="inlineStr">
        <x:is>
          <x:t xml:space="preserve">lean_match_count=4 | proof_strength=TRIVIAL_TRUE | Statement is `True`; theorem name may exceed formal content. | definition/proof/numerical/empirical/interp fields still staged as TODO placeholders</x:t>
        </x:is>
      </x:c>
    </x:row>
    <x:row r="174" ht="69" customHeight="1">
      <x:c r="A174" s="20" t="inlineStr">
        <x:is>
          <x:t xml:space="preserve">195–197</x:t>
        </x:is>
      </x:c>
      <x:c r="B174" s="20" t="inlineStr">
        <x:is>
          <x:t xml:space="preserve">Union → justification AND sanctification (parallel). REJECTION: Neither before Union.</x:t>
        </x:is>
      </x:c>
      <x:c r="C174" s="20" t="inlineStr">
        <x:is>
          <x:t xml:space="preserve">C2 - Structural correspondence candidate</x:t>
        </x:is>
      </x:c>
      <x:c r="D174" s="21" t="inlineStr">
        <x:is>
          <x:t xml:space="preserve">PLACEHOLDER</x:t>
        </x:is>
      </x:c>
      <x:c r="E174" s="22" t="inlineStr">
        <x:is>
          <x:t xml:space="preserve">MISSING</x:t>
        </x:is>
      </x:c>
      <x:c r="F174" s="22" t="inlineStr">
        <x:is>
          <x:t xml:space="preserve">MISSING</x:t>
        </x:is>
      </x:c>
      <x:c r="G174" s="22" t="inlineStr">
        <x:is>
          <x:t xml:space="preserve">MISSING</x:t>
        </x:is>
      </x:c>
      <x:c r="H174" s="22" t="inlineStr">
        <x:is>
          <x:t xml:space="preserve">MISSING</x:t>
        </x:is>
      </x:c>
      <x:c r="I174" s="20" t="inlineStr">
        <x:is>
          <x:t xml:space="preserve">NEEDS_SOURCE_PATH</x:t>
        </x:is>
      </x:c>
      <x:c r="J174" s="20" t="inlineStr">
        <x:is>
          <x:t xml:space="preserve">NEEDS_SOURCE_PATH</x:t>
        </x:is>
      </x:c>
      <x:c r="K174" s="20" t="inlineStr">
        <x:is>
          <x:t xml:space="preserve">NEEDS_SOURCE_PATH</x:t>
        </x:is>
      </x:c>
      <x:c r="L174" s="20" t="inlineStr">
        <x:is>
          <x:t xml:space="preserve">union_branches + no_before_union (3 theorems)</x:t>
        </x:is>
      </x:c>
      <x:c r="M174" s="24" t="inlineStr">
        <x:is>
          <x:t xml:space="preserve">NEEDS_SOURCE_PATH</x:t>
        </x:is>
      </x:c>
      <x:c r="N174" s="21" t="inlineStr">
        <x:is>
          <x:t xml:space="preserve">PLACEHOLDER</x:t>
        </x:is>
      </x:c>
      <x:c r="O174" s="21" t="inlineStr">
        <x:is>
          <x:t xml:space="preserve">PLACEHOLDER</x:t>
        </x:is>
      </x:c>
      <x:c r="P174" s="22" t="inlineStr">
        <x:is>
          <x:t xml:space="preserve">MISSING</x:t>
        </x:is>
      </x:c>
      <x:c r="Q174" s="21" t="inlineStr">
        <x:is>
          <x:t xml:space="preserve">PLACEHOLDER</x:t>
        </x:is>
      </x:c>
      <x:c r="R174" s="21" t="inlineStr">
        <x:is>
          <x:t xml:space="preserve">PLACEHOLDER</x:t>
        </x:is>
      </x:c>
      <x:c r="S174" s="21" t="inlineStr">
        <x:is>
          <x:t xml:space="preserve">PLACEHOLDER</x:t>
        </x:is>
      </x:c>
      <x:c r="T174" s="24" t="inlineStr">
        <x:is>
          <x:t xml:space="preserve">NEEDS_SOURCE_PATH</x:t>
        </x:is>
      </x:c>
      <x:c r="U174" s="21" t="inlineStr">
        <x:is>
          <x:t xml:space="preserve">PLACEHOLDER</x:t>
        </x:is>
      </x:c>
      <x:c r="V174"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75" ht="55.20000076293945" customHeight="1">
      <x:c r="A175" s="20" t="inlineStr">
        <x:is>
          <x:t xml:space="preserve">198</x:t>
        </x:is>
      </x:c>
      <x:c r="B175" s="20" t="inlineStr">
        <x:is>
          <x:t xml:space="preserve">Glorification requires both justification and sanctification</x:t>
        </x:is>
      </x:c>
      <x:c r="C175" s="20" t="inlineStr">
        <x:is>
          <x:t xml:space="preserve">C2 - Structural correspondence candidate</x:t>
        </x:is>
      </x:c>
      <x:c r="D175" s="21" t="inlineStr">
        <x:is>
          <x:t xml:space="preserve">PLACEHOLDER</x:t>
        </x:is>
      </x:c>
      <x:c r="E175" s="23" t="inlineStr">
        <x:is>
          <x:t xml:space="preserve">PARTIAL</x:t>
        </x:is>
      </x:c>
      <x:c r="F175" s="22" t="inlineStr">
        <x:is>
          <x:t xml:space="preserve">MISSING</x:t>
        </x:is>
      </x:c>
      <x:c r="G175" s="22" t="inlineStr">
        <x:is>
          <x:t xml:space="preserve">MISSING</x:t>
        </x:is>
      </x:c>
      <x:c r="H175" s="22" t="inlineStr">
        <x:is>
          <x:t xml:space="preserve">MISSING</x:t>
        </x:is>
      </x:c>
      <x:c r="I175" s="20" t="inlineStr">
        <x:is>
          <x:t xml:space="preserve">theophysics-lean-main\theophysics-lean-main\Theophysics_Core.lean</x:t>
        </x:is>
      </x:c>
      <x:c r="J175" s="20" t="inlineStr">
        <x:is>
          <x:t xml:space="preserve">158</x:t>
        </x:is>
      </x:c>
      <x:c r="K175" s="20" t="inlineStr">
        <x:is>
          <x:t xml:space="preserve">theorem glorification_requires_both_for_this_lattice : True</x:t>
        </x:is>
      </x:c>
      <x:c r="L175" s="20" t="inlineStr">
        <x:is>
          <x:t xml:space="preserve">glorification_requires_both_for_this_lattice</x:t>
        </x:is>
      </x:c>
      <x:c r="M175" s="23" t="inlineStr">
        <x:is>
          <x:t xml:space="preserve">PARTIAL</x:t>
        </x:is>
      </x:c>
      <x:c r="N175" s="21" t="inlineStr">
        <x:is>
          <x:t xml:space="preserve">PLACEHOLDER</x:t>
        </x:is>
      </x:c>
      <x:c r="O175" s="21" t="inlineStr">
        <x:is>
          <x:t xml:space="preserve">PLACEHOLDER</x:t>
        </x:is>
      </x:c>
      <x:c r="P175" s="22" t="inlineStr">
        <x:is>
          <x:t xml:space="preserve">MISSING</x:t>
        </x:is>
      </x:c>
      <x:c r="Q175" s="21" t="inlineStr">
        <x:is>
          <x:t xml:space="preserve">PLACEHOLDER</x:t>
        </x:is>
      </x:c>
      <x:c r="R175" s="21" t="inlineStr">
        <x:is>
          <x:t xml:space="preserve">PLACEHOLDER</x:t>
        </x:is>
      </x:c>
      <x:c r="S175" s="21" t="inlineStr">
        <x:is>
          <x:t xml:space="preserve">PLACEHOLDER</x:t>
        </x:is>
      </x:c>
      <x:c r="T175" s="23" t="inlineStr">
        <x:is>
          <x:t xml:space="preserve">PARTIAL</x:t>
        </x:is>
      </x:c>
      <x:c r="U175" s="21" t="inlineStr">
        <x:is>
          <x:t xml:space="preserve">PLACEHOLDER</x:t>
        </x:is>
      </x:c>
      <x:c r="V175" s="20" t="inlineStr">
        <x:is>
          <x:t xml:space="preserve">lean_match_count=4 | proof_strength=TRIVIAL_TRUE | Statement is `True`; theorem name may exceed formal content. | definition/proof/numerical/empirical/interp fields still staged as TODO placeholders</x:t>
        </x:is>
      </x:c>
    </x:row>
    <x:row r="176" ht="55.20000076293945" customHeight="1">
      <x:c r="A176" s="20" t="inlineStr">
        <x:is>
          <x:t xml:space="preserve">199</x:t>
        </x:is>
      </x:c>
      <x:c r="B176" s="20" t="inlineStr">
        <x:is>
          <x:t xml:space="preserve">Teaching order and dependency order diverge at exactly this point. The line is not the lattice.</x:t>
        </x:is>
      </x:c>
      <x:c r="C176" s="20" t="inlineStr">
        <x:is>
          <x:t xml:space="preserve">C2 - Structural correspondence candidate</x:t>
        </x:is>
      </x:c>
      <x:c r="D176" s="21" t="inlineStr">
        <x:is>
          <x:t xml:space="preserve">PLACEHOLDER</x:t>
        </x:is>
      </x:c>
      <x:c r="E176" s="22" t="inlineStr">
        <x:is>
          <x:t xml:space="preserve">MISSING</x:t>
        </x:is>
      </x:c>
      <x:c r="F176" s="22" t="inlineStr">
        <x:is>
          <x:t xml:space="preserve">MISSING</x:t>
        </x:is>
      </x:c>
      <x:c r="G176" s="22" t="inlineStr">
        <x:is>
          <x:t xml:space="preserve">MISSING</x:t>
        </x:is>
      </x:c>
      <x:c r="H176" s="22" t="inlineStr">
        <x:is>
          <x:t xml:space="preserve">MISSING</x:t>
        </x:is>
      </x:c>
      <x:c r="I176" s="20" t="inlineStr">
        <x:is>
          <x:t xml:space="preserve">theophysics-lean-main\theophysics-lean-main\Theophysics_Core.lean</x:t>
        </x:is>
      </x:c>
      <x:c r="J176" s="20" t="inlineStr">
        <x:is>
          <x:t xml:space="preserve">159</x:t>
        </x:is>
      </x:c>
      <x:c r="K176" s="20" t="inlineStr">
        <x:is>
          <x:t xml:space="preserve">theorem narrative_and_dependency_orders_diverge_at_justification_union : True</x:t>
        </x:is>
      </x:c>
      <x:c r="L176" s="20" t="inlineStr">
        <x:is>
          <x:t xml:space="preserve">narrative_and_dependency_orders_diverge_at_justification_union</x:t>
        </x:is>
      </x:c>
      <x:c r="M176" s="23" t="inlineStr">
        <x:is>
          <x:t xml:space="preserve">PARTIAL</x:t>
        </x:is>
      </x:c>
      <x:c r="N176" s="21" t="inlineStr">
        <x:is>
          <x:t xml:space="preserve">PLACEHOLDER</x:t>
        </x:is>
      </x:c>
      <x:c r="O176" s="21" t="inlineStr">
        <x:is>
          <x:t xml:space="preserve">PLACEHOLDER</x:t>
        </x:is>
      </x:c>
      <x:c r="P176" s="22" t="inlineStr">
        <x:is>
          <x:t xml:space="preserve">MISSING</x:t>
        </x:is>
      </x:c>
      <x:c r="Q176" s="21" t="inlineStr">
        <x:is>
          <x:t xml:space="preserve">PLACEHOLDER</x:t>
        </x:is>
      </x:c>
      <x:c r="R176" s="21" t="inlineStr">
        <x:is>
          <x:t xml:space="preserve">PLACEHOLDER</x:t>
        </x:is>
      </x:c>
      <x:c r="S176" s="21" t="inlineStr">
        <x:is>
          <x:t xml:space="preserve">PLACEHOLDER</x:t>
        </x:is>
      </x:c>
      <x:c r="T176" s="23" t="inlineStr">
        <x:is>
          <x:t xml:space="preserve">PARTIAL</x:t>
        </x:is>
      </x:c>
      <x:c r="U176" s="21" t="inlineStr">
        <x:is>
          <x:t xml:space="preserve">PLACEHOLDER</x:t>
        </x:is>
      </x:c>
      <x:c r="V176" s="20" t="inlineStr">
        <x:is>
          <x:t xml:space="preserve">lean_match_count=4 | proof_strength=TRIVIAL_TRUE | Statement is `True`; theorem name may exceed formal content. | definition/proof/numerical/empirical/interp fields still staged as TODO placeholders</x:t>
        </x:is>
      </x:c>
    </x:row>
    <x:row r="177" ht="69" customHeight="1">
      <x:c r="A177" s="20" t="inlineStr">
        <x:is>
          <x:t xml:space="preserve">200–202</x:t>
        </x:is>
      </x:c>
      <x:c r="B177" s="20" t="inlineStr">
        <x:is>
          <x:t xml:space="preserve">faith→union ↔ excitation+coupling→bound_state. union→justification ↔ bound_state→reclassification. union→sanctification ↔ bound_state+energy→annealing.</x:t>
        </x:is>
      </x:c>
      <x:c r="C177" s="20" t="inlineStr">
        <x:is>
          <x:t xml:space="preserve">C2 - Structural correspondence candidate</x:t>
        </x:is>
      </x:c>
      <x:c r="D177" s="21" t="inlineStr">
        <x:is>
          <x:t xml:space="preserve">PLACEHOLDER</x:t>
        </x:is>
      </x:c>
      <x:c r="E177" s="22" t="inlineStr">
        <x:is>
          <x:t xml:space="preserve">MISSING</x:t>
        </x:is>
      </x:c>
      <x:c r="F177" s="22" t="inlineStr">
        <x:is>
          <x:t xml:space="preserve">MISSING</x:t>
        </x:is>
      </x:c>
      <x:c r="G177" s="22" t="inlineStr">
        <x:is>
          <x:t xml:space="preserve">MISSING</x:t>
        </x:is>
      </x:c>
      <x:c r="H177" s="22" t="inlineStr">
        <x:is>
          <x:t xml:space="preserve">MISSING</x:t>
        </x:is>
      </x:c>
      <x:c r="I177" s="20" t="inlineStr">
        <x:is>
          <x:t xml:space="preserve">NEEDS_SOURCE_PATH</x:t>
        </x:is>
      </x:c>
      <x:c r="J177" s="20" t="inlineStr">
        <x:is>
          <x:t xml:space="preserve">NEEDS_SOURCE_PATH</x:t>
        </x:is>
      </x:c>
      <x:c r="K177" s="20" t="inlineStr">
        <x:is>
          <x:t xml:space="preserve">NEEDS_SOURCE_PATH</x:t>
        </x:is>
      </x:c>
      <x:c r="L177" s="20" t="inlineStr">
        <x:is>
          <x:t xml:space="preserve">Cross-domain edge witnesses (3 theorems)</x:t>
        </x:is>
      </x:c>
      <x:c r="M177" s="24" t="inlineStr">
        <x:is>
          <x:t xml:space="preserve">NEEDS_SOURCE_PATH</x:t>
        </x:is>
      </x:c>
      <x:c r="N177" s="21" t="inlineStr">
        <x:is>
          <x:t xml:space="preserve">PLACEHOLDER</x:t>
        </x:is>
      </x:c>
      <x:c r="O177" s="21" t="inlineStr">
        <x:is>
          <x:t xml:space="preserve">PLACEHOLDER</x:t>
        </x:is>
      </x:c>
      <x:c r="P177" s="22" t="inlineStr">
        <x:is>
          <x:t xml:space="preserve">MISSING</x:t>
        </x:is>
      </x:c>
      <x:c r="Q177" s="21" t="inlineStr">
        <x:is>
          <x:t xml:space="preserve">PLACEHOLDER</x:t>
        </x:is>
      </x:c>
      <x:c r="R177" s="21" t="inlineStr">
        <x:is>
          <x:t xml:space="preserve">PLACEHOLDER</x:t>
        </x:is>
      </x:c>
      <x:c r="S177" s="21" t="inlineStr">
        <x:is>
          <x:t xml:space="preserve">PLACEHOLDER</x:t>
        </x:is>
      </x:c>
      <x:c r="T177" s="24" t="inlineStr">
        <x:is>
          <x:t xml:space="preserve">NEEDS_SOURCE_PATH</x:t>
        </x:is>
      </x:c>
      <x:c r="U177" s="21" t="inlineStr">
        <x:is>
          <x:t xml:space="preserve">PLACEHOLDER</x:t>
        </x:is>
      </x:c>
      <x:c r="V177"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78" ht="55.20000076293945" customHeight="1">
      <x:c r="A178" s="20" t="inlineStr">
        <x:is>
          <x:t xml:space="preserve">203</x:t>
        </x:is>
      </x:c>
      <x:c r="B178" s="20" t="inlineStr">
        <x:is>
          <x:t xml:space="preserve">10 attempts logged</x:t>
        </x:is>
      </x:c>
      <x:c r="C178" s="20" t="inlineStr">
        <x:is>
          <x:t xml:space="preserve">C2 - Structural correspondence candidate</x:t>
        </x:is>
      </x:c>
      <x:c r="D178" s="21" t="inlineStr">
        <x:is>
          <x:t xml:space="preserve">PLACEHOLDER</x:t>
        </x:is>
      </x:c>
      <x:c r="E178" s="22" t="inlineStr">
        <x:is>
          <x:t xml:space="preserve">MISSING</x:t>
        </x:is>
      </x:c>
      <x:c r="F178" s="22" t="inlineStr">
        <x:is>
          <x:t xml:space="preserve">MISSING</x:t>
        </x:is>
      </x:c>
      <x:c r="G178" s="22" t="inlineStr">
        <x:is>
          <x:t xml:space="preserve">MISSING</x:t>
        </x:is>
      </x:c>
      <x:c r="H178" s="22" t="inlineStr">
        <x:is>
          <x:t xml:space="preserve">MISSING</x:t>
        </x:is>
      </x:c>
      <x:c r="I178" s="20" t="inlineStr">
        <x:is>
          <x:t xml:space="preserve">theophysics-lean-main\theophysics-lean-main\Theophysics_Core.lean</x:t>
        </x:is>
      </x:c>
      <x:c r="J178" s="20" t="inlineStr">
        <x:is>
          <x:t xml:space="preserve">160</x:t>
        </x:is>
      </x:c>
      <x:c r="K178" s="20" t="inlineStr">
        <x:is>
          <x:t xml:space="preserve">theorem closedEightOfTen_attempt_count : True</x:t>
        </x:is>
      </x:c>
      <x:c r="L178" s="20" t="inlineStr">
        <x:is>
          <x:t xml:space="preserve">closedEightOfTen_attempt_count</x:t>
        </x:is>
      </x:c>
      <x:c r="M178" s="23" t="inlineStr">
        <x:is>
          <x:t xml:space="preserve">PARTIAL</x:t>
        </x:is>
      </x:c>
      <x:c r="N178" s="21" t="inlineStr">
        <x:is>
          <x:t xml:space="preserve">PLACEHOLDER</x:t>
        </x:is>
      </x:c>
      <x:c r="O178" s="21" t="inlineStr">
        <x:is>
          <x:t xml:space="preserve">PLACEHOLDER</x:t>
        </x:is>
      </x:c>
      <x:c r="P178" s="22" t="inlineStr">
        <x:is>
          <x:t xml:space="preserve">MISSING</x:t>
        </x:is>
      </x:c>
      <x:c r="Q178" s="21" t="inlineStr">
        <x:is>
          <x:t xml:space="preserve">PLACEHOLDER</x:t>
        </x:is>
      </x:c>
      <x:c r="R178" s="21" t="inlineStr">
        <x:is>
          <x:t xml:space="preserve">PLACEHOLDER</x:t>
        </x:is>
      </x:c>
      <x:c r="S178" s="21" t="inlineStr">
        <x:is>
          <x:t xml:space="preserve">PLACEHOLDER</x:t>
        </x:is>
      </x:c>
      <x:c r="T178" s="23" t="inlineStr">
        <x:is>
          <x:t xml:space="preserve">PARTIAL</x:t>
        </x:is>
      </x:c>
      <x:c r="U178" s="21" t="inlineStr">
        <x:is>
          <x:t xml:space="preserve">PLACEHOLDER</x:t>
        </x:is>
      </x:c>
      <x:c r="V178" s="20" t="inlineStr">
        <x:is>
          <x:t xml:space="preserve">lean_match_count=4 | proof_strength=TRIVIAL_TRUE | Statement is `True`; theorem name may exceed formal content. | definition/proof/numerical/empirical/interp fields still staged as TODO placeholders</x:t>
        </x:is>
      </x:c>
    </x:row>
    <x:row r="179" ht="55.20000076293945" customHeight="1">
      <x:c r="A179" s="20" t="inlineStr">
        <x:is>
          <x:t xml:space="preserve">204</x:t>
        </x:is>
      </x:c>
      <x:c r="B179" s="20" t="inlineStr">
        <x:is>
          <x:t xml:space="preserve">8 hits (compiled bridges)</x:t>
        </x:is>
      </x:c>
      <x:c r="C179" s="20" t="inlineStr">
        <x:is>
          <x:t xml:space="preserve">C2 - Structural correspondence candidate</x:t>
        </x:is>
      </x:c>
      <x:c r="D179" s="21" t="inlineStr">
        <x:is>
          <x:t xml:space="preserve">PLACEHOLDER</x:t>
        </x:is>
      </x:c>
      <x:c r="E179" s="22" t="inlineStr">
        <x:is>
          <x:t xml:space="preserve">MISSING</x:t>
        </x:is>
      </x:c>
      <x:c r="F179" s="22" t="inlineStr">
        <x:is>
          <x:t xml:space="preserve">MISSING</x:t>
        </x:is>
      </x:c>
      <x:c r="G179" s="22" t="inlineStr">
        <x:is>
          <x:t xml:space="preserve">MISSING</x:t>
        </x:is>
      </x:c>
      <x:c r="H179" s="22" t="inlineStr">
        <x:is>
          <x:t xml:space="preserve">MISSING</x:t>
        </x:is>
      </x:c>
      <x:c r="I179" s="20" t="inlineStr">
        <x:is>
          <x:t xml:space="preserve">theophysics-lean-main\theophysics-lean-main\Theophysics_Core.lean</x:t>
        </x:is>
      </x:c>
      <x:c r="J179" s="20" t="inlineStr">
        <x:is>
          <x:t xml:space="preserve">163</x:t>
        </x:is>
      </x:c>
      <x:c r="K179" s="20" t="inlineStr">
        <x:is>
          <x:t xml:space="preserve">theorem closedEightOfTen_hit_count : True</x:t>
        </x:is>
      </x:c>
      <x:c r="L179" s="20" t="inlineStr">
        <x:is>
          <x:t xml:space="preserve">closedEightOfTen_hit_count</x:t>
        </x:is>
      </x:c>
      <x:c r="M179" s="23" t="inlineStr">
        <x:is>
          <x:t xml:space="preserve">PARTIAL</x:t>
        </x:is>
      </x:c>
      <x:c r="N179" s="21" t="inlineStr">
        <x:is>
          <x:t xml:space="preserve">PLACEHOLDER</x:t>
        </x:is>
      </x:c>
      <x:c r="O179" s="21" t="inlineStr">
        <x:is>
          <x:t xml:space="preserve">PLACEHOLDER</x:t>
        </x:is>
      </x:c>
      <x:c r="P179" s="22" t="inlineStr">
        <x:is>
          <x:t xml:space="preserve">MISSING</x:t>
        </x:is>
      </x:c>
      <x:c r="Q179" s="21" t="inlineStr">
        <x:is>
          <x:t xml:space="preserve">PLACEHOLDER</x:t>
        </x:is>
      </x:c>
      <x:c r="R179" s="21" t="inlineStr">
        <x:is>
          <x:t xml:space="preserve">PLACEHOLDER</x:t>
        </x:is>
      </x:c>
      <x:c r="S179" s="21" t="inlineStr">
        <x:is>
          <x:t xml:space="preserve">PLACEHOLDER</x:t>
        </x:is>
      </x:c>
      <x:c r="T179" s="23" t="inlineStr">
        <x:is>
          <x:t xml:space="preserve">PARTIAL</x:t>
        </x:is>
      </x:c>
      <x:c r="U179" s="21" t="inlineStr">
        <x:is>
          <x:t xml:space="preserve">PLACEHOLDER</x:t>
        </x:is>
      </x:c>
      <x:c r="V179" s="20" t="inlineStr">
        <x:is>
          <x:t xml:space="preserve">lean_match_count=4 | proof_strength=TRIVIAL_TRUE | Statement is `True`; theorem name may exceed formal content. | definition/proof/numerical/empirical/interp fields still staged as TODO placeholders</x:t>
        </x:is>
      </x:c>
    </x:row>
    <x:row r="180" ht="55.20000076293945" customHeight="1">
      <x:c r="A180" s="20" t="inlineStr">
        <x:is>
          <x:t xml:space="preserve">205</x:t>
        </x:is>
      </x:c>
      <x:c r="B180" s="20" t="inlineStr">
        <x:is>
          <x:t xml:space="preserve">All attempts logged before publication. No hidden failures.</x:t>
        </x:is>
      </x:c>
      <x:c r="C180" s="20" t="inlineStr">
        <x:is>
          <x:t xml:space="preserve">C2 - Structural correspondence candidate</x:t>
        </x:is>
      </x:c>
      <x:c r="D180" s="21" t="inlineStr">
        <x:is>
          <x:t xml:space="preserve">PLACEHOLDER</x:t>
        </x:is>
      </x:c>
      <x:c r="E180" s="22" t="inlineStr">
        <x:is>
          <x:t xml:space="preserve">MISSING</x:t>
        </x:is>
      </x:c>
      <x:c r="F180" s="22" t="inlineStr">
        <x:is>
          <x:t xml:space="preserve">MISSING</x:t>
        </x:is>
      </x:c>
      <x:c r="G180" s="22" t="inlineStr">
        <x:is>
          <x:t xml:space="preserve">MISSING</x:t>
        </x:is>
      </x:c>
      <x:c r="H180" s="22" t="inlineStr">
        <x:is>
          <x:t xml:space="preserve">MISSING</x:t>
        </x:is>
      </x:c>
      <x:c r="I180" s="20" t="inlineStr">
        <x:is>
          <x:t xml:space="preserve">theophysics-lean-main\theophysics-lean-main\Theophysics_Core.lean</x:t>
        </x:is>
      </x:c>
      <x:c r="J180" s="20" t="inlineStr">
        <x:is>
          <x:t xml:space="preserve">162</x:t>
        </x:is>
      </x:c>
      <x:c r="K180" s="20" t="inlineStr">
        <x:is>
          <x:t xml:space="preserve">theorem closedEightOfTen_denominator_closed : True</x:t>
        </x:is>
      </x:c>
      <x:c r="L180" s="20" t="inlineStr">
        <x:is>
          <x:t xml:space="preserve">closedEightOfTen_denominator_closed</x:t>
        </x:is>
      </x:c>
      <x:c r="M180" s="23" t="inlineStr">
        <x:is>
          <x:t xml:space="preserve">PARTIAL</x:t>
        </x:is>
      </x:c>
      <x:c r="N180" s="21" t="inlineStr">
        <x:is>
          <x:t xml:space="preserve">PLACEHOLDER</x:t>
        </x:is>
      </x:c>
      <x:c r="O180" s="21" t="inlineStr">
        <x:is>
          <x:t xml:space="preserve">PLACEHOLDER</x:t>
        </x:is>
      </x:c>
      <x:c r="P180" s="22" t="inlineStr">
        <x:is>
          <x:t xml:space="preserve">MISSING</x:t>
        </x:is>
      </x:c>
      <x:c r="Q180" s="21" t="inlineStr">
        <x:is>
          <x:t xml:space="preserve">PLACEHOLDER</x:t>
        </x:is>
      </x:c>
      <x:c r="R180" s="21" t="inlineStr">
        <x:is>
          <x:t xml:space="preserve">PLACEHOLDER</x:t>
        </x:is>
      </x:c>
      <x:c r="S180" s="21" t="inlineStr">
        <x:is>
          <x:t xml:space="preserve">PLACEHOLDER</x:t>
        </x:is>
      </x:c>
      <x:c r="T180" s="23" t="inlineStr">
        <x:is>
          <x:t xml:space="preserve">PARTIAL</x:t>
        </x:is>
      </x:c>
      <x:c r="U180" s="21" t="inlineStr">
        <x:is>
          <x:t xml:space="preserve">PLACEHOLDER</x:t>
        </x:is>
      </x:c>
      <x:c r="V180" s="20" t="inlineStr">
        <x:is>
          <x:t xml:space="preserve">lean_match_count=4 | proof_strength=TRIVIAL_TRUE | Statement is `True`; theorem name may exceed formal content. | definition/proof/numerical/empirical/interp fields still staged as TODO placeholders</x:t>
        </x:is>
      </x:c>
    </x:row>
    <x:row r="181" ht="55.20000076293945" customHeight="1">
      <x:c r="A181" s="20" t="inlineStr">
        <x:is>
          <x:t xml:space="preserve">206</x:t>
        </x:is>
      </x:c>
      <x:c r="B181" s="20" t="inlineStr">
        <x:is>
          <x:t xml:space="preserve">80% hit rate claim is valid</x:t>
        </x:is>
      </x:c>
      <x:c r="C181" s="20" t="inlineStr">
        <x:is>
          <x:t xml:space="preserve">C2 - Structural correspondence candidate</x:t>
        </x:is>
      </x:c>
      <x:c r="D181" s="21" t="inlineStr">
        <x:is>
          <x:t xml:space="preserve">PLACEHOLDER</x:t>
        </x:is>
      </x:c>
      <x:c r="E181" s="22" t="inlineStr">
        <x:is>
          <x:t xml:space="preserve">MISSING</x:t>
        </x:is>
      </x:c>
      <x:c r="F181" s="22" t="inlineStr">
        <x:is>
          <x:t xml:space="preserve">MISSING</x:t>
        </x:is>
      </x:c>
      <x:c r="G181" s="22" t="inlineStr">
        <x:is>
          <x:t xml:space="preserve">MISSING</x:t>
        </x:is>
      </x:c>
      <x:c r="H181" s="22" t="inlineStr">
        <x:is>
          <x:t xml:space="preserve">MISSING</x:t>
        </x:is>
      </x:c>
      <x:c r="I181" s="20" t="inlineStr">
        <x:is>
          <x:t xml:space="preserve">theophysics-lean-main\theophysics-lean-main\Theophysics_Core.lean</x:t>
        </x:is>
      </x:c>
      <x:c r="J181" s="20" t="inlineStr">
        <x:is>
          <x:t xml:space="preserve">161</x:t>
        </x:is>
      </x:c>
      <x:c r="K181" s="20" t="inlineStr">
        <x:is>
          <x:t xml:space="preserve">theorem closedEightOfTen_can_claim_80_percent : True</x:t>
        </x:is>
      </x:c>
      <x:c r="L181" s="20" t="inlineStr">
        <x:is>
          <x:t xml:space="preserve">closedEightOfTen_can_claim_80_percent</x:t>
        </x:is>
      </x:c>
      <x:c r="M181" s="23" t="inlineStr">
        <x:is>
          <x:t xml:space="preserve">PARTIAL</x:t>
        </x:is>
      </x:c>
      <x:c r="N181" s="21" t="inlineStr">
        <x:is>
          <x:t xml:space="preserve">PLACEHOLDER</x:t>
        </x:is>
      </x:c>
      <x:c r="O181" s="21" t="inlineStr">
        <x:is>
          <x:t xml:space="preserve">PLACEHOLDER</x:t>
        </x:is>
      </x:c>
      <x:c r="P181" s="22" t="inlineStr">
        <x:is>
          <x:t xml:space="preserve">MISSING</x:t>
        </x:is>
      </x:c>
      <x:c r="Q181" s="21" t="inlineStr">
        <x:is>
          <x:t xml:space="preserve">PLACEHOLDER</x:t>
        </x:is>
      </x:c>
      <x:c r="R181" s="21" t="inlineStr">
        <x:is>
          <x:t xml:space="preserve">PLACEHOLDER</x:t>
        </x:is>
      </x:c>
      <x:c r="S181" s="21" t="inlineStr">
        <x:is>
          <x:t xml:space="preserve">PLACEHOLDER</x:t>
        </x:is>
      </x:c>
      <x:c r="T181" s="23" t="inlineStr">
        <x:is>
          <x:t xml:space="preserve">PARTIAL</x:t>
        </x:is>
      </x:c>
      <x:c r="U181" s="21" t="inlineStr">
        <x:is>
          <x:t xml:space="preserve">PLACEHOLDER</x:t>
        </x:is>
      </x:c>
      <x:c r="V181" s="20" t="inlineStr">
        <x:is>
          <x:t xml:space="preserve">lean_match_count=4 | proof_strength=TRIVIAL_TRUE | Statement is `True`; theorem name may exceed formal content. | definition/proof/numerical/empirical/interp fields still staged as TODO placeholders</x:t>
        </x:is>
      </x:c>
    </x:row>
    <x:row r="182" ht="55.20000076293945" customHeight="1">
      <x:c r="A182" s="20" t="inlineStr">
        <x:is>
          <x:t xml:space="preserve">207</x:t>
        </x:is>
      </x:c>
      <x:c r="B182" s="20" t="inlineStr">
        <x:is>
          <x:t xml:space="preserve">REJECTION: 90% claim is blocked. Can't claim what you haven't earned.</x:t>
        </x:is>
      </x:c>
      <x:c r="C182" s="20" t="inlineStr">
        <x:is>
          <x:t xml:space="preserve">C2 - Structural correspondence candidate</x:t>
        </x:is>
      </x:c>
      <x:c r="D182" s="21" t="inlineStr">
        <x:is>
          <x:t xml:space="preserve">PLACEHOLDER</x:t>
        </x:is>
      </x:c>
      <x:c r="E182" s="22" t="inlineStr">
        <x:is>
          <x:t xml:space="preserve">MISSING</x:t>
        </x:is>
      </x:c>
      <x:c r="F182" s="22" t="inlineStr">
        <x:is>
          <x:t xml:space="preserve">MISSING</x:t>
        </x:is>
      </x:c>
      <x:c r="G182" s="22" t="inlineStr">
        <x:is>
          <x:t xml:space="preserve">MISSING</x:t>
        </x:is>
      </x:c>
      <x:c r="H182" s="22" t="inlineStr">
        <x:is>
          <x:t xml:space="preserve">MISSING</x:t>
        </x:is>
      </x:c>
      <x:c r="I182" s="20" t="inlineStr">
        <x:is>
          <x:t xml:space="preserve">theophysics-lean-main\theophysics-lean-main\Theophysics_Adversarial.lean</x:t>
        </x:is>
      </x:c>
      <x:c r="J182" s="20" t="inlineStr">
        <x:is>
          <x:t xml:space="preserve">565</x:t>
        </x:is>
      </x:c>
      <x:c r="K182" s="20" t="inlineStr">
        <x:is>
          <x:t xml:space="preserve">theorem closedEightOfTen_cannot_claim_90_percent : canClaimPercent closedEightOfTen 90 = false</x:t>
        </x:is>
      </x:c>
      <x:c r="L182" s="20" t="inlineStr">
        <x:is>
          <x:t xml:space="preserve">closedEightOfTen_cannot_claim_90_percent</x:t>
        </x:is>
      </x:c>
      <x:c r="M182" s="23" t="inlineStr">
        <x:is>
          <x:t xml:space="preserve">PARTIAL</x:t>
        </x:is>
      </x:c>
      <x:c r="N182" s="21" t="inlineStr">
        <x:is>
          <x:t xml:space="preserve">PLACEHOLDER</x:t>
        </x:is>
      </x:c>
      <x:c r="O182" s="21" t="inlineStr">
        <x:is>
          <x:t xml:space="preserve">PLACEHOLDER</x:t>
        </x:is>
      </x:c>
      <x:c r="P182" s="22" t="inlineStr">
        <x:is>
          <x:t xml:space="preserve">MISSING</x:t>
        </x:is>
      </x:c>
      <x:c r="Q182" s="21" t="inlineStr">
        <x:is>
          <x:t xml:space="preserve">PLACEHOLDER</x:t>
        </x:is>
      </x:c>
      <x:c r="R182" s="21" t="inlineStr">
        <x:is>
          <x:t xml:space="preserve">PLACEHOLDER</x:t>
        </x:is>
      </x:c>
      <x:c r="S182" s="21" t="inlineStr">
        <x:is>
          <x:t xml:space="preserve">PLACEHOLDER</x:t>
        </x:is>
      </x:c>
      <x:c r="T182" s="23" t="inlineStr">
        <x:is>
          <x:t xml:space="preserve">PARTIAL</x:t>
        </x:is>
      </x:c>
      <x:c r="U182" s="21" t="inlineStr">
        <x:is>
          <x:t xml:space="preserve">PLACEHOLDER</x:t>
        </x:is>
      </x:c>
      <x:c r="V182" s="20" t="inlineStr">
        <x:is>
          <x:t xml:space="preserve">lean_match_count=4 | proof_strength=DEFINITIONAL_RFL | Proves definitional equality by reduction; useful but narrow. | definition/proof/numerical/empirical/interp fields still staged as TODO placeholders</x:t>
        </x:is>
      </x:c>
    </x:row>
    <x:row r="183" ht="55.20000076293945" customHeight="1">
      <x:c r="A183" s="20" t="inlineStr">
        <x:is>
          <x:t xml:space="preserve">208</x:t>
        </x:is>
      </x:c>
      <x:c r="B183" s="20" t="inlineStr">
        <x:is>
          <x:t xml:space="preserve">REJECTION: Hidden failures block ANY anomaly claim. Integrity is non-negotiable.</x:t>
        </x:is>
      </x:c>
      <x:c r="C183" s="20" t="inlineStr">
        <x:is>
          <x:t xml:space="preserve">C2 - Structural correspondence candidate</x:t>
        </x:is>
      </x:c>
      <x:c r="D183" s="21" t="inlineStr">
        <x:is>
          <x:t xml:space="preserve">PLACEHOLDER</x:t>
        </x:is>
      </x:c>
      <x:c r="E183" s="22" t="inlineStr">
        <x:is>
          <x:t xml:space="preserve">MISSING</x:t>
        </x:is>
      </x:c>
      <x:c r="F183" s="22" t="inlineStr">
        <x:is>
          <x:t xml:space="preserve">MISSING</x:t>
        </x:is>
      </x:c>
      <x:c r="G183" s="22" t="inlineStr">
        <x:is>
          <x:t xml:space="preserve">MISSING</x:t>
        </x:is>
      </x:c>
      <x:c r="H183" s="22" t="inlineStr">
        <x:is>
          <x:t xml:space="preserve">MISSING</x:t>
        </x:is>
      </x:c>
      <x:c r="I183" s="20" t="inlineStr">
        <x:is>
          <x:t xml:space="preserve">theophysics-lean-main\theophysics-lean-main\Theophysics_Adversarial.lean</x:t>
        </x:is>
      </x:c>
      <x:c r="J183" s="20" t="inlineStr">
        <x:is>
          <x:t xml:space="preserve">569</x:t>
        </x:is>
      </x:c>
      <x:c r="K183" s="20" t="inlineStr">
        <x:is>
          <x:t xml:space="preserve">theorem hiddenDenominator_blocks_anomaly_claim : canClaimPercent { closedEightOfTen with hiddenDenominator := true } 80 = false</x:t>
        </x:is>
      </x:c>
      <x:c r="L183" s="20" t="inlineStr">
        <x:is>
          <x:t xml:space="preserve">hiddenDenominator_blocks_anomaly_claim</x:t>
        </x:is>
      </x:c>
      <x:c r="M183" s="23" t="inlineStr">
        <x:is>
          <x:t xml:space="preserve">PARTIAL</x:t>
        </x:is>
      </x:c>
      <x:c r="N183" s="21" t="inlineStr">
        <x:is>
          <x:t xml:space="preserve">PLACEHOLDER</x:t>
        </x:is>
      </x:c>
      <x:c r="O183" s="21" t="inlineStr">
        <x:is>
          <x:t xml:space="preserve">PLACEHOLDER</x:t>
        </x:is>
      </x:c>
      <x:c r="P183" s="22" t="inlineStr">
        <x:is>
          <x:t xml:space="preserve">MISSING</x:t>
        </x:is>
      </x:c>
      <x:c r="Q183" s="21" t="inlineStr">
        <x:is>
          <x:t xml:space="preserve">PLACEHOLDER</x:t>
        </x:is>
      </x:c>
      <x:c r="R183" s="21" t="inlineStr">
        <x:is>
          <x:t xml:space="preserve">PLACEHOLDER</x:t>
        </x:is>
      </x:c>
      <x:c r="S183" s="21" t="inlineStr">
        <x:is>
          <x:t xml:space="preserve">PLACEHOLDER</x:t>
        </x:is>
      </x:c>
      <x:c r="T183" s="23" t="inlineStr">
        <x:is>
          <x:t xml:space="preserve">PARTIAL</x:t>
        </x:is>
      </x:c>
      <x:c r="U183" s="21" t="inlineStr">
        <x:is>
          <x:t xml:space="preserve">PLACEHOLDER</x:t>
        </x:is>
      </x:c>
      <x:c r="V183" s="20" t="inlineStr">
        <x:is>
          <x:t xml:space="preserve">lean_match_count=4 | proof_strength=DEFINITIONAL_RFL | Proves definitional equality by reduction; useful but narrow. | definition/proof/numerical/empirical/interp fields still staged as TODO placeholders</x:t>
        </x:is>
      </x:c>
    </x:row>
    <x:row r="184" ht="55.20000076293945" customHeight="1">
      <x:c r="A184" s="20" t="inlineStr">
        <x:is>
          <x:t xml:space="preserve">209</x:t>
        </x:is>
      </x:c>
      <x:c r="B184" s="20" t="inlineStr">
        <x:is>
          <x:t xml:space="preserve">REJECTION: Failures count against you. No cherry-picking.</x:t>
        </x:is>
      </x:c>
      <x:c r="C184" s="20" t="inlineStr">
        <x:is>
          <x:t xml:space="preserve">C2 - Structural correspondence candidate</x:t>
        </x:is>
      </x:c>
      <x:c r="D184" s="21" t="inlineStr">
        <x:is>
          <x:t xml:space="preserve">PLACEHOLDER</x:t>
        </x:is>
      </x:c>
      <x:c r="E184" s="22" t="inlineStr">
        <x:is>
          <x:t xml:space="preserve">MISSING</x:t>
        </x:is>
      </x:c>
      <x:c r="F184" s="22" t="inlineStr">
        <x:is>
          <x:t xml:space="preserve">MISSING</x:t>
        </x:is>
      </x:c>
      <x:c r="G184" s="22" t="inlineStr">
        <x:is>
          <x:t xml:space="preserve">MISSING</x:t>
        </x:is>
      </x:c>
      <x:c r="H184" s="22" t="inlineStr">
        <x:is>
          <x:t xml:space="preserve">MISSING</x:t>
        </x:is>
      </x:c>
      <x:c r="I184" s="20" t="inlineStr">
        <x:is>
          <x:t xml:space="preserve">theophysics-lean-main\theophysics-lean-main\Theophysics_Adversarial.lean</x:t>
        </x:is>
      </x:c>
      <x:c r="J184" s="20" t="inlineStr">
        <x:is>
          <x:t xml:space="preserve">573</x:t>
        </x:is>
      </x:c>
      <x:c r="K184" s="20" t="inlineStr">
        <x:is>
          <x:t xml:space="preserve">theorem failed_attempt_counts_in_denominator : canClaimPercent { closedEightOfTen with failedAttemptsIncluded := false } 80 = false</x:t>
        </x:is>
      </x:c>
      <x:c r="L184" s="20" t="inlineStr">
        <x:is>
          <x:t xml:space="preserve">failed_attempt_counts_in_denominator</x:t>
        </x:is>
      </x:c>
      <x:c r="M184" s="23" t="inlineStr">
        <x:is>
          <x:t xml:space="preserve">PARTIAL</x:t>
        </x:is>
      </x:c>
      <x:c r="N184" s="21" t="inlineStr">
        <x:is>
          <x:t xml:space="preserve">PLACEHOLDER</x:t>
        </x:is>
      </x:c>
      <x:c r="O184" s="21" t="inlineStr">
        <x:is>
          <x:t xml:space="preserve">PLACEHOLDER</x:t>
        </x:is>
      </x:c>
      <x:c r="P184" s="22" t="inlineStr">
        <x:is>
          <x:t xml:space="preserve">MISSING</x:t>
        </x:is>
      </x:c>
      <x:c r="Q184" s="21" t="inlineStr">
        <x:is>
          <x:t xml:space="preserve">PLACEHOLDER</x:t>
        </x:is>
      </x:c>
      <x:c r="R184" s="21" t="inlineStr">
        <x:is>
          <x:t xml:space="preserve">PLACEHOLDER</x:t>
        </x:is>
      </x:c>
      <x:c r="S184" s="21" t="inlineStr">
        <x:is>
          <x:t xml:space="preserve">PLACEHOLDER</x:t>
        </x:is>
      </x:c>
      <x:c r="T184" s="23" t="inlineStr">
        <x:is>
          <x:t xml:space="preserve">PARTIAL</x:t>
        </x:is>
      </x:c>
      <x:c r="U184" s="21" t="inlineStr">
        <x:is>
          <x:t xml:space="preserve">PLACEHOLDER</x:t>
        </x:is>
      </x:c>
      <x:c r="V184" s="20" t="inlineStr">
        <x:is>
          <x:t xml:space="preserve">lean_match_count=4 | proof_strength=DEFINITIONAL_RFL | Proves definitional equality by reduction; useful but narrow. | definition/proof/numerical/empirical/interp fields still staged as TODO placeholders</x:t>
        </x:is>
      </x:c>
    </x:row>
    <x:row r="185" ht="55.20000076293945" customHeight="1">
      <x:c r="A185" s="20" t="inlineStr">
        <x:is>
          <x:t xml:space="preserve">210</x:t>
        </x:is>
      </x:c>
      <x:c r="B185" s="20" t="inlineStr">
        <x:is>
          <x:t xml:space="preserve">REJECTION: Partials are not hits. Close enough is not enough.</x:t>
        </x:is>
      </x:c>
      <x:c r="C185" s="20" t="inlineStr">
        <x:is>
          <x:t xml:space="preserve">C2 - Structural correspondence candidate</x:t>
        </x:is>
      </x:c>
      <x:c r="D185" s="21" t="inlineStr">
        <x:is>
          <x:t xml:space="preserve">PLACEHOLDER</x:t>
        </x:is>
      </x:c>
      <x:c r="E185" s="22" t="inlineStr">
        <x:is>
          <x:t xml:space="preserve">MISSING</x:t>
        </x:is>
      </x:c>
      <x:c r="F185" s="22" t="inlineStr">
        <x:is>
          <x:t xml:space="preserve">MISSING</x:t>
        </x:is>
      </x:c>
      <x:c r="G185" s="22" t="inlineStr">
        <x:is>
          <x:t xml:space="preserve">MISSING</x:t>
        </x:is>
      </x:c>
      <x:c r="H185" s="22" t="inlineStr">
        <x:is>
          <x:t xml:space="preserve">MISSING</x:t>
        </x:is>
      </x:c>
      <x:c r="I185" s="20" t="inlineStr">
        <x:is>
          <x:t xml:space="preserve">theophysics-lean-main\theophysics-lean-main\Theophysics_Adversarial.lean</x:t>
        </x:is>
      </x:c>
      <x:c r="J185" s="20" t="inlineStr">
        <x:is>
          <x:t xml:space="preserve">577</x:t>
        </x:is>
      </x:c>
      <x:c r="K185" s="20" t="inlineStr">
        <x:is>
          <x:t xml:space="preserve">theorem partial_attempt_does_not_count_as_hit : canClaimPercent { closedEightOfTen with partialAttempt := true } 80 = false</x:t>
        </x:is>
      </x:c>
      <x:c r="L185" s="20" t="inlineStr">
        <x:is>
          <x:t xml:space="preserve">partial_attempt_does_not_count_as_hit</x:t>
        </x:is>
      </x:c>
      <x:c r="M185" s="23" t="inlineStr">
        <x:is>
          <x:t xml:space="preserve">PARTIAL</x:t>
        </x:is>
      </x:c>
      <x:c r="N185" s="21" t="inlineStr">
        <x:is>
          <x:t xml:space="preserve">PLACEHOLDER</x:t>
        </x:is>
      </x:c>
      <x:c r="O185" s="21" t="inlineStr">
        <x:is>
          <x:t xml:space="preserve">PLACEHOLDER</x:t>
        </x:is>
      </x:c>
      <x:c r="P185" s="22" t="inlineStr">
        <x:is>
          <x:t xml:space="preserve">MISSING</x:t>
        </x:is>
      </x:c>
      <x:c r="Q185" s="21" t="inlineStr">
        <x:is>
          <x:t xml:space="preserve">PLACEHOLDER</x:t>
        </x:is>
      </x:c>
      <x:c r="R185" s="21" t="inlineStr">
        <x:is>
          <x:t xml:space="preserve">PLACEHOLDER</x:t>
        </x:is>
      </x:c>
      <x:c r="S185" s="21" t="inlineStr">
        <x:is>
          <x:t xml:space="preserve">PLACEHOLDER</x:t>
        </x:is>
      </x:c>
      <x:c r="T185" s="23" t="inlineStr">
        <x:is>
          <x:t xml:space="preserve">PARTIAL</x:t>
        </x:is>
      </x:c>
      <x:c r="U185" s="21" t="inlineStr">
        <x:is>
          <x:t xml:space="preserve">PLACEHOLDER</x:t>
        </x:is>
      </x:c>
      <x:c r="V185" s="20" t="inlineStr">
        <x:is>
          <x:t xml:space="preserve">lean_match_count=4 | proof_strength=DEFINITIONAL_RFL | Proves definitional equality by reduction; useful but narrow. | definition/proof/numerical/empirical/interp fields still staged as TODO placeholders</x:t>
        </x:is>
      </x:c>
    </x:row>
    <x:row r="186" ht="69" customHeight="1">
      <x:c r="A186" s="20" t="inlineStr">
        <x:is>
          <x:t xml:space="preserve">GAPS</x:t>
        </x:is>
      </x:c>
      <x:c r="B186" s="20" t="inlineStr">
        <x:is>
          <x:t xml:space="preserve">Every gap here is an honest admission. The system does not claim what it has not proven.</x:t>
        </x:is>
      </x:c>
      <x:c r="C186" s="20" t="inlineStr">
        <x:is>
          <x:t xml:space="preserve">C2 - Structural correspondence candidate</x:t>
        </x:is>
      </x:c>
      <x:c r="D186" s="21" t="inlineStr">
        <x:is>
          <x:t xml:space="preserve">PLACEHOLDER</x:t>
        </x:is>
      </x:c>
      <x:c r="E186" s="22" t="inlineStr">
        <x:is>
          <x:t xml:space="preserve">MISSING</x:t>
        </x:is>
      </x:c>
      <x:c r="F186" s="22" t="inlineStr">
        <x:is>
          <x:t xml:space="preserve">MISSING</x:t>
        </x:is>
      </x:c>
      <x:c r="G186" s="22" t="inlineStr">
        <x:is>
          <x:t xml:space="preserve">MISSING</x:t>
        </x:is>
      </x:c>
      <x:c r="H186" s="22" t="inlineStr">
        <x:is>
          <x:t xml:space="preserve">MISSING</x:t>
        </x:is>
      </x:c>
      <x:c r="I186" s="20" t="inlineStr">
        <x:is>
          <x:t xml:space="preserve">NEEDS_SOURCE_PATH</x:t>
        </x:is>
      </x:c>
      <x:c r="J186" s="20" t="inlineStr">
        <x:is>
          <x:t xml:space="preserve">NEEDS_SOURCE_PATH</x:t>
        </x:is>
      </x:c>
      <x:c r="K186" s="20" t="inlineStr">
        <x:is>
          <x:t xml:space="preserve">NEEDS_SOURCE_PATH</x:t>
        </x:is>
      </x:c>
      <x:c r="L186" s="20" t="inlineStr">
        <x:is>
          <x:t xml:space="preserve">PLACEHOLDER</x:t>
        </x:is>
      </x:c>
      <x:c r="M186" s="24" t="inlineStr">
        <x:is>
          <x:t xml:space="preserve">NEEDS_SOURCE_PATH</x:t>
        </x:is>
      </x:c>
      <x:c r="N186" s="21" t="inlineStr">
        <x:is>
          <x:t xml:space="preserve">PLACEHOLDER</x:t>
        </x:is>
      </x:c>
      <x:c r="O186" s="21" t="inlineStr">
        <x:is>
          <x:t xml:space="preserve">PLACEHOLDER</x:t>
        </x:is>
      </x:c>
      <x:c r="P186" s="22" t="inlineStr">
        <x:is>
          <x:t xml:space="preserve">MISSING</x:t>
        </x:is>
      </x:c>
      <x:c r="Q186" s="21" t="inlineStr">
        <x:is>
          <x:t xml:space="preserve">PLACEHOLDER</x:t>
        </x:is>
      </x:c>
      <x:c r="R186" s="21" t="inlineStr">
        <x:is>
          <x:t xml:space="preserve">PLACEHOLDER</x:t>
        </x:is>
      </x:c>
      <x:c r="S186" s="21" t="inlineStr">
        <x:is>
          <x:t xml:space="preserve">PLACEHOLDER</x:t>
        </x:is>
      </x:c>
      <x:c r="T186" s="24" t="inlineStr">
        <x:is>
          <x:t xml:space="preserve">NEEDS_SOURCE_PATH</x:t>
        </x:is>
      </x:c>
      <x:c r="U186" s="21" t="inlineStr">
        <x:is>
          <x:t xml:space="preserve">PLACEHOLDER</x:t>
        </x:is>
      </x:c>
      <x:c r="V186" s="20" t="inlineStr">
        <x:is>
          <x:t xml:space="preserve">lean_match_count=0 | proof_strength=NOT_FOUND_IN_HUB | Workbook theorem name not found in extracted hub Lean files. | theorem name missing in Structural Staging | source path/line/literal statement requires resolution | definition/proof/numerical/empirical/interp fields still staged as TODO placeholders</x:t>
        </x:is>
      </x:c>
    </x:row>
    <x:row r="187" ht="69" customHeight="1">
      <x:c r="A187" s="20" t="inlineStr">
        <x:is>
          <x:t xml:space="preserve">GAP-01</x:t>
        </x:is>
      </x:c>
      <x:c r="B187" s="20" t="inlineStr">
        <x:is>
          <x:t xml:space="preserve">Law 1 (Gravity/Grace → G), Law 2 (Motion/Will → M as force), Law 9 (Weak/Moral Conservation), Law 10 (Coherence/Christ as factor). Generic zero-collapse is proven but physical mechanism that drives each to zero is NOT encoded.</x:t>
        </x:is>
      </x:c>
      <x:c r="C187" s="20" t="inlineStr">
        <x:is>
          <x:t xml:space="preserve">C2 - Structural correspondence candidate</x:t>
        </x:is>
      </x:c>
      <x:c r="D187" s="21" t="inlineStr">
        <x:is>
          <x:t xml:space="preserve">PLACEHOLDER</x:t>
        </x:is>
      </x:c>
      <x:c r="E187" s="22" t="inlineStr">
        <x:is>
          <x:t xml:space="preserve">MISSING</x:t>
        </x:is>
      </x:c>
      <x:c r="F187" s="22" t="inlineStr">
        <x:is>
          <x:t xml:space="preserve">MISSING</x:t>
        </x:is>
      </x:c>
      <x:c r="G187" s="23" t="inlineStr">
        <x:is>
          <x:t xml:space="preserve">PARTIAL</x:t>
        </x:is>
      </x:c>
      <x:c r="H187" s="22" t="inlineStr">
        <x:is>
          <x:t xml:space="preserve">MISSING</x:t>
        </x:is>
      </x:c>
      <x:c r="I187" s="20" t="inlineStr">
        <x:is>
          <x:t xml:space="preserve">NEEDS_SOURCE_PATH</x:t>
        </x:is>
      </x:c>
      <x:c r="J187" s="20" t="inlineStr">
        <x:is>
          <x:t xml:space="preserve">NEEDS_SOURCE_PATH</x:t>
        </x:is>
      </x:c>
      <x:c r="K187" s="20" t="inlineStr">
        <x:is>
          <x:t xml:space="preserve">NEEDS_SOURCE_PATH</x:t>
        </x:is>
      </x:c>
      <x:c r="L187" s="20" t="inlineStr">
        <x:is>
          <x:t xml:space="preserve">Laws 1, 2, 9, 10 — No domain-specific collapse conditions</x:t>
        </x:is>
      </x:c>
      <x:c r="M187" s="24" t="inlineStr">
        <x:is>
          <x:t xml:space="preserve">NEEDS_SOURCE_PATH</x:t>
        </x:is>
      </x:c>
      <x:c r="N187" s="21" t="inlineStr">
        <x:is>
          <x:t xml:space="preserve">PLACEHOLDER</x:t>
        </x:is>
      </x:c>
      <x:c r="O187" s="21" t="inlineStr">
        <x:is>
          <x:t xml:space="preserve">PLACEHOLDER</x:t>
        </x:is>
      </x:c>
      <x:c r="P187" s="22" t="inlineStr">
        <x:is>
          <x:t xml:space="preserve">MISSING</x:t>
        </x:is>
      </x:c>
      <x:c r="Q187" s="21" t="inlineStr">
        <x:is>
          <x:t xml:space="preserve">PLACEHOLDER</x:t>
        </x:is>
      </x:c>
      <x:c r="R187" s="21" t="inlineStr">
        <x:is>
          <x:t xml:space="preserve">PLACEHOLDER</x:t>
        </x:is>
      </x:c>
      <x:c r="S187" s="21" t="inlineStr">
        <x:is>
          <x:t xml:space="preserve">PLACEHOLDER</x:t>
        </x:is>
      </x:c>
      <x:c r="T187" s="24" t="inlineStr">
        <x:is>
          <x:t xml:space="preserve">NEEDS_SOURCE_PATH</x:t>
        </x:is>
      </x:c>
      <x:c r="U187" s="21" t="inlineStr">
        <x:is>
          <x:t xml:space="preserve">PLACEHOLDER</x:t>
        </x:is>
      </x:c>
      <x:c r="V187"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88" ht="69" customHeight="1">
      <x:c r="A188" s="20" t="inlineStr">
        <x:is>
          <x:t xml:space="preserve">GAP-02</x:t>
        </x:is>
      </x:c>
      <x:c r="B188" s="20" t="inlineStr">
        <x:is>
          <x:t xml:space="preserve">The isomorphism StrongForce ≅ Love is proven at the model level, but there is NO FieldBridgeControls-style gate wiring Factor.S into the χ product.</x:t>
        </x:is>
      </x:c>
      <x:c r="C188" s="20" t="inlineStr">
        <x:is>
          <x:t xml:space="preserve">C4 - Isomorphism candidate; requires inverse and broad candidate-space check</x:t>
        </x:is>
      </x:c>
      <x:c r="D188" s="21" t="inlineStr">
        <x:is>
          <x:t xml:space="preserve">PLACEHOLDER</x:t>
        </x:is>
      </x:c>
      <x:c r="E188" s="22" t="inlineStr">
        <x:is>
          <x:t xml:space="preserve">MISSING</x:t>
        </x:is>
      </x:c>
      <x:c r="F188" s="23" t="inlineStr">
        <x:is>
          <x:t xml:space="preserve">PARTIAL</x:t>
        </x:is>
      </x:c>
      <x:c r="G188" s="22" t="inlineStr">
        <x:is>
          <x:t xml:space="preserve">MISSING</x:t>
        </x:is>
      </x:c>
      <x:c r="H188" s="22" t="inlineStr">
        <x:is>
          <x:t xml:space="preserve">MISSING</x:t>
        </x:is>
      </x:c>
      <x:c r="I188" s="20" t="inlineStr">
        <x:is>
          <x:t xml:space="preserve">NEEDS_SOURCE_PATH</x:t>
        </x:is>
      </x:c>
      <x:c r="J188" s="20" t="inlineStr">
        <x:is>
          <x:t xml:space="preserve">NEEDS_SOURCE_PATH</x:t>
        </x:is>
      </x:c>
      <x:c r="K188" s="20" t="inlineStr">
        <x:is>
          <x:t xml:space="preserve">NEEDS_SOURCE_PATH</x:t>
        </x:is>
      </x:c>
      <x:c r="L188" s="20" t="inlineStr">
        <x:is>
          <x:t xml:space="preserve">Law 4 factor-level bridge wiring</x:t>
        </x:is>
      </x:c>
      <x:c r="M188" s="24" t="inlineStr">
        <x:is>
          <x:t xml:space="preserve">NEEDS_SOURCE_PATH</x:t>
        </x:is>
      </x:c>
      <x:c r="N188" s="21" t="inlineStr">
        <x:is>
          <x:t xml:space="preserve">PLACEHOLDER</x:t>
        </x:is>
      </x:c>
      <x:c r="O188" s="21" t="inlineStr">
        <x:is>
          <x:t xml:space="preserve">PLACEHOLDER</x:t>
        </x:is>
      </x:c>
      <x:c r="P188" s="22" t="inlineStr">
        <x:is>
          <x:t xml:space="preserve">MISSING</x:t>
        </x:is>
      </x:c>
      <x:c r="Q188" s="21" t="inlineStr">
        <x:is>
          <x:t xml:space="preserve">PLACEHOLDER</x:t>
        </x:is>
      </x:c>
      <x:c r="R188" s="21" t="inlineStr">
        <x:is>
          <x:t xml:space="preserve">PLACEHOLDER</x:t>
        </x:is>
      </x:c>
      <x:c r="S188" s="21" t="inlineStr">
        <x:is>
          <x:t xml:space="preserve">PLACEHOLDER</x:t>
        </x:is>
      </x:c>
      <x:c r="T188" s="24" t="inlineStr">
        <x:is>
          <x:t xml:space="preserve">NEEDS_SOURCE_PATH</x:t>
        </x:is>
      </x:c>
      <x:c r="U188" s="21" t="inlineStr">
        <x:is>
          <x:t xml:space="preserve">PLACEHOLDER</x:t>
        </x:is>
      </x:c>
      <x:c r="V188"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89" ht="69" customHeight="1">
      <x:c r="A189" s="20" t="inlineStr">
        <x:is>
          <x:t xml:space="preserve">GAP-03</x:t>
        </x:is>
      </x:c>
      <x:c r="B189" s="20" t="inlineStr">
        <x:is>
          <x:t xml:space="preserve">Justice/Mercy operator is proven independently, but no formal wiring shows how R(offense, α) maps into the Factor.S product slot.</x:t>
        </x:is>
      </x:c>
      <x:c r="C189" s="20" t="inlineStr">
        <x:is>
          <x:t xml:space="preserve">C2 - Structural correspondence candidate</x:t>
        </x:is>
      </x:c>
      <x:c r="D189" s="21" t="inlineStr">
        <x:is>
          <x:t xml:space="preserve">PLACEHOLDER</x:t>
        </x:is>
      </x:c>
      <x:c r="E189" s="22" t="inlineStr">
        <x:is>
          <x:t xml:space="preserve">MISSING</x:t>
        </x:is>
      </x:c>
      <x:c r="F189" s="22" t="inlineStr">
        <x:is>
          <x:t xml:space="preserve">MISSING</x:t>
        </x:is>
      </x:c>
      <x:c r="G189" s="22" t="inlineStr">
        <x:is>
          <x:t xml:space="preserve">MISSING</x:t>
        </x:is>
      </x:c>
      <x:c r="H189" s="22" t="inlineStr">
        <x:is>
          <x:t xml:space="preserve">MISSING</x:t>
        </x:is>
      </x:c>
      <x:c r="I189" s="20" t="inlineStr">
        <x:is>
          <x:t xml:space="preserve">NEEDS_SOURCE_PATH</x:t>
        </x:is>
      </x:c>
      <x:c r="J189" s="20" t="inlineStr">
        <x:is>
          <x:t xml:space="preserve">NEEDS_SOURCE_PATH</x:t>
        </x:is>
      </x:c>
      <x:c r="K189" s="20" t="inlineStr">
        <x:is>
          <x:t xml:space="preserve">NEEDS_SOURCE_PATH</x:t>
        </x:is>
      </x:c>
      <x:c r="L189" s="20" t="inlineStr">
        <x:is>
          <x:t xml:space="preserve">Law 5 factor-level bridge wiring</x:t>
        </x:is>
      </x:c>
      <x:c r="M189" s="24" t="inlineStr">
        <x:is>
          <x:t xml:space="preserve">NEEDS_SOURCE_PATH</x:t>
        </x:is>
      </x:c>
      <x:c r="N189" s="21" t="inlineStr">
        <x:is>
          <x:t xml:space="preserve">PLACEHOLDER</x:t>
        </x:is>
      </x:c>
      <x:c r="O189" s="21" t="inlineStr">
        <x:is>
          <x:t xml:space="preserve">PLACEHOLDER</x:t>
        </x:is>
      </x:c>
      <x:c r="P189" s="22" t="inlineStr">
        <x:is>
          <x:t xml:space="preserve">MISSING</x:t>
        </x:is>
      </x:c>
      <x:c r="Q189" s="21" t="inlineStr">
        <x:is>
          <x:t xml:space="preserve">PLACEHOLDER</x:t>
        </x:is>
      </x:c>
      <x:c r="R189" s="21" t="inlineStr">
        <x:is>
          <x:t xml:space="preserve">PLACEHOLDER</x:t>
        </x:is>
      </x:c>
      <x:c r="S189" s="21" t="inlineStr">
        <x:is>
          <x:t xml:space="preserve">PLACEHOLDER</x:t>
        </x:is>
      </x:c>
      <x:c r="T189" s="24" t="inlineStr">
        <x:is>
          <x:t xml:space="preserve">NEEDS_SOURCE_PATH</x:t>
        </x:is>
      </x:c>
      <x:c r="U189" s="21" t="inlineStr">
        <x:is>
          <x:t xml:space="preserve">PLACEHOLDER</x:t>
        </x:is>
      </x:c>
      <x:c r="V189"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90" ht="69" customHeight="1">
      <x:c r="A190" s="20" t="inlineStr">
        <x:is>
          <x:t xml:space="preserve">GAP-04</x:t>
        </x:is>
      </x:c>
      <x:c r="B190" s="20" t="inlineStr">
        <x:is>
          <x:t xml:space="preserve">Currently a list-map equality. A proper functor between categories of operations would be stronger. Currently DEMOTED to teaching layer.</x:t>
        </x:is>
      </x:c>
      <x:c r="C190" s="20" t="inlineStr">
        <x:is>
          <x:t xml:space="preserve">C3 - Homomorphism candidate</x:t>
        </x:is>
      </x:c>
      <x:c r="D190" s="21" t="inlineStr">
        <x:is>
          <x:t xml:space="preserve">PLACEHOLDER</x:t>
        </x:is>
      </x:c>
      <x:c r="E190" s="22" t="inlineStr">
        <x:is>
          <x:t xml:space="preserve">MISSING</x:t>
        </x:is>
      </x:c>
      <x:c r="F190" s="22" t="inlineStr">
        <x:is>
          <x:t xml:space="preserve">MISSING</x:t>
        </x:is>
      </x:c>
      <x:c r="G190" s="22" t="inlineStr">
        <x:is>
          <x:t xml:space="preserve">MISSING</x:t>
        </x:is>
      </x:c>
      <x:c r="H190" s="22" t="inlineStr">
        <x:is>
          <x:t xml:space="preserve">MISSING</x:t>
        </x:is>
      </x:c>
      <x:c r="I190" s="20" t="inlineStr">
        <x:is>
          <x:t xml:space="preserve">NEEDS_SOURCE_PATH</x:t>
        </x:is>
      </x:c>
      <x:c r="J190" s="20" t="inlineStr">
        <x:is>
          <x:t xml:space="preserve">NEEDS_SOURCE_PATH</x:t>
        </x:is>
      </x:c>
      <x:c r="K190" s="20" t="inlineStr">
        <x:is>
          <x:t xml:space="preserve">NEEDS_SOURCE_PATH</x:t>
        </x:is>
      </x:c>
      <x:c r="L190" s="20" t="inlineStr">
        <x:is>
          <x:t xml:space="preserve">Category-theoretic upgrade of Mapping.lean</x:t>
        </x:is>
      </x:c>
      <x:c r="M190" s="24" t="inlineStr">
        <x:is>
          <x:t xml:space="preserve">NEEDS_SOURCE_PATH</x:t>
        </x:is>
      </x:c>
      <x:c r="N190" s="21" t="inlineStr">
        <x:is>
          <x:t xml:space="preserve">PLACEHOLDER</x:t>
        </x:is>
      </x:c>
      <x:c r="O190" s="21" t="inlineStr">
        <x:is>
          <x:t xml:space="preserve">PLACEHOLDER</x:t>
        </x:is>
      </x:c>
      <x:c r="P190" s="22" t="inlineStr">
        <x:is>
          <x:t xml:space="preserve">MISSING</x:t>
        </x:is>
      </x:c>
      <x:c r="Q190" s="21" t="inlineStr">
        <x:is>
          <x:t xml:space="preserve">PLACEHOLDER</x:t>
        </x:is>
      </x:c>
      <x:c r="R190" s="21" t="inlineStr">
        <x:is>
          <x:t xml:space="preserve">PLACEHOLDER</x:t>
        </x:is>
      </x:c>
      <x:c r="S190" s="21" t="inlineStr">
        <x:is>
          <x:t xml:space="preserve">PLACEHOLDER</x:t>
        </x:is>
      </x:c>
      <x:c r="T190" s="24" t="inlineStr">
        <x:is>
          <x:t xml:space="preserve">NEEDS_SOURCE_PATH</x:t>
        </x:is>
      </x:c>
      <x:c r="U190" s="21" t="inlineStr">
        <x:is>
          <x:t xml:space="preserve">PLACEHOLDER</x:t>
        </x:is>
      </x:c>
      <x:c r="V190"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91" ht="69" customHeight="1">
      <x:c r="A191" s="20" t="inlineStr">
        <x:is>
          <x:t xml:space="preserve">GAP-05</x:t>
        </x:is>
      </x:c>
      <x:c r="B191" s="20" t="inlineStr">
        <x:is>
          <x:t xml:space="preserve">Only 3 of ~20 theology edges have explicit physics edge witnesses. The rest are structurally provable but not yet formalized.</x:t>
        </x:is>
      </x:c>
      <x:c r="C191" s="20" t="inlineStr">
        <x:is>
          <x:t xml:space="preserve">C2 - Structural correspondence candidate</x:t>
        </x:is>
      </x:c>
      <x:c r="D191" s="21" t="inlineStr">
        <x:is>
          <x:t xml:space="preserve">PLACEHOLDER</x:t>
        </x:is>
      </x:c>
      <x:c r="E191" s="22" t="inlineStr">
        <x:is>
          <x:t xml:space="preserve">MISSING</x:t>
        </x:is>
      </x:c>
      <x:c r="F191" s="22" t="inlineStr">
        <x:is>
          <x:t xml:space="preserve">MISSING</x:t>
        </x:is>
      </x:c>
      <x:c r="G191" s="22" t="inlineStr">
        <x:is>
          <x:t xml:space="preserve">MISSING</x:t>
        </x:is>
      </x:c>
      <x:c r="H191" s="22" t="inlineStr">
        <x:is>
          <x:t xml:space="preserve">MISSING</x:t>
        </x:is>
      </x:c>
      <x:c r="I191" s="20" t="inlineStr">
        <x:is>
          <x:t xml:space="preserve">NEEDS_SOURCE_PATH</x:t>
        </x:is>
      </x:c>
      <x:c r="J191" s="20" t="inlineStr">
        <x:is>
          <x:t xml:space="preserve">NEEDS_SOURCE_PATH</x:t>
        </x:is>
      </x:c>
      <x:c r="K191" s="20" t="inlineStr">
        <x:is>
          <x:t xml:space="preserve">NEEDS_SOURCE_PATH</x:t>
        </x:is>
      </x:c>
      <x:c r="L191" s="20" t="inlineStr">
        <x:is>
          <x:t xml:space="preserve">Cross-domain lattice coverage</x:t>
        </x:is>
      </x:c>
      <x:c r="M191" s="24" t="inlineStr">
        <x:is>
          <x:t xml:space="preserve">NEEDS_SOURCE_PATH</x:t>
        </x:is>
      </x:c>
      <x:c r="N191" s="21" t="inlineStr">
        <x:is>
          <x:t xml:space="preserve">PLACEHOLDER</x:t>
        </x:is>
      </x:c>
      <x:c r="O191" s="21" t="inlineStr">
        <x:is>
          <x:t xml:space="preserve">PLACEHOLDER</x:t>
        </x:is>
      </x:c>
      <x:c r="P191" s="22" t="inlineStr">
        <x:is>
          <x:t xml:space="preserve">MISSING</x:t>
        </x:is>
      </x:c>
      <x:c r="Q191" s="21" t="inlineStr">
        <x:is>
          <x:t xml:space="preserve">PLACEHOLDER</x:t>
        </x:is>
      </x:c>
      <x:c r="R191" s="21" t="inlineStr">
        <x:is>
          <x:t xml:space="preserve">PLACEHOLDER</x:t>
        </x:is>
      </x:c>
      <x:c r="S191" s="21" t="inlineStr">
        <x:is>
          <x:t xml:space="preserve">PLACEHOLDER</x:t>
        </x:is>
      </x:c>
      <x:c r="T191" s="24" t="inlineStr">
        <x:is>
          <x:t xml:space="preserve">NEEDS_SOURCE_PATH</x:t>
        </x:is>
      </x:c>
      <x:c r="U191" s="21" t="inlineStr">
        <x:is>
          <x:t xml:space="preserve">PLACEHOLDER</x:t>
        </x:is>
      </x:c>
      <x:c r="V191"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92" ht="69" customHeight="1">
      <x:c r="A192" s="20" t="inlineStr">
        <x:is>
          <x:t xml:space="preserve">SPEC</x:t>
        </x:is>
      </x:c>
      <x:c r="B192" s="20" t="inlineStr">
        <x:is>
          <x:t xml:space="preserve">These gaps cannot be closed by more Lean. They require domain judgment, empirical data, or philosophical argument.</x:t>
        </x:is>
      </x:c>
      <x:c r="C192" s="20" t="inlineStr">
        <x:is>
          <x:t xml:space="preserve">C6 - Empirical model candidate</x:t>
        </x:is>
      </x:c>
      <x:c r="D192" s="21" t="inlineStr">
        <x:is>
          <x:t xml:space="preserve">PLACEHOLDER</x:t>
        </x:is>
      </x:c>
      <x:c r="E192" s="22" t="inlineStr">
        <x:is>
          <x:t xml:space="preserve">MISSING</x:t>
        </x:is>
      </x:c>
      <x:c r="F192" s="22" t="inlineStr">
        <x:is>
          <x:t xml:space="preserve">MISSING</x:t>
        </x:is>
      </x:c>
      <x:c r="G192" s="22" t="inlineStr">
        <x:is>
          <x:t xml:space="preserve">MISSING</x:t>
        </x:is>
      </x:c>
      <x:c r="H192" s="23" t="inlineStr">
        <x:is>
          <x:t xml:space="preserve">PARTIAL</x:t>
        </x:is>
      </x:c>
      <x:c r="I192" s="20" t="inlineStr">
        <x:is>
          <x:t xml:space="preserve">NEEDS_SOURCE_PATH</x:t>
        </x:is>
      </x:c>
      <x:c r="J192" s="20" t="inlineStr">
        <x:is>
          <x:t xml:space="preserve">NEEDS_SOURCE_PATH</x:t>
        </x:is>
      </x:c>
      <x:c r="K192" s="20" t="inlineStr">
        <x:is>
          <x:t xml:space="preserve">NEEDS_SOURCE_PATH</x:t>
        </x:is>
      </x:c>
      <x:c r="L192" s="20" t="inlineStr">
        <x:is>
          <x:t xml:space="preserve">PLACEHOLDER</x:t>
        </x:is>
      </x:c>
      <x:c r="M192" s="24" t="inlineStr">
        <x:is>
          <x:t xml:space="preserve">NEEDS_SOURCE_PATH</x:t>
        </x:is>
      </x:c>
      <x:c r="N192" s="21" t="inlineStr">
        <x:is>
          <x:t xml:space="preserve">PLACEHOLDER</x:t>
        </x:is>
      </x:c>
      <x:c r="O192" s="21" t="inlineStr">
        <x:is>
          <x:t xml:space="preserve">PLACEHOLDER</x:t>
        </x:is>
      </x:c>
      <x:c r="P192" s="22" t="inlineStr">
        <x:is>
          <x:t xml:space="preserve">MISSING</x:t>
        </x:is>
      </x:c>
      <x:c r="Q192" s="21" t="inlineStr">
        <x:is>
          <x:t xml:space="preserve">PLACEHOLDER</x:t>
        </x:is>
      </x:c>
      <x:c r="R192" s="21" t="inlineStr">
        <x:is>
          <x:t xml:space="preserve">PLACEHOLDER</x:t>
        </x:is>
      </x:c>
      <x:c r="S192" s="21" t="inlineStr">
        <x:is>
          <x:t xml:space="preserve">PLACEHOLDER</x:t>
        </x:is>
      </x:c>
      <x:c r="T192" s="24" t="inlineStr">
        <x:is>
          <x:t xml:space="preserve">NEEDS_SOURCE_PATH</x:t>
        </x:is>
      </x:c>
      <x:c r="U192" s="21" t="inlineStr">
        <x:is>
          <x:t xml:space="preserve">PLACEHOLDER</x:t>
        </x:is>
      </x:c>
      <x:c r="V192" s="20" t="inlineStr">
        <x:is>
          <x:t xml:space="preserve">lean_match_count=0 | proof_strength=NOT_FOUND_IN_HUB | Workbook theorem name not found in extracted hub Lean files. | theorem name missing in Structural Staging | source path/line/literal statement requires resolution | definition/proof/numerical/empirical/interp fields still staged as TODO placeholders</x:t>
        </x:is>
      </x:c>
    </x:row>
    <x:row r="193" ht="69" customHeight="1">
      <x:c r="A193" s="20" t="inlineStr">
        <x:is>
          <x:t xml:space="preserve">SPEC-01</x:t>
        </x:is>
      </x:c>
      <x:c r="B193" s="20" t="inlineStr">
        <x:is>
          <x:t xml:space="preserve">Does quaternionEM faithfully represent historical Maxwell quaternion EM? Does loveModel faithfully represent the theological concept of love? These are domain judgment calls, not formal proof targets.</x:t>
        </x:is>
      </x:c>
      <x:c r="C193" s="20" t="inlineStr">
        <x:is>
          <x:t xml:space="preserve">C2 - Structural correspondence candidate</x:t>
        </x:is>
      </x:c>
      <x:c r="D193" s="21" t="inlineStr">
        <x:is>
          <x:t xml:space="preserve">PLACEHOLDER</x:t>
        </x:is>
      </x:c>
      <x:c r="E193" s="22" t="inlineStr">
        <x:is>
          <x:t xml:space="preserve">MISSING</x:t>
        </x:is>
      </x:c>
      <x:c r="F193" s="23" t="inlineStr">
        <x:is>
          <x:t xml:space="preserve">PARTIAL</x:t>
        </x:is>
      </x:c>
      <x:c r="G193" s="22" t="inlineStr">
        <x:is>
          <x:t xml:space="preserve">MISSING</x:t>
        </x:is>
      </x:c>
      <x:c r="H193" s="23" t="inlineStr">
        <x:is>
          <x:t xml:space="preserve">PARTIAL</x:t>
        </x:is>
      </x:c>
      <x:c r="I193" s="20" t="inlineStr">
        <x:is>
          <x:t xml:space="preserve">NEEDS_SOURCE_PATH</x:t>
        </x:is>
      </x:c>
      <x:c r="J193" s="20" t="inlineStr">
        <x:is>
          <x:t xml:space="preserve">NEEDS_SOURCE_PATH</x:t>
        </x:is>
      </x:c>
      <x:c r="K193" s="20" t="inlineStr">
        <x:is>
          <x:t xml:space="preserve">NEEDS_SOURCE_PATH</x:t>
        </x:is>
      </x:c>
      <x:c r="L193" s="20" t="inlineStr">
        <x:is>
          <x:t xml:space="preserve">Faithful abstraction</x:t>
        </x:is>
      </x:c>
      <x:c r="M193" s="25" t="inlineStr">
        <x:is>
          <x:t xml:space="preserve">DOMAIN_JUDGMENT_NOT_LEAN_PROOF</x:t>
        </x:is>
      </x:c>
      <x:c r="N193" s="21" t="inlineStr">
        <x:is>
          <x:t xml:space="preserve">PLACEHOLDER</x:t>
        </x:is>
      </x:c>
      <x:c r="O193" s="21" t="inlineStr">
        <x:is>
          <x:t xml:space="preserve">PLACEHOLDER</x:t>
        </x:is>
      </x:c>
      <x:c r="P193" s="22" t="inlineStr">
        <x:is>
          <x:t xml:space="preserve">MISSING</x:t>
        </x:is>
      </x:c>
      <x:c r="Q193" s="21" t="inlineStr">
        <x:is>
          <x:t xml:space="preserve">PLACEHOLDER</x:t>
        </x:is>
      </x:c>
      <x:c r="R193" s="21" t="inlineStr">
        <x:is>
          <x:t xml:space="preserve">PLACEHOLDER</x:t>
        </x:is>
      </x:c>
      <x:c r="S193" s="21" t="inlineStr">
        <x:is>
          <x:t xml:space="preserve">PLACEHOLDER</x:t>
        </x:is>
      </x:c>
      <x:c r="T193" s="25" t="inlineStr">
        <x:is>
          <x:t xml:space="preserve">DOMAIN_JUDGMENT_NOT_LEAN_PROOF</x:t>
        </x:is>
      </x:c>
      <x:c r="U193" s="21" t="inlineStr">
        <x:is>
          <x:t xml:space="preserve">PLACEHOLDER</x:t>
        </x:is>
      </x:c>
      <x:c r="V193"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94" ht="69" customHeight="1">
      <x:c r="A194" s="20" t="inlineStr">
        <x:is>
          <x:t xml:space="preserve">SPEC-02</x:t>
        </x:is>
      </x:c>
      <x:c r="B194" s="20" t="inlineStr">
        <x:is>
          <x:t xml:space="preserve">The relabeled-coin adversarial result proves Lean CAN be gamed by relabeling. The guard is domain review, not formal proof. This is an inherent limit of any formal system.</x:t>
        </x:is>
      </x:c>
      <x:c r="C194" s="20" t="inlineStr">
        <x:is>
          <x:t xml:space="preserve">C2 - Structural correspondence candidate</x:t>
        </x:is>
      </x:c>
      <x:c r="D194" s="21" t="inlineStr">
        <x:is>
          <x:t xml:space="preserve">PLACEHOLDER</x:t>
        </x:is>
      </x:c>
      <x:c r="E194" s="22" t="inlineStr">
        <x:is>
          <x:t xml:space="preserve">MISSING</x:t>
        </x:is>
      </x:c>
      <x:c r="F194" s="22" t="inlineStr">
        <x:is>
          <x:t xml:space="preserve">MISSING</x:t>
        </x:is>
      </x:c>
      <x:c r="G194" s="22" t="inlineStr">
        <x:is>
          <x:t xml:space="preserve">MISSING</x:t>
        </x:is>
      </x:c>
      <x:c r="H194" s="23" t="inlineStr">
        <x:is>
          <x:t xml:space="preserve">PARTIAL</x:t>
        </x:is>
      </x:c>
      <x:c r="I194" s="20" t="inlineStr">
        <x:is>
          <x:t xml:space="preserve">NEEDS_SOURCE_PATH</x:t>
        </x:is>
      </x:c>
      <x:c r="J194" s="20" t="inlineStr">
        <x:is>
          <x:t xml:space="preserve">NEEDS_SOURCE_PATH</x:t>
        </x:is>
      </x:c>
      <x:c r="K194" s="20" t="inlineStr">
        <x:is>
          <x:t xml:space="preserve">NEEDS_SOURCE_PATH</x:t>
        </x:is>
      </x:c>
      <x:c r="L194" s="20" t="inlineStr">
        <x:is>
          <x:t xml:space="preserve">Label honesty</x:t>
        </x:is>
      </x:c>
      <x:c r="M194" s="24" t="inlineStr">
        <x:is>
          <x:t xml:space="preserve">NEEDS_SOURCE_PATH</x:t>
        </x:is>
      </x:c>
      <x:c r="N194" s="21" t="inlineStr">
        <x:is>
          <x:t xml:space="preserve">PLACEHOLDER</x:t>
        </x:is>
      </x:c>
      <x:c r="O194" s="21" t="inlineStr">
        <x:is>
          <x:t xml:space="preserve">PLACEHOLDER</x:t>
        </x:is>
      </x:c>
      <x:c r="P194" s="22" t="inlineStr">
        <x:is>
          <x:t xml:space="preserve">MISSING</x:t>
        </x:is>
      </x:c>
      <x:c r="Q194" s="21" t="inlineStr">
        <x:is>
          <x:t xml:space="preserve">PLACEHOLDER</x:t>
        </x:is>
      </x:c>
      <x:c r="R194" s="21" t="inlineStr">
        <x:is>
          <x:t xml:space="preserve">PLACEHOLDER</x:t>
        </x:is>
      </x:c>
      <x:c r="S194" s="21" t="inlineStr">
        <x:is>
          <x:t xml:space="preserve">PLACEHOLDER</x:t>
        </x:is>
      </x:c>
      <x:c r="T194" s="24" t="inlineStr">
        <x:is>
          <x:t xml:space="preserve">NEEDS_SOURCE_PATH</x:t>
        </x:is>
      </x:c>
      <x:c r="U194" s="21" t="inlineStr">
        <x:is>
          <x:t xml:space="preserve">PLACEHOLDER</x:t>
        </x:is>
      </x:c>
      <x:c r="V194"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95" ht="69" customHeight="1">
      <x:c r="A195" s="20" t="inlineStr">
        <x:is>
          <x:t xml:space="preserve">SPEC-03</x:t>
        </x:is>
      </x:c>
      <x:c r="B195" s="20" t="inlineStr">
        <x:is>
          <x:t xml:space="preserve">The 5.7–6.35σ experimental correlations are NOT formalized in Lean. Statistical claims reference external data not encoded in the proof system.</x:t>
        </x:is>
      </x:c>
      <x:c r="C195" s="20" t="inlineStr">
        <x:is>
          <x:t xml:space="preserve">C6 - Empirical model candidate</x:t>
        </x:is>
      </x:c>
      <x:c r="D195" s="21" t="inlineStr">
        <x:is>
          <x:t xml:space="preserve">PLACEHOLDER</x:t>
        </x:is>
      </x:c>
      <x:c r="E195" s="22" t="inlineStr">
        <x:is>
          <x:t xml:space="preserve">MISSING</x:t>
        </x:is>
      </x:c>
      <x:c r="F195" s="22" t="inlineStr">
        <x:is>
          <x:t xml:space="preserve">MISSING</x:t>
        </x:is>
      </x:c>
      <x:c r="G195" s="22" t="inlineStr">
        <x:is>
          <x:t xml:space="preserve">MISSING</x:t>
        </x:is>
      </x:c>
      <x:c r="H195" s="22" t="inlineStr">
        <x:is>
          <x:t xml:space="preserve">MISSING</x:t>
        </x:is>
      </x:c>
      <x:c r="I195" s="20" t="inlineStr">
        <x:is>
          <x:t xml:space="preserve">NEEDS_SOURCE_PATH</x:t>
        </x:is>
      </x:c>
      <x:c r="J195" s="20" t="inlineStr">
        <x:is>
          <x:t xml:space="preserve">NEEDS_SOURCE_PATH</x:t>
        </x:is>
      </x:c>
      <x:c r="K195" s="20" t="inlineStr">
        <x:is>
          <x:t xml:space="preserve">NEEDS_SOURCE_PATH</x:t>
        </x:is>
      </x:c>
      <x:c r="L195" s="20" t="inlineStr">
        <x:is>
          <x:t xml:space="preserve">Empirical validation</x:t>
        </x:is>
      </x:c>
      <x:c r="M195" s="24" t="inlineStr">
        <x:is>
          <x:t xml:space="preserve">NEEDS_SOURCE_PATH</x:t>
        </x:is>
      </x:c>
      <x:c r="N195" s="21" t="inlineStr">
        <x:is>
          <x:t xml:space="preserve">PLACEHOLDER</x:t>
        </x:is>
      </x:c>
      <x:c r="O195" s="21" t="inlineStr">
        <x:is>
          <x:t xml:space="preserve">PLACEHOLDER</x:t>
        </x:is>
      </x:c>
      <x:c r="P195" s="22" t="inlineStr">
        <x:is>
          <x:t xml:space="preserve">MISSING</x:t>
        </x:is>
      </x:c>
      <x:c r="Q195" s="21" t="inlineStr">
        <x:is>
          <x:t xml:space="preserve">PLACEHOLDER</x:t>
        </x:is>
      </x:c>
      <x:c r="R195" s="21" t="inlineStr">
        <x:is>
          <x:t xml:space="preserve">PLACEHOLDER</x:t>
        </x:is>
      </x:c>
      <x:c r="S195" s="21" t="inlineStr">
        <x:is>
          <x:t xml:space="preserve">PLACEHOLDER</x:t>
        </x:is>
      </x:c>
      <x:c r="T195" s="24" t="inlineStr">
        <x:is>
          <x:t xml:space="preserve">NEEDS_SOURCE_PATH</x:t>
        </x:is>
      </x:c>
      <x:c r="U195" s="21" t="inlineStr">
        <x:is>
          <x:t xml:space="preserve">PLACEHOLDER</x:t>
        </x:is>
      </x:c>
      <x:c r="V195"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96" ht="69" customHeight="1">
      <x:c r="A196" s="20" t="inlineStr">
        <x:is>
          <x:t xml:space="preserve">SPEC-04</x:t>
        </x:is>
      </x:c>
      <x:c r="B196" s="20" t="inlineStr">
        <x:is>
          <x:t xml:space="preserve">All models use Nat/Int/Bool. Continuous-domain physics (real-valued fields, differential equations, Lagrangians) would require Mathlib. Not attempted.</x:t>
        </x:is>
      </x:c>
      <x:c r="C196" s="20" t="inlineStr">
        <x:is>
          <x:t xml:space="preserve">C5 - Dynamical equivalence candidate</x:t>
        </x:is>
      </x:c>
      <x:c r="D196" s="21" t="inlineStr">
        <x:is>
          <x:t xml:space="preserve">PLACEHOLDER</x:t>
        </x:is>
      </x:c>
      <x:c r="E196" s="22" t="inlineStr">
        <x:is>
          <x:t xml:space="preserve">MISSING</x:t>
        </x:is>
      </x:c>
      <x:c r="F196" s="22" t="inlineStr">
        <x:is>
          <x:t xml:space="preserve">MISSING</x:t>
        </x:is>
      </x:c>
      <x:c r="G196" s="22" t="inlineStr">
        <x:is>
          <x:t xml:space="preserve">MISSING</x:t>
        </x:is>
      </x:c>
      <x:c r="H196" s="22" t="inlineStr">
        <x:is>
          <x:t xml:space="preserve">MISSING</x:t>
        </x:is>
      </x:c>
      <x:c r="I196" s="20" t="inlineStr">
        <x:is>
          <x:t xml:space="preserve">NEEDS_SOURCE_PATH</x:t>
        </x:is>
      </x:c>
      <x:c r="J196" s="20" t="inlineStr">
        <x:is>
          <x:t xml:space="preserve">NEEDS_SOURCE_PATH</x:t>
        </x:is>
      </x:c>
      <x:c r="K196" s="20" t="inlineStr">
        <x:is>
          <x:t xml:space="preserve">NEEDS_SOURCE_PATH</x:t>
        </x:is>
      </x:c>
      <x:c r="L196" s="20" t="inlineStr">
        <x:is>
          <x:t xml:space="preserve">Continuous mathematics</x:t>
        </x:is>
      </x:c>
      <x:c r="M196" s="24" t="inlineStr">
        <x:is>
          <x:t xml:space="preserve">NEEDS_SOURCE_PATH</x:t>
        </x:is>
      </x:c>
      <x:c r="N196" s="21" t="inlineStr">
        <x:is>
          <x:t xml:space="preserve">PLACEHOLDER</x:t>
        </x:is>
      </x:c>
      <x:c r="O196" s="21" t="inlineStr">
        <x:is>
          <x:t xml:space="preserve">PLACEHOLDER</x:t>
        </x:is>
      </x:c>
      <x:c r="P196" s="22" t="inlineStr">
        <x:is>
          <x:t xml:space="preserve">MISSING</x:t>
        </x:is>
      </x:c>
      <x:c r="Q196" s="21" t="inlineStr">
        <x:is>
          <x:t xml:space="preserve">PLACEHOLDER</x:t>
        </x:is>
      </x:c>
      <x:c r="R196" s="21" t="inlineStr">
        <x:is>
          <x:t xml:space="preserve">PLACEHOLDER</x:t>
        </x:is>
      </x:c>
      <x:c r="S196" s="21" t="inlineStr">
        <x:is>
          <x:t xml:space="preserve">PLACEHOLDER</x:t>
        </x:is>
      </x:c>
      <x:c r="T196" s="24" t="inlineStr">
        <x:is>
          <x:t xml:space="preserve">NEEDS_SOURCE_PATH</x:t>
        </x:is>
      </x:c>
      <x:c r="U196" s="21" t="inlineStr">
        <x:is>
          <x:t xml:space="preserve">PLACEHOLDER</x:t>
        </x:is>
      </x:c>
      <x:c r="V196"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97" ht="69" customHeight="1">
      <x:c r="A197" s="20" t="inlineStr">
        <x:is>
          <x:t xml:space="preserve">SPEC-05</x:t>
        </x:is>
      </x:c>
      <x:c r="B197" s="20" t="inlineStr">
        <x:is>
          <x:t xml:space="preserve">Lean proves the repair STRUCTURE is unique. Whether Jesus of Nazareth is that structure requires historical evidence, not formal proof. History must be tested separately.</x:t>
        </x:is>
      </x:c>
      <x:c r="C197" s="20" t="inlineStr">
        <x:is>
          <x:t xml:space="preserve">C2 - Structural correspondence candidate</x:t>
        </x:is>
      </x:c>
      <x:c r="D197" s="21" t="inlineStr">
        <x:is>
          <x:t xml:space="preserve">PLACEHOLDER</x:t>
        </x:is>
      </x:c>
      <x:c r="E197" s="23" t="inlineStr">
        <x:is>
          <x:t xml:space="preserve">PARTIAL</x:t>
        </x:is>
      </x:c>
      <x:c r="F197" s="22" t="inlineStr">
        <x:is>
          <x:t xml:space="preserve">MISSING</x:t>
        </x:is>
      </x:c>
      <x:c r="G197" s="22" t="inlineStr">
        <x:is>
          <x:t xml:space="preserve">MISSING</x:t>
        </x:is>
      </x:c>
      <x:c r="H197" s="22" t="inlineStr">
        <x:is>
          <x:t xml:space="preserve">MISSING</x:t>
        </x:is>
      </x:c>
      <x:c r="I197" s="20" t="inlineStr">
        <x:is>
          <x:t xml:space="preserve">NEEDS_SOURCE_PATH</x:t>
        </x:is>
      </x:c>
      <x:c r="J197" s="20" t="inlineStr">
        <x:is>
          <x:t xml:space="preserve">NEEDS_SOURCE_PATH</x:t>
        </x:is>
      </x:c>
      <x:c r="K197" s="20" t="inlineStr">
        <x:is>
          <x:t xml:space="preserve">NEEDS_SOURCE_PATH</x:t>
        </x:is>
      </x:c>
      <x:c r="L197" s="20" t="inlineStr">
        <x:is>
          <x:t xml:space="preserve">Historical claims</x:t>
        </x:is>
      </x:c>
      <x:c r="M197" s="24" t="inlineStr">
        <x:is>
          <x:t xml:space="preserve">NEEDS_SOURCE_PATH</x:t>
        </x:is>
      </x:c>
      <x:c r="N197" s="21" t="inlineStr">
        <x:is>
          <x:t xml:space="preserve">PLACEHOLDER</x:t>
        </x:is>
      </x:c>
      <x:c r="O197" s="21" t="inlineStr">
        <x:is>
          <x:t xml:space="preserve">PLACEHOLDER</x:t>
        </x:is>
      </x:c>
      <x:c r="P197" s="22" t="inlineStr">
        <x:is>
          <x:t xml:space="preserve">MISSING</x:t>
        </x:is>
      </x:c>
      <x:c r="Q197" s="21" t="inlineStr">
        <x:is>
          <x:t xml:space="preserve">PLACEHOLDER</x:t>
        </x:is>
      </x:c>
      <x:c r="R197" s="21" t="inlineStr">
        <x:is>
          <x:t xml:space="preserve">PLACEHOLDER</x:t>
        </x:is>
      </x:c>
      <x:c r="S197" s="21" t="inlineStr">
        <x:is>
          <x:t xml:space="preserve">PLACEHOLDER</x:t>
        </x:is>
      </x:c>
      <x:c r="T197" s="24" t="inlineStr">
        <x:is>
          <x:t xml:space="preserve">NEEDS_SOURCE_PATH</x:t>
        </x:is>
      </x:c>
      <x:c r="U197" s="21" t="inlineStr">
        <x:is>
          <x:t xml:space="preserve">PLACEHOLDER</x:t>
        </x:is>
      </x:c>
      <x:c r="V197" s="20" t="inlineStr">
        <x:is>
          <x:t xml:space="preserve">lean_match_count=0 | proof_strength=NOT_FOUND_IN_HUB | Workbook theorem name not found in extracted hub Lean files. | source path/line/literal statement requires resolution | definition/proof/numerical/empirical/interp fields still staged as TODO placeholders</x:t>
        </x:is>
      </x:c>
    </x:row>
    <x:row r="198" ht="55.20000076293945" customHeight="1">
      <x:c r="A198" s="20" t="inlineStr">
        <x:is>
          <x:t xml:space="preserve">211</x:t>
        </x:is>
      </x:c>
      <x:c r="B198" s="20" t="inlineStr">
        <x:is>
          <x:t xml:space="preserve">Strong Q with closed R gate still collapses - strength is not sufficiency</x:t>
        </x:is>
      </x:c>
      <x:c r="C198" s="20" t="inlineStr">
        <x:is>
          <x:t xml:space="preserve">C2 - Structural correspondence candidate</x:t>
        </x:is>
      </x:c>
      <x:c r="D198" s="21" t="inlineStr">
        <x:is>
          <x:t xml:space="preserve">PLACEHOLDER</x:t>
        </x:is>
      </x:c>
      <x:c r="E198" s="22" t="inlineStr">
        <x:is>
          <x:t xml:space="preserve">MISSING</x:t>
        </x:is>
      </x:c>
      <x:c r="F198" s="22" t="inlineStr">
        <x:is>
          <x:t xml:space="preserve">MISSING</x:t>
        </x:is>
      </x:c>
      <x:c r="G198" s="22" t="inlineStr">
        <x:is>
          <x:t xml:space="preserve">MISSING</x:t>
        </x:is>
      </x:c>
      <x:c r="H198" s="22" t="inlineStr">
        <x:is>
          <x:t xml:space="preserve">MISSING</x:t>
        </x:is>
      </x:c>
      <x:c r="I198" s="20" t="inlineStr">
        <x:is>
          <x:t xml:space="preserve">Faith-Thru-Physics-Lean-4--main\Faith-Thru-Physics-Lean-4--main\Theophysics_NegativeInventory.lean</x:t>
        </x:is>
      </x:c>
      <x:c r="J198" s="20" t="inlineStr">
        <x:is>
          <x:t xml:space="preserve">35</x:t>
        </x:is>
      </x:c>
      <x:c r="K198" s="20" t="inlineStr">
        <x:is>
          <x:t xml:space="preserve">theorem strong_Q_with_zero_R_gate_fails (x : FactorState) (_hQ : x.Q &gt; 0) (hR : x.R = 0) : chi x = 0 := R_zero_collapses_chi x hR /-- Strong R (relational gate open) without source-backing (G = 0) still collapses. -/</x:t>
        </x:is>
      </x:c>
      <x:c r="L198" s="20" t="inlineStr">
        <x:is>
          <x:t xml:space="preserve">strong_Q_with_zero_R_gate_fails</x:t>
        </x:is>
      </x:c>
      <x:c r="M198" s="26" t="inlineStr">
        <x:is>
          <x:t xml:space="preserve">SUPPORTED</x:t>
        </x:is>
      </x:c>
      <x:c r="N198" s="21" t="inlineStr">
        <x:is>
          <x:t xml:space="preserve">PLACEHOLDER</x:t>
        </x:is>
      </x:c>
      <x:c r="O198" s="21" t="inlineStr">
        <x:is>
          <x:t xml:space="preserve">PLACEHOLDER</x:t>
        </x:is>
      </x:c>
      <x:c r="P198" s="22" t="inlineStr">
        <x:is>
          <x:t xml:space="preserve">MISSING</x:t>
        </x:is>
      </x:c>
      <x:c r="Q198" s="21" t="inlineStr">
        <x:is>
          <x:t xml:space="preserve">PLACEHOLDER</x:t>
        </x:is>
      </x:c>
      <x:c r="R198" s="21" t="inlineStr">
        <x:is>
          <x:t xml:space="preserve">PLACEHOLDER</x:t>
        </x:is>
      </x:c>
      <x:c r="S198" s="21" t="inlineStr">
        <x:is>
          <x:t xml:space="preserve">PLACEHOLDER</x:t>
        </x:is>
      </x:c>
      <x:c r="T198" s="23" t="inlineStr">
        <x:is>
          <x:t xml:space="preserve">PARTIAL</x:t>
        </x:is>
      </x:c>
      <x:c r="U198" s="21" t="inlineStr">
        <x:is>
          <x:t xml:space="preserve">PLACEHOLDER</x:t>
        </x:is>
      </x:c>
      <x:c r="V198" s="20" t="inlineStr">
        <x:is>
          <x:t xml:space="preserve">lean_match_count=1 | proof_strength=DECLARATION_OR_UNKNOWN | Could not classify from first proof lines. | definition/proof/numerical/empirical/interp fields still staged as TODO placeholders</x:t>
        </x:is>
      </x:c>
    </x:row>
    <x:row r="199" ht="69" customHeight="1">
      <x:c r="A199" s="20" t="inlineStr">
        <x:is>
          <x:t xml:space="preserve">212</x:t>
        </x:is>
      </x:c>
      <x:c r="B199" s="20" t="inlineStr">
        <x:is>
          <x:t xml:space="preserve">Open R gate without source-backing (G=0) still collapses</x:t>
        </x:is>
      </x:c>
      <x:c r="C199" s="20" t="inlineStr">
        <x:is>
          <x:t xml:space="preserve">C2 - Structural correspondence candidate</x:t>
        </x:is>
      </x:c>
      <x:c r="D199" s="21" t="inlineStr">
        <x:is>
          <x:t xml:space="preserve">PLACEHOLDER</x:t>
        </x:is>
      </x:c>
      <x:c r="E199" s="22" t="inlineStr">
        <x:is>
          <x:t xml:space="preserve">MISSING</x:t>
        </x:is>
      </x:c>
      <x:c r="F199" s="22" t="inlineStr">
        <x:is>
          <x:t xml:space="preserve">MISSING</x:t>
        </x:is>
      </x:c>
      <x:c r="G199" s="23" t="inlineStr">
        <x:is>
          <x:t xml:space="preserve">PARTIAL</x:t>
        </x:is>
      </x:c>
      <x:c r="H199" s="22" t="inlineStr">
        <x:is>
          <x:t xml:space="preserve">MISSING</x:t>
        </x:is>
      </x:c>
      <x:c r="I199" s="20" t="inlineStr">
        <x:is>
          <x:t xml:space="preserve">Faith-Thru-Physics-Lean-4--main\Faith-Thru-Physics-Lean-4--main\Theophysics_NegativeInventory.lean</x:t>
        </x:is>
      </x:c>
      <x:c r="J199" s="20" t="inlineStr">
        <x:is>
          <x:t xml:space="preserve">40</x:t>
        </x:is>
      </x:c>
      <x:c r="K199" s="20" t="inlineStr">
        <x:is>
          <x:t xml:space="preserve">theorem strong_R_without_source_backing_fails (x : FactorState) (_hR : x.R &gt; 0) (hG : x.G = 0) : chi x = 0 := G_zero_collapses_chi x hG /-- Nine factors maxed, one prerequisite missing: still zero. High local positivity does not compensate for a missing global prerequisite. -/</x:t>
        </x:is>
      </x:c>
      <x:c r="L199" s="20" t="inlineStr">
        <x:is>
          <x:t xml:space="preserve">strong_R_without_source_backing_fails</x:t>
        </x:is>
      </x:c>
      <x:c r="M199" s="26" t="inlineStr">
        <x:is>
          <x:t xml:space="preserve">SUPPORTED</x:t>
        </x:is>
      </x:c>
      <x:c r="N199" s="21" t="inlineStr">
        <x:is>
          <x:t xml:space="preserve">PLACEHOLDER</x:t>
        </x:is>
      </x:c>
      <x:c r="O199" s="21" t="inlineStr">
        <x:is>
          <x:t xml:space="preserve">PLACEHOLDER</x:t>
        </x:is>
      </x:c>
      <x:c r="P199" s="22" t="inlineStr">
        <x:is>
          <x:t xml:space="preserve">MISSING</x:t>
        </x:is>
      </x:c>
      <x:c r="Q199" s="21" t="inlineStr">
        <x:is>
          <x:t xml:space="preserve">PLACEHOLDER</x:t>
        </x:is>
      </x:c>
      <x:c r="R199" s="21" t="inlineStr">
        <x:is>
          <x:t xml:space="preserve">PLACEHOLDER</x:t>
        </x:is>
      </x:c>
      <x:c r="S199" s="21" t="inlineStr">
        <x:is>
          <x:t xml:space="preserve">PLACEHOLDER</x:t>
        </x:is>
      </x:c>
      <x:c r="T199" s="23" t="inlineStr">
        <x:is>
          <x:t xml:space="preserve">PARTIAL</x:t>
        </x:is>
      </x:c>
      <x:c r="U199" s="21" t="inlineStr">
        <x:is>
          <x:t xml:space="preserve">PLACEHOLDER</x:t>
        </x:is>
      </x:c>
      <x:c r="V199" s="20" t="inlineStr">
        <x:is>
          <x:t xml:space="preserve">lean_match_count=1 | proof_strength=DECLARATION_OR_UNKNOWN | Could not classify from first proof lines. | definition/proof/numerical/empirical/interp fields still staged as TODO placeholders</x:t>
        </x:is>
      </x:c>
    </x:row>
    <x:row r="200" ht="55.20000076293945" customHeight="1">
      <x:c r="A200" s="20" t="inlineStr">
        <x:is>
          <x:t xml:space="preserve">213</x:t>
        </x:is>
      </x:c>
      <x:c r="B200" s="20" t="inlineStr">
        <x:is>
          <x:t xml:space="preserve">Nine factors at 9, one at 0 gives chi=0; local positivity cannot compensate</x:t>
        </x:is>
      </x:c>
      <x:c r="C200" s="20" t="inlineStr">
        <x:is>
          <x:t xml:space="preserve">C2 - Structural correspondence candidate</x:t>
        </x:is>
      </x:c>
      <x:c r="D200" s="21" t="inlineStr">
        <x:is>
          <x:t xml:space="preserve">PLACEHOLDER</x:t>
        </x:is>
      </x:c>
      <x:c r="E200" s="22" t="inlineStr">
        <x:is>
          <x:t xml:space="preserve">MISSING</x:t>
        </x:is>
      </x:c>
      <x:c r="F200" s="22" t="inlineStr">
        <x:is>
          <x:t xml:space="preserve">MISSING</x:t>
        </x:is>
      </x:c>
      <x:c r="G200" s="23" t="inlineStr">
        <x:is>
          <x:t xml:space="preserve">PARTIAL</x:t>
        </x:is>
      </x:c>
      <x:c r="H200" s="22" t="inlineStr">
        <x:is>
          <x:t xml:space="preserve">MISSING</x:t>
        </x:is>
      </x:c>
      <x:c r="I200" s="20" t="inlineStr">
        <x:is>
          <x:t xml:space="preserve">Faith-Thru-Physics-Lean-4--main\Faith-Thru-Physics-Lean-4--main\Theophysics_NegativeInventory.lean</x:t>
        </x:is>
      </x:c>
      <x:c r="J200" s="20" t="inlineStr">
        <x:is>
          <x:t xml:space="preserve">46</x:t>
        </x:is>
      </x:c>
      <x:c r="K200" s="20" t="inlineStr">
        <x:is>
          <x:t xml:space="preserve">theorem nine_maxed_one_zero_fails : chi ⟨9, 9, 9, 9, 9, 9, 9, 0, 9, 9⟩ = 0</x:t>
        </x:is>
      </x:c>
      <x:c r="L200" s="20" t="inlineStr">
        <x:is>
          <x:t xml:space="preserve">nine_maxed_one_zero_fails</x:t>
        </x:is>
      </x:c>
      <x:c r="M200" s="26" t="inlineStr">
        <x:is>
          <x:t xml:space="preserve">SUPPORTED</x:t>
        </x:is>
      </x:c>
      <x:c r="N200" s="21" t="inlineStr">
        <x:is>
          <x:t xml:space="preserve">PLACEHOLDER</x:t>
        </x:is>
      </x:c>
      <x:c r="O200" s="21" t="inlineStr">
        <x:is>
          <x:t xml:space="preserve">PLACEHOLDER</x:t>
        </x:is>
      </x:c>
      <x:c r="P200" s="22" t="inlineStr">
        <x:is>
          <x:t xml:space="preserve">MISSING</x:t>
        </x:is>
      </x:c>
      <x:c r="Q200" s="21" t="inlineStr">
        <x:is>
          <x:t xml:space="preserve">PLACEHOLDER</x:t>
        </x:is>
      </x:c>
      <x:c r="R200" s="21" t="inlineStr">
        <x:is>
          <x:t xml:space="preserve">PLACEHOLDER</x:t>
        </x:is>
      </x:c>
      <x:c r="S200" s="21" t="inlineStr">
        <x:is>
          <x:t xml:space="preserve">PLACEHOLDER</x:t>
        </x:is>
      </x:c>
      <x:c r="T200" s="23" t="inlineStr">
        <x:is>
          <x:t xml:space="preserve">PARTIAL</x:t>
        </x:is>
      </x:c>
      <x:c r="U200" s="21" t="inlineStr">
        <x:is>
          <x:t xml:space="preserve">PLACEHOLDER</x:t>
        </x:is>
      </x:c>
      <x:c r="V200" s="20" t="inlineStr">
        <x:is>
          <x:t xml:space="preserve">lean_match_count=1 | proof_strength=FINITE_DECIDABLE | Finite/decidable proof; check candidate-space limits. | definition/proof/numerical/empirical/interp fields still staged as TODO placeholders</x:t>
        </x:is>
      </x:c>
    </x:row>
    <x:row r="201" ht="55.20000076293945" customHeight="1">
      <x:c r="A201" s="20" t="inlineStr">
        <x:is>
          <x:t xml:space="preserve">214</x:t>
        </x:is>
      </x:c>
      <x:c r="B201" s="20" t="inlineStr">
        <x:is>
          <x:t xml:space="preserve">General schema: no factor strength rescues any other factor zero (all 10)</x:t>
        </x:is>
      </x:c>
      <x:c r="C201" s="20" t="inlineStr">
        <x:is>
          <x:t xml:space="preserve">C2 - Structural correspondence candidate</x:t>
        </x:is>
      </x:c>
      <x:c r="D201" s="21" t="inlineStr">
        <x:is>
          <x:t xml:space="preserve">PLACEHOLDER</x:t>
        </x:is>
      </x:c>
      <x:c r="E201" s="22" t="inlineStr">
        <x:is>
          <x:t xml:space="preserve">MISSING</x:t>
        </x:is>
      </x:c>
      <x:c r="F201" s="22" t="inlineStr">
        <x:is>
          <x:t xml:space="preserve">MISSING</x:t>
        </x:is>
      </x:c>
      <x:c r="G201" s="23" t="inlineStr">
        <x:is>
          <x:t xml:space="preserve">PARTIAL</x:t>
        </x:is>
      </x:c>
      <x:c r="H201" s="22" t="inlineStr">
        <x:is>
          <x:t xml:space="preserve">MISSING</x:t>
        </x:is>
      </x:c>
      <x:c r="I201" s="20" t="inlineStr">
        <x:is>
          <x:t xml:space="preserve">Faith-Thru-Physics-Lean-4--main\Faith-Thru-Physics-Lean-4--main\Theophysics_NegativeInventory.lean</x:t>
        </x:is>
      </x:c>
      <x:c r="J201" s="20" t="inlineStr">
        <x:is>
          <x:t xml:space="preserve">51</x:t>
        </x:is>
      </x:c>
      <x:c r="K201" s="20" t="inlineStr">
        <x:is>
          <x:t xml:space="preserve">theorem no_factor_strength_rescues_any_zero (x : FactorState) (f : Factor) (hzero : Theophysics.Experiment.get f x = 0) : chi x = 0</x:t>
        </x:is>
      </x:c>
      <x:c r="L201" s="20" t="inlineStr">
        <x:is>
          <x:t xml:space="preserve">no_factor_strength_rescues_any_zero</x:t>
        </x:is>
      </x:c>
      <x:c r="M201" s="26" t="inlineStr">
        <x:is>
          <x:t xml:space="preserve">SUPPORTED</x:t>
        </x:is>
      </x:c>
      <x:c r="N201" s="21" t="inlineStr">
        <x:is>
          <x:t xml:space="preserve">PLACEHOLDER</x:t>
        </x:is>
      </x:c>
      <x:c r="O201" s="21" t="inlineStr">
        <x:is>
          <x:t xml:space="preserve">PLACEHOLDER</x:t>
        </x:is>
      </x:c>
      <x:c r="P201" s="22" t="inlineStr">
        <x:is>
          <x:t xml:space="preserve">MISSING</x:t>
        </x:is>
      </x:c>
      <x:c r="Q201" s="21" t="inlineStr">
        <x:is>
          <x:t xml:space="preserve">PLACEHOLDER</x:t>
        </x:is>
      </x:c>
      <x:c r="R201" s="21" t="inlineStr">
        <x:is>
          <x:t xml:space="preserve">PLACEHOLDER</x:t>
        </x:is>
      </x:c>
      <x:c r="S201" s="21" t="inlineStr">
        <x:is>
          <x:t xml:space="preserve">PLACEHOLDER</x:t>
        </x:is>
      </x:c>
      <x:c r="T201" s="23" t="inlineStr">
        <x:is>
          <x:t xml:space="preserve">PARTIAL</x:t>
        </x:is>
      </x:c>
      <x:c r="U201" s="21" t="inlineStr">
        <x:is>
          <x:t xml:space="preserve">PLACEHOLDER</x:t>
        </x:is>
      </x:c>
      <x:c r="V201" s="20" t="inlineStr">
        <x:is>
          <x:t xml:space="preserve">lean_match_count=1 | proof_strength=WRAPPER_OR_IMPORTED | Likely delegates to another theorem; cite underlying theorem too. | definition/proof/numerical/empirical/interp fields still staged as TODO placeholders</x:t>
        </x:is>
      </x:c>
    </x:row>
    <x:row r="202" ht="193.1999969482422" customHeight="1">
      <x:c r="A202" s="20" t="inlineStr">
        <x:is>
          <x:t xml:space="preserve">215</x:t>
        </x:is>
      </x:c>
      <x:c r="B202" s="20" t="inlineStr">
        <x:is>
          <x:t xml:space="preserve">Effort with mediation channel K closed leaves chi=0</x:t>
        </x:is>
      </x:c>
      <x:c r="C202" s="20" t="inlineStr">
        <x:is>
          <x:t xml:space="preserve">C2 - Structural correspondence candidate</x:t>
        </x:is>
      </x:c>
      <x:c r="D202" s="21" t="inlineStr">
        <x:is>
          <x:t xml:space="preserve">PLACEHOLDER</x:t>
        </x:is>
      </x:c>
      <x:c r="E202" s="22" t="inlineStr">
        <x:is>
          <x:t xml:space="preserve">MISSING</x:t>
        </x:is>
      </x:c>
      <x:c r="F202" s="22" t="inlineStr">
        <x:is>
          <x:t xml:space="preserve">MISSING</x:t>
        </x:is>
      </x:c>
      <x:c r="G202" s="22" t="inlineStr">
        <x:is>
          <x:t xml:space="preserve">MISSING</x:t>
        </x:is>
      </x:c>
      <x:c r="H202" s="23" t="inlineStr">
        <x:is>
          <x:t xml:space="preserve">PARTIAL</x:t>
        </x:is>
      </x:c>
      <x:c r="I202" s="20" t="inlineStr">
        <x:is>
          <x:t xml:space="preserve">Faith-Thru-Physics-Lean-4--main\Faith-Thru-Physics-Lean-4--main\Theophysics_NegativeInventory.lean</x:t>
        </x:is>
      </x:c>
      <x:c r="J202" s="20" t="inlineStr">
        <x:is>
          <x:t xml:space="preserve">58</x:t>
        </x:is>
      </x:c>
      <x:c r="K202" s="20" t="inlineStr">
        <x:is>
          <x:t xml:space="preserve">theorem partial_restoration_without_mediation_fails (x : FactorState) (hK : x.K = 0) : chi x = 0 := K_zero_collapses_chi x hK ------------------------------------------------------------------------ -- III.2 — dependency-lattice rejection family -- -- Downstream claims are invalid when upstream supports are absent. /-- The four layers of the claim lattice, upstream to downstream. -/ inductive ClaimLayer where | structuralFit -- the mapping fits at all | naming -- the mapping may carry its theological name | bridgeCoverage -- the mapping extends across domains | universality -- the mapping is claimed as universal deriving DecidableEq, Repr /-- Which layer feeds which: naming needs fit, coverage needs naming, universality needs coverage. -/ def upstream : ClaimLayer → Option ClaimLayer | ClaimLayer.structuralFit =&gt; none | ClaimLayer.na</x:t>
        </x:is>
      </x:c>
      <x:c r="L202" s="20" t="inlineStr">
        <x:is>
          <x:t xml:space="preserve">partial_restoration_without_mediation_fails</x:t>
        </x:is>
      </x:c>
      <x:c r="M202" s="26" t="inlineStr">
        <x:is>
          <x:t xml:space="preserve">SUPPORTED</x:t>
        </x:is>
      </x:c>
      <x:c r="N202" s="21" t="inlineStr">
        <x:is>
          <x:t xml:space="preserve">PLACEHOLDER</x:t>
        </x:is>
      </x:c>
      <x:c r="O202" s="21" t="inlineStr">
        <x:is>
          <x:t xml:space="preserve">PLACEHOLDER</x:t>
        </x:is>
      </x:c>
      <x:c r="P202" s="22" t="inlineStr">
        <x:is>
          <x:t xml:space="preserve">MISSING</x:t>
        </x:is>
      </x:c>
      <x:c r="Q202" s="21" t="inlineStr">
        <x:is>
          <x:t xml:space="preserve">PLACEHOLDER</x:t>
        </x:is>
      </x:c>
      <x:c r="R202" s="21" t="inlineStr">
        <x:is>
          <x:t xml:space="preserve">PLACEHOLDER</x:t>
        </x:is>
      </x:c>
      <x:c r="S202" s="21" t="inlineStr">
        <x:is>
          <x:t xml:space="preserve">PLACEHOLDER</x:t>
        </x:is>
      </x:c>
      <x:c r="T202" s="23" t="inlineStr">
        <x:is>
          <x:t xml:space="preserve">PARTIAL</x:t>
        </x:is>
      </x:c>
      <x:c r="U202" s="21" t="inlineStr">
        <x:is>
          <x:t xml:space="preserve">PLACEHOLDER</x:t>
        </x:is>
      </x:c>
      <x:c r="V202" s="20" t="inlineStr">
        <x:is>
          <x:t xml:space="preserve">lean_match_count=1 | proof_strength=DECLARATION_OR_UNKNOWN | Could not classify from first proof lines. | definition/proof/numerical/empirical/interp fields still staged as TODO placeholders</x:t>
        </x:is>
      </x:c>
    </x:row>
    <x:row r="203" ht="55.20000076293945" customHeight="1">
      <x:c r="A203" s="20" t="inlineStr">
        <x:is>
          <x:t xml:space="preserve">216</x:t>
        </x:is>
      </x:c>
      <x:c r="B203" s="20" t="inlineStr">
        <x:is>
          <x:t xml:space="preserve">Claim lattice: naming layer invalid when structural fit absent</x:t>
        </x:is>
      </x:c>
      <x:c r="C203" s="20" t="inlineStr">
        <x:is>
          <x:t xml:space="preserve">C2 - Structural correspondence candidate</x:t>
        </x:is>
      </x:c>
      <x:c r="D203" s="21" t="inlineStr">
        <x:is>
          <x:t xml:space="preserve">PLACEHOLDER</x:t>
        </x:is>
      </x:c>
      <x:c r="E203" s="22" t="inlineStr">
        <x:is>
          <x:t xml:space="preserve">MISSING</x:t>
        </x:is>
      </x:c>
      <x:c r="F203" s="22" t="inlineStr">
        <x:is>
          <x:t xml:space="preserve">MISSING</x:t>
        </x:is>
      </x:c>
      <x:c r="G203" s="22" t="inlineStr">
        <x:is>
          <x:t xml:space="preserve">MISSING</x:t>
        </x:is>
      </x:c>
      <x:c r="H203" s="22" t="inlineStr">
        <x:is>
          <x:t xml:space="preserve">MISSING</x:t>
        </x:is>
      </x:c>
      <x:c r="I203" s="20" t="inlineStr">
        <x:is>
          <x:t xml:space="preserve">Faith-Thru-Physics-Lean-4--main\Faith-Thru-Physics-Lean-4--main\Theophysics_NegativeInventory.lean</x:t>
        </x:is>
      </x:c>
      <x:c r="J203" s="20" t="inlineStr">
        <x:is>
          <x:t xml:space="preserve">106</x:t>
        </x:is>
      </x:c>
      <x:c r="K203" s="20" t="inlineStr">
        <x:is>
          <x:t xml:space="preserve">theorem naming_invalid_without_structural_fit (s : ClaimState) (hfit : s.structuralFit = false) : validClaim s ClaimLayer.naming = false</x:t>
        </x:is>
      </x:c>
      <x:c r="L203" s="20" t="inlineStr">
        <x:is>
          <x:t xml:space="preserve">naming_invalid_without_structural_fit</x:t>
        </x:is>
      </x:c>
      <x:c r="M203" s="26" t="inlineStr">
        <x:is>
          <x:t xml:space="preserve">SUPPORTED</x:t>
        </x:is>
      </x:c>
      <x:c r="N203" s="21" t="inlineStr">
        <x:is>
          <x:t xml:space="preserve">PLACEHOLDER</x:t>
        </x:is>
      </x:c>
      <x:c r="O203" s="21" t="inlineStr">
        <x:is>
          <x:t xml:space="preserve">PLACEHOLDER</x:t>
        </x:is>
      </x:c>
      <x:c r="P203" s="22" t="inlineStr">
        <x:is>
          <x:t xml:space="preserve">MISSING</x:t>
        </x:is>
      </x:c>
      <x:c r="Q203" s="21" t="inlineStr">
        <x:is>
          <x:t xml:space="preserve">PLACEHOLDER</x:t>
        </x:is>
      </x:c>
      <x:c r="R203" s="21" t="inlineStr">
        <x:is>
          <x:t xml:space="preserve">PLACEHOLDER</x:t>
        </x:is>
      </x:c>
      <x:c r="S203" s="21" t="inlineStr">
        <x:is>
          <x:t xml:space="preserve">PLACEHOLDER</x:t>
        </x:is>
      </x:c>
      <x:c r="T203" s="23" t="inlineStr">
        <x:is>
          <x:t xml:space="preserve">PARTIAL</x:t>
        </x:is>
      </x:c>
      <x:c r="U203" s="21" t="inlineStr">
        <x:is>
          <x:t xml:space="preserve">PLACEHOLDER</x:t>
        </x:is>
      </x:c>
      <x:c r="V203" s="20" t="inlineStr">
        <x:is>
          <x:t xml:space="preserve">lean_match_count=1 | proof_strength=SIMPLIFICATION | Follows by simplification under definitions; check definition strength. | definition/proof/numerical/empirical/interp fields still staged as TODO placeholders</x:t>
        </x:is>
      </x:c>
    </x:row>
    <x:row r="204" ht="55.20000076293945" customHeight="1">
      <x:c r="A204" s="20" t="inlineStr">
        <x:is>
          <x:t xml:space="preserve">217</x:t>
        </x:is>
      </x:c>
      <x:c r="B204" s="20" t="inlineStr">
        <x:is>
          <x:t xml:space="preserve">Claim lattice: universality invalid without bridge coverage</x:t>
        </x:is>
      </x:c>
      <x:c r="C204" s="20" t="inlineStr">
        <x:is>
          <x:t xml:space="preserve">C2 - Structural correspondence candidate</x:t>
        </x:is>
      </x:c>
      <x:c r="D204" s="21" t="inlineStr">
        <x:is>
          <x:t xml:space="preserve">PLACEHOLDER</x:t>
        </x:is>
      </x:c>
      <x:c r="E204" s="22" t="inlineStr">
        <x:is>
          <x:t xml:space="preserve">MISSING</x:t>
        </x:is>
      </x:c>
      <x:c r="F204" s="22" t="inlineStr">
        <x:is>
          <x:t xml:space="preserve">MISSING</x:t>
        </x:is>
      </x:c>
      <x:c r="G204" s="22" t="inlineStr">
        <x:is>
          <x:t xml:space="preserve">MISSING</x:t>
        </x:is>
      </x:c>
      <x:c r="H204" s="22" t="inlineStr">
        <x:is>
          <x:t xml:space="preserve">MISSING</x:t>
        </x:is>
      </x:c>
      <x:c r="I204" s="20" t="inlineStr">
        <x:is>
          <x:t xml:space="preserve">Faith-Thru-Physics-Lean-4--main\Faith-Thru-Physics-Lean-4--main\Theophysics_NegativeInventory.lean</x:t>
        </x:is>
      </x:c>
      <x:c r="J204" s="20" t="inlineStr">
        <x:is>
          <x:t xml:space="preserve">112</x:t>
        </x:is>
      </x:c>
      <x:c r="K204" s="20" t="inlineStr">
        <x:is>
          <x:t xml:space="preserve">theorem universality_invalid_without_bridge_coverage (s : ClaimState) (hcov : s.bridgeCoverage = false) : validClaim s ClaimLayer.universality = false</x:t>
        </x:is>
      </x:c>
      <x:c r="L204" s="20" t="inlineStr">
        <x:is>
          <x:t xml:space="preserve">universality_invalid_without_bridge_coverage</x:t>
        </x:is>
      </x:c>
      <x:c r="M204" s="26" t="inlineStr">
        <x:is>
          <x:t xml:space="preserve">SUPPORTED</x:t>
        </x:is>
      </x:c>
      <x:c r="N204" s="21" t="inlineStr">
        <x:is>
          <x:t xml:space="preserve">PLACEHOLDER</x:t>
        </x:is>
      </x:c>
      <x:c r="O204" s="21" t="inlineStr">
        <x:is>
          <x:t xml:space="preserve">PLACEHOLDER</x:t>
        </x:is>
      </x:c>
      <x:c r="P204" s="22" t="inlineStr">
        <x:is>
          <x:t xml:space="preserve">MISSING</x:t>
        </x:is>
      </x:c>
      <x:c r="Q204" s="21" t="inlineStr">
        <x:is>
          <x:t xml:space="preserve">PLACEHOLDER</x:t>
        </x:is>
      </x:c>
      <x:c r="R204" s="21" t="inlineStr">
        <x:is>
          <x:t xml:space="preserve">PLACEHOLDER</x:t>
        </x:is>
      </x:c>
      <x:c r="S204" s="21" t="inlineStr">
        <x:is>
          <x:t xml:space="preserve">PLACEHOLDER</x:t>
        </x:is>
      </x:c>
      <x:c r="T204" s="23" t="inlineStr">
        <x:is>
          <x:t xml:space="preserve">PARTIAL</x:t>
        </x:is>
      </x:c>
      <x:c r="U204" s="21" t="inlineStr">
        <x:is>
          <x:t xml:space="preserve">PLACEHOLDER</x:t>
        </x:is>
      </x:c>
      <x:c r="V204" s="20" t="inlineStr">
        <x:is>
          <x:t xml:space="preserve">lean_match_count=1 | proof_strength=SIMPLIFICATION | Follows by simplification under definitions; check definition strength. | definition/proof/numerical/empirical/interp fields still staged as TODO placeholders</x:t>
        </x:is>
      </x:c>
    </x:row>
    <x:row r="205" ht="55.20000076293945" customHeight="1">
      <x:c r="A205" s="20" t="inlineStr">
        <x:is>
          <x:t xml:space="preserve">218</x:t>
        </x:is>
      </x:c>
      <x:c r="B205" s="20" t="inlineStr">
        <x:is>
          <x:t xml:space="preserve">General lattice law: downstream claim invalid when upstream invalid</x:t>
        </x:is>
      </x:c>
      <x:c r="C205" s="20" t="inlineStr">
        <x:is>
          <x:t xml:space="preserve">C2 - Structural correspondence candidate</x:t>
        </x:is>
      </x:c>
      <x:c r="D205" s="21" t="inlineStr">
        <x:is>
          <x:t xml:space="preserve">PLACEHOLDER</x:t>
        </x:is>
      </x:c>
      <x:c r="E205" s="22" t="inlineStr">
        <x:is>
          <x:t xml:space="preserve">MISSING</x:t>
        </x:is>
      </x:c>
      <x:c r="F205" s="22" t="inlineStr">
        <x:is>
          <x:t xml:space="preserve">MISSING</x:t>
        </x:is>
      </x:c>
      <x:c r="G205" s="22" t="inlineStr">
        <x:is>
          <x:t xml:space="preserve">MISSING</x:t>
        </x:is>
      </x:c>
      <x:c r="H205" s="22" t="inlineStr">
        <x:is>
          <x:t xml:space="preserve">MISSING</x:t>
        </x:is>
      </x:c>
      <x:c r="I205" s="20" t="inlineStr">
        <x:is>
          <x:t xml:space="preserve">Faith-Thru-Physics-Lean-4--main\Faith-Thru-Physics-Lean-4--main\Theophysics_NegativeInventory.lean</x:t>
        </x:is>
      </x:c>
      <x:c r="J205" s="20" t="inlineStr">
        <x:is>
          <x:t xml:space="preserve">119</x:t>
        </x:is>
      </x:c>
      <x:c r="K205" s="20" t="inlineStr">
        <x:is>
          <x:t xml:space="preserve">theorem downstream_invalid_when_upstream_invalid (s : ClaimState) (l u : ClaimLayer) (hup : upstream l = some u) (hinvalid : validClaim s u = false) : validClaim s l = false</x:t>
        </x:is>
      </x:c>
      <x:c r="L205" s="20" t="inlineStr">
        <x:is>
          <x:t xml:space="preserve">downstream_invalid_when_upstream_invalid</x:t>
        </x:is>
      </x:c>
      <x:c r="M205" s="26" t="inlineStr">
        <x:is>
          <x:t xml:space="preserve">SUPPORTED</x:t>
        </x:is>
      </x:c>
      <x:c r="N205" s="21" t="inlineStr">
        <x:is>
          <x:t xml:space="preserve">PLACEHOLDER</x:t>
        </x:is>
      </x:c>
      <x:c r="O205" s="21" t="inlineStr">
        <x:is>
          <x:t xml:space="preserve">PLACEHOLDER</x:t>
        </x:is>
      </x:c>
      <x:c r="P205" s="22" t="inlineStr">
        <x:is>
          <x:t xml:space="preserve">MISSING</x:t>
        </x:is>
      </x:c>
      <x:c r="Q205" s="21" t="inlineStr">
        <x:is>
          <x:t xml:space="preserve">PLACEHOLDER</x:t>
        </x:is>
      </x:c>
      <x:c r="R205" s="21" t="inlineStr">
        <x:is>
          <x:t xml:space="preserve">PLACEHOLDER</x:t>
        </x:is>
      </x:c>
      <x:c r="S205" s="21" t="inlineStr">
        <x:is>
          <x:t xml:space="preserve">PLACEHOLDER</x:t>
        </x:is>
      </x:c>
      <x:c r="T205" s="23" t="inlineStr">
        <x:is>
          <x:t xml:space="preserve">PARTIAL</x:t>
        </x:is>
      </x:c>
      <x:c r="U205" s="21" t="inlineStr">
        <x:is>
          <x:t xml:space="preserve">PLACEHOLDER</x:t>
        </x:is>
      </x:c>
      <x:c r="V205" s="20" t="inlineStr">
        <x:is>
          <x:t xml:space="preserve">lean_match_count=1 | proof_strength=SIMPLIFICATION | Follows by simplification under definitions; check definition strength. | definition/proof/numerical/empirical/interp fields still staged as TODO placeholders</x:t>
        </x:is>
      </x:c>
    </x:row>
    <x:row r="206" ht="55.20000076293945" customHeight="1">
      <x:c r="A206" s="20" t="inlineStr">
        <x:is>
          <x:t xml:space="preserve">219</x:t>
        </x:is>
      </x:c>
      <x:c r="B206" s="20" t="inlineStr">
        <x:is>
          <x:t xml:space="preserve">Concrete false positive: all flags asserted, nothing fitted, all fail</x:t>
        </x:is>
      </x:c>
      <x:c r="C206" s="20" t="inlineStr">
        <x:is>
          <x:t xml:space="preserve">C2 - Structural correspondence candidate</x:t>
        </x:is>
      </x:c>
      <x:c r="D206" s="21" t="inlineStr">
        <x:is>
          <x:t xml:space="preserve">PLACEHOLDER</x:t>
        </x:is>
      </x:c>
      <x:c r="E206" s="22" t="inlineStr">
        <x:is>
          <x:t xml:space="preserve">MISSING</x:t>
        </x:is>
      </x:c>
      <x:c r="F206" s="22" t="inlineStr">
        <x:is>
          <x:t xml:space="preserve">MISSING</x:t>
        </x:is>
      </x:c>
      <x:c r="G206" s="23" t="inlineStr">
        <x:is>
          <x:t xml:space="preserve">PARTIAL</x:t>
        </x:is>
      </x:c>
      <x:c r="H206" s="22" t="inlineStr">
        <x:is>
          <x:t xml:space="preserve">MISSING</x:t>
        </x:is>
      </x:c>
      <x:c r="I206" s="20" t="inlineStr">
        <x:is>
          <x:t xml:space="preserve">Faith-Thru-Physics-Lean-4--main\Faith-Thru-Physics-Lean-4--main\Theophysics_NegativeInventory.lean</x:t>
        </x:is>
      </x:c>
      <x:c r="J206" s="20" t="inlineStr">
        <x:is>
          <x:t xml:space="preserve">128</x:t>
        </x:is>
      </x:c>
      <x:c r="K206" s="20" t="inlineStr">
        <x:is>
          <x:t xml:space="preserve">theorem asserted_everything_fitted_nothing_all_fail : validClaim ⟨false, true, true, true⟩ ClaimLayer.universality = false</x:t>
        </x:is>
      </x:c>
      <x:c r="L206" s="20" t="inlineStr">
        <x:is>
          <x:t xml:space="preserve">asserted_everything_fitted_nothing_all_fail</x:t>
        </x:is>
      </x:c>
      <x:c r="M206" s="26" t="inlineStr">
        <x:is>
          <x:t xml:space="preserve">SUPPORTED</x:t>
        </x:is>
      </x:c>
      <x:c r="N206" s="21" t="inlineStr">
        <x:is>
          <x:t xml:space="preserve">PLACEHOLDER</x:t>
        </x:is>
      </x:c>
      <x:c r="O206" s="21" t="inlineStr">
        <x:is>
          <x:t xml:space="preserve">PLACEHOLDER</x:t>
        </x:is>
      </x:c>
      <x:c r="P206" s="22" t="inlineStr">
        <x:is>
          <x:t xml:space="preserve">MISSING</x:t>
        </x:is>
      </x:c>
      <x:c r="Q206" s="21" t="inlineStr">
        <x:is>
          <x:t xml:space="preserve">PLACEHOLDER</x:t>
        </x:is>
      </x:c>
      <x:c r="R206" s="21" t="inlineStr">
        <x:is>
          <x:t xml:space="preserve">PLACEHOLDER</x:t>
        </x:is>
      </x:c>
      <x:c r="S206" s="21" t="inlineStr">
        <x:is>
          <x:t xml:space="preserve">PLACEHOLDER</x:t>
        </x:is>
      </x:c>
      <x:c r="T206" s="23" t="inlineStr">
        <x:is>
          <x:t xml:space="preserve">PARTIAL</x:t>
        </x:is>
      </x:c>
      <x:c r="U206" s="21" t="inlineStr">
        <x:is>
          <x:t xml:space="preserve">PLACEHOLDER</x:t>
        </x:is>
      </x:c>
      <x:c r="V206" s="20" t="inlineStr">
        <x:is>
          <x:t xml:space="preserve">lean_match_count=1 | proof_strength=WRAPPER_OR_IMPORTED | Likely delegates to another theorem; cite underlying theorem too. | definition/proof/numerical/empirical/interp fields still staged as TODO placeholders</x:t>
        </x:is>
      </x:c>
    </x:row>
    <x:row r="207" ht="55.20000076293945" customHeight="1">
      <x:c r="A207" s="20" t="inlineStr">
        <x:is>
          <x:t xml:space="preserve">220</x:t>
        </x:is>
      </x:c>
      <x:c r="B207" s="20" t="inlineStr">
        <x:is>
          <x:t xml:space="preserve">Negative + negative is not redeemed positive; accumulation is not conversion</x:t>
        </x:is>
      </x:c>
      <x:c r="C207" s="20" t="inlineStr">
        <x:is>
          <x:t xml:space="preserve">C2 - Structural correspondence candidate</x:t>
        </x:is>
      </x:c>
      <x:c r="D207" s="21" t="inlineStr">
        <x:is>
          <x:t xml:space="preserve">PLACEHOLDER</x:t>
        </x:is>
      </x:c>
      <x:c r="E207" s="22" t="inlineStr">
        <x:is>
          <x:t xml:space="preserve">MISSING</x:t>
        </x:is>
      </x:c>
      <x:c r="F207" s="22" t="inlineStr">
        <x:is>
          <x:t xml:space="preserve">MISSING</x:t>
        </x:is>
      </x:c>
      <x:c r="G207" s="23" t="inlineStr">
        <x:is>
          <x:t xml:space="preserve">PARTIAL</x:t>
        </x:is>
      </x:c>
      <x:c r="H207" s="22" t="inlineStr">
        <x:is>
          <x:t xml:space="preserve">MISSING</x:t>
        </x:is>
      </x:c>
      <x:c r="I207" s="20" t="inlineStr">
        <x:is>
          <x:t xml:space="preserve">Faith-Thru-Physics-Lean-4--main\Faith-Thru-Physics-Lean-4--main\Theophysics_NegativeInventory.lean</x:t>
        </x:is>
      </x:c>
      <x:c r="J207" s="20" t="inlineStr">
        <x:is>
          <x:t xml:space="preserve">153</x:t>
        </x:is>
      </x:c>
      <x:c r="K207" s="20" t="inlineStr">
        <x:is>
          <x:t xml:space="preserve">theorem neg_plus_neg_not_redeemed : compose MoralSign.negative MoralSign.negative ≠ MoralSign.redeemedPositive</x:t>
        </x:is>
      </x:c>
      <x:c r="L207" s="20" t="inlineStr">
        <x:is>
          <x:t xml:space="preserve">neg_plus_neg_not_redeemed</x:t>
        </x:is>
      </x:c>
      <x:c r="M207" s="26" t="inlineStr">
        <x:is>
          <x:t xml:space="preserve">SUPPORTED</x:t>
        </x:is>
      </x:c>
      <x:c r="N207" s="21" t="inlineStr">
        <x:is>
          <x:t xml:space="preserve">PLACEHOLDER</x:t>
        </x:is>
      </x:c>
      <x:c r="O207" s="21" t="inlineStr">
        <x:is>
          <x:t xml:space="preserve">PLACEHOLDER</x:t>
        </x:is>
      </x:c>
      <x:c r="P207" s="22" t="inlineStr">
        <x:is>
          <x:t xml:space="preserve">MISSING</x:t>
        </x:is>
      </x:c>
      <x:c r="Q207" s="21" t="inlineStr">
        <x:is>
          <x:t xml:space="preserve">PLACEHOLDER</x:t>
        </x:is>
      </x:c>
      <x:c r="R207" s="21" t="inlineStr">
        <x:is>
          <x:t xml:space="preserve">PLACEHOLDER</x:t>
        </x:is>
      </x:c>
      <x:c r="S207" s="21" t="inlineStr">
        <x:is>
          <x:t xml:space="preserve">PLACEHOLDER</x:t>
        </x:is>
      </x:c>
      <x:c r="T207" s="23" t="inlineStr">
        <x:is>
          <x:t xml:space="preserve">PARTIAL</x:t>
        </x:is>
      </x:c>
      <x:c r="U207" s="21" t="inlineStr">
        <x:is>
          <x:t xml:space="preserve">PLACEHOLDER</x:t>
        </x:is>
      </x:c>
      <x:c r="V207" s="20" t="inlineStr">
        <x:is>
          <x:t xml:space="preserve">lean_match_count=1 | proof_strength=FINITE_DECIDABLE | Finite/decidable proof; check candidate-space limits. | definition/proof/numerical/empirical/interp fields still staged as TODO placeholders</x:t>
        </x:is>
      </x:c>
    </x:row>
    <x:row r="208" ht="55.20000076293945" customHeight="1">
      <x:c r="A208" s="20" t="inlineStr">
        <x:is>
          <x:t xml:space="preserve">221</x:t>
        </x:is>
      </x:c>
      <x:c r="B208" s="20" t="inlineStr">
        <x:is>
          <x:t xml:space="preserve">No operator-free composition of non-redeemed inputs yields redeemed output</x:t>
        </x:is>
      </x:c>
      <x:c r="C208" s="20" t="inlineStr">
        <x:is>
          <x:t xml:space="preserve">C2 - Structural correspondence candidate</x:t>
        </x:is>
      </x:c>
      <x:c r="D208" s="21" t="inlineStr">
        <x:is>
          <x:t xml:space="preserve">PLACEHOLDER</x:t>
        </x:is>
      </x:c>
      <x:c r="E208" s="22" t="inlineStr">
        <x:is>
          <x:t xml:space="preserve">MISSING</x:t>
        </x:is>
      </x:c>
      <x:c r="F208" s="22" t="inlineStr">
        <x:is>
          <x:t xml:space="preserve">MISSING</x:t>
        </x:is>
      </x:c>
      <x:c r="G208" s="23" t="inlineStr">
        <x:is>
          <x:t xml:space="preserve">PARTIAL</x:t>
        </x:is>
      </x:c>
      <x:c r="H208" s="22" t="inlineStr">
        <x:is>
          <x:t xml:space="preserve">MISSING</x:t>
        </x:is>
      </x:c>
      <x:c r="I208" s="20" t="inlineStr">
        <x:is>
          <x:t xml:space="preserve">Faith-Thru-Physics-Lean-4--main\Faith-Thru-Physics-Lean-4--main\Theophysics_NegativeInventory.lean</x:t>
        </x:is>
      </x:c>
      <x:c r="J208" s="20" t="inlineStr">
        <x:is>
          <x:t xml:space="preserve">158</x:t>
        </x:is>
      </x:c>
      <x:c r="K208" s="20" t="inlineStr">
        <x:is>
          <x:t xml:space="preserve">theorem no_redemption_without_operator (a b : MoralSign) (ha : a ≠ MoralSign.redeemedPositive) (hb : b ≠ MoralSign.redeemedPositive) : compose a b ≠ MoralSign.redeemedPositive</x:t>
        </x:is>
      </x:c>
      <x:c r="L208" s="20" t="inlineStr">
        <x:is>
          <x:t xml:space="preserve">no_redemption_without_operator</x:t>
        </x:is>
      </x:c>
      <x:c r="M208" s="26" t="inlineStr">
        <x:is>
          <x:t xml:space="preserve">SUPPORTED</x:t>
        </x:is>
      </x:c>
      <x:c r="N208" s="21" t="inlineStr">
        <x:is>
          <x:t xml:space="preserve">PLACEHOLDER</x:t>
        </x:is>
      </x:c>
      <x:c r="O208" s="21" t="inlineStr">
        <x:is>
          <x:t xml:space="preserve">PLACEHOLDER</x:t>
        </x:is>
      </x:c>
      <x:c r="P208" s="22" t="inlineStr">
        <x:is>
          <x:t xml:space="preserve">MISSING</x:t>
        </x:is>
      </x:c>
      <x:c r="Q208" s="21" t="inlineStr">
        <x:is>
          <x:t xml:space="preserve">PLACEHOLDER</x:t>
        </x:is>
      </x:c>
      <x:c r="R208" s="21" t="inlineStr">
        <x:is>
          <x:t xml:space="preserve">PLACEHOLDER</x:t>
        </x:is>
      </x:c>
      <x:c r="S208" s="21" t="inlineStr">
        <x:is>
          <x:t xml:space="preserve">PLACEHOLDER</x:t>
        </x:is>
      </x:c>
      <x:c r="T208" s="23" t="inlineStr">
        <x:is>
          <x:t xml:space="preserve">PARTIAL</x:t>
        </x:is>
      </x:c>
      <x:c r="U208" s="21" t="inlineStr">
        <x:is>
          <x:t xml:space="preserve">PLACEHOLDER</x:t>
        </x:is>
      </x:c>
      <x:c r="V208" s="20" t="inlineStr">
        <x:is>
          <x:t xml:space="preserve">lean_match_count=1 | proof_strength=WRAPPER_OR_IMPORTED | Likely delegates to another theorem; cite underlying theorem too. | definition/proof/numerical/empirical/interp fields still staged as TODO placeholders</x:t>
        </x:is>
      </x:c>
    </x:row>
    <x:row r="209" ht="55.20000076293945" customHeight="1">
      <x:c r="A209" s="20" t="inlineStr">
        <x:is>
          <x:t xml:space="preserve">222</x:t>
        </x:is>
      </x:c>
      <x:c r="B209" s="20" t="inlineStr">
        <x:is>
          <x:t xml:space="preserve">Self-sourced conversion changes nothing - negative stays negative</x:t>
        </x:is>
      </x:c>
      <x:c r="C209" s="20" t="inlineStr">
        <x:is>
          <x:t xml:space="preserve">C2 - Structural correspondence candidate</x:t>
        </x:is>
      </x:c>
      <x:c r="D209" s="21" t="inlineStr">
        <x:is>
          <x:t xml:space="preserve">PLACEHOLDER</x:t>
        </x:is>
      </x:c>
      <x:c r="E209" s="22" t="inlineStr">
        <x:is>
          <x:t xml:space="preserve">MISSING</x:t>
        </x:is>
      </x:c>
      <x:c r="F209" s="22" t="inlineStr">
        <x:is>
          <x:t xml:space="preserve">MISSING</x:t>
        </x:is>
      </x:c>
      <x:c r="G209" s="23" t="inlineStr">
        <x:is>
          <x:t xml:space="preserve">PARTIAL</x:t>
        </x:is>
      </x:c>
      <x:c r="H209" s="22" t="inlineStr">
        <x:is>
          <x:t xml:space="preserve">MISSING</x:t>
        </x:is>
      </x:c>
      <x:c r="I209" s="20" t="inlineStr">
        <x:is>
          <x:t xml:space="preserve">Faith-Thru-Physics-Lean-4--main\Faith-Thru-Physics-Lean-4--main\Theophysics_NegativeInventory.lean</x:t>
        </x:is>
      </x:c>
      <x:c r="J209" s="20" t="inlineStr">
        <x:is>
          <x:t xml:space="preserve">177</x:t>
        </x:is>
      </x:c>
      <x:c r="K209" s="20" t="inlineStr">
        <x:is>
          <x:t xml:space="preserve">theorem self_sourced_conversion_fails (op : ConversionOp) (h : op.externallySourced = false) : applyConversion op MoralSign.negative = MoralSign.negative</x:t>
        </x:is>
      </x:c>
      <x:c r="L209" s="20" t="inlineStr">
        <x:is>
          <x:t xml:space="preserve">self_sourced_conversion_fails</x:t>
        </x:is>
      </x:c>
      <x:c r="M209" s="26" t="inlineStr">
        <x:is>
          <x:t xml:space="preserve">SUPPORTED</x:t>
        </x:is>
      </x:c>
      <x:c r="N209" s="21" t="inlineStr">
        <x:is>
          <x:t xml:space="preserve">PLACEHOLDER</x:t>
        </x:is>
      </x:c>
      <x:c r="O209" s="21" t="inlineStr">
        <x:is>
          <x:t xml:space="preserve">PLACEHOLDER</x:t>
        </x:is>
      </x:c>
      <x:c r="P209" s="22" t="inlineStr">
        <x:is>
          <x:t xml:space="preserve">MISSING</x:t>
        </x:is>
      </x:c>
      <x:c r="Q209" s="21" t="inlineStr">
        <x:is>
          <x:t xml:space="preserve">PLACEHOLDER</x:t>
        </x:is>
      </x:c>
      <x:c r="R209" s="21" t="inlineStr">
        <x:is>
          <x:t xml:space="preserve">PLACEHOLDER</x:t>
        </x:is>
      </x:c>
      <x:c r="S209" s="21" t="inlineStr">
        <x:is>
          <x:t xml:space="preserve">PLACEHOLDER</x:t>
        </x:is>
      </x:c>
      <x:c r="T209" s="23" t="inlineStr">
        <x:is>
          <x:t xml:space="preserve">PARTIAL</x:t>
        </x:is>
      </x:c>
      <x:c r="U209" s="21" t="inlineStr">
        <x:is>
          <x:t xml:space="preserve">PLACEHOLDER</x:t>
        </x:is>
      </x:c>
      <x:c r="V209" s="20" t="inlineStr">
        <x:is>
          <x:t xml:space="preserve">lean_match_count=1 | proof_strength=SIMPLIFICATION | Follows by simplification under definitions; check definition strength. | definition/proof/numerical/empirical/interp fields still staged as TODO placeholders</x:t>
        </x:is>
      </x:c>
    </x:row>
    <x:row r="210" ht="55.20000076293945" customHeight="1">
      <x:c r="A210" s="20" t="inlineStr">
        <x:is>
          <x:t xml:space="preserve">223</x:t>
        </x:is>
      </x:c>
      <x:c r="B210" s="20" t="inlineStr">
        <x:is>
          <x:t xml:space="preserve">Costless conversion changes nothing - mercy without cost is not conversion</x:t>
        </x:is>
      </x:c>
      <x:c r="C210" s="20" t="inlineStr">
        <x:is>
          <x:t xml:space="preserve">C2 - Structural correspondence candidate</x:t>
        </x:is>
      </x:c>
      <x:c r="D210" s="21" t="inlineStr">
        <x:is>
          <x:t xml:space="preserve">PLACEHOLDER</x:t>
        </x:is>
      </x:c>
      <x:c r="E210" s="22" t="inlineStr">
        <x:is>
          <x:t xml:space="preserve">MISSING</x:t>
        </x:is>
      </x:c>
      <x:c r="F210" s="22" t="inlineStr">
        <x:is>
          <x:t xml:space="preserve">MISSING</x:t>
        </x:is>
      </x:c>
      <x:c r="G210" s="23" t="inlineStr">
        <x:is>
          <x:t xml:space="preserve">PARTIAL</x:t>
        </x:is>
      </x:c>
      <x:c r="H210" s="22" t="inlineStr">
        <x:is>
          <x:t xml:space="preserve">MISSING</x:t>
        </x:is>
      </x:c>
      <x:c r="I210" s="20" t="inlineStr">
        <x:is>
          <x:t xml:space="preserve">Faith-Thru-Physics-Lean-4--main\Faith-Thru-Physics-Lean-4--main\Theophysics_NegativeInventory.lean</x:t>
        </x:is>
      </x:c>
      <x:c r="J210" s="20" t="inlineStr">
        <x:is>
          <x:t xml:space="preserve">183</x:t>
        </x:is>
      </x:c>
      <x:c r="K210" s="20" t="inlineStr">
        <x:is>
          <x:t xml:space="preserve">theorem costless_conversion_fails (op : ConversionOp) (h : op.bearsCost = false) : applyConversion op MoralSign.negative = MoralSign.negative</x:t>
        </x:is>
      </x:c>
      <x:c r="L210" s="20" t="inlineStr">
        <x:is>
          <x:t xml:space="preserve">costless_conversion_fails</x:t>
        </x:is>
      </x:c>
      <x:c r="M210" s="26" t="inlineStr">
        <x:is>
          <x:t xml:space="preserve">SUPPORTED</x:t>
        </x:is>
      </x:c>
      <x:c r="N210" s="21" t="inlineStr">
        <x:is>
          <x:t xml:space="preserve">PLACEHOLDER</x:t>
        </x:is>
      </x:c>
      <x:c r="O210" s="21" t="inlineStr">
        <x:is>
          <x:t xml:space="preserve">PLACEHOLDER</x:t>
        </x:is>
      </x:c>
      <x:c r="P210" s="22" t="inlineStr">
        <x:is>
          <x:t xml:space="preserve">MISSING</x:t>
        </x:is>
      </x:c>
      <x:c r="Q210" s="21" t="inlineStr">
        <x:is>
          <x:t xml:space="preserve">PLACEHOLDER</x:t>
        </x:is>
      </x:c>
      <x:c r="R210" s="21" t="inlineStr">
        <x:is>
          <x:t xml:space="preserve">PLACEHOLDER</x:t>
        </x:is>
      </x:c>
      <x:c r="S210" s="21" t="inlineStr">
        <x:is>
          <x:t xml:space="preserve">PLACEHOLDER</x:t>
        </x:is>
      </x:c>
      <x:c r="T210" s="23" t="inlineStr">
        <x:is>
          <x:t xml:space="preserve">PARTIAL</x:t>
        </x:is>
      </x:c>
      <x:c r="U210" s="21" t="inlineStr">
        <x:is>
          <x:t xml:space="preserve">PLACEHOLDER</x:t>
        </x:is>
      </x:c>
      <x:c r="V210" s="20" t="inlineStr">
        <x:is>
          <x:t xml:space="preserve">lean_match_count=1 | proof_strength=SIMPLIFICATION | Follows by simplification under definitions; check definition strength. | definition/proof/numerical/empirical/interp fields still staged as TODO placeholders</x:t>
        </x:is>
      </x:c>
    </x:row>
    <x:row r="211" ht="55.20000076293945" customHeight="1">
      <x:c r="A211" s="20" t="inlineStr">
        <x:is>
          <x:t xml:space="preserve">224</x:t>
        </x:is>
      </x:c>
      <x:c r="B211" s="20" t="inlineStr">
        <x:is>
          <x:t xml:space="preserve">Making a negative record visible does not collapse moral distinction</x:t>
        </x:is>
      </x:c>
      <x:c r="C211" s="20" t="inlineStr">
        <x:is>
          <x:t xml:space="preserve">C2 - Structural correspondence candidate</x:t>
        </x:is>
      </x:c>
      <x:c r="D211" s="21" t="inlineStr">
        <x:is>
          <x:t xml:space="preserve">PLACEHOLDER</x:t>
        </x:is>
      </x:c>
      <x:c r="E211" s="22" t="inlineStr">
        <x:is>
          <x:t xml:space="preserve">MISSING</x:t>
        </x:is>
      </x:c>
      <x:c r="F211" s="22" t="inlineStr">
        <x:is>
          <x:t xml:space="preserve">MISSING</x:t>
        </x:is>
      </x:c>
      <x:c r="G211" s="23" t="inlineStr">
        <x:is>
          <x:t xml:space="preserve">PARTIAL</x:t>
        </x:is>
      </x:c>
      <x:c r="H211" s="22" t="inlineStr">
        <x:is>
          <x:t xml:space="preserve">MISSING</x:t>
        </x:is>
      </x:c>
      <x:c r="I211" s="20" t="inlineStr">
        <x:is>
          <x:t xml:space="preserve">Faith-Thru-Physics-Lean-4--main\Faith-Thru-Physics-Lean-4--main\Theophysics_NegativeInventory.lean</x:t>
        </x:is>
      </x:c>
      <x:c r="J211" s="20" t="inlineStr">
        <x:is>
          <x:t xml:space="preserve">190</x:t>
        </x:is>
      </x:c>
      <x:c r="K211" s="20" t="inlineStr">
        <x:is>
          <x:t xml:space="preserve">theorem visibility_does_not_convert (s : MoralSign) (h : s = MoralSign.negative) : s ≠ MoralSign.redeemedPositive</x:t>
        </x:is>
      </x:c>
      <x:c r="L211" s="20" t="inlineStr">
        <x:is>
          <x:t xml:space="preserve">visibility_does_not_convert</x:t>
        </x:is>
      </x:c>
      <x:c r="M211" s="26" t="inlineStr">
        <x:is>
          <x:t xml:space="preserve">SUPPORTED</x:t>
        </x:is>
      </x:c>
      <x:c r="N211" s="21" t="inlineStr">
        <x:is>
          <x:t xml:space="preserve">PLACEHOLDER</x:t>
        </x:is>
      </x:c>
      <x:c r="O211" s="21" t="inlineStr">
        <x:is>
          <x:t xml:space="preserve">PLACEHOLDER</x:t>
        </x:is>
      </x:c>
      <x:c r="P211" s="22" t="inlineStr">
        <x:is>
          <x:t xml:space="preserve">MISSING</x:t>
        </x:is>
      </x:c>
      <x:c r="Q211" s="21" t="inlineStr">
        <x:is>
          <x:t xml:space="preserve">PLACEHOLDER</x:t>
        </x:is>
      </x:c>
      <x:c r="R211" s="21" t="inlineStr">
        <x:is>
          <x:t xml:space="preserve">PLACEHOLDER</x:t>
        </x:is>
      </x:c>
      <x:c r="S211" s="21" t="inlineStr">
        <x:is>
          <x:t xml:space="preserve">PLACEHOLDER</x:t>
        </x:is>
      </x:c>
      <x:c r="T211" s="23" t="inlineStr">
        <x:is>
          <x:t xml:space="preserve">PARTIAL</x:t>
        </x:is>
      </x:c>
      <x:c r="U211" s="21" t="inlineStr">
        <x:is>
          <x:t xml:space="preserve">PLACEHOLDER</x:t>
        </x:is>
      </x:c>
      <x:c r="V211" s="20" t="inlineStr">
        <x:is>
          <x:t xml:space="preserve">lean_match_count=1 | proof_strength=WRAPPER_OR_IMPORTED | Likely delegates to another theorem; cite underlying theorem too. | definition/proof/numerical/empirical/interp fields still staged as TODO placeholders</x:t>
        </x:is>
      </x:c>
    </x:row>
    <x:row r="212" ht="55.20000076293945" customHeight="1">
      <x:c r="A212" s="20" t="inlineStr">
        <x:is>
          <x:t xml:space="preserve">225</x:t>
        </x:is>
      </x:c>
      <x:c r="B212" s="20" t="inlineStr">
        <x:is>
          <x:t xml:space="preserve">Reanimation without mission structure is not resurrection</x:t>
        </x:is>
      </x:c>
      <x:c r="C212" s="20" t="inlineStr">
        <x:is>
          <x:t xml:space="preserve">C2 - Structural correspondence candidate</x:t>
        </x:is>
      </x:c>
      <x:c r="D212" s="21" t="inlineStr">
        <x:is>
          <x:t xml:space="preserve">PLACEHOLDER</x:t>
        </x:is>
      </x:c>
      <x:c r="E212" s="22" t="inlineStr">
        <x:is>
          <x:t xml:space="preserve">MISSING</x:t>
        </x:is>
      </x:c>
      <x:c r="F212" s="22" t="inlineStr">
        <x:is>
          <x:t xml:space="preserve">MISSING</x:t>
        </x:is>
      </x:c>
      <x:c r="G212" s="22" t="inlineStr">
        <x:is>
          <x:t xml:space="preserve">MISSING</x:t>
        </x:is>
      </x:c>
      <x:c r="H212" s="22" t="inlineStr">
        <x:is>
          <x:t xml:space="preserve">MISSING</x:t>
        </x:is>
      </x:c>
      <x:c r="I212" s="20" t="inlineStr">
        <x:is>
          <x:t xml:space="preserve">Faith-Thru-Physics-Lean-4--main\Faith-Thru-Physics-Lean-4--main\Theophysics_NegativeInventory.lean</x:t>
        </x:is>
      </x:c>
      <x:c r="J212" s="20" t="inlineStr">
        <x:is>
          <x:t xml:space="preserve">229</x:t>
        </x:is>
      </x:c>
      <x:c r="K212" s="20" t="inlineStr">
        <x:is>
          <x:t xml:space="preserve">theorem reanimation_only_rejected : validMissionReturn reanimationOnly = false</x:t>
        </x:is>
      </x:c>
      <x:c r="L212" s="20" t="inlineStr">
        <x:is>
          <x:t xml:space="preserve">reanimation_only_rejected</x:t>
        </x:is>
      </x:c>
      <x:c r="M212" s="26" t="inlineStr">
        <x:is>
          <x:t xml:space="preserve">SUPPORTED</x:t>
        </x:is>
      </x:c>
      <x:c r="N212" s="21" t="inlineStr">
        <x:is>
          <x:t xml:space="preserve">PLACEHOLDER</x:t>
        </x:is>
      </x:c>
      <x:c r="O212" s="21" t="inlineStr">
        <x:is>
          <x:t xml:space="preserve">PLACEHOLDER</x:t>
        </x:is>
      </x:c>
      <x:c r="P212" s="22" t="inlineStr">
        <x:is>
          <x:t xml:space="preserve">MISSING</x:t>
        </x:is>
      </x:c>
      <x:c r="Q212" s="21" t="inlineStr">
        <x:is>
          <x:t xml:space="preserve">PLACEHOLDER</x:t>
        </x:is>
      </x:c>
      <x:c r="R212" s="21" t="inlineStr">
        <x:is>
          <x:t xml:space="preserve">PLACEHOLDER</x:t>
        </x:is>
      </x:c>
      <x:c r="S212" s="21" t="inlineStr">
        <x:is>
          <x:t xml:space="preserve">PLACEHOLDER</x:t>
        </x:is>
      </x:c>
      <x:c r="T212" s="23" t="inlineStr">
        <x:is>
          <x:t xml:space="preserve">PARTIAL</x:t>
        </x:is>
      </x:c>
      <x:c r="U212" s="21" t="inlineStr">
        <x:is>
          <x:t xml:space="preserve">PLACEHOLDER</x:t>
        </x:is>
      </x:c>
      <x:c r="V212" s="20" t="inlineStr">
        <x:is>
          <x:t xml:space="preserve">lean_match_count=1 | proof_strength=FINITE_DECIDABLE | Finite/decidable proof; check candidate-space limits. | definition/proof/numerical/empirical/interp fields still staged as TODO placeholders</x:t>
        </x:is>
      </x:c>
    </x:row>
    <x:row r="213" ht="55.20000076293945" customHeight="1">
      <x:c r="A213" s="20" t="inlineStr">
        <x:is>
          <x:t xml:space="preserve">226</x:t>
        </x:is>
      </x:c>
      <x:c r="B213" s="20" t="inlineStr">
        <x:is>
          <x:t xml:space="preserve">Return with wiped record is not resurrection</x:t>
        </x:is>
      </x:c>
      <x:c r="C213" s="20" t="inlineStr">
        <x:is>
          <x:t xml:space="preserve">C2 - Structural correspondence candidate</x:t>
        </x:is>
      </x:c>
      <x:c r="D213" s="21" t="inlineStr">
        <x:is>
          <x:t xml:space="preserve">PLACEHOLDER</x:t>
        </x:is>
      </x:c>
      <x:c r="E213" s="22" t="inlineStr">
        <x:is>
          <x:t xml:space="preserve">MISSING</x:t>
        </x:is>
      </x:c>
      <x:c r="F213" s="22" t="inlineStr">
        <x:is>
          <x:t xml:space="preserve">MISSING</x:t>
        </x:is>
      </x:c>
      <x:c r="G213" s="22" t="inlineStr">
        <x:is>
          <x:t xml:space="preserve">MISSING</x:t>
        </x:is>
      </x:c>
      <x:c r="H213" s="22" t="inlineStr">
        <x:is>
          <x:t xml:space="preserve">MISSING</x:t>
        </x:is>
      </x:c>
      <x:c r="I213" s="20" t="inlineStr">
        <x:is>
          <x:t xml:space="preserve">Faith-Thru-Physics-Lean-4--main\Faith-Thru-Physics-Lean-4--main\Theophysics_NegativeInventory.lean</x:t>
        </x:is>
      </x:c>
      <x:c r="J213" s="20" t="inlineStr">
        <x:is>
          <x:t xml:space="preserve">232</x:t>
        </x:is>
      </x:c>
      <x:c r="K213" s="20" t="inlineStr">
        <x:is>
          <x:t xml:space="preserve">theorem memory_erasure_rejected : validMissionReturn memoryErasure = false</x:t>
        </x:is>
      </x:c>
      <x:c r="L213" s="20" t="inlineStr">
        <x:is>
          <x:t xml:space="preserve">memory_erasure_rejected</x:t>
        </x:is>
      </x:c>
      <x:c r="M213" s="26" t="inlineStr">
        <x:is>
          <x:t xml:space="preserve">SUPPORTED</x:t>
        </x:is>
      </x:c>
      <x:c r="N213" s="21" t="inlineStr">
        <x:is>
          <x:t xml:space="preserve">PLACEHOLDER</x:t>
        </x:is>
      </x:c>
      <x:c r="O213" s="21" t="inlineStr">
        <x:is>
          <x:t xml:space="preserve">PLACEHOLDER</x:t>
        </x:is>
      </x:c>
      <x:c r="P213" s="22" t="inlineStr">
        <x:is>
          <x:t xml:space="preserve">MISSING</x:t>
        </x:is>
      </x:c>
      <x:c r="Q213" s="21" t="inlineStr">
        <x:is>
          <x:t xml:space="preserve">PLACEHOLDER</x:t>
        </x:is>
      </x:c>
      <x:c r="R213" s="21" t="inlineStr">
        <x:is>
          <x:t xml:space="preserve">PLACEHOLDER</x:t>
        </x:is>
      </x:c>
      <x:c r="S213" s="21" t="inlineStr">
        <x:is>
          <x:t xml:space="preserve">PLACEHOLDER</x:t>
        </x:is>
      </x:c>
      <x:c r="T213" s="23" t="inlineStr">
        <x:is>
          <x:t xml:space="preserve">PARTIAL</x:t>
        </x:is>
      </x:c>
      <x:c r="U213" s="21" t="inlineStr">
        <x:is>
          <x:t xml:space="preserve">PLACEHOLDER</x:t>
        </x:is>
      </x:c>
      <x:c r="V213" s="20" t="inlineStr">
        <x:is>
          <x:t xml:space="preserve">lean_match_count=1 | proof_strength=FINITE_DECIDABLE | Finite/decidable proof; check candidate-space limits. | definition/proof/numerical/empirical/interp fields still staged as TODO placeholders</x:t>
        </x:is>
      </x:c>
    </x:row>
    <x:row r="214" ht="55.20000076293945" customHeight="1">
      <x:c r="A214" s="20" t="inlineStr">
        <x:is>
          <x:t xml:space="preserve">227</x:t>
        </x:is>
      </x:c>
      <x:c r="B214" s="20" t="inlineStr">
        <x:is>
          <x:t xml:space="preserve">Lives-on-in-memory (no bodily return) is not resurrection</x:t>
        </x:is>
      </x:c>
      <x:c r="C214" s="20" t="inlineStr">
        <x:is>
          <x:t xml:space="preserve">C2 - Structural correspondence candidate</x:t>
        </x:is>
      </x:c>
      <x:c r="D214" s="21" t="inlineStr">
        <x:is>
          <x:t xml:space="preserve">PLACEHOLDER</x:t>
        </x:is>
      </x:c>
      <x:c r="E214" s="22" t="inlineStr">
        <x:is>
          <x:t xml:space="preserve">MISSING</x:t>
        </x:is>
      </x:c>
      <x:c r="F214" s="22" t="inlineStr">
        <x:is>
          <x:t xml:space="preserve">MISSING</x:t>
        </x:is>
      </x:c>
      <x:c r="G214" s="22" t="inlineStr">
        <x:is>
          <x:t xml:space="preserve">MISSING</x:t>
        </x:is>
      </x:c>
      <x:c r="H214" s="22" t="inlineStr">
        <x:is>
          <x:t xml:space="preserve">MISSING</x:t>
        </x:is>
      </x:c>
      <x:c r="I214" s="20" t="inlineStr">
        <x:is>
          <x:t xml:space="preserve">Faith-Thru-Physics-Lean-4--main\Faith-Thru-Physics-Lean-4--main\Theophysics_NegativeInventory.lean</x:t>
        </x:is>
      </x:c>
      <x:c r="J214" s="20" t="inlineStr">
        <x:is>
          <x:t xml:space="preserve">235</x:t>
        </x:is>
      </x:c>
      <x:c r="K214" s="20" t="inlineStr">
        <x:is>
          <x:t xml:space="preserve">theorem symbolic_only_rejected : validMissionReturn symbolicOnly = false</x:t>
        </x:is>
      </x:c>
      <x:c r="L214" s="20" t="inlineStr">
        <x:is>
          <x:t xml:space="preserve">symbolic_only_rejected</x:t>
        </x:is>
      </x:c>
      <x:c r="M214" s="26" t="inlineStr">
        <x:is>
          <x:t xml:space="preserve">SUPPORTED</x:t>
        </x:is>
      </x:c>
      <x:c r="N214" s="21" t="inlineStr">
        <x:is>
          <x:t xml:space="preserve">PLACEHOLDER</x:t>
        </x:is>
      </x:c>
      <x:c r="O214" s="21" t="inlineStr">
        <x:is>
          <x:t xml:space="preserve">PLACEHOLDER</x:t>
        </x:is>
      </x:c>
      <x:c r="P214" s="22" t="inlineStr">
        <x:is>
          <x:t xml:space="preserve">MISSING</x:t>
        </x:is>
      </x:c>
      <x:c r="Q214" s="21" t="inlineStr">
        <x:is>
          <x:t xml:space="preserve">PLACEHOLDER</x:t>
        </x:is>
      </x:c>
      <x:c r="R214" s="21" t="inlineStr">
        <x:is>
          <x:t xml:space="preserve">PLACEHOLDER</x:t>
        </x:is>
      </x:c>
      <x:c r="S214" s="21" t="inlineStr">
        <x:is>
          <x:t xml:space="preserve">PLACEHOLDER</x:t>
        </x:is>
      </x:c>
      <x:c r="T214" s="23" t="inlineStr">
        <x:is>
          <x:t xml:space="preserve">PARTIAL</x:t>
        </x:is>
      </x:c>
      <x:c r="U214" s="21" t="inlineStr">
        <x:is>
          <x:t xml:space="preserve">PLACEHOLDER</x:t>
        </x:is>
      </x:c>
      <x:c r="V214" s="20" t="inlineStr">
        <x:is>
          <x:t xml:space="preserve">lean_match_count=1 | proof_strength=FINITE_DECIDABLE | Finite/decidable proof; check candidate-space limits. | definition/proof/numerical/empirical/interp fields still staged as TODO placeholders</x:t>
        </x:is>
      </x:c>
    </x:row>
    <x:row r="215" ht="55.20000076293945" customHeight="1">
      <x:c r="A215" s="20" t="inlineStr">
        <x:is>
          <x:t xml:space="preserve">228</x:t>
        </x:is>
      </x:c>
      <x:c r="B215" s="20" t="inlineStr">
        <x:is>
          <x:t xml:space="preserve">A successor/copy is not the person - not resurrection</x:t>
        </x:is>
      </x:c>
      <x:c r="C215" s="20" t="inlineStr">
        <x:is>
          <x:t xml:space="preserve">C2 - Structural correspondence candidate</x:t>
        </x:is>
      </x:c>
      <x:c r="D215" s="21" t="inlineStr">
        <x:is>
          <x:t xml:space="preserve">PLACEHOLDER</x:t>
        </x:is>
      </x:c>
      <x:c r="E215" s="22" t="inlineStr">
        <x:is>
          <x:t xml:space="preserve">MISSING</x:t>
        </x:is>
      </x:c>
      <x:c r="F215" s="22" t="inlineStr">
        <x:is>
          <x:t xml:space="preserve">MISSING</x:t>
        </x:is>
      </x:c>
      <x:c r="G215" s="22" t="inlineStr">
        <x:is>
          <x:t xml:space="preserve">MISSING</x:t>
        </x:is>
      </x:c>
      <x:c r="H215" s="22" t="inlineStr">
        <x:is>
          <x:t xml:space="preserve">MISSING</x:t>
        </x:is>
      </x:c>
      <x:c r="I215" s="20" t="inlineStr">
        <x:is>
          <x:t xml:space="preserve">Faith-Thru-Physics-Lean-4--main\Faith-Thru-Physics-Lean-4--main\Theophysics_NegativeInventory.lean</x:t>
        </x:is>
      </x:c>
      <x:c r="J215" s="20" t="inlineStr">
        <x:is>
          <x:t xml:space="preserve">238</x:t>
        </x:is>
      </x:c>
      <x:c r="K215" s="20" t="inlineStr">
        <x:is>
          <x:t xml:space="preserve">theorem non_identity_replacement_rejected : validMissionReturn nonIdentityReplacement = false</x:t>
        </x:is>
      </x:c>
      <x:c r="L215" s="20" t="inlineStr">
        <x:is>
          <x:t xml:space="preserve">non_identity_replacement_rejected</x:t>
        </x:is>
      </x:c>
      <x:c r="M215" s="26" t="inlineStr">
        <x:is>
          <x:t xml:space="preserve">SUPPORTED</x:t>
        </x:is>
      </x:c>
      <x:c r="N215" s="21" t="inlineStr">
        <x:is>
          <x:t xml:space="preserve">PLACEHOLDER</x:t>
        </x:is>
      </x:c>
      <x:c r="O215" s="21" t="inlineStr">
        <x:is>
          <x:t xml:space="preserve">PLACEHOLDER</x:t>
        </x:is>
      </x:c>
      <x:c r="P215" s="22" t="inlineStr">
        <x:is>
          <x:t xml:space="preserve">MISSING</x:t>
        </x:is>
      </x:c>
      <x:c r="Q215" s="21" t="inlineStr">
        <x:is>
          <x:t xml:space="preserve">PLACEHOLDER</x:t>
        </x:is>
      </x:c>
      <x:c r="R215" s="21" t="inlineStr">
        <x:is>
          <x:t xml:space="preserve">PLACEHOLDER</x:t>
        </x:is>
      </x:c>
      <x:c r="S215" s="21" t="inlineStr">
        <x:is>
          <x:t xml:space="preserve">PLACEHOLDER</x:t>
        </x:is>
      </x:c>
      <x:c r="T215" s="23" t="inlineStr">
        <x:is>
          <x:t xml:space="preserve">PARTIAL</x:t>
        </x:is>
      </x:c>
      <x:c r="U215" s="21" t="inlineStr">
        <x:is>
          <x:t xml:space="preserve">PLACEHOLDER</x:t>
        </x:is>
      </x:c>
      <x:c r="V215" s="20" t="inlineStr">
        <x:is>
          <x:t xml:space="preserve">lean_match_count=1 | proof_strength=FINITE_DECIDABLE | Finite/decidable proof; check candidate-space limits. | definition/proof/numerical/empirical/interp fields still staged as TODO placeholders</x:t>
        </x:is>
      </x:c>
    </x:row>
    <x:row r="216" ht="55.20000076293945" customHeight="1">
      <x:c r="A216" s="20" t="inlineStr">
        <x:is>
          <x:t xml:space="preserve">229</x:t>
        </x:is>
      </x:c>
      <x:c r="B216" s="20" t="inlineStr">
        <x:is>
          <x:t xml:space="preserve">Repair-in-place with no return structure is not resurrection</x:t>
        </x:is>
      </x:c>
      <x:c r="C216" s="20" t="inlineStr">
        <x:is>
          <x:t xml:space="preserve">C2 - Structural correspondence candidate</x:t>
        </x:is>
      </x:c>
      <x:c r="D216" s="21" t="inlineStr">
        <x:is>
          <x:t xml:space="preserve">PLACEHOLDER</x:t>
        </x:is>
      </x:c>
      <x:c r="E216" s="22" t="inlineStr">
        <x:is>
          <x:t xml:space="preserve">MISSING</x:t>
        </x:is>
      </x:c>
      <x:c r="F216" s="22" t="inlineStr">
        <x:is>
          <x:t xml:space="preserve">MISSING</x:t>
        </x:is>
      </x:c>
      <x:c r="G216" s="22" t="inlineStr">
        <x:is>
          <x:t xml:space="preserve">MISSING</x:t>
        </x:is>
      </x:c>
      <x:c r="H216" s="22" t="inlineStr">
        <x:is>
          <x:t xml:space="preserve">MISSING</x:t>
        </x:is>
      </x:c>
      <x:c r="I216" s="20" t="inlineStr">
        <x:is>
          <x:t xml:space="preserve">Faith-Thru-Physics-Lean-4--main\Faith-Thru-Physics-Lean-4--main\Theophysics_NegativeInventory.lean</x:t>
        </x:is>
      </x:c>
      <x:c r="J216" s="20" t="inlineStr">
        <x:is>
          <x:t xml:space="preserve">241</x:t>
        </x:is>
      </x:c>
      <x:c r="K216" s="20" t="inlineStr">
        <x:is>
          <x:t xml:space="preserve">theorem pure_repair_without_return_rejected : validMissionReturn pureRepairWithoutReturn = false</x:t>
        </x:is>
      </x:c>
      <x:c r="L216" s="20" t="inlineStr">
        <x:is>
          <x:t xml:space="preserve">pure_repair_without_return_rejected</x:t>
        </x:is>
      </x:c>
      <x:c r="M216" s="26" t="inlineStr">
        <x:is>
          <x:t xml:space="preserve">SUPPORTED</x:t>
        </x:is>
      </x:c>
      <x:c r="N216" s="21" t="inlineStr">
        <x:is>
          <x:t xml:space="preserve">PLACEHOLDER</x:t>
        </x:is>
      </x:c>
      <x:c r="O216" s="21" t="inlineStr">
        <x:is>
          <x:t xml:space="preserve">PLACEHOLDER</x:t>
        </x:is>
      </x:c>
      <x:c r="P216" s="22" t="inlineStr">
        <x:is>
          <x:t xml:space="preserve">MISSING</x:t>
        </x:is>
      </x:c>
      <x:c r="Q216" s="21" t="inlineStr">
        <x:is>
          <x:t xml:space="preserve">PLACEHOLDER</x:t>
        </x:is>
      </x:c>
      <x:c r="R216" s="21" t="inlineStr">
        <x:is>
          <x:t xml:space="preserve">PLACEHOLDER</x:t>
        </x:is>
      </x:c>
      <x:c r="S216" s="21" t="inlineStr">
        <x:is>
          <x:t xml:space="preserve">PLACEHOLDER</x:t>
        </x:is>
      </x:c>
      <x:c r="T216" s="23" t="inlineStr">
        <x:is>
          <x:t xml:space="preserve">PARTIAL</x:t>
        </x:is>
      </x:c>
      <x:c r="U216" s="21" t="inlineStr">
        <x:is>
          <x:t xml:space="preserve">PLACEHOLDER</x:t>
        </x:is>
      </x:c>
      <x:c r="V216" s="20" t="inlineStr">
        <x:is>
          <x:t xml:space="preserve">lean_match_count=1 | proof_strength=FINITE_DECIDABLE | Finite/decidable proof; check candidate-space limits. | definition/proof/numerical/empirical/interp fields still staged as TODO placeholders</x:t>
        </x:is>
      </x:c>
    </x:row>
    <x:row r="217" ht="82.80000305175781" customHeight="1">
      <x:c r="A217" s="20" t="inlineStr">
        <x:is>
          <x:t xml:space="preserve">230</x:t>
        </x:is>
      </x:c>
      <x:c r="B217" s="20" t="inlineStr">
        <x:is>
          <x:t xml:space="preserve">Dropping any single guard admits a known false positive</x:t>
        </x:is>
      </x:c>
      <x:c r="C217" s="20" t="inlineStr">
        <x:is>
          <x:t xml:space="preserve">C2 - Structural correspondence candidate</x:t>
        </x:is>
      </x:c>
      <x:c r="D217" s="21" t="inlineStr">
        <x:is>
          <x:t xml:space="preserve">PLACEHOLDER</x:t>
        </x:is>
      </x:c>
      <x:c r="E217" s="22" t="inlineStr">
        <x:is>
          <x:t xml:space="preserve">MISSING</x:t>
        </x:is>
      </x:c>
      <x:c r="F217" s="22" t="inlineStr">
        <x:is>
          <x:t xml:space="preserve">MISSING</x:t>
        </x:is>
      </x:c>
      <x:c r="G217" s="23" t="inlineStr">
        <x:is>
          <x:t xml:space="preserve">PARTIAL</x:t>
        </x:is>
      </x:c>
      <x:c r="H217" s="22" t="inlineStr">
        <x:is>
          <x:t xml:space="preserve">MISSING</x:t>
        </x:is>
      </x:c>
      <x:c r="I217" s="20" t="inlineStr">
        <x:is>
          <x:t xml:space="preserve">Faith-Thru-Physics-Lean-4--main\Faith-Thru-Physics-Lean-4--main\Theophysics_NegativeInventory.lean</x:t>
        </x:is>
      </x:c>
      <x:c r="J217" s="20" t="inlineStr">
        <x:is>
          <x:t xml:space="preserve">246</x:t>
        </x:is>
      </x:c>
      <x:c r="K217" s="20" t="inlineStr">
        <x:is>
          <x:t xml:space="preserve">theorem every_return_guard_is_load_bearing : validMissionReturn reanimationOnly = false ∧ validMissionReturn memoryErasure = false ∧ validMissionReturn symbolicOnly = false ∧ validMissionReturn nonIdentityReplacement = false ∧ validMissionReturn pureRepairWithoutReturn = false</x:t>
        </x:is>
      </x:c>
      <x:c r="L217" s="20" t="inlineStr">
        <x:is>
          <x:t xml:space="preserve">every_return_guard_is_load_bearing</x:t>
        </x:is>
      </x:c>
      <x:c r="M217" s="26" t="inlineStr">
        <x:is>
          <x:t xml:space="preserve">SUPPORTED</x:t>
        </x:is>
      </x:c>
      <x:c r="N217" s="21" t="inlineStr">
        <x:is>
          <x:t xml:space="preserve">PLACEHOLDER</x:t>
        </x:is>
      </x:c>
      <x:c r="O217" s="21" t="inlineStr">
        <x:is>
          <x:t xml:space="preserve">PLACEHOLDER</x:t>
        </x:is>
      </x:c>
      <x:c r="P217" s="22" t="inlineStr">
        <x:is>
          <x:t xml:space="preserve">MISSING</x:t>
        </x:is>
      </x:c>
      <x:c r="Q217" s="21" t="inlineStr">
        <x:is>
          <x:t xml:space="preserve">PLACEHOLDER</x:t>
        </x:is>
      </x:c>
      <x:c r="R217" s="21" t="inlineStr">
        <x:is>
          <x:t xml:space="preserve">PLACEHOLDER</x:t>
        </x:is>
      </x:c>
      <x:c r="S217" s="21" t="inlineStr">
        <x:is>
          <x:t xml:space="preserve">PLACEHOLDER</x:t>
        </x:is>
      </x:c>
      <x:c r="T217" s="23" t="inlineStr">
        <x:is>
          <x:t xml:space="preserve">PARTIAL</x:t>
        </x:is>
      </x:c>
      <x:c r="U217" s="21" t="inlineStr">
        <x:is>
          <x:t xml:space="preserve">PLACEHOLDER</x:t>
        </x:is>
      </x:c>
      <x:c r="V217" s="20" t="inlineStr">
        <x:is>
          <x:t xml:space="preserve">lean_match_count=1 | proof_strength=FINITE_DECIDABLE | Finite/decidable proof; check candidate-space limits. | definition/proof/numerical/empirical/interp fields still staged as TODO placeholders</x:t>
        </x:is>
      </x:c>
    </x:row>
    <x:row r="218" ht="55.20000076293945" customHeight="1">
      <x:c r="A218" s="20" t="inlineStr">
        <x:is>
          <x:t xml:space="preserve">231</x:t>
        </x:is>
      </x:c>
      <x:c r="B218" s="20" t="inlineStr">
        <x:is>
          <x:t xml:space="preserve">Sanity anchor: the full-structure return validates (guards not vacuous)</x:t>
        </x:is>
      </x:c>
      <x:c r="C218" s="20" t="inlineStr">
        <x:is>
          <x:t xml:space="preserve">C2 - Structural correspondence candidate</x:t>
        </x:is>
      </x:c>
      <x:c r="D218" s="21" t="inlineStr">
        <x:is>
          <x:t xml:space="preserve">PLACEHOLDER</x:t>
        </x:is>
      </x:c>
      <x:c r="E218" s="22" t="inlineStr">
        <x:is>
          <x:t xml:space="preserve">MISSING</x:t>
        </x:is>
      </x:c>
      <x:c r="F218" s="22" t="inlineStr">
        <x:is>
          <x:t xml:space="preserve">MISSING</x:t>
        </x:is>
      </x:c>
      <x:c r="G218" s="22" t="inlineStr">
        <x:is>
          <x:t xml:space="preserve">MISSING</x:t>
        </x:is>
      </x:c>
      <x:c r="H218" s="22" t="inlineStr">
        <x:is>
          <x:t xml:space="preserve">MISSING</x:t>
        </x:is>
      </x:c>
      <x:c r="I218" s="20" t="inlineStr">
        <x:is>
          <x:t xml:space="preserve">Faith-Thru-Physics-Lean-4--main\Faith-Thru-Physics-Lean-4--main\Theophysics_NegativeInventory.lean</x:t>
        </x:is>
      </x:c>
      <x:c r="J218" s="20" t="inlineStr">
        <x:is>
          <x:t xml:space="preserve">256</x:t>
        </x:is>
      </x:c>
      <x:c r="K218" s="20" t="inlineStr">
        <x:is>
          <x:t xml:space="preserve">theorem full_structure_return_validates : validMissionReturn ⟨true, true, true, true, false⟩ = true</x:t>
        </x:is>
      </x:c>
      <x:c r="L218" s="20" t="inlineStr">
        <x:is>
          <x:t xml:space="preserve">full_structure_return_validates</x:t>
        </x:is>
      </x:c>
      <x:c r="M218" s="26" t="inlineStr">
        <x:is>
          <x:t xml:space="preserve">SUPPORTED</x:t>
        </x:is>
      </x:c>
      <x:c r="N218" s="21" t="inlineStr">
        <x:is>
          <x:t xml:space="preserve">PLACEHOLDER</x:t>
        </x:is>
      </x:c>
      <x:c r="O218" s="21" t="inlineStr">
        <x:is>
          <x:t xml:space="preserve">PLACEHOLDER</x:t>
        </x:is>
      </x:c>
      <x:c r="P218" s="22" t="inlineStr">
        <x:is>
          <x:t xml:space="preserve">MISSING</x:t>
        </x:is>
      </x:c>
      <x:c r="Q218" s="21" t="inlineStr">
        <x:is>
          <x:t xml:space="preserve">PLACEHOLDER</x:t>
        </x:is>
      </x:c>
      <x:c r="R218" s="21" t="inlineStr">
        <x:is>
          <x:t xml:space="preserve">PLACEHOLDER</x:t>
        </x:is>
      </x:c>
      <x:c r="S218" s="21" t="inlineStr">
        <x:is>
          <x:t xml:space="preserve">PLACEHOLDER</x:t>
        </x:is>
      </x:c>
      <x:c r="T218" s="23" t="inlineStr">
        <x:is>
          <x:t xml:space="preserve">PARTIAL</x:t>
        </x:is>
      </x:c>
      <x:c r="U218" s="21" t="inlineStr">
        <x:is>
          <x:t xml:space="preserve">PLACEHOLDER</x:t>
        </x:is>
      </x:c>
      <x:c r="V218" s="20" t="inlineStr">
        <x:is>
          <x:t xml:space="preserve">lean_match_count=1 | proof_strength=WRAPPER_OR_IMPORTED | Likely delegates to another theorem; cite underlying theorem too. | definition/proof/numerical/empirical/interp fields still staged as TODO placeholders</x:t>
        </x:is>
      </x:c>
    </x:row>
    <x:row r="219" ht="55.20000076293945" customHeight="1">
      <x:c r="A219" s="20" t="inlineStr">
        <x:is>
          <x:t xml:space="preserve">C1</x:t>
        </x:is>
      </x:c>
      <x:c r="B219" s="20" t="inlineStr">
        <x:is>
          <x:t xml:space="preserve">LLC: V &lt; T implies action-positive waste-punishing regime</x:t>
        </x:is>
      </x:c>
      <x:c r="C219" s="20" t="inlineStr">
        <x:is>
          <x:t xml:space="preserve">C2 - Structural correspondence candidate</x:t>
        </x:is>
      </x:c>
      <x:c r="D219" s="21" t="inlineStr">
        <x:is>
          <x:t xml:space="preserve">PLACEHOLDER</x:t>
        </x:is>
      </x:c>
      <x:c r="E219" s="22" t="inlineStr">
        <x:is>
          <x:t xml:space="preserve">MISSING</x:t>
        </x:is>
      </x:c>
      <x:c r="F219" s="22" t="inlineStr">
        <x:is>
          <x:t xml:space="preserve">MISSING</x:t>
        </x:is>
      </x:c>
      <x:c r="G219" s="23" t="inlineStr">
        <x:is>
          <x:t xml:space="preserve">PARTIAL</x:t>
        </x:is>
      </x:c>
      <x:c r="H219" s="22" t="inlineStr">
        <x:is>
          <x:t xml:space="preserve">MISSING</x:t>
        </x:is>
      </x:c>
      <x:c r="I219" s="20" t="inlineStr">
        <x:is>
          <x:t xml:space="preserve">theophysics-lean-main\theophysics-lean-main\Theophysics_Canonization.lean</x:t>
        </x:is>
      </x:c>
      <x:c r="J219" s="20" t="inlineStr">
        <x:is>
          <x:t xml:space="preserve">72</x:t>
        </x:is>
      </x:c>
      <x:c r="K219" s="20" t="inlineStr">
        <x:is>
          <x:t xml:space="preserve">theorem llc_collapse_regime (T V : ℝ) (h : V &lt; T) : 0 &lt; LLC T V</x:t>
        </x:is>
      </x:c>
      <x:c r="L219" s="20" t="inlineStr">
        <x:is>
          <x:t xml:space="preserve">llc_collapse_regime</x:t>
        </x:is>
      </x:c>
      <x:c r="M219" s="26" t="inlineStr">
        <x:is>
          <x:t xml:space="preserve">SUPPORTED</x:t>
        </x:is>
      </x:c>
      <x:c r="N219" s="21" t="inlineStr">
        <x:is>
          <x:t xml:space="preserve">PLACEHOLDER</x:t>
        </x:is>
      </x:c>
      <x:c r="O219" s="21" t="inlineStr">
        <x:is>
          <x:t xml:space="preserve">PLACEHOLDER</x:t>
        </x:is>
      </x:c>
      <x:c r="P219" s="22" t="inlineStr">
        <x:is>
          <x:t xml:space="preserve">MISSING</x:t>
        </x:is>
      </x:c>
      <x:c r="Q219" s="21" t="inlineStr">
        <x:is>
          <x:t xml:space="preserve">PLACEHOLDER</x:t>
        </x:is>
      </x:c>
      <x:c r="R219" s="21" t="inlineStr">
        <x:is>
          <x:t xml:space="preserve">PLACEHOLDER</x:t>
        </x:is>
      </x:c>
      <x:c r="S219" s="21" t="inlineStr">
        <x:is>
          <x:t xml:space="preserve">PLACEHOLDER</x:t>
        </x:is>
      </x:c>
      <x:c r="T219" s="23" t="inlineStr">
        <x:is>
          <x:t xml:space="preserve">PARTIAL</x:t>
        </x:is>
      </x:c>
      <x:c r="U219" s="21" t="inlineStr">
        <x:is>
          <x:t xml:space="preserve">PLACEHOLDER</x:t>
        </x:is>
      </x:c>
      <x:c r="V219" s="20" t="inlineStr">
        <x:is>
          <x:t xml:space="preserve">lean_match_count=1 | proof_strength=SIMPLIFICATION | Follows by simplification under definitions; check definition strength. | definition/proof/numerical/empirical/interp fields still staged as TODO placeholders</x:t>
        </x:is>
      </x:c>
    </x:row>
    <x:row r="220" ht="55.20000076293945" customHeight="1">
      <x:c r="A220" s="20" t="inlineStr">
        <x:is>
          <x:t xml:space="preserve">C2</x:t>
        </x:is>
      </x:c>
      <x:c r="B220" s="20" t="inlineStr">
        <x:is>
          <x:t xml:space="preserve">No Gamma-coupling implies V=0, action reduces to pure cost</x:t>
        </x:is>
      </x:c>
      <x:c r="C220" s="20" t="inlineStr">
        <x:is>
          <x:t xml:space="preserve">C2 - Structural correspondence candidate</x:t>
        </x:is>
      </x:c>
      <x:c r="D220" s="21" t="inlineStr">
        <x:is>
          <x:t xml:space="preserve">PLACEHOLDER</x:t>
        </x:is>
      </x:c>
      <x:c r="E220" s="22" t="inlineStr">
        <x:is>
          <x:t xml:space="preserve">MISSING</x:t>
        </x:is>
      </x:c>
      <x:c r="F220" s="22" t="inlineStr">
        <x:is>
          <x:t xml:space="preserve">MISSING</x:t>
        </x:is>
      </x:c>
      <x:c r="G220" s="22" t="inlineStr">
        <x:is>
          <x:t xml:space="preserve">MISSING</x:t>
        </x:is>
      </x:c>
      <x:c r="H220" s="22" t="inlineStr">
        <x:is>
          <x:t xml:space="preserve">MISSING</x:t>
        </x:is>
      </x:c>
      <x:c r="I220" s="20" t="inlineStr">
        <x:is>
          <x:t xml:space="preserve">theophysics-lean-main\theophysics-lean-main\Theophysics_Canonization.lean</x:t>
        </x:is>
      </x:c>
      <x:c r="J220" s="20" t="inlineStr">
        <x:is>
          <x:t xml:space="preserve">77</x:t>
        </x:is>
      </x:c>
      <x:c r="K220" s="20" t="inlineStr">
        <x:is>
          <x:t xml:space="preserve">theorem no_observer_no_capital (T : ℝ) : LLC T 0 = T</x:t>
        </x:is>
      </x:c>
      <x:c r="L220" s="20" t="inlineStr">
        <x:is>
          <x:t xml:space="preserve">no_observer_no_capital</x:t>
        </x:is>
      </x:c>
      <x:c r="M220" s="26" t="inlineStr">
        <x:is>
          <x:t xml:space="preserve">SUPPORTED</x:t>
        </x:is>
      </x:c>
      <x:c r="N220" s="21" t="inlineStr">
        <x:is>
          <x:t xml:space="preserve">PLACEHOLDER</x:t>
        </x:is>
      </x:c>
      <x:c r="O220" s="21" t="inlineStr">
        <x:is>
          <x:t xml:space="preserve">PLACEHOLDER</x:t>
        </x:is>
      </x:c>
      <x:c r="P220" s="22" t="inlineStr">
        <x:is>
          <x:t xml:space="preserve">MISSING</x:t>
        </x:is>
      </x:c>
      <x:c r="Q220" s="21" t="inlineStr">
        <x:is>
          <x:t xml:space="preserve">PLACEHOLDER</x:t>
        </x:is>
      </x:c>
      <x:c r="R220" s="21" t="inlineStr">
        <x:is>
          <x:t xml:space="preserve">PLACEHOLDER</x:t>
        </x:is>
      </x:c>
      <x:c r="S220" s="21" t="inlineStr">
        <x:is>
          <x:t xml:space="preserve">PLACEHOLDER</x:t>
        </x:is>
      </x:c>
      <x:c r="T220" s="23" t="inlineStr">
        <x:is>
          <x:t xml:space="preserve">PARTIAL</x:t>
        </x:is>
      </x:c>
      <x:c r="U220" s="21" t="inlineStr">
        <x:is>
          <x:t xml:space="preserve">PLACEHOLDER</x:t>
        </x:is>
      </x:c>
      <x:c r="V220" s="20" t="inlineStr">
        <x:is>
          <x:t xml:space="preserve">lean_match_count=1 | proof_strength=WRAPPER_OR_IMPORTED | Likely delegates to another theorem; cite underlying theorem too. | definition/proof/numerical/empirical/interp fields still staged as TODO placeholders</x:t>
        </x:is>
      </x:c>
    </x:row>
    <x:row r="221" ht="55.20000076293945" customHeight="1">
      <x:c r="A221" s="20" t="inlineStr">
        <x:is>
          <x:t xml:space="preserve">C3</x:t>
        </x:is>
      </x:c>
      <x:c r="B221" s="20" t="inlineStr">
        <x:is>
          <x:t xml:space="preserve">L_spirit = chi*(v^2 - Se) - coherence weight factors out</x:t>
        </x:is>
      </x:c>
      <x:c r="C221" s="20" t="inlineStr">
        <x:is>
          <x:t xml:space="preserve">C2 - Structural correspondence candidate</x:t>
        </x:is>
      </x:c>
      <x:c r="D221" s="21" t="inlineStr">
        <x:is>
          <x:t xml:space="preserve">PLACEHOLDER</x:t>
        </x:is>
      </x:c>
      <x:c r="E221" s="22" t="inlineStr">
        <x:is>
          <x:t xml:space="preserve">MISSING</x:t>
        </x:is>
      </x:c>
      <x:c r="F221" s="22" t="inlineStr">
        <x:is>
          <x:t xml:space="preserve">MISSING</x:t>
        </x:is>
      </x:c>
      <x:c r="G221" s="22" t="inlineStr">
        <x:is>
          <x:t xml:space="preserve">MISSING</x:t>
        </x:is>
      </x:c>
      <x:c r="H221" s="22" t="inlineStr">
        <x:is>
          <x:t xml:space="preserve">MISSING</x:t>
        </x:is>
      </x:c>
      <x:c r="I221" s="20" t="inlineStr">
        <x:is>
          <x:t xml:space="preserve">theophysics-lean-main\theophysics-lean-main\Theophysics_Canonization.lean</x:t>
        </x:is>
      </x:c>
      <x:c r="J221" s="20" t="inlineStr">
        <x:is>
          <x:t xml:space="preserve">84</x:t>
        </x:is>
      </x:c>
      <x:c r="K221" s="20" t="inlineStr">
        <x:is>
          <x:t xml:space="preserve">theorem spirit_factors (χ v Sₑ : ℝ) : SpiritLagrangian χ v Sₑ = χ * (v ^ 2 - Sₑ)</x:t>
        </x:is>
      </x:c>
      <x:c r="L221" s="20" t="inlineStr">
        <x:is>
          <x:t xml:space="preserve">spirit_factors</x:t>
        </x:is>
      </x:c>
      <x:c r="M221" s="26" t="inlineStr">
        <x:is>
          <x:t xml:space="preserve">SUPPORTED</x:t>
        </x:is>
      </x:c>
      <x:c r="N221" s="21" t="inlineStr">
        <x:is>
          <x:t xml:space="preserve">PLACEHOLDER</x:t>
        </x:is>
      </x:c>
      <x:c r="O221" s="21" t="inlineStr">
        <x:is>
          <x:t xml:space="preserve">PLACEHOLDER</x:t>
        </x:is>
      </x:c>
      <x:c r="P221" s="22" t="inlineStr">
        <x:is>
          <x:t xml:space="preserve">MISSING</x:t>
        </x:is>
      </x:c>
      <x:c r="Q221" s="21" t="inlineStr">
        <x:is>
          <x:t xml:space="preserve">PLACEHOLDER</x:t>
        </x:is>
      </x:c>
      <x:c r="R221" s="21" t="inlineStr">
        <x:is>
          <x:t xml:space="preserve">PLACEHOLDER</x:t>
        </x:is>
      </x:c>
      <x:c r="S221" s="21" t="inlineStr">
        <x:is>
          <x:t xml:space="preserve">PLACEHOLDER</x:t>
        </x:is>
      </x:c>
      <x:c r="T221" s="23" t="inlineStr">
        <x:is>
          <x:t xml:space="preserve">PARTIAL</x:t>
        </x:is>
      </x:c>
      <x:c r="U221" s="21" t="inlineStr">
        <x:is>
          <x:t xml:space="preserve">PLACEHOLDER</x:t>
        </x:is>
      </x:c>
      <x:c r="V221" s="20" t="inlineStr">
        <x:is>
          <x:t xml:space="preserve">lean_match_count=1 | proof_strength=SIMPLIFICATION | Follows by simplification under definitions; check definition strength. | definition/proof/numerical/empirical/interp fields still staged as TODO placeholders</x:t>
        </x:is>
      </x:c>
    </x:row>
    <x:row r="222" ht="55.20000076293945" customHeight="1">
      <x:c r="A222" s="20" t="inlineStr">
        <x:is>
          <x:t xml:space="preserve">C4</x:t>
        </x:is>
      </x:c>
      <x:c r="B222" s="20" t="inlineStr">
        <x:is>
          <x:t xml:space="preserve">chi=0 kills kinetic and penalty terms simultaneously</x:t>
        </x:is>
      </x:c>
      <x:c r="C222" s="20" t="inlineStr">
        <x:is>
          <x:t xml:space="preserve">C2 - Structural correspondence candidate</x:t>
        </x:is>
      </x:c>
      <x:c r="D222" s="21" t="inlineStr">
        <x:is>
          <x:t xml:space="preserve">PLACEHOLDER</x:t>
        </x:is>
      </x:c>
      <x:c r="E222" s="22" t="inlineStr">
        <x:is>
          <x:t xml:space="preserve">MISSING</x:t>
        </x:is>
      </x:c>
      <x:c r="F222" s="22" t="inlineStr">
        <x:is>
          <x:t xml:space="preserve">MISSING</x:t>
        </x:is>
      </x:c>
      <x:c r="G222" s="22" t="inlineStr">
        <x:is>
          <x:t xml:space="preserve">MISSING</x:t>
        </x:is>
      </x:c>
      <x:c r="H222" s="22" t="inlineStr">
        <x:is>
          <x:t xml:space="preserve">MISSING</x:t>
        </x:is>
      </x:c>
      <x:c r="I222" s="20" t="inlineStr">
        <x:is>
          <x:t xml:space="preserve">theophysics-lean-main\theophysics-lean-main\Theophysics_Canonization.lean</x:t>
        </x:is>
      </x:c>
      <x:c r="J222" s="20" t="inlineStr">
        <x:is>
          <x:t xml:space="preserve">88</x:t>
        </x:is>
      </x:c>
      <x:c r="K222" s="20" t="inlineStr">
        <x:is>
          <x:t xml:space="preserve">theorem spirit_dies_at_zero_coherence (v Sₑ : ℝ) : SpiritLagrangian 0 v Sₑ = 0</x:t>
        </x:is>
      </x:c>
      <x:c r="L222" s="20" t="inlineStr">
        <x:is>
          <x:t xml:space="preserve">spirit_dies_at_zero_coherence</x:t>
        </x:is>
      </x:c>
      <x:c r="M222" s="26" t="inlineStr">
        <x:is>
          <x:t xml:space="preserve">SUPPORTED</x:t>
        </x:is>
      </x:c>
      <x:c r="N222" s="21" t="inlineStr">
        <x:is>
          <x:t xml:space="preserve">PLACEHOLDER</x:t>
        </x:is>
      </x:c>
      <x:c r="O222" s="21" t="inlineStr">
        <x:is>
          <x:t xml:space="preserve">PLACEHOLDER</x:t>
        </x:is>
      </x:c>
      <x:c r="P222" s="22" t="inlineStr">
        <x:is>
          <x:t xml:space="preserve">MISSING</x:t>
        </x:is>
      </x:c>
      <x:c r="Q222" s="21" t="inlineStr">
        <x:is>
          <x:t xml:space="preserve">PLACEHOLDER</x:t>
        </x:is>
      </x:c>
      <x:c r="R222" s="21" t="inlineStr">
        <x:is>
          <x:t xml:space="preserve">PLACEHOLDER</x:t>
        </x:is>
      </x:c>
      <x:c r="S222" s="21" t="inlineStr">
        <x:is>
          <x:t xml:space="preserve">PLACEHOLDER</x:t>
        </x:is>
      </x:c>
      <x:c r="T222" s="23" t="inlineStr">
        <x:is>
          <x:t xml:space="preserve">PARTIAL</x:t>
        </x:is>
      </x:c>
      <x:c r="U222" s="21" t="inlineStr">
        <x:is>
          <x:t xml:space="preserve">PLACEHOLDER</x:t>
        </x:is>
      </x:c>
      <x:c r="V222" s="20" t="inlineStr">
        <x:is>
          <x:t xml:space="preserve">lean_match_count=1 | proof_strength=SIMPLIFICATION | Follows by simplification under definitions; check definition strength. | definition/proof/numerical/empirical/interp fields still staged as TODO placeholders</x:t>
        </x:is>
      </x:c>
    </x:row>
    <x:row r="223" ht="69" customHeight="1">
      <x:c r="A223" s="20" t="inlineStr">
        <x:is>
          <x:t xml:space="preserve">C5</x:t>
        </x:is>
      </x:c>
      <x:c r="B223" s="20" t="inlineStr">
        <x:is>
          <x:t xml:space="preserve">For chi&gt;0: L_spirit &gt; 0 iff Se &lt; v^2</x:t>
        </x:is>
      </x:c>
      <x:c r="C223" s="20" t="inlineStr">
        <x:is>
          <x:t xml:space="preserve">C2 - Structural correspondence candidate</x:t>
        </x:is>
      </x:c>
      <x:c r="D223" s="21" t="inlineStr">
        <x:is>
          <x:t xml:space="preserve">PLACEHOLDER</x:t>
        </x:is>
      </x:c>
      <x:c r="E223" s="22" t="inlineStr">
        <x:is>
          <x:t xml:space="preserve">MISSING</x:t>
        </x:is>
      </x:c>
      <x:c r="F223" s="22" t="inlineStr">
        <x:is>
          <x:t xml:space="preserve">MISSING</x:t>
        </x:is>
      </x:c>
      <x:c r="G223" s="23" t="inlineStr">
        <x:is>
          <x:t xml:space="preserve">PARTIAL</x:t>
        </x:is>
      </x:c>
      <x:c r="H223" s="22" t="inlineStr">
        <x:is>
          <x:t xml:space="preserve">MISSING</x:t>
        </x:is>
      </x:c>
      <x:c r="I223" s="20" t="inlineStr">
        <x:is>
          <x:t xml:space="preserve">theophysics-lean-main\theophysics-lean-main\Theophysics_Canonization.lean</x:t>
        </x:is>
      </x:c>
      <x:c r="J223" s="20" t="inlineStr">
        <x:is>
          <x:t xml:space="preserve">93</x:t>
        </x:is>
      </x:c>
      <x:c r="K223" s="20" t="inlineStr">
        <x:is>
          <x:t xml:space="preserve">theorem spirit_positive_iff (χ v Sₑ : ℝ) (hχ : 0 &lt; χ) : 0 &lt; SpiritLagrangian χ v Sₑ ↔ Sₑ &lt; v ^ 2</x:t>
        </x:is>
      </x:c>
      <x:c r="L223" s="20" t="inlineStr">
        <x:is>
          <x:t xml:space="preserve">spirit_positive_iff</x:t>
        </x:is>
      </x:c>
      <x:c r="M223" s="26" t="inlineStr">
        <x:is>
          <x:t xml:space="preserve">SUPPORTED</x:t>
        </x:is>
      </x:c>
      <x:c r="N223" s="21" t="inlineStr">
        <x:is>
          <x:t xml:space="preserve">PLACEHOLDER</x:t>
        </x:is>
      </x:c>
      <x:c r="O223" s="21" t="inlineStr">
        <x:is>
          <x:t xml:space="preserve">PLACEHOLDER</x:t>
        </x:is>
      </x:c>
      <x:c r="P223" s="22" t="inlineStr">
        <x:is>
          <x:t xml:space="preserve">MISSING</x:t>
        </x:is>
      </x:c>
      <x:c r="Q223" s="21" t="inlineStr">
        <x:is>
          <x:t xml:space="preserve">PLACEHOLDER</x:t>
        </x:is>
      </x:c>
      <x:c r="R223" s="21" t="inlineStr">
        <x:is>
          <x:t xml:space="preserve">PLACEHOLDER</x:t>
        </x:is>
      </x:c>
      <x:c r="S223" s="21" t="inlineStr">
        <x:is>
          <x:t xml:space="preserve">PLACEHOLDER</x:t>
        </x:is>
      </x:c>
      <x:c r="T223" s="23" t="inlineStr">
        <x:is>
          <x:t xml:space="preserve">PARTIAL</x:t>
        </x:is>
      </x:c>
      <x:c r="U223" s="21" t="inlineStr">
        <x:is>
          <x:t xml:space="preserve">PLACEHOLDER</x:t>
        </x:is>
      </x:c>
      <x:c r="V223" s="20" t="inlineStr">
        <x:is>
          <x:t xml:space="preserve">lean_match_count=1 | proof_strength=SUBSTANTIVE_OR_CASE_PROOF | Appears to contain an actual proof body; inspect before public citation. | definition/proof/numerical/empirical/interp fields still staged as TODO placeholders</x:t>
        </x:is>
      </x:c>
    </x:row>
    <x:row r="224" ht="55.20000076293945" customHeight="1">
      <x:c r="A224" s="20" t="inlineStr">
        <x:is>
          <x:t xml:space="preserve">C6</x:t>
        </x:is>
      </x:c>
      <x:c r="B224" s="20" t="inlineStr">
        <x:is>
          <x:t xml:space="preserve">Anti-Lagrangian expanded form equals the sign flip exactly</x:t>
        </x:is>
      </x:c>
      <x:c r="C224" s="20" t="inlineStr">
        <x:is>
          <x:t xml:space="preserve">C5 - Dynamical equivalence candidate</x:t>
        </x:is>
      </x:c>
      <x:c r="D224" s="21" t="inlineStr">
        <x:is>
          <x:t xml:space="preserve">PLACEHOLDER</x:t>
        </x:is>
      </x:c>
      <x:c r="E224" s="22" t="inlineStr">
        <x:is>
          <x:t xml:space="preserve">MISSING</x:t>
        </x:is>
      </x:c>
      <x:c r="F224" s="22" t="inlineStr">
        <x:is>
          <x:t xml:space="preserve">MISSING</x:t>
        </x:is>
      </x:c>
      <x:c r="G224" s="23" t="inlineStr">
        <x:is>
          <x:t xml:space="preserve">PARTIAL</x:t>
        </x:is>
      </x:c>
      <x:c r="H224" s="22" t="inlineStr">
        <x:is>
          <x:t xml:space="preserve">MISSING</x:t>
        </x:is>
      </x:c>
      <x:c r="I224" s="20" t="inlineStr">
        <x:is>
          <x:t xml:space="preserve">theophysics-lean-main\theophysics-lean-main\Theophysics_Canonization.lean</x:t>
        </x:is>
      </x:c>
      <x:c r="J224" s="20" t="inlineStr">
        <x:is>
          <x:t xml:space="preserve">111</x:t>
        </x:is>
      </x:c>
      <x:c r="K224" s="20" t="inlineStr">
        <x:is>
          <x:t xml:space="preserve">theorem anti_expansion (χ v Sₑ : ℝ) : AntiLagrangian χ v Sₑ = Sₑ * χ - χ * v ^ 2</x:t>
        </x:is>
      </x:c>
      <x:c r="L224" s="20" t="inlineStr">
        <x:is>
          <x:t xml:space="preserve">anti_expansion</x:t>
        </x:is>
      </x:c>
      <x:c r="M224" s="26" t="inlineStr">
        <x:is>
          <x:t xml:space="preserve">SUPPORTED</x:t>
        </x:is>
      </x:c>
      <x:c r="N224" s="21" t="inlineStr">
        <x:is>
          <x:t xml:space="preserve">PLACEHOLDER</x:t>
        </x:is>
      </x:c>
      <x:c r="O224" s="21" t="inlineStr">
        <x:is>
          <x:t xml:space="preserve">PLACEHOLDER</x:t>
        </x:is>
      </x:c>
      <x:c r="P224" s="22" t="inlineStr">
        <x:is>
          <x:t xml:space="preserve">MISSING</x:t>
        </x:is>
      </x:c>
      <x:c r="Q224" s="21" t="inlineStr">
        <x:is>
          <x:t xml:space="preserve">PLACEHOLDER</x:t>
        </x:is>
      </x:c>
      <x:c r="R224" s="21" t="inlineStr">
        <x:is>
          <x:t xml:space="preserve">PLACEHOLDER</x:t>
        </x:is>
      </x:c>
      <x:c r="S224" s="21" t="inlineStr">
        <x:is>
          <x:t xml:space="preserve">PLACEHOLDER</x:t>
        </x:is>
      </x:c>
      <x:c r="T224" s="23" t="inlineStr">
        <x:is>
          <x:t xml:space="preserve">PARTIAL</x:t>
        </x:is>
      </x:c>
      <x:c r="U224" s="21" t="inlineStr">
        <x:is>
          <x:t xml:space="preserve">PLACEHOLDER</x:t>
        </x:is>
      </x:c>
      <x:c r="V224" s="20" t="inlineStr">
        <x:is>
          <x:t xml:space="preserve">lean_match_count=1 | proof_strength=SIMPLIFICATION | Follows by simplification under definitions; check definition strength. | definition/proof/numerical/empirical/interp fields still staged as TODO placeholders</x:t>
        </x:is>
      </x:c>
    </x:row>
    <x:row r="225" ht="55.20000076293945" customHeight="1">
      <x:c r="A225" s="20" t="inlineStr">
        <x:is>
          <x:t xml:space="preserve">C7</x:t>
        </x:is>
      </x:c>
      <x:c r="B225" s="20" t="inlineStr">
        <x:is>
          <x:t xml:space="preserve">Spirit + Anti = 0: evil has no independent grammar, only inversion</x:t>
        </x:is>
      </x:c>
      <x:c r="C225" s="20" t="inlineStr">
        <x:is>
          <x:t xml:space="preserve">C2 - Structural correspondence candidate</x:t>
        </x:is>
      </x:c>
      <x:c r="D225" s="21" t="inlineStr">
        <x:is>
          <x:t xml:space="preserve">PLACEHOLDER</x:t>
        </x:is>
      </x:c>
      <x:c r="E225" s="22" t="inlineStr">
        <x:is>
          <x:t xml:space="preserve">MISSING</x:t>
        </x:is>
      </x:c>
      <x:c r="F225" s="22" t="inlineStr">
        <x:is>
          <x:t xml:space="preserve">MISSING</x:t>
        </x:is>
      </x:c>
      <x:c r="G225" s="22" t="inlineStr">
        <x:is>
          <x:t xml:space="preserve">MISSING</x:t>
        </x:is>
      </x:c>
      <x:c r="H225" s="22" t="inlineStr">
        <x:is>
          <x:t xml:space="preserve">MISSING</x:t>
        </x:is>
      </x:c>
      <x:c r="I225" s="20" t="inlineStr">
        <x:is>
          <x:t xml:space="preserve">theophysics-lean-main\theophysics-lean-main\Theophysics_Canonization.lean</x:t>
        </x:is>
      </x:c>
      <x:c r="J225" s="20" t="inlineStr">
        <x:is>
          <x:t xml:space="preserve">117</x:t>
        </x:is>
      </x:c>
      <x:c r="K225" s="20" t="inlineStr">
        <x:is>
          <x:t xml:space="preserve">theorem spirit_anti_sum_zero (χ v Sₑ : ℝ) : SpiritLagrangian χ v Sₑ + AntiLagrangian χ v Sₑ = 0</x:t>
        </x:is>
      </x:c>
      <x:c r="L225" s="20" t="inlineStr">
        <x:is>
          <x:t xml:space="preserve">spirit_anti_sum_zero</x:t>
        </x:is>
      </x:c>
      <x:c r="M225" s="26" t="inlineStr">
        <x:is>
          <x:t xml:space="preserve">SUPPORTED</x:t>
        </x:is>
      </x:c>
      <x:c r="N225" s="21" t="inlineStr">
        <x:is>
          <x:t xml:space="preserve">PLACEHOLDER</x:t>
        </x:is>
      </x:c>
      <x:c r="O225" s="21" t="inlineStr">
        <x:is>
          <x:t xml:space="preserve">PLACEHOLDER</x:t>
        </x:is>
      </x:c>
      <x:c r="P225" s="22" t="inlineStr">
        <x:is>
          <x:t xml:space="preserve">MISSING</x:t>
        </x:is>
      </x:c>
      <x:c r="Q225" s="21" t="inlineStr">
        <x:is>
          <x:t xml:space="preserve">PLACEHOLDER</x:t>
        </x:is>
      </x:c>
      <x:c r="R225" s="21" t="inlineStr">
        <x:is>
          <x:t xml:space="preserve">PLACEHOLDER</x:t>
        </x:is>
      </x:c>
      <x:c r="S225" s="21" t="inlineStr">
        <x:is>
          <x:t xml:space="preserve">PLACEHOLDER</x:t>
        </x:is>
      </x:c>
      <x:c r="T225" s="23" t="inlineStr">
        <x:is>
          <x:t xml:space="preserve">PARTIAL</x:t>
        </x:is>
      </x:c>
      <x:c r="U225" s="21" t="inlineStr">
        <x:is>
          <x:t xml:space="preserve">PLACEHOLDER</x:t>
        </x:is>
      </x:c>
      <x:c r="V225" s="20" t="inlineStr">
        <x:is>
          <x:t xml:space="preserve">lean_match_count=1 | proof_strength=WRAPPER_OR_IMPORTED | Likely delegates to another theorem; cite underlying theorem too. | definition/proof/numerical/empirical/interp fields still staged as TODO placeholders</x:t>
        </x:is>
      </x:c>
    </x:row>
    <x:row r="226" ht="55.20000076293945" customHeight="1">
      <x:c r="A226" s="20" t="inlineStr">
        <x:is>
          <x:t xml:space="preserve">C8</x:t>
        </x:is>
      </x:c>
      <x:c r="B226" s="20" t="inlineStr">
        <x:is>
          <x:t xml:space="preserve">chi=0 implies kappa-term vanishes, total reduces to Einstein-Hilbert (D13.1 DC2)</x:t>
        </x:is>
      </x:c>
      <x:c r="C226" s="20" t="inlineStr">
        <x:is>
          <x:t xml:space="preserve">C2 - Structural correspondence candidate</x:t>
        </x:is>
      </x:c>
      <x:c r="D226" s="21" t="inlineStr">
        <x:is>
          <x:t xml:space="preserve">PLACEHOLDER</x:t>
        </x:is>
      </x:c>
      <x:c r="E226" s="22" t="inlineStr">
        <x:is>
          <x:t xml:space="preserve">MISSING</x:t>
        </x:is>
      </x:c>
      <x:c r="F226" s="22" t="inlineStr">
        <x:is>
          <x:t xml:space="preserve">MISSING</x:t>
        </x:is>
      </x:c>
      <x:c r="G226" s="22" t="inlineStr">
        <x:is>
          <x:t xml:space="preserve">MISSING</x:t>
        </x:is>
      </x:c>
      <x:c r="H226" s="22" t="inlineStr">
        <x:is>
          <x:t xml:space="preserve">MISSING</x:t>
        </x:is>
      </x:c>
      <x:c r="I226" s="20" t="inlineStr">
        <x:is>
          <x:t xml:space="preserve">theophysics-lean-main\theophysics-lean-main\Theophysics_Canonization.lean</x:t>
        </x:is>
      </x:c>
      <x:c r="J226" s="20" t="inlineStr">
        <x:is>
          <x:t xml:space="preserve">136</x:t>
        </x:is>
      </x:c>
      <x:c r="K226" s="20" t="inlineStr">
        <x:is>
          <x:t xml:space="preserve">theorem gr_recovery (κ R sqrtNegG L_GR : ℝ) : kappaTerm κ 0 R sqrtNegG = 0 ∧ UnifiedFieldLagrangian L_GR 0 (kappaTerm κ 0 R sqrtNegG) = L_GR</x:t>
        </x:is>
      </x:c>
      <x:c r="L226" s="20" t="inlineStr">
        <x:is>
          <x:t xml:space="preserve">gr_recovery</x:t>
        </x:is>
      </x:c>
      <x:c r="M226" s="26" t="inlineStr">
        <x:is>
          <x:t xml:space="preserve">SUPPORTED</x:t>
        </x:is>
      </x:c>
      <x:c r="N226" s="21" t="inlineStr">
        <x:is>
          <x:t xml:space="preserve">PLACEHOLDER</x:t>
        </x:is>
      </x:c>
      <x:c r="O226" s="21" t="inlineStr">
        <x:is>
          <x:t xml:space="preserve">PLACEHOLDER</x:t>
        </x:is>
      </x:c>
      <x:c r="P226" s="22" t="inlineStr">
        <x:is>
          <x:t xml:space="preserve">MISSING</x:t>
        </x:is>
      </x:c>
      <x:c r="Q226" s="21" t="inlineStr">
        <x:is>
          <x:t xml:space="preserve">PLACEHOLDER</x:t>
        </x:is>
      </x:c>
      <x:c r="R226" s="21" t="inlineStr">
        <x:is>
          <x:t xml:space="preserve">PLACEHOLDER</x:t>
        </x:is>
      </x:c>
      <x:c r="S226" s="21" t="inlineStr">
        <x:is>
          <x:t xml:space="preserve">PLACEHOLDER</x:t>
        </x:is>
      </x:c>
      <x:c r="T226" s="23" t="inlineStr">
        <x:is>
          <x:t xml:space="preserve">PARTIAL</x:t>
        </x:is>
      </x:c>
      <x:c r="U226" s="21" t="inlineStr">
        <x:is>
          <x:t xml:space="preserve">PLACEHOLDER</x:t>
        </x:is>
      </x:c>
      <x:c r="V226" s="20" t="inlineStr">
        <x:is>
          <x:t xml:space="preserve">lean_match_count=1 | proof_strength=SIMPLIFICATION | Follows by simplification under definitions; check definition strength. | definition/proof/numerical/empirical/interp fields still staged as TODO placeholders</x:t>
        </x:is>
      </x:c>
    </x:row>
    <x:row r="227" ht="69" customHeight="1">
      <x:c r="A227" s="20" t="inlineStr">
        <x:is>
          <x:t xml:space="preserve">C9</x:t>
        </x:is>
      </x:c>
      <x:c r="B227" s="20" t="inlineStr">
        <x:is>
          <x:t xml:space="preserve">Screened coupling strictly weaker than Planck-scale coupling</x:t>
        </x:is>
      </x:c>
      <x:c r="C227" s="20" t="inlineStr">
        <x:is>
          <x:t xml:space="preserve">C2 - Structural correspondence candidate</x:t>
        </x:is>
      </x:c>
      <x:c r="D227" s="21" t="inlineStr">
        <x:is>
          <x:t xml:space="preserve">PLACEHOLDER</x:t>
        </x:is>
      </x:c>
      <x:c r="E227" s="22" t="inlineStr">
        <x:is>
          <x:t xml:space="preserve">MISSING</x:t>
        </x:is>
      </x:c>
      <x:c r="F227" s="22" t="inlineStr">
        <x:is>
          <x:t xml:space="preserve">MISSING</x:t>
        </x:is>
      </x:c>
      <x:c r="G227" s="22" t="inlineStr">
        <x:is>
          <x:t xml:space="preserve">MISSING</x:t>
        </x:is>
      </x:c>
      <x:c r="H227" s="22" t="inlineStr">
        <x:is>
          <x:t xml:space="preserve">MISSING</x:t>
        </x:is>
      </x:c>
      <x:c r="I227" s="20" t="inlineStr">
        <x:is>
          <x:t xml:space="preserve">theophysics-lean-main\theophysics-lean-main\Theophysics_Canonization.lean</x:t>
        </x:is>
      </x:c>
      <x:c r="J227" s="20" t="inlineStr">
        <x:is>
          <x:t xml:space="preserve">145</x:t>
        </x:is>
      </x:c>
      <x:c r="K227" s="20" t="inlineStr">
        <x:is>
          <x:t xml:space="preserve">theorem kappa_screening (κP s : ℝ) (hκ : 0 &lt; κP) (hs : s &lt; 1) (hs0 : 0 &lt; s) : κP * s &lt; κP</x:t>
        </x:is>
      </x:c>
      <x:c r="L227" s="20" t="inlineStr">
        <x:is>
          <x:t xml:space="preserve">kappa_screening</x:t>
        </x:is>
      </x:c>
      <x:c r="M227" s="26" t="inlineStr">
        <x:is>
          <x:t xml:space="preserve">SUPPORTED</x:t>
        </x:is>
      </x:c>
      <x:c r="N227" s="21" t="inlineStr">
        <x:is>
          <x:t xml:space="preserve">PLACEHOLDER</x:t>
        </x:is>
      </x:c>
      <x:c r="O227" s="21" t="inlineStr">
        <x:is>
          <x:t xml:space="preserve">PLACEHOLDER</x:t>
        </x:is>
      </x:c>
      <x:c r="P227" s="22" t="inlineStr">
        <x:is>
          <x:t xml:space="preserve">MISSING</x:t>
        </x:is>
      </x:c>
      <x:c r="Q227" s="21" t="inlineStr">
        <x:is>
          <x:t xml:space="preserve">PLACEHOLDER</x:t>
        </x:is>
      </x:c>
      <x:c r="R227" s="21" t="inlineStr">
        <x:is>
          <x:t xml:space="preserve">PLACEHOLDER</x:t>
        </x:is>
      </x:c>
      <x:c r="S227" s="21" t="inlineStr">
        <x:is>
          <x:t xml:space="preserve">PLACEHOLDER</x:t>
        </x:is>
      </x:c>
      <x:c r="T227" s="23" t="inlineStr">
        <x:is>
          <x:t xml:space="preserve">PARTIAL</x:t>
        </x:is>
      </x:c>
      <x:c r="U227" s="21" t="inlineStr">
        <x:is>
          <x:t xml:space="preserve">PLACEHOLDER</x:t>
        </x:is>
      </x:c>
      <x:c r="V227" s="20" t="inlineStr">
        <x:is>
          <x:t xml:space="preserve">lean_match_count=1 | proof_strength=SUBSTANTIVE_OR_CASE_PROOF | Appears to contain an actual proof body; inspect before public citation. | definition/proof/numerical/empirical/interp fields still staged as TODO placeholders</x:t>
        </x:is>
      </x:c>
    </x:row>
    <x:row r="228" ht="55.20000076293945" customHeight="1">
      <x:c r="A228" s="20" t="inlineStr">
        <x:is>
          <x:t xml:space="preserve">C10</x:t>
        </x:is>
      </x:c>
      <x:c r="B228" s="20" t="inlineStr">
        <x:is>
          <x:t xml:space="preserve">G=0 collapses the Grand Lagrangian product</x:t>
        </x:is>
      </x:c>
      <x:c r="C228" s="20" t="inlineStr">
        <x:is>
          <x:t xml:space="preserve">C5 - Dynamical equivalence candidate</x:t>
        </x:is>
      </x:c>
      <x:c r="D228" s="21" t="inlineStr">
        <x:is>
          <x:t xml:space="preserve">PLACEHOLDER</x:t>
        </x:is>
      </x:c>
      <x:c r="E228" s="22" t="inlineStr">
        <x:is>
          <x:t xml:space="preserve">MISSING</x:t>
        </x:is>
      </x:c>
      <x:c r="F228" s="22" t="inlineStr">
        <x:is>
          <x:t xml:space="preserve">MISSING</x:t>
        </x:is>
      </x:c>
      <x:c r="G228" s="22" t="inlineStr">
        <x:is>
          <x:t xml:space="preserve">MISSING</x:t>
        </x:is>
      </x:c>
      <x:c r="H228" s="22" t="inlineStr">
        <x:is>
          <x:t xml:space="preserve">MISSING</x:t>
        </x:is>
      </x:c>
      <x:c r="I228" s="20" t="inlineStr">
        <x:is>
          <x:t xml:space="preserve">theophysics-lean-main\theophysics-lean-main\Theophysics_Canonization.lean</x:t>
        </x:is>
      </x:c>
      <x:c r="J228" s="20" t="inlineStr">
        <x:is>
          <x:t xml:space="preserve">152</x:t>
        </x:is>
      </x:c>
      <x:c r="K228" s="20" t="inlineStr">
        <x:is>
          <x:t xml:space="preserve">theorem veto_G (v : SuperFactors) (h : v.G = 0) : GrandLagrangian v = 0</x:t>
        </x:is>
      </x:c>
      <x:c r="L228" s="20" t="inlineStr">
        <x:is>
          <x:t xml:space="preserve">veto_G</x:t>
        </x:is>
      </x:c>
      <x:c r="M228" s="26" t="inlineStr">
        <x:is>
          <x:t xml:space="preserve">SUPPORTED</x:t>
        </x:is>
      </x:c>
      <x:c r="N228" s="21" t="inlineStr">
        <x:is>
          <x:t xml:space="preserve">PLACEHOLDER</x:t>
        </x:is>
      </x:c>
      <x:c r="O228" s="21" t="inlineStr">
        <x:is>
          <x:t xml:space="preserve">PLACEHOLDER</x:t>
        </x:is>
      </x:c>
      <x:c r="P228" s="22" t="inlineStr">
        <x:is>
          <x:t xml:space="preserve">MISSING</x:t>
        </x:is>
      </x:c>
      <x:c r="Q228" s="21" t="inlineStr">
        <x:is>
          <x:t xml:space="preserve">PLACEHOLDER</x:t>
        </x:is>
      </x:c>
      <x:c r="R228" s="21" t="inlineStr">
        <x:is>
          <x:t xml:space="preserve">PLACEHOLDER</x:t>
        </x:is>
      </x:c>
      <x:c r="S228" s="21" t="inlineStr">
        <x:is>
          <x:t xml:space="preserve">PLACEHOLDER</x:t>
        </x:is>
      </x:c>
      <x:c r="T228" s="23" t="inlineStr">
        <x:is>
          <x:t xml:space="preserve">PARTIAL</x:t>
        </x:is>
      </x:c>
      <x:c r="U228" s="21" t="inlineStr">
        <x:is>
          <x:t xml:space="preserve">PLACEHOLDER</x:t>
        </x:is>
      </x:c>
      <x:c r="V228" s="20" t="inlineStr">
        <x:is>
          <x:t xml:space="preserve">lean_match_count=1 | proof_strength=WRAPPER_OR_IMPORTED | Likely delegates to another theorem; cite underlying theorem too. | definition/proof/numerical/empirical/interp fields still staged as TODO placeholders</x:t>
        </x:is>
      </x:c>
    </x:row>
    <x:row r="229" ht="55.20000076293945" customHeight="1">
      <x:c r="A229" s="20" t="inlineStr">
        <x:is>
          <x:t xml:space="preserve">C11</x:t>
        </x:is>
      </x:c>
      <x:c r="B229" s="20" t="inlineStr">
        <x:is>
          <x:t xml:space="preserve">Q=0 collapses the Grand Lagrangian product</x:t>
        </x:is>
      </x:c>
      <x:c r="C229" s="20" t="inlineStr">
        <x:is>
          <x:t xml:space="preserve">C5 - Dynamical equivalence candidate</x:t>
        </x:is>
      </x:c>
      <x:c r="D229" s="21" t="inlineStr">
        <x:is>
          <x:t xml:space="preserve">PLACEHOLDER</x:t>
        </x:is>
      </x:c>
      <x:c r="E229" s="22" t="inlineStr">
        <x:is>
          <x:t xml:space="preserve">MISSING</x:t>
        </x:is>
      </x:c>
      <x:c r="F229" s="22" t="inlineStr">
        <x:is>
          <x:t xml:space="preserve">MISSING</x:t>
        </x:is>
      </x:c>
      <x:c r="G229" s="22" t="inlineStr">
        <x:is>
          <x:t xml:space="preserve">MISSING</x:t>
        </x:is>
      </x:c>
      <x:c r="H229" s="22" t="inlineStr">
        <x:is>
          <x:t xml:space="preserve">MISSING</x:t>
        </x:is>
      </x:c>
      <x:c r="I229" s="20" t="inlineStr">
        <x:is>
          <x:t xml:space="preserve">theophysics-lean-main\theophysics-lean-main\Theophysics_Canonization.lean</x:t>
        </x:is>
      </x:c>
      <x:c r="J229" s="20" t="inlineStr">
        <x:is>
          <x:t xml:space="preserve">155</x:t>
        </x:is>
      </x:c>
      <x:c r="K229" s="20" t="inlineStr">
        <x:is>
          <x:t xml:space="preserve">theorem veto_Q (v : SuperFactors) (h : v.Q = 0) : GrandLagrangian v = 0</x:t>
        </x:is>
      </x:c>
      <x:c r="L229" s="20" t="inlineStr">
        <x:is>
          <x:t xml:space="preserve">veto_Q</x:t>
        </x:is>
      </x:c>
      <x:c r="M229" s="26" t="inlineStr">
        <x:is>
          <x:t xml:space="preserve">SUPPORTED</x:t>
        </x:is>
      </x:c>
      <x:c r="N229" s="21" t="inlineStr">
        <x:is>
          <x:t xml:space="preserve">PLACEHOLDER</x:t>
        </x:is>
      </x:c>
      <x:c r="O229" s="21" t="inlineStr">
        <x:is>
          <x:t xml:space="preserve">PLACEHOLDER</x:t>
        </x:is>
      </x:c>
      <x:c r="P229" s="22" t="inlineStr">
        <x:is>
          <x:t xml:space="preserve">MISSING</x:t>
        </x:is>
      </x:c>
      <x:c r="Q229" s="21" t="inlineStr">
        <x:is>
          <x:t xml:space="preserve">PLACEHOLDER</x:t>
        </x:is>
      </x:c>
      <x:c r="R229" s="21" t="inlineStr">
        <x:is>
          <x:t xml:space="preserve">PLACEHOLDER</x:t>
        </x:is>
      </x:c>
      <x:c r="S229" s="21" t="inlineStr">
        <x:is>
          <x:t xml:space="preserve">PLACEHOLDER</x:t>
        </x:is>
      </x:c>
      <x:c r="T229" s="23" t="inlineStr">
        <x:is>
          <x:t xml:space="preserve">PARTIAL</x:t>
        </x:is>
      </x:c>
      <x:c r="U229" s="21" t="inlineStr">
        <x:is>
          <x:t xml:space="preserve">PLACEHOLDER</x:t>
        </x:is>
      </x:c>
      <x:c r="V229" s="20" t="inlineStr">
        <x:is>
          <x:t xml:space="preserve">lean_match_count=1 | proof_strength=WRAPPER_OR_IMPORTED | Likely delegates to another theorem; cite underlying theorem too. | definition/proof/numerical/empirical/interp fields still staged as TODO placeholders</x:t>
        </x:is>
      </x:c>
    </x:row>
    <x:row r="230" ht="82.80000305175781" customHeight="1">
      <x:c r="A230" s="20" t="inlineStr">
        <x:is>
          <x:t xml:space="preserve">C12</x:t>
        </x:is>
      </x:c>
      <x:c r="B230" s="20" t="inlineStr">
        <x:is>
          <x:t xml:space="preserve">log of product = sum of logs (EL tractability), all factors positive</x:t>
        </x:is>
      </x:c>
      <x:c r="C230" s="20" t="inlineStr">
        <x:is>
          <x:t xml:space="preserve">C2 - Structural correspondence candidate</x:t>
        </x:is>
      </x:c>
      <x:c r="D230" s="21" t="inlineStr">
        <x:is>
          <x:t xml:space="preserve">PLACEHOLDER</x:t>
        </x:is>
      </x:c>
      <x:c r="E230" s="22" t="inlineStr">
        <x:is>
          <x:t xml:space="preserve">MISSING</x:t>
        </x:is>
      </x:c>
      <x:c r="F230" s="22" t="inlineStr">
        <x:is>
          <x:t xml:space="preserve">MISSING</x:t>
        </x:is>
      </x:c>
      <x:c r="G230" s="23" t="inlineStr">
        <x:is>
          <x:t xml:space="preserve">PARTIAL</x:t>
        </x:is>
      </x:c>
      <x:c r="H230" s="22" t="inlineStr">
        <x:is>
          <x:t xml:space="preserve">MISSING</x:t>
        </x:is>
      </x:c>
      <x:c r="I230" s="20" t="inlineStr">
        <x:is>
          <x:t xml:space="preserve">theophysics-lean-main\theophysics-lean-main\Theophysics_Canonization.lean</x:t>
        </x:is>
      </x:c>
      <x:c r="J230" s="20" t="inlineStr">
        <x:is>
          <x:t xml:space="preserve">159</x:t>
        </x:is>
      </x:c>
      <x:c r="K230" s="20" t="inlineStr">
        <x:is>
          <x:t xml:space="preserve">theorem grand_log_additive (v : SuperFactors) (hG : 0 &lt; v.G) (hM : 0 &lt; v.M) (hE : 0 &lt; v.E) (hS : 0 &lt; v.S) (hT : 0 &lt; v.T) (hK : 0 &lt; v.K) (hR : 0 &lt; v.R) (hQ : 0 &lt; v.Q) (hF : 0 &lt; v.F) : Real.log (GrandLagrangian v) = Real.log v.G + Real.log v.M + Real.log v.E + Real.log v.S + Real.log v.T + Real.log v.K + Real.log v.R + Real.log v.Q + Real.log v.F</x:t>
        </x:is>
      </x:c>
      <x:c r="L230" s="20" t="inlineStr">
        <x:is>
          <x:t xml:space="preserve">grand_log_additive</x:t>
        </x:is>
      </x:c>
      <x:c r="M230" s="26" t="inlineStr">
        <x:is>
          <x:t xml:space="preserve">SUPPORTED</x:t>
        </x:is>
      </x:c>
      <x:c r="N230" s="21" t="inlineStr">
        <x:is>
          <x:t xml:space="preserve">PLACEHOLDER</x:t>
        </x:is>
      </x:c>
      <x:c r="O230" s="21" t="inlineStr">
        <x:is>
          <x:t xml:space="preserve">PLACEHOLDER</x:t>
        </x:is>
      </x:c>
      <x:c r="P230" s="22" t="inlineStr">
        <x:is>
          <x:t xml:space="preserve">MISSING</x:t>
        </x:is>
      </x:c>
      <x:c r="Q230" s="21" t="inlineStr">
        <x:is>
          <x:t xml:space="preserve">PLACEHOLDER</x:t>
        </x:is>
      </x:c>
      <x:c r="R230" s="21" t="inlineStr">
        <x:is>
          <x:t xml:space="preserve">PLACEHOLDER</x:t>
        </x:is>
      </x:c>
      <x:c r="S230" s="21" t="inlineStr">
        <x:is>
          <x:t xml:space="preserve">PLACEHOLDER</x:t>
        </x:is>
      </x:c>
      <x:c r="T230" s="23" t="inlineStr">
        <x:is>
          <x:t xml:space="preserve">PARTIAL</x:t>
        </x:is>
      </x:c>
      <x:c r="U230" s="21" t="inlineStr">
        <x:is>
          <x:t xml:space="preserve">PLACEHOLDER</x:t>
        </x:is>
      </x:c>
      <x:c r="V230" s="20" t="inlineStr">
        <x:is>
          <x:t xml:space="preserve">lean_match_count=1 | proof_strength=WRAPPER_OR_IMPORTED | Likely delegates to another theorem; cite underlying theorem too. | definition/proof/numerical/empirical/interp fields still staged as TODO placeholders</x:t>
        </x:is>
      </x:c>
    </x:row>
    <x:row r="231" ht="69" customHeight="1">
      <x:c r="A231" s="20" t="inlineStr">
        <x:is>
          <x:t xml:space="preserve">C13</x:t>
        </x:is>
      </x:c>
      <x:c r="B231" s="20" t="inlineStr">
        <x:is>
          <x:t xml:space="preserve">chi_ratio &gt; 1 iff G &gt; S (combat direction)</x:t>
        </x:is>
      </x:c>
      <x:c r="C231" s="20" t="inlineStr">
        <x:is>
          <x:t xml:space="preserve">C2 - Structural correspondence candidate</x:t>
        </x:is>
      </x:c>
      <x:c r="D231" s="21" t="inlineStr">
        <x:is>
          <x:t xml:space="preserve">PLACEHOLDER</x:t>
        </x:is>
      </x:c>
      <x:c r="E231" s="22" t="inlineStr">
        <x:is>
          <x:t xml:space="preserve">MISSING</x:t>
        </x:is>
      </x:c>
      <x:c r="F231" s="22" t="inlineStr">
        <x:is>
          <x:t xml:space="preserve">MISSING</x:t>
        </x:is>
      </x:c>
      <x:c r="G231" s="22" t="inlineStr">
        <x:is>
          <x:t xml:space="preserve">MISSING</x:t>
        </x:is>
      </x:c>
      <x:c r="H231" s="22" t="inlineStr">
        <x:is>
          <x:t xml:space="preserve">MISSING</x:t>
        </x:is>
      </x:c>
      <x:c r="I231" s="20" t="inlineStr">
        <x:is>
          <x:t xml:space="preserve">theophysics-lean-main\theophysics-lean-main\Theophysics_Canonization.lean</x:t>
        </x:is>
      </x:c>
      <x:c r="J231" s="20" t="inlineStr">
        <x:is>
          <x:t xml:space="preserve">190</x:t>
        </x:is>
      </x:c>
      <x:c r="K231" s="20" t="inlineStr">
        <x:is>
          <x:t xml:space="preserve">theorem chiRatio_gt_one_iff (G S : ℝ) (hS : 0 &lt; S) : 1 &lt; chiRatio G S ↔ S &lt; G</x:t>
        </x:is>
      </x:c>
      <x:c r="L231" s="20" t="inlineStr">
        <x:is>
          <x:t xml:space="preserve">chiRatio_gt_one_iff</x:t>
        </x:is>
      </x:c>
      <x:c r="M231" s="26" t="inlineStr">
        <x:is>
          <x:t xml:space="preserve">SUPPORTED</x:t>
        </x:is>
      </x:c>
      <x:c r="N231" s="21" t="inlineStr">
        <x:is>
          <x:t xml:space="preserve">PLACEHOLDER</x:t>
        </x:is>
      </x:c>
      <x:c r="O231" s="21" t="inlineStr">
        <x:is>
          <x:t xml:space="preserve">PLACEHOLDER</x:t>
        </x:is>
      </x:c>
      <x:c r="P231" s="22" t="inlineStr">
        <x:is>
          <x:t xml:space="preserve">MISSING</x:t>
        </x:is>
      </x:c>
      <x:c r="Q231" s="21" t="inlineStr">
        <x:is>
          <x:t xml:space="preserve">PLACEHOLDER</x:t>
        </x:is>
      </x:c>
      <x:c r="R231" s="21" t="inlineStr">
        <x:is>
          <x:t xml:space="preserve">PLACEHOLDER</x:t>
        </x:is>
      </x:c>
      <x:c r="S231" s="21" t="inlineStr">
        <x:is>
          <x:t xml:space="preserve">PLACEHOLDER</x:t>
        </x:is>
      </x:c>
      <x:c r="T231" s="23" t="inlineStr">
        <x:is>
          <x:t xml:space="preserve">PARTIAL</x:t>
        </x:is>
      </x:c>
      <x:c r="U231" s="21" t="inlineStr">
        <x:is>
          <x:t xml:space="preserve">PLACEHOLDER</x:t>
        </x:is>
      </x:c>
      <x:c r="V231" s="20" t="inlineStr">
        <x:is>
          <x:t xml:space="preserve">lean_match_count=1 | proof_strength=SUBSTANTIVE_OR_CASE_PROOF | Appears to contain an actual proof body; inspect before public citation. | definition/proof/numerical/empirical/interp fields still staged as TODO placeholders</x:t>
        </x:is>
      </x:c>
    </x:row>
    <x:row r="232" ht="55.20000076293945" customHeight="1">
      <x:c r="A232" s="20" t="inlineStr">
        <x:is>
          <x:t xml:space="preserve">C14</x:t>
        </x:is>
      </x:c>
      <x:c r="B232" s="20" t="inlineStr">
        <x:is>
          <x:t xml:space="preserve">Gamma &gt; S-G implies coherence increases (BC2 quantitative)</x:t>
        </x:is>
      </x:c>
      <x:c r="C232" s="20" t="inlineStr">
        <x:is>
          <x:t xml:space="preserve">C2 - Structural correspondence candidate</x:t>
        </x:is>
      </x:c>
      <x:c r="D232" s="21" t="inlineStr">
        <x:is>
          <x:t xml:space="preserve">PLACEHOLDER</x:t>
        </x:is>
      </x:c>
      <x:c r="E232" s="22" t="inlineStr">
        <x:is>
          <x:t xml:space="preserve">MISSING</x:t>
        </x:is>
      </x:c>
      <x:c r="F232" s="22" t="inlineStr">
        <x:is>
          <x:t xml:space="preserve">MISSING</x:t>
        </x:is>
      </x:c>
      <x:c r="G232" s="22" t="inlineStr">
        <x:is>
          <x:t xml:space="preserve">MISSING</x:t>
        </x:is>
      </x:c>
      <x:c r="H232" s="22" t="inlineStr">
        <x:is>
          <x:t xml:space="preserve">MISSING</x:t>
        </x:is>
      </x:c>
      <x:c r="I232" s="20" t="inlineStr">
        <x:is>
          <x:t xml:space="preserve">theophysics-lean-main\theophysics-lean-main\Theophysics_Canonization.lean</x:t>
        </x:is>
      </x:c>
      <x:c r="J232" s="20" t="inlineStr">
        <x:is>
          <x:t xml:space="preserve">198</x:t>
        </x:is>
      </x:c>
      <x:c r="K232" s="20" t="inlineStr">
        <x:is>
          <x:t xml:space="preserve">theorem external_grace_overcomes_deficit (G S Γ : ℝ) (h : S - G &lt; Γ) : 0 &lt; chiRate G S Γ</x:t>
        </x:is>
      </x:c>
      <x:c r="L232" s="20" t="inlineStr">
        <x:is>
          <x:t xml:space="preserve">external_grace_overcomes_deficit</x:t>
        </x:is>
      </x:c>
      <x:c r="M232" s="26" t="inlineStr">
        <x:is>
          <x:t xml:space="preserve">SUPPORTED</x:t>
        </x:is>
      </x:c>
      <x:c r="N232" s="21" t="inlineStr">
        <x:is>
          <x:t xml:space="preserve">PLACEHOLDER</x:t>
        </x:is>
      </x:c>
      <x:c r="O232" s="21" t="inlineStr">
        <x:is>
          <x:t xml:space="preserve">PLACEHOLDER</x:t>
        </x:is>
      </x:c>
      <x:c r="P232" s="22" t="inlineStr">
        <x:is>
          <x:t xml:space="preserve">MISSING</x:t>
        </x:is>
      </x:c>
      <x:c r="Q232" s="21" t="inlineStr">
        <x:is>
          <x:t xml:space="preserve">PLACEHOLDER</x:t>
        </x:is>
      </x:c>
      <x:c r="R232" s="21" t="inlineStr">
        <x:is>
          <x:t xml:space="preserve">PLACEHOLDER</x:t>
        </x:is>
      </x:c>
      <x:c r="S232" s="21" t="inlineStr">
        <x:is>
          <x:t xml:space="preserve">PLACEHOLDER</x:t>
        </x:is>
      </x:c>
      <x:c r="T232" s="23" t="inlineStr">
        <x:is>
          <x:t xml:space="preserve">PARTIAL</x:t>
        </x:is>
      </x:c>
      <x:c r="U232" s="21" t="inlineStr">
        <x:is>
          <x:t xml:space="preserve">PLACEHOLDER</x:t>
        </x:is>
      </x:c>
      <x:c r="V232" s="20" t="inlineStr">
        <x:is>
          <x:t xml:space="preserve">lean_match_count=1 | proof_strength=SIMPLIFICATION | Follows by simplification under definitions; check definition strength. | definition/proof/numerical/empirical/interp fields still staged as TODO placeholders</x:t>
        </x:is>
      </x:c>
    </x:row>
    <x:row r="233" ht="55.20000076293945" customHeight="1">
      <x:c r="A233" s="20" t="inlineStr">
        <x:is>
          <x:t xml:space="preserve">C15</x:t>
        </x:is>
      </x:c>
      <x:c r="B233" s="20" t="inlineStr">
        <x:is>
          <x:t xml:space="preserve">Cornell potential difference identity (confinement structure)</x:t>
        </x:is>
      </x:c>
      <x:c r="C233" s="20" t="inlineStr">
        <x:is>
          <x:t xml:space="preserve">C2 - Structural correspondence candidate</x:t>
        </x:is>
      </x:c>
      <x:c r="D233" s="21" t="inlineStr">
        <x:is>
          <x:t xml:space="preserve">PLACEHOLDER</x:t>
        </x:is>
      </x:c>
      <x:c r="E233" s="22" t="inlineStr">
        <x:is>
          <x:t xml:space="preserve">MISSING</x:t>
        </x:is>
      </x:c>
      <x:c r="F233" s="22" t="inlineStr">
        <x:is>
          <x:t xml:space="preserve">MISSING</x:t>
        </x:is>
      </x:c>
      <x:c r="G233" s="22" t="inlineStr">
        <x:is>
          <x:t xml:space="preserve">MISSING</x:t>
        </x:is>
      </x:c>
      <x:c r="H233" s="22" t="inlineStr">
        <x:is>
          <x:t xml:space="preserve">MISSING</x:t>
        </x:is>
      </x:c>
      <x:c r="I233" s="20" t="inlineStr">
        <x:is>
          <x:t xml:space="preserve">theophysics-lean-main\theophysics-lean-main\Theophysics_Canonization.lean</x:t>
        </x:is>
      </x:c>
      <x:c r="J233" s="20" t="inlineStr">
        <x:is>
          <x:t xml:space="preserve">251</x:t>
        </x:is>
      </x:c>
      <x:c r="K233" s="20" t="inlineStr">
        <x:is>
          <x:t xml:space="preserve">theorem confinement_sample (αs k : ℝ) (_hα : 0 &lt; αs) (_hk : 0 &lt; k) : ∀ r₁ r₂ : ℝ, 0 &lt; r₁ → r₁ &lt; r₂ → cornellPotential αs k r₂ - cornellPotential αs k r₁ = αs * (1 / r₁ - 1 / r₂) + k * (r₂ - r₁)</x:t>
        </x:is>
      </x:c>
      <x:c r="L233" s="20" t="inlineStr">
        <x:is>
          <x:t xml:space="preserve">confinement_sample</x:t>
        </x:is>
      </x:c>
      <x:c r="M233" s="26" t="inlineStr">
        <x:is>
          <x:t xml:space="preserve">SUPPORTED</x:t>
        </x:is>
      </x:c>
      <x:c r="N233" s="21" t="inlineStr">
        <x:is>
          <x:t xml:space="preserve">PLACEHOLDER</x:t>
        </x:is>
      </x:c>
      <x:c r="O233" s="21" t="inlineStr">
        <x:is>
          <x:t xml:space="preserve">PLACEHOLDER</x:t>
        </x:is>
      </x:c>
      <x:c r="P233" s="22" t="inlineStr">
        <x:is>
          <x:t xml:space="preserve">MISSING</x:t>
        </x:is>
      </x:c>
      <x:c r="Q233" s="21" t="inlineStr">
        <x:is>
          <x:t xml:space="preserve">PLACEHOLDER</x:t>
        </x:is>
      </x:c>
      <x:c r="R233" s="21" t="inlineStr">
        <x:is>
          <x:t xml:space="preserve">PLACEHOLDER</x:t>
        </x:is>
      </x:c>
      <x:c r="S233" s="21" t="inlineStr">
        <x:is>
          <x:t xml:space="preserve">PLACEHOLDER</x:t>
        </x:is>
      </x:c>
      <x:c r="T233" s="23" t="inlineStr">
        <x:is>
          <x:t xml:space="preserve">PARTIAL</x:t>
        </x:is>
      </x:c>
      <x:c r="U233" s="21" t="inlineStr">
        <x:is>
          <x:t xml:space="preserve">PLACEHOLDER</x:t>
        </x:is>
      </x:c>
      <x:c r="V233" s="20" t="inlineStr">
        <x:is>
          <x:t xml:space="preserve">lean_match_count=1 | proof_strength=WRAPPER_OR_IMPORTED | Likely delegates to another theorem; cite underlying theorem too. | definition/proof/numerical/empirical/interp fields still staged as TODO placeholders</x:t>
        </x:is>
      </x:c>
    </x:row>
    <x:row r="234" ht="220.8000030517578" customHeight="1">
      <x:c r="A234" s="20" t="inlineStr">
        <x:is>
          <x:t xml:space="preserve">C16</x:t>
        </x:is>
      </x:c>
      <x:c r="B234" s="20" t="inlineStr">
        <x:is>
          <x:t xml:space="preserve">Cross config: mercy maximal AND cost conserved, no contradiction</x:t>
        </x:is>
      </x:c>
      <x:c r="C234" s="20" t="inlineStr">
        <x:is>
          <x:t xml:space="preserve">C2 - Structural correspondence candidate</x:t>
        </x:is>
      </x:c>
      <x:c r="D234" s="21" t="inlineStr">
        <x:is>
          <x:t xml:space="preserve">PLACEHOLDER</x:t>
        </x:is>
      </x:c>
      <x:c r="E234" s="22" t="inlineStr">
        <x:is>
          <x:t xml:space="preserve">MISSING</x:t>
        </x:is>
      </x:c>
      <x:c r="F234" s="22" t="inlineStr">
        <x:is>
          <x:t xml:space="preserve">MISSING</x:t>
        </x:is>
      </x:c>
      <x:c r="G234" s="22" t="inlineStr">
        <x:is>
          <x:t xml:space="preserve">MISSING</x:t>
        </x:is>
      </x:c>
      <x:c r="H234" s="22" t="inlineStr">
        <x:is>
          <x:t xml:space="preserve">MISSING</x:t>
        </x:is>
      </x:c>
      <x:c r="I234" s="20" t="inlineStr">
        <x:is>
          <x:t xml:space="preserve">theophysics-lean-main\theophysics-lean-main\Theophysics_Canonization.lean</x:t>
        </x:is>
      </x:c>
      <x:c r="J234" s="20" t="inlineStr">
        <x:is>
          <x:t xml:space="preserve">277</x:t>
        </x:is>
      </x:c>
      <x:c r="K234" s="20" t="inlineStr">
        <x:is>
          <x:t xml:space="preserve">theorem cross_maximal_mercy_conserved_cost (r : OffenseResolution) (h : r.isCross) : r.perfectMercy ∧ r.cost ≠ 0 := ⟨h.1, h.2.2⟩ /-- Anti-terms of Chain 3. [LEAN_DEFINED] -/ inductive JusticeAntiTerm | vengeance -- α &gt; 1: surplus punishment | enabling -- α = 0 with cost denied rather than transferred deriving DecidableEq, Repr /-- Beatitudes: eight Gibbs-crossing phase transitions. [LEAN_DEFINED] -/ inductive Beatitude | poorInSpirit | mourning | meek | hungerForRighteousness | merciful | pureInHeart | peacemakers | persecuted deriving DecidableEq, Repr /-- CHAIN 4 — ARMOR OF GOD: six coherence-protection mechanisms. [LEAN_DEFINED] -/ inductive ArmorPiece | beltOfTruth | breastplate | shoesOfPeace | shieldOfFaith | helmetOfSalvation | swordOfSpirit deriving DecidableEq, Repr /-- Effective decoherence rate under faith shielding. [LEAN_DEFINED] -/ def shieldedRat</x:t>
        </x:is>
      </x:c>
      <x:c r="L234" s="20" t="inlineStr">
        <x:is>
          <x:t xml:space="preserve">cross_maximal_mercy_conserved_cost</x:t>
        </x:is>
      </x:c>
      <x:c r="M234" s="26" t="inlineStr">
        <x:is>
          <x:t xml:space="preserve">SUPPORTED</x:t>
        </x:is>
      </x:c>
      <x:c r="N234" s="21" t="inlineStr">
        <x:is>
          <x:t xml:space="preserve">PLACEHOLDER</x:t>
        </x:is>
      </x:c>
      <x:c r="O234" s="21" t="inlineStr">
        <x:is>
          <x:t xml:space="preserve">PLACEHOLDER</x:t>
        </x:is>
      </x:c>
      <x:c r="P234" s="22" t="inlineStr">
        <x:is>
          <x:t xml:space="preserve">MISSING</x:t>
        </x:is>
      </x:c>
      <x:c r="Q234" s="21" t="inlineStr">
        <x:is>
          <x:t xml:space="preserve">PLACEHOLDER</x:t>
        </x:is>
      </x:c>
      <x:c r="R234" s="21" t="inlineStr">
        <x:is>
          <x:t xml:space="preserve">PLACEHOLDER</x:t>
        </x:is>
      </x:c>
      <x:c r="S234" s="21" t="inlineStr">
        <x:is>
          <x:t xml:space="preserve">PLACEHOLDER</x:t>
        </x:is>
      </x:c>
      <x:c r="T234" s="23" t="inlineStr">
        <x:is>
          <x:t xml:space="preserve">PARTIAL</x:t>
        </x:is>
      </x:c>
      <x:c r="U234" s="21" t="inlineStr">
        <x:is>
          <x:t xml:space="preserve">PLACEHOLDER</x:t>
        </x:is>
      </x:c>
      <x:c r="V234" s="20" t="inlineStr">
        <x:is>
          <x:t xml:space="preserve">lean_match_count=1 | proof_strength=DECLARATION_OR_UNKNOWN | Could not classify from first proof lines. | definition/proof/numerical/empirical/interp fields still staged as TODO placeholders</x:t>
        </x:is>
      </x:c>
    </x:row>
    <x:row r="235" ht="55.20000076293945" customHeight="1">
      <x:c r="A235" s="20" t="inlineStr">
        <x:is>
          <x:t xml:space="preserve">C17</x:t>
        </x:is>
      </x:c>
      <x:c r="B235" s="20" t="inlineStr">
        <x:is>
          <x:t xml:space="preserve">Any nonzero shielding strictly reduces decoherence rate</x:t>
        </x:is>
      </x:c>
      <x:c r="C235" s="20" t="inlineStr">
        <x:is>
          <x:t xml:space="preserve">C2 - Structural correspondence candidate</x:t>
        </x:is>
      </x:c>
      <x:c r="D235" s="21" t="inlineStr">
        <x:is>
          <x:t xml:space="preserve">PLACEHOLDER</x:t>
        </x:is>
      </x:c>
      <x:c r="E235" s="22" t="inlineStr">
        <x:is>
          <x:t xml:space="preserve">MISSING</x:t>
        </x:is>
      </x:c>
      <x:c r="F235" s="22" t="inlineStr">
        <x:is>
          <x:t xml:space="preserve">MISSING</x:t>
        </x:is>
      </x:c>
      <x:c r="G235" s="22" t="inlineStr">
        <x:is>
          <x:t xml:space="preserve">MISSING</x:t>
        </x:is>
      </x:c>
      <x:c r="H235" s="22" t="inlineStr">
        <x:is>
          <x:t xml:space="preserve">MISSING</x:t>
        </x:is>
      </x:c>
      <x:c r="I235" s="20" t="inlineStr">
        <x:is>
          <x:t xml:space="preserve">theophysics-lean-main\theophysics-lean-main\Theophysics_Canonization.lean</x:t>
        </x:is>
      </x:c>
      <x:c r="J235" s="20" t="inlineStr">
        <x:is>
          <x:t xml:space="preserve">304</x:t>
        </x:is>
      </x:c>
      <x:c r="K235" s="20" t="inlineStr">
        <x:is>
          <x:t xml:space="preserve">theorem shield_strictly_reduces (γ₀ η : ℝ) (hγ : 0 &lt; γ₀) (hη₀ : 0 &lt; η) (hη₁ : η ≤ 1) : shieldedRate γ₀ η &lt; γ₀</x:t>
        </x:is>
      </x:c>
      <x:c r="L235" s="20" t="inlineStr">
        <x:is>
          <x:t xml:space="preserve">shield_strictly_reduces</x:t>
        </x:is>
      </x:c>
      <x:c r="M235" s="26" t="inlineStr">
        <x:is>
          <x:t xml:space="preserve">SUPPORTED</x:t>
        </x:is>
      </x:c>
      <x:c r="N235" s="21" t="inlineStr">
        <x:is>
          <x:t xml:space="preserve">PLACEHOLDER</x:t>
        </x:is>
      </x:c>
      <x:c r="O235" s="21" t="inlineStr">
        <x:is>
          <x:t xml:space="preserve">PLACEHOLDER</x:t>
        </x:is>
      </x:c>
      <x:c r="P235" s="22" t="inlineStr">
        <x:is>
          <x:t xml:space="preserve">MISSING</x:t>
        </x:is>
      </x:c>
      <x:c r="Q235" s="21" t="inlineStr">
        <x:is>
          <x:t xml:space="preserve">PLACEHOLDER</x:t>
        </x:is>
      </x:c>
      <x:c r="R235" s="21" t="inlineStr">
        <x:is>
          <x:t xml:space="preserve">PLACEHOLDER</x:t>
        </x:is>
      </x:c>
      <x:c r="S235" s="21" t="inlineStr">
        <x:is>
          <x:t xml:space="preserve">PLACEHOLDER</x:t>
        </x:is>
      </x:c>
      <x:c r="T235" s="23" t="inlineStr">
        <x:is>
          <x:t xml:space="preserve">PARTIAL</x:t>
        </x:is>
      </x:c>
      <x:c r="U235" s="21" t="inlineStr">
        <x:is>
          <x:t xml:space="preserve">PLACEHOLDER</x:t>
        </x:is>
      </x:c>
      <x:c r="V235" s="20" t="inlineStr">
        <x:is>
          <x:t xml:space="preserve">lean_match_count=1 | proof_strength=WRAPPER_OR_IMPORTED | Likely delegates to another theorem; cite underlying theorem too. | definition/proof/numerical/empirical/interp fields still staged as TODO placeholders</x:t>
        </x:is>
      </x:c>
    </x:row>
    <x:row r="236" ht="55.20000076293945" customHeight="1">
      <x:c r="A236" s="20" t="inlineStr">
        <x:is>
          <x:t xml:space="preserve">C18</x:t>
        </x:is>
      </x:c>
      <x:c r="B236" s="20" t="inlineStr">
        <x:is>
          <x:t xml:space="preserve">v=0 implies gamma=1: all frame distortion eliminated</x:t>
        </x:is>
      </x:c>
      <x:c r="C236" s="20" t="inlineStr">
        <x:is>
          <x:t xml:space="preserve">C2 - Structural correspondence candidate</x:t>
        </x:is>
      </x:c>
      <x:c r="D236" s="21" t="inlineStr">
        <x:is>
          <x:t xml:space="preserve">PLACEHOLDER</x:t>
        </x:is>
      </x:c>
      <x:c r="E236" s="22" t="inlineStr">
        <x:is>
          <x:t xml:space="preserve">MISSING</x:t>
        </x:is>
      </x:c>
      <x:c r="F236" s="22" t="inlineStr">
        <x:is>
          <x:t xml:space="preserve">MISSING</x:t>
        </x:is>
      </x:c>
      <x:c r="G236" s="22" t="inlineStr">
        <x:is>
          <x:t xml:space="preserve">MISSING</x:t>
        </x:is>
      </x:c>
      <x:c r="H236" s="22" t="inlineStr">
        <x:is>
          <x:t xml:space="preserve">MISSING</x:t>
        </x:is>
      </x:c>
      <x:c r="I236" s="20" t="inlineStr">
        <x:is>
          <x:t xml:space="preserve">theophysics-lean-main\theophysics-lean-main\Theophysics_Canonization.lean</x:t>
        </x:is>
      </x:c>
      <x:c r="J236" s="20" t="inlineStr">
        <x:is>
          <x:t xml:space="preserve">340</x:t>
        </x:is>
      </x:c>
      <x:c r="K236" s="20" t="inlineStr">
        <x:is>
          <x:t xml:space="preserve">theorem reconciliation_gamma_one (c : ℝ) (hc : c ≠ 0) : lorentzGamma 0 c = 1</x:t>
        </x:is>
      </x:c>
      <x:c r="L236" s="20" t="inlineStr">
        <x:is>
          <x:t xml:space="preserve">reconciliation_gamma_one</x:t>
        </x:is>
      </x:c>
      <x:c r="M236" s="26" t="inlineStr">
        <x:is>
          <x:t xml:space="preserve">SUPPORTED</x:t>
        </x:is>
      </x:c>
      <x:c r="N236" s="21" t="inlineStr">
        <x:is>
          <x:t xml:space="preserve">PLACEHOLDER</x:t>
        </x:is>
      </x:c>
      <x:c r="O236" s="21" t="inlineStr">
        <x:is>
          <x:t xml:space="preserve">PLACEHOLDER</x:t>
        </x:is>
      </x:c>
      <x:c r="P236" s="22" t="inlineStr">
        <x:is>
          <x:t xml:space="preserve">MISSING</x:t>
        </x:is>
      </x:c>
      <x:c r="Q236" s="21" t="inlineStr">
        <x:is>
          <x:t xml:space="preserve">PLACEHOLDER</x:t>
        </x:is>
      </x:c>
      <x:c r="R236" s="21" t="inlineStr">
        <x:is>
          <x:t xml:space="preserve">PLACEHOLDER</x:t>
        </x:is>
      </x:c>
      <x:c r="S236" s="21" t="inlineStr">
        <x:is>
          <x:t xml:space="preserve">PLACEHOLDER</x:t>
        </x:is>
      </x:c>
      <x:c r="T236" s="23" t="inlineStr">
        <x:is>
          <x:t xml:space="preserve">PARTIAL</x:t>
        </x:is>
      </x:c>
      <x:c r="U236" s="21" t="inlineStr">
        <x:is>
          <x:t xml:space="preserve">PLACEHOLDER</x:t>
        </x:is>
      </x:c>
      <x:c r="V236" s="20" t="inlineStr">
        <x:is>
          <x:t xml:space="preserve">lean_match_count=1 | proof_strength=SIMPLIFICATION | Follows by simplification under definitions; check definition strength. | definition/proof/numerical/empirical/interp fields still staged as TODO placeholders</x:t>
        </x:is>
      </x:c>
    </x:row>
    <x:row r="237" ht="69" customHeight="1">
      <x:c r="A237" s="20" t="inlineStr">
        <x:is>
          <x:t xml:space="preserve">C19</x:t>
        </x:is>
      </x:c>
      <x:c r="B237" s="20" t="inlineStr">
        <x:is>
          <x:t xml:space="preserve">N1 conjugacy: dG = -dS, nothing leaks</x:t>
        </x:is>
      </x:c>
      <x:c r="C237" s="20" t="inlineStr">
        <x:is>
          <x:t xml:space="preserve">C2 - Structural correspondence candidate</x:t>
        </x:is>
      </x:c>
      <x:c r="D237" s="21" t="inlineStr">
        <x:is>
          <x:t xml:space="preserve">PLACEHOLDER</x:t>
        </x:is>
      </x:c>
      <x:c r="E237" s="22" t="inlineStr">
        <x:is>
          <x:t xml:space="preserve">MISSING</x:t>
        </x:is>
      </x:c>
      <x:c r="F237" s="22" t="inlineStr">
        <x:is>
          <x:t xml:space="preserve">MISSING</x:t>
        </x:is>
      </x:c>
      <x:c r="G237" s="22" t="inlineStr">
        <x:is>
          <x:t xml:space="preserve">MISSING</x:t>
        </x:is>
      </x:c>
      <x:c r="H237" s="22" t="inlineStr">
        <x:is>
          <x:t xml:space="preserve">MISSING</x:t>
        </x:is>
      </x:c>
      <x:c r="I237" s="20" t="inlineStr">
        <x:is>
          <x:t xml:space="preserve">theophysics-lean-main\theophysics-lean-main\Theophysics_Canonization.lean</x:t>
        </x:is>
      </x:c>
      <x:c r="J237" s="20" t="inlineStr">
        <x:is>
          <x:t xml:space="preserve">373</x:t>
        </x:is>
      </x:c>
      <x:c r="K237" s="20" t="inlineStr">
        <x:is>
          <x:t xml:space="preserve">theorem conjugate_transfer (dS dG : ℝ) (h : graceSinConjugate dS dG) : dG = -dS</x:t>
        </x:is>
      </x:c>
      <x:c r="L237" s="20" t="inlineStr">
        <x:is>
          <x:t xml:space="preserve">conjugate_transfer</x:t>
        </x:is>
      </x:c>
      <x:c r="M237" s="26" t="inlineStr">
        <x:is>
          <x:t xml:space="preserve">SUPPORTED</x:t>
        </x:is>
      </x:c>
      <x:c r="N237" s="21" t="inlineStr">
        <x:is>
          <x:t xml:space="preserve">PLACEHOLDER</x:t>
        </x:is>
      </x:c>
      <x:c r="O237" s="21" t="inlineStr">
        <x:is>
          <x:t xml:space="preserve">PLACEHOLDER</x:t>
        </x:is>
      </x:c>
      <x:c r="P237" s="22" t="inlineStr">
        <x:is>
          <x:t xml:space="preserve">MISSING</x:t>
        </x:is>
      </x:c>
      <x:c r="Q237" s="21" t="inlineStr">
        <x:is>
          <x:t xml:space="preserve">PLACEHOLDER</x:t>
        </x:is>
      </x:c>
      <x:c r="R237" s="21" t="inlineStr">
        <x:is>
          <x:t xml:space="preserve">PLACEHOLDER</x:t>
        </x:is>
      </x:c>
      <x:c r="S237" s="21" t="inlineStr">
        <x:is>
          <x:t xml:space="preserve">PLACEHOLDER</x:t>
        </x:is>
      </x:c>
      <x:c r="T237" s="23" t="inlineStr">
        <x:is>
          <x:t xml:space="preserve">PARTIAL</x:t>
        </x:is>
      </x:c>
      <x:c r="U237" s="21" t="inlineStr">
        <x:is>
          <x:t xml:space="preserve">PLACEHOLDER</x:t>
        </x:is>
      </x:c>
      <x:c r="V237" s="20" t="inlineStr">
        <x:is>
          <x:t xml:space="preserve">lean_match_count=1 | proof_strength=SUBSTANTIVE_OR_CASE_PROOF | Appears to contain an actual proof body; inspect before public citation. | definition/proof/numerical/empirical/interp fields still staged as TODO placeholders</x:t>
        </x:is>
      </x:c>
    </x:row>
    <x:row r="238" ht="55.20000076293945" customHeight="1">
      <x:c r="A238" s="20" t="inlineStr">
        <x:is>
          <x:t xml:space="preserve">C20</x:t>
        </x:is>
      </x:c>
      <x:c r="B238" s="20" t="inlineStr">
        <x:is>
          <x:t xml:space="preserve">Real offense implies delta+nu_loss nonzero - cost must land somewhere</x:t>
        </x:is>
      </x:c>
      <x:c r="C238" s="20" t="inlineStr">
        <x:is>
          <x:t xml:space="preserve">C2 - Structural correspondence candidate</x:t>
        </x:is>
      </x:c>
      <x:c r="D238" s="21" t="inlineStr">
        <x:is>
          <x:t xml:space="preserve">PLACEHOLDER</x:t>
        </x:is>
      </x:c>
      <x:c r="E238" s="22" t="inlineStr">
        <x:is>
          <x:t xml:space="preserve">MISSING</x:t>
        </x:is>
      </x:c>
      <x:c r="F238" s="22" t="inlineStr">
        <x:is>
          <x:t xml:space="preserve">MISSING</x:t>
        </x:is>
      </x:c>
      <x:c r="G238" s="22" t="inlineStr">
        <x:is>
          <x:t xml:space="preserve">MISSING</x:t>
        </x:is>
      </x:c>
      <x:c r="H238" s="22" t="inlineStr">
        <x:is>
          <x:t xml:space="preserve">MISSING</x:t>
        </x:is>
      </x:c>
      <x:c r="I238" s="20" t="inlineStr">
        <x:is>
          <x:t xml:space="preserve">theophysics-lean-main\theophysics-lean-main\Theophysics_Canonization.lean</x:t>
        </x:is>
      </x:c>
      <x:c r="J238" s="20" t="inlineStr">
        <x:is>
          <x:t xml:space="preserve">388</x:t>
        </x:is>
      </x:c>
      <x:c r="K238" s="20" t="inlineStr">
        <x:is>
          <x:t xml:space="preserve">theorem cost_cannot_vanish (b : Brokenness) (h : b.ψ_whole ≠ b.ψ_broken) : b.δ + b.ν_loss ≠ 0</x:t>
        </x:is>
      </x:c>
      <x:c r="L238" s="20" t="inlineStr">
        <x:is>
          <x:t xml:space="preserve">cost_cannot_vanish</x:t>
        </x:is>
      </x:c>
      <x:c r="M238" s="26" t="inlineStr">
        <x:is>
          <x:t xml:space="preserve">SUPPORTED</x:t>
        </x:is>
      </x:c>
      <x:c r="N238" s="21" t="inlineStr">
        <x:is>
          <x:t xml:space="preserve">PLACEHOLDER</x:t>
        </x:is>
      </x:c>
      <x:c r="O238" s="21" t="inlineStr">
        <x:is>
          <x:t xml:space="preserve">PLACEHOLDER</x:t>
        </x:is>
      </x:c>
      <x:c r="P238" s="22" t="inlineStr">
        <x:is>
          <x:t xml:space="preserve">MISSING</x:t>
        </x:is>
      </x:c>
      <x:c r="Q238" s="21" t="inlineStr">
        <x:is>
          <x:t xml:space="preserve">PLACEHOLDER</x:t>
        </x:is>
      </x:c>
      <x:c r="R238" s="21" t="inlineStr">
        <x:is>
          <x:t xml:space="preserve">PLACEHOLDER</x:t>
        </x:is>
      </x:c>
      <x:c r="S238" s="21" t="inlineStr">
        <x:is>
          <x:t xml:space="preserve">PLACEHOLDER</x:t>
        </x:is>
      </x:c>
      <x:c r="T238" s="23" t="inlineStr">
        <x:is>
          <x:t xml:space="preserve">PARTIAL</x:t>
        </x:is>
      </x:c>
      <x:c r="U238" s="21" t="inlineStr">
        <x:is>
          <x:t xml:space="preserve">PLACEHOLDER</x:t>
        </x:is>
      </x:c>
      <x:c r="V238" s="20" t="inlineStr">
        <x:is>
          <x:t xml:space="preserve">lean_match_count=1 | proof_strength=WRAPPER_OR_IMPORTED | Likely delegates to another theorem; cite underlying theorem too. | definition/proof/numerical/empirical/interp fields still staged as TODO placeholders</x:t>
        </x:is>
      </x:c>
    </x:row>
    <x:row r="239" ht="55.20000076293945" customHeight="1">
      <x:c r="A239" s="20" t="inlineStr">
        <x:is>
          <x:t xml:space="preserve">C21</x:t>
        </x:is>
      </x:c>
      <x:c r="B239" s="20" t="inlineStr">
        <x:is>
          <x:t xml:space="preserve">More truth implies strictly more received coherence (Shannon layer)</x:t>
        </x:is>
      </x:c>
      <x:c r="C239" s="20" t="inlineStr">
        <x:is>
          <x:t xml:space="preserve">C2 - Structural correspondence candidate</x:t>
        </x:is>
      </x:c>
      <x:c r="D239" s="21" t="inlineStr">
        <x:is>
          <x:t xml:space="preserve">PLACEHOLDER</x:t>
        </x:is>
      </x:c>
      <x:c r="E239" s="22" t="inlineStr">
        <x:is>
          <x:t xml:space="preserve">MISSING</x:t>
        </x:is>
      </x:c>
      <x:c r="F239" s="22" t="inlineStr">
        <x:is>
          <x:t xml:space="preserve">MISSING</x:t>
        </x:is>
      </x:c>
      <x:c r="G239" s="22" t="inlineStr">
        <x:is>
          <x:t xml:space="preserve">MISSING</x:t>
        </x:is>
      </x:c>
      <x:c r="H239" s="22" t="inlineStr">
        <x:is>
          <x:t xml:space="preserve">MISSING</x:t>
        </x:is>
      </x:c>
      <x:c r="I239" s="20" t="inlineStr">
        <x:is>
          <x:t xml:space="preserve">theophysics-lean-main\theophysics-lean-main\Theophysics_Canonization.lean</x:t>
        </x:is>
      </x:c>
      <x:c r="J239" s="20" t="inlineStr">
        <x:is>
          <x:t xml:space="preserve">409</x:t>
        </x:is>
      </x:c>
      <x:c r="K239" s="20" t="inlineStr">
        <x:is>
          <x:t xml:space="preserve">theorem capacity_mono_in_truth (A D T₁ T₂ : ℝ) (hA : 0 &lt; A) (hD : 0 &lt; D) (h : T₁ &lt; T₂) (hT₁ : 0 ≤ T₁) : soulCapacity A T₁ D &lt; soulCapacity A T₂ D</x:t>
        </x:is>
      </x:c>
      <x:c r="L239" s="20" t="inlineStr">
        <x:is>
          <x:t xml:space="preserve">capacity_mono_in_truth</x:t>
        </x:is>
      </x:c>
      <x:c r="M239" s="26" t="inlineStr">
        <x:is>
          <x:t xml:space="preserve">SUPPORTED</x:t>
        </x:is>
      </x:c>
      <x:c r="N239" s="21" t="inlineStr">
        <x:is>
          <x:t xml:space="preserve">PLACEHOLDER</x:t>
        </x:is>
      </x:c>
      <x:c r="O239" s="21" t="inlineStr">
        <x:is>
          <x:t xml:space="preserve">PLACEHOLDER</x:t>
        </x:is>
      </x:c>
      <x:c r="P239" s="22" t="inlineStr">
        <x:is>
          <x:t xml:space="preserve">MISSING</x:t>
        </x:is>
      </x:c>
      <x:c r="Q239" s="21" t="inlineStr">
        <x:is>
          <x:t xml:space="preserve">PLACEHOLDER</x:t>
        </x:is>
      </x:c>
      <x:c r="R239" s="21" t="inlineStr">
        <x:is>
          <x:t xml:space="preserve">PLACEHOLDER</x:t>
        </x:is>
      </x:c>
      <x:c r="S239" s="21" t="inlineStr">
        <x:is>
          <x:t xml:space="preserve">PLACEHOLDER</x:t>
        </x:is>
      </x:c>
      <x:c r="T239" s="23" t="inlineStr">
        <x:is>
          <x:t xml:space="preserve">PARTIAL</x:t>
        </x:is>
      </x:c>
      <x:c r="U239" s="21" t="inlineStr">
        <x:is>
          <x:t xml:space="preserve">PLACEHOLDER</x:t>
        </x:is>
      </x:c>
      <x:c r="V239" s="20" t="inlineStr">
        <x:is>
          <x:t xml:space="preserve">lean_match_count=1 | proof_strength=WRAPPER_OR_IMPORTED | Likely delegates to another theorem; cite underlying theorem too. | definition/proof/numerical/empirical/interp fields still staged as TODO placeholders</x:t>
        </x:is>
      </x:c>
    </x:row>
    <x:row r="240" ht="55.20000076293945" customHeight="1">
      <x:c r="A240" s="20" t="inlineStr">
        <x:is>
          <x:t xml:space="preserve">C22</x:t>
        </x:is>
      </x:c>
      <x:c r="B240" s="20" t="inlineStr">
        <x:is>
          <x:t xml:space="preserve">O=0 implies rate = -S*C &lt; 0 (closed-system regime)</x:t>
        </x:is>
      </x:c>
      <x:c r="C240" s="20" t="inlineStr">
        <x:is>
          <x:t xml:space="preserve">C2 - Structural correspondence candidate</x:t>
        </x:is>
      </x:c>
      <x:c r="D240" s="21" t="inlineStr">
        <x:is>
          <x:t xml:space="preserve">PLACEHOLDER</x:t>
        </x:is>
      </x:c>
      <x:c r="E240" s="22" t="inlineStr">
        <x:is>
          <x:t xml:space="preserve">MISSING</x:t>
        </x:is>
      </x:c>
      <x:c r="F240" s="22" t="inlineStr">
        <x:is>
          <x:t xml:space="preserve">MISSING</x:t>
        </x:is>
      </x:c>
      <x:c r="G240" s="22" t="inlineStr">
        <x:is>
          <x:t xml:space="preserve">MISSING</x:t>
        </x:is>
      </x:c>
      <x:c r="H240" s="22" t="inlineStr">
        <x:is>
          <x:t xml:space="preserve">MISSING</x:t>
        </x:is>
      </x:c>
      <x:c r="I240" s="20" t="inlineStr">
        <x:is>
          <x:t xml:space="preserve">theophysics-lean-main\theophysics-lean-main\Theophysics_Canonization.lean</x:t>
        </x:is>
      </x:c>
      <x:c r="J240" s="20" t="inlineStr">
        <x:is>
          <x:t xml:space="preserve">436</x:t>
        </x:is>
      </x:c>
      <x:c r="K240" s="20" t="inlineStr">
        <x:is>
          <x:t xml:space="preserve">theorem closed_moral_system_decays (G S C : ℝ) (hS : 0 &lt; S) (hC : 0 &lt; C) : coherenceRate 0 G S C = -(S * C) ∧ coherenceRate 0 G S C &lt; 0</x:t>
        </x:is>
      </x:c>
      <x:c r="L240" s="20" t="inlineStr">
        <x:is>
          <x:t xml:space="preserve">closed_moral_system_decays</x:t>
        </x:is>
      </x:c>
      <x:c r="M240" s="26" t="inlineStr">
        <x:is>
          <x:t xml:space="preserve">SUPPORTED</x:t>
        </x:is>
      </x:c>
      <x:c r="N240" s="21" t="inlineStr">
        <x:is>
          <x:t xml:space="preserve">PLACEHOLDER</x:t>
        </x:is>
      </x:c>
      <x:c r="O240" s="21" t="inlineStr">
        <x:is>
          <x:t xml:space="preserve">PLACEHOLDER</x:t>
        </x:is>
      </x:c>
      <x:c r="P240" s="22" t="inlineStr">
        <x:is>
          <x:t xml:space="preserve">MISSING</x:t>
        </x:is>
      </x:c>
      <x:c r="Q240" s="21" t="inlineStr">
        <x:is>
          <x:t xml:space="preserve">PLACEHOLDER</x:t>
        </x:is>
      </x:c>
      <x:c r="R240" s="21" t="inlineStr">
        <x:is>
          <x:t xml:space="preserve">PLACEHOLDER</x:t>
        </x:is>
      </x:c>
      <x:c r="S240" s="21" t="inlineStr">
        <x:is>
          <x:t xml:space="preserve">PLACEHOLDER</x:t>
        </x:is>
      </x:c>
      <x:c r="T240" s="23" t="inlineStr">
        <x:is>
          <x:t xml:space="preserve">PARTIAL</x:t>
        </x:is>
      </x:c>
      <x:c r="U240" s="21" t="inlineStr">
        <x:is>
          <x:t xml:space="preserve">PLACEHOLDER</x:t>
        </x:is>
      </x:c>
      <x:c r="V240" s="20" t="inlineStr">
        <x:is>
          <x:t xml:space="preserve">lean_match_count=1 | proof_strength=SIMPLIFICATION | Follows by simplification under definitions; check definition strength. | definition/proof/numerical/empirical/interp fields still staged as TODO placeholders</x:t>
        </x:is>
      </x:c>
    </x:row>
    <x:row r="241" ht="55.20000076293945" customHeight="1">
      <x:c r="A241" s="20" t="inlineStr">
        <x:is>
          <x:t xml:space="preserve">C23</x:t>
        </x:is>
      </x:c>
      <x:c r="B241" s="20" t="inlineStr">
        <x:is>
          <x:t xml:space="preserve">O=0 implies C* = 0</x:t>
        </x:is>
      </x:c>
      <x:c r="C241" s="20" t="inlineStr">
        <x:is>
          <x:t xml:space="preserve">C5 - Dynamical equivalence candidate</x:t>
        </x:is>
      </x:c>
      <x:c r="D241" s="21" t="inlineStr">
        <x:is>
          <x:t xml:space="preserve">PLACEHOLDER</x:t>
        </x:is>
      </x:c>
      <x:c r="E241" s="22" t="inlineStr">
        <x:is>
          <x:t xml:space="preserve">MISSING</x:t>
        </x:is>
      </x:c>
      <x:c r="F241" s="22" t="inlineStr">
        <x:is>
          <x:t xml:space="preserve">MISSING</x:t>
        </x:is>
      </x:c>
      <x:c r="G241" s="22" t="inlineStr">
        <x:is>
          <x:t xml:space="preserve">MISSING</x:t>
        </x:is>
      </x:c>
      <x:c r="H241" s="22" t="inlineStr">
        <x:is>
          <x:t xml:space="preserve">MISSING</x:t>
        </x:is>
      </x:c>
      <x:c r="I241" s="20" t="inlineStr">
        <x:is>
          <x:t xml:space="preserve">theophysics-lean-main\theophysics-lean-main\Theophysics_Canonization.lean</x:t>
        </x:is>
      </x:c>
      <x:c r="J241" s="20" t="inlineStr">
        <x:is>
          <x:t xml:space="preserve">446</x:t>
        </x:is>
      </x:c>
      <x:c r="K241" s="20" t="inlineStr">
        <x:is>
          <x:t xml:space="preserve">theorem closed_system_equilibrium_zero (S : ℝ) (hS : S ≠ 0) : equilibriumC 0 S = 0</x:t>
        </x:is>
      </x:c>
      <x:c r="L241" s="20" t="inlineStr">
        <x:is>
          <x:t xml:space="preserve">closed_system_equilibrium_zero</x:t>
        </x:is>
      </x:c>
      <x:c r="M241" s="26" t="inlineStr">
        <x:is>
          <x:t xml:space="preserve">SUPPORTED</x:t>
        </x:is>
      </x:c>
      <x:c r="N241" s="21" t="inlineStr">
        <x:is>
          <x:t xml:space="preserve">PLACEHOLDER</x:t>
        </x:is>
      </x:c>
      <x:c r="O241" s="21" t="inlineStr">
        <x:is>
          <x:t xml:space="preserve">PLACEHOLDER</x:t>
        </x:is>
      </x:c>
      <x:c r="P241" s="22" t="inlineStr">
        <x:is>
          <x:t xml:space="preserve">MISSING</x:t>
        </x:is>
      </x:c>
      <x:c r="Q241" s="21" t="inlineStr">
        <x:is>
          <x:t xml:space="preserve">PLACEHOLDER</x:t>
        </x:is>
      </x:c>
      <x:c r="R241" s="21" t="inlineStr">
        <x:is>
          <x:t xml:space="preserve">PLACEHOLDER</x:t>
        </x:is>
      </x:c>
      <x:c r="S241" s="21" t="inlineStr">
        <x:is>
          <x:t xml:space="preserve">PLACEHOLDER</x:t>
        </x:is>
      </x:c>
      <x:c r="T241" s="23" t="inlineStr">
        <x:is>
          <x:t xml:space="preserve">PARTIAL</x:t>
        </x:is>
      </x:c>
      <x:c r="U241" s="21" t="inlineStr">
        <x:is>
          <x:t xml:space="preserve">PLACEHOLDER</x:t>
        </x:is>
      </x:c>
      <x:c r="V241" s="20" t="inlineStr">
        <x:is>
          <x:t xml:space="preserve">lean_match_count=1 | proof_strength=SIMPLIFICATION | Follows by simplification under definitions; check definition strength. | definition/proof/numerical/empirical/interp fields still staged as TODO placeholders</x:t>
        </x:is>
      </x:c>
    </x:row>
    <x:row r="242" ht="69" customHeight="1">
      <x:c r="A242" s="20" t="inlineStr">
        <x:is>
          <x:t xml:space="preserve">C24</x:t>
        </x:is>
      </x:c>
      <x:c r="B242" s="20" t="inlineStr">
        <x:is>
          <x:t xml:space="preserve">Finite Lambda, S&gt;0 implies C* &lt; 1 - bounded ceilings</x:t>
        </x:is>
      </x:c>
      <x:c r="C242" s="20" t="inlineStr">
        <x:is>
          <x:t xml:space="preserve">C2 - Structural correspondence candidate</x:t>
        </x:is>
      </x:c>
      <x:c r="D242" s="21" t="inlineStr">
        <x:is>
          <x:t xml:space="preserve">PLACEHOLDER</x:t>
        </x:is>
      </x:c>
      <x:c r="E242" s="22" t="inlineStr">
        <x:is>
          <x:t xml:space="preserve">MISSING</x:t>
        </x:is>
      </x:c>
      <x:c r="F242" s="22" t="inlineStr">
        <x:is>
          <x:t xml:space="preserve">MISSING</x:t>
        </x:is>
      </x:c>
      <x:c r="G242" s="22" t="inlineStr">
        <x:is>
          <x:t xml:space="preserve">MISSING</x:t>
        </x:is>
      </x:c>
      <x:c r="H242" s="22" t="inlineStr">
        <x:is>
          <x:t xml:space="preserve">MISSING</x:t>
        </x:is>
      </x:c>
      <x:c r="I242" s="20" t="inlineStr">
        <x:is>
          <x:t xml:space="preserve">theophysics-lean-main\theophysics-lean-main\Theophysics_Canonization.lean</x:t>
        </x:is>
      </x:c>
      <x:c r="J242" s="20" t="inlineStr">
        <x:is>
          <x:t xml:space="preserve">452</x:t>
        </x:is>
      </x:c>
      <x:c r="K242" s="20" t="inlineStr">
        <x:is>
          <x:t xml:space="preserve">theorem finite_ordering_source_cannot_perfect_coherence (Λ S : ℝ) (hΛ : 0 ≤ Λ) (hS : 0 &lt; S) : equilibriumC Λ S &lt; 1</x:t>
        </x:is>
      </x:c>
      <x:c r="L242" s="20" t="inlineStr">
        <x:is>
          <x:t xml:space="preserve">finite_ordering_source_cannot_perfect_coherence</x:t>
        </x:is>
      </x:c>
      <x:c r="M242" s="26" t="inlineStr">
        <x:is>
          <x:t xml:space="preserve">SUPPORTED</x:t>
        </x:is>
      </x:c>
      <x:c r="N242" s="21" t="inlineStr">
        <x:is>
          <x:t xml:space="preserve">PLACEHOLDER</x:t>
        </x:is>
      </x:c>
      <x:c r="O242" s="21" t="inlineStr">
        <x:is>
          <x:t xml:space="preserve">PLACEHOLDER</x:t>
        </x:is>
      </x:c>
      <x:c r="P242" s="22" t="inlineStr">
        <x:is>
          <x:t xml:space="preserve">MISSING</x:t>
        </x:is>
      </x:c>
      <x:c r="Q242" s="21" t="inlineStr">
        <x:is>
          <x:t xml:space="preserve">PLACEHOLDER</x:t>
        </x:is>
      </x:c>
      <x:c r="R242" s="21" t="inlineStr">
        <x:is>
          <x:t xml:space="preserve">PLACEHOLDER</x:t>
        </x:is>
      </x:c>
      <x:c r="S242" s="21" t="inlineStr">
        <x:is>
          <x:t xml:space="preserve">PLACEHOLDER</x:t>
        </x:is>
      </x:c>
      <x:c r="T242" s="23" t="inlineStr">
        <x:is>
          <x:t xml:space="preserve">PARTIAL</x:t>
        </x:is>
      </x:c>
      <x:c r="U242" s="21" t="inlineStr">
        <x:is>
          <x:t xml:space="preserve">PLACEHOLDER</x:t>
        </x:is>
      </x:c>
      <x:c r="V242" s="20" t="inlineStr">
        <x:is>
          <x:t xml:space="preserve">lean_match_count=1 | proof_strength=SUBSTANTIVE_OR_CASE_PROOF | Appears to contain an actual proof body; inspect before public citation. | definition/proof/numerical/empirical/interp fields still staged as TODO placeholders</x:t>
        </x:is>
      </x:c>
    </x:row>
    <x:row r="243" ht="69" customHeight="1">
      <x:c r="A243" s="20" t="inlineStr">
        <x:is>
          <x:t xml:space="preserve">C25</x:t>
        </x:is>
      </x:c>
      <x:c r="B243" s="20" t="inlineStr">
        <x:is>
          <x:t xml:space="preserve">Lambda&gt;0 implies C* &gt; 0 - finite grace is real grace</x:t>
        </x:is>
      </x:c>
      <x:c r="C243" s="20" t="inlineStr">
        <x:is>
          <x:t xml:space="preserve">C2 - Structural correspondence candidate</x:t>
        </x:is>
      </x:c>
      <x:c r="D243" s="21" t="inlineStr">
        <x:is>
          <x:t xml:space="preserve">PLACEHOLDER</x:t>
        </x:is>
      </x:c>
      <x:c r="E243" s="22" t="inlineStr">
        <x:is>
          <x:t xml:space="preserve">MISSING</x:t>
        </x:is>
      </x:c>
      <x:c r="F243" s="22" t="inlineStr">
        <x:is>
          <x:t xml:space="preserve">MISSING</x:t>
        </x:is>
      </x:c>
      <x:c r="G243" s="22" t="inlineStr">
        <x:is>
          <x:t xml:space="preserve">MISSING</x:t>
        </x:is>
      </x:c>
      <x:c r="H243" s="22" t="inlineStr">
        <x:is>
          <x:t xml:space="preserve">MISSING</x:t>
        </x:is>
      </x:c>
      <x:c r="I243" s="20" t="inlineStr">
        <x:is>
          <x:t xml:space="preserve">theophysics-lean-main\theophysics-lean-main\Theophysics_Canonization.lean</x:t>
        </x:is>
      </x:c>
      <x:c r="J243" s="20" t="inlineStr">
        <x:is>
          <x:t xml:space="preserve">461</x:t>
        </x:is>
      </x:c>
      <x:c r="K243" s="20" t="inlineStr">
        <x:is>
          <x:t xml:space="preserve">theorem finite_source_raises_floor (Λ S : ℝ) (hΛ : 0 &lt; Λ) (hS : 0 &lt; S) : 0 &lt; equilibriumC Λ S</x:t>
        </x:is>
      </x:c>
      <x:c r="L243" s="20" t="inlineStr">
        <x:is>
          <x:t xml:space="preserve">finite_source_raises_floor</x:t>
        </x:is>
      </x:c>
      <x:c r="M243" s="26" t="inlineStr">
        <x:is>
          <x:t xml:space="preserve">SUPPORTED</x:t>
        </x:is>
      </x:c>
      <x:c r="N243" s="21" t="inlineStr">
        <x:is>
          <x:t xml:space="preserve">PLACEHOLDER</x:t>
        </x:is>
      </x:c>
      <x:c r="O243" s="21" t="inlineStr">
        <x:is>
          <x:t xml:space="preserve">PLACEHOLDER</x:t>
        </x:is>
      </x:c>
      <x:c r="P243" s="22" t="inlineStr">
        <x:is>
          <x:t xml:space="preserve">MISSING</x:t>
        </x:is>
      </x:c>
      <x:c r="Q243" s="21" t="inlineStr">
        <x:is>
          <x:t xml:space="preserve">PLACEHOLDER</x:t>
        </x:is>
      </x:c>
      <x:c r="R243" s="21" t="inlineStr">
        <x:is>
          <x:t xml:space="preserve">PLACEHOLDER</x:t>
        </x:is>
      </x:c>
      <x:c r="S243" s="21" t="inlineStr">
        <x:is>
          <x:t xml:space="preserve">PLACEHOLDER</x:t>
        </x:is>
      </x:c>
      <x:c r="T243" s="23" t="inlineStr">
        <x:is>
          <x:t xml:space="preserve">PARTIAL</x:t>
        </x:is>
      </x:c>
      <x:c r="U243" s="21" t="inlineStr">
        <x:is>
          <x:t xml:space="preserve">PLACEHOLDER</x:t>
        </x:is>
      </x:c>
      <x:c r="V243" s="20" t="inlineStr">
        <x:is>
          <x:t xml:space="preserve">lean_match_count=1 | proof_strength=SUBSTANTIVE_OR_CASE_PROOF | Appears to contain an actual proof body; inspect before public citation. | definition/proof/numerical/empirical/interp fields still staged as TODO placeholders</x:t>
        </x:is>
      </x:c>
    </x:row>
    <x:row r="244" ht="69" customHeight="1">
      <x:c r="A244" s="20" t="inlineStr">
        <x:is>
          <x:t xml:space="preserve">C26</x:t>
        </x:is>
      </x:c>
      <x:c r="B244" s="20" t="inlineStr">
        <x:is>
          <x:t xml:space="preserve">Epsilon-form: for all eps exists Lambda0, Lambda&gt;=Lambda0 implies C* &gt; 1-eps</x:t>
        </x:is>
      </x:c>
      <x:c r="C244" s="20" t="inlineStr">
        <x:is>
          <x:t xml:space="preserve">C2 - Structural correspondence candidate</x:t>
        </x:is>
      </x:c>
      <x:c r="D244" s="21" t="inlineStr">
        <x:is>
          <x:t xml:space="preserve">PLACEHOLDER</x:t>
        </x:is>
      </x:c>
      <x:c r="E244" s="22" t="inlineStr">
        <x:is>
          <x:t xml:space="preserve">MISSING</x:t>
        </x:is>
      </x:c>
      <x:c r="F244" s="22" t="inlineStr">
        <x:is>
          <x:t xml:space="preserve">MISSING</x:t>
        </x:is>
      </x:c>
      <x:c r="G244" s="22" t="inlineStr">
        <x:is>
          <x:t xml:space="preserve">MISSING</x:t>
        </x:is>
      </x:c>
      <x:c r="H244" s="22" t="inlineStr">
        <x:is>
          <x:t xml:space="preserve">MISSING</x:t>
        </x:is>
      </x:c>
      <x:c r="I244" s="20" t="inlineStr">
        <x:is>
          <x:t xml:space="preserve">theophysics-lean-main\theophysics-lean-main\Theophysics_Canonization.lean</x:t>
        </x:is>
      </x:c>
      <x:c r="J244" s="20" t="inlineStr">
        <x:is>
          <x:t xml:space="preserve">468</x:t>
        </x:is>
      </x:c>
      <x:c r="K244" s="20" t="inlineStr">
        <x:is>
          <x:t xml:space="preserve">theorem nonzero_coupling_to_infinite_source_has_perfect_attractor (S ε : ℝ) (hS : 0 &lt; S) (hε : 0 &lt; ε) : ∃ Λ₀ : ℝ, 0 &lt; Λ₀ ∧ ∀ Λ : ℝ, Λ₀ ≤ Λ → 1 - ε &lt; equilibriumC Λ S</x:t>
        </x:is>
      </x:c>
      <x:c r="L244" s="20" t="inlineStr">
        <x:is>
          <x:t xml:space="preserve">nonzero_coupling_to_infinite_source_has_perfect_attractor</x:t>
        </x:is>
      </x:c>
      <x:c r="M244" s="26" t="inlineStr">
        <x:is>
          <x:t xml:space="preserve">SUPPORTED</x:t>
        </x:is>
      </x:c>
      <x:c r="N244" s="21" t="inlineStr">
        <x:is>
          <x:t xml:space="preserve">PLACEHOLDER</x:t>
        </x:is>
      </x:c>
      <x:c r="O244" s="21" t="inlineStr">
        <x:is>
          <x:t xml:space="preserve">PLACEHOLDER</x:t>
        </x:is>
      </x:c>
      <x:c r="P244" s="22" t="inlineStr">
        <x:is>
          <x:t xml:space="preserve">MISSING</x:t>
        </x:is>
      </x:c>
      <x:c r="Q244" s="21" t="inlineStr">
        <x:is>
          <x:t xml:space="preserve">PLACEHOLDER</x:t>
        </x:is>
      </x:c>
      <x:c r="R244" s="21" t="inlineStr">
        <x:is>
          <x:t xml:space="preserve">PLACEHOLDER</x:t>
        </x:is>
      </x:c>
      <x:c r="S244" s="21" t="inlineStr">
        <x:is>
          <x:t xml:space="preserve">PLACEHOLDER</x:t>
        </x:is>
      </x:c>
      <x:c r="T244" s="23" t="inlineStr">
        <x:is>
          <x:t xml:space="preserve">PARTIAL</x:t>
        </x:is>
      </x:c>
      <x:c r="U244" s="21" t="inlineStr">
        <x:is>
          <x:t xml:space="preserve">PLACEHOLDER</x:t>
        </x:is>
      </x:c>
      <x:c r="V244" s="20" t="inlineStr">
        <x:is>
          <x:t xml:space="preserve">lean_match_count=1 | proof_strength=SUBSTANTIVE_OR_CASE_PROOF | Appears to contain an actual proof body; inspect before public citation. | definition/proof/numerical/empirical/interp fields still staged as TODO placeholders</x:t>
        </x:is>
      </x:c>
    </x:row>
    <x:row r="245" ht="55.20000076293945" customHeight="1">
      <x:c r="A245" s="20" t="inlineStr">
        <x:is>
          <x:t xml:space="preserve">C27</x:t>
        </x:is>
      </x:c>
      <x:c r="B245" s="20" t="inlineStr">
        <x:is>
          <x:t xml:space="preserve">Any O&gt;0 exceeds every finite threshold for large G; magnitude irrelevant</x:t>
        </x:is>
      </x:c>
      <x:c r="C245" s="20" t="inlineStr">
        <x:is>
          <x:t xml:space="preserve">C2 - Structural correspondence candidate</x:t>
        </x:is>
      </x:c>
      <x:c r="D245" s="21" t="inlineStr">
        <x:is>
          <x:t xml:space="preserve">PLACEHOLDER</x:t>
        </x:is>
      </x:c>
      <x:c r="E245" s="22" t="inlineStr">
        <x:is>
          <x:t xml:space="preserve">MISSING</x:t>
        </x:is>
      </x:c>
      <x:c r="F245" s="22" t="inlineStr">
        <x:is>
          <x:t xml:space="preserve">MISSING</x:t>
        </x:is>
      </x:c>
      <x:c r="G245" s="22" t="inlineStr">
        <x:is>
          <x:t xml:space="preserve">MISSING</x:t>
        </x:is>
      </x:c>
      <x:c r="H245" s="22" t="inlineStr">
        <x:is>
          <x:t xml:space="preserve">MISSING</x:t>
        </x:is>
      </x:c>
      <x:c r="I245" s="20" t="inlineStr">
        <x:is>
          <x:t xml:space="preserve">theophysics-lean-main\theophysics-lean-main\Theophysics_Canonization.lean</x:t>
        </x:is>
      </x:c>
      <x:c r="J245" s="20" t="inlineStr">
        <x:is>
          <x:t xml:space="preserve">483</x:t>
        </x:is>
      </x:c>
      <x:c r="K245" s="20" t="inlineStr">
        <x:is>
          <x:t xml:space="preserve">theorem mustard_seed (O Λ₀ : ℝ) (hO : 0 &lt; O) (hΛ₀ : 0 &lt; Λ₀) : ∃ G : ℝ, 0 &lt; G ∧ Λ₀ ≤ O * G</x:t>
        </x:is>
      </x:c>
      <x:c r="L245" s="20" t="inlineStr">
        <x:is>
          <x:t xml:space="preserve">mustard_seed</x:t>
        </x:is>
      </x:c>
      <x:c r="M245" s="26" t="inlineStr">
        <x:is>
          <x:t xml:space="preserve">SUPPORTED</x:t>
        </x:is>
      </x:c>
      <x:c r="N245" s="21" t="inlineStr">
        <x:is>
          <x:t xml:space="preserve">PLACEHOLDER</x:t>
        </x:is>
      </x:c>
      <x:c r="O245" s="21" t="inlineStr">
        <x:is>
          <x:t xml:space="preserve">PLACEHOLDER</x:t>
        </x:is>
      </x:c>
      <x:c r="P245" s="22" t="inlineStr">
        <x:is>
          <x:t xml:space="preserve">MISSING</x:t>
        </x:is>
      </x:c>
      <x:c r="Q245" s="21" t="inlineStr">
        <x:is>
          <x:t xml:space="preserve">PLACEHOLDER</x:t>
        </x:is>
      </x:c>
      <x:c r="R245" s="21" t="inlineStr">
        <x:is>
          <x:t xml:space="preserve">PLACEHOLDER</x:t>
        </x:is>
      </x:c>
      <x:c r="S245" s="21" t="inlineStr">
        <x:is>
          <x:t xml:space="preserve">PLACEHOLDER</x:t>
        </x:is>
      </x:c>
      <x:c r="T245" s="23" t="inlineStr">
        <x:is>
          <x:t xml:space="preserve">PARTIAL</x:t>
        </x:is>
      </x:c>
      <x:c r="U245" s="21" t="inlineStr">
        <x:is>
          <x:t xml:space="preserve">PLACEHOLDER</x:t>
        </x:is>
      </x:c>
      <x:c r="V245" s="20" t="inlineStr">
        <x:is>
          <x:t xml:space="preserve">lean_match_count=1 | proof_strength=WRAPPER_OR_IMPORTED | Likely delegates to another theorem; cite underlying theorem too. | definition/proof/numerical/empirical/interp fields still staged as TODO placeholders</x:t>
        </x:is>
      </x:c>
    </x:row>
    <x:row r="246" ht="55.20000076293945" customHeight="1">
      <x:c r="A246" s="20" t="inlineStr">
        <x:is>
          <x:t xml:space="preserve">C28</x:t>
        </x:is>
      </x:c>
      <x:c r="B246" s="20" t="inlineStr">
        <x:is>
          <x:t xml:space="preserve">O=0 implies Lambda=0 identically</x:t>
        </x:is>
      </x:c>
      <x:c r="C246" s="20" t="inlineStr">
        <x:is>
          <x:t xml:space="preserve">C2 - Structural correspondence candidate</x:t>
        </x:is>
      </x:c>
      <x:c r="D246" s="21" t="inlineStr">
        <x:is>
          <x:t xml:space="preserve">PLACEHOLDER</x:t>
        </x:is>
      </x:c>
      <x:c r="E246" s="22" t="inlineStr">
        <x:is>
          <x:t xml:space="preserve">MISSING</x:t>
        </x:is>
      </x:c>
      <x:c r="F246" s="22" t="inlineStr">
        <x:is>
          <x:t xml:space="preserve">MISSING</x:t>
        </x:is>
      </x:c>
      <x:c r="G246" s="22" t="inlineStr">
        <x:is>
          <x:t xml:space="preserve">MISSING</x:t>
        </x:is>
      </x:c>
      <x:c r="H246" s="22" t="inlineStr">
        <x:is>
          <x:t xml:space="preserve">MISSING</x:t>
        </x:is>
      </x:c>
      <x:c r="I246" s="20" t="inlineStr">
        <x:is>
          <x:t xml:space="preserve">theophysics-lean-main\theophysics-lean-main\Theophysics_Canonization.lean</x:t>
        </x:is>
      </x:c>
      <x:c r="J246" s="20" t="inlineStr">
        <x:is>
          <x:t xml:space="preserve">489</x:t>
        </x:is>
      </x:c>
      <x:c r="K246" s="20" t="inlineStr">
        <x:is>
          <x:t xml:space="preserve">theorem zero_openness_never_couples (G : ℝ) : (0:ℝ) * G = 0 := zero_mul G /-- THEOREM: faith_is_coupling_not_source — the dynamics depend on O and G only through O·G; faith gates, grace powers. [LEAN_PROVEN] -/</x:t>
        </x:is>
      </x:c>
      <x:c r="L246" s="20" t="inlineStr">
        <x:is>
          <x:t xml:space="preserve">zero_openness_never_couples</x:t>
        </x:is>
      </x:c>
      <x:c r="M246" s="26" t="inlineStr">
        <x:is>
          <x:t xml:space="preserve">SUPPORTED</x:t>
        </x:is>
      </x:c>
      <x:c r="N246" s="21" t="inlineStr">
        <x:is>
          <x:t xml:space="preserve">PLACEHOLDER</x:t>
        </x:is>
      </x:c>
      <x:c r="O246" s="21" t="inlineStr">
        <x:is>
          <x:t xml:space="preserve">PLACEHOLDER</x:t>
        </x:is>
      </x:c>
      <x:c r="P246" s="22" t="inlineStr">
        <x:is>
          <x:t xml:space="preserve">MISSING</x:t>
        </x:is>
      </x:c>
      <x:c r="Q246" s="21" t="inlineStr">
        <x:is>
          <x:t xml:space="preserve">PLACEHOLDER</x:t>
        </x:is>
      </x:c>
      <x:c r="R246" s="21" t="inlineStr">
        <x:is>
          <x:t xml:space="preserve">PLACEHOLDER</x:t>
        </x:is>
      </x:c>
      <x:c r="S246" s="21" t="inlineStr">
        <x:is>
          <x:t xml:space="preserve">PLACEHOLDER</x:t>
        </x:is>
      </x:c>
      <x:c r="T246" s="23" t="inlineStr">
        <x:is>
          <x:t xml:space="preserve">PARTIAL</x:t>
        </x:is>
      </x:c>
      <x:c r="U246" s="21" t="inlineStr">
        <x:is>
          <x:t xml:space="preserve">PLACEHOLDER</x:t>
        </x:is>
      </x:c>
      <x:c r="V246" s="20" t="inlineStr">
        <x:is>
          <x:t xml:space="preserve">lean_match_count=1 | proof_strength=DECLARATION_OR_UNKNOWN | Could not classify from first proof lines. | definition/proof/numerical/empirical/interp fields still staged as TODO placeholders</x:t>
        </x:is>
      </x:c>
    </x:row>
    <x:row r="247" ht="69" customHeight="1">
      <x:c r="A247" s="20" t="inlineStr">
        <x:is>
          <x:t xml:space="preserve">C29</x:t>
        </x:is>
      </x:c>
      <x:c r="B247" s="20" t="inlineStr">
        <x:is>
          <x:t xml:space="preserve">Dynamics depend on O*G only - faith gates, grace powers</x:t>
        </x:is>
      </x:c>
      <x:c r="C247" s="20" t="inlineStr">
        <x:is>
          <x:t xml:space="preserve">C5 - Dynamical equivalence candidate</x:t>
        </x:is>
      </x:c>
      <x:c r="D247" s="21" t="inlineStr">
        <x:is>
          <x:t xml:space="preserve">PLACEHOLDER</x:t>
        </x:is>
      </x:c>
      <x:c r="E247" s="22" t="inlineStr">
        <x:is>
          <x:t xml:space="preserve">MISSING</x:t>
        </x:is>
      </x:c>
      <x:c r="F247" s="22" t="inlineStr">
        <x:is>
          <x:t xml:space="preserve">MISSING</x:t>
        </x:is>
      </x:c>
      <x:c r="G247" s="22" t="inlineStr">
        <x:is>
          <x:t xml:space="preserve">MISSING</x:t>
        </x:is>
      </x:c>
      <x:c r="H247" s="22" t="inlineStr">
        <x:is>
          <x:t xml:space="preserve">MISSING</x:t>
        </x:is>
      </x:c>
      <x:c r="I247" s="20" t="inlineStr">
        <x:is>
          <x:t xml:space="preserve">theophysics-lean-main\theophysics-lean-main\Theophysics_Canonization.lean</x:t>
        </x:is>
      </x:c>
      <x:c r="J247" s="20" t="inlineStr">
        <x:is>
          <x:t xml:space="preserve">493</x:t>
        </x:is>
      </x:c>
      <x:c r="K247" s="20" t="inlineStr">
        <x:is>
          <x:t xml:space="preserve">theorem faith_is_coupling_not_source (O G S C k : ℝ) (hk : k ≠ 0) : coherenceRate (k * O) (G / k) S C = coherenceRate O G S C</x:t>
        </x:is>
      </x:c>
      <x:c r="L247" s="20" t="inlineStr">
        <x:is>
          <x:t xml:space="preserve">faith_is_coupling_not_source</x:t>
        </x:is>
      </x:c>
      <x:c r="M247" s="26" t="inlineStr">
        <x:is>
          <x:t xml:space="preserve">SUPPORTED</x:t>
        </x:is>
      </x:c>
      <x:c r="N247" s="21" t="inlineStr">
        <x:is>
          <x:t xml:space="preserve">PLACEHOLDER</x:t>
        </x:is>
      </x:c>
      <x:c r="O247" s="21" t="inlineStr">
        <x:is>
          <x:t xml:space="preserve">PLACEHOLDER</x:t>
        </x:is>
      </x:c>
      <x:c r="P247" s="22" t="inlineStr">
        <x:is>
          <x:t xml:space="preserve">MISSING</x:t>
        </x:is>
      </x:c>
      <x:c r="Q247" s="21" t="inlineStr">
        <x:is>
          <x:t xml:space="preserve">PLACEHOLDER</x:t>
        </x:is>
      </x:c>
      <x:c r="R247" s="21" t="inlineStr">
        <x:is>
          <x:t xml:space="preserve">PLACEHOLDER</x:t>
        </x:is>
      </x:c>
      <x:c r="S247" s="21" t="inlineStr">
        <x:is>
          <x:t xml:space="preserve">PLACEHOLDER</x:t>
        </x:is>
      </x:c>
      <x:c r="T247" s="23" t="inlineStr">
        <x:is>
          <x:t xml:space="preserve">PARTIAL</x:t>
        </x:is>
      </x:c>
      <x:c r="U247" s="21" t="inlineStr">
        <x:is>
          <x:t xml:space="preserve">PLACEHOLDER</x:t>
        </x:is>
      </x:c>
      <x:c r="V247" s="20" t="inlineStr">
        <x:is>
          <x:t xml:space="preserve">lean_match_count=1 | proof_strength=SUBSTANTIVE_OR_CASE_PROOF | Appears to contain an actual proof body; inspect before public citation. | definition/proof/numerical/empirical/interp fields still staged as TODO placeholders</x:t>
        </x:is>
      </x:c>
    </x:row>
    <x:row r="248" ht="69" customHeight="1">
      <x:c r="A248" s="20" t="inlineStr">
        <x:is>
          <x:t xml:space="preserve">C30</x:t>
        </x:is>
      </x:c>
      <x:c r="B248" s="20" t="inlineStr">
        <x:is>
          <x:t xml:space="preserve">C=1, S=0 implies rate = 0 for every grace flux (fixed point)</x:t>
        </x:is>
      </x:c>
      <x:c r="C248" s="20" t="inlineStr">
        <x:is>
          <x:t xml:space="preserve">C2 - Structural correspondence candidate</x:t>
        </x:is>
      </x:c>
      <x:c r="D248" s="21" t="inlineStr">
        <x:is>
          <x:t xml:space="preserve">PLACEHOLDER</x:t>
        </x:is>
      </x:c>
      <x:c r="E248" s="22" t="inlineStr">
        <x:is>
          <x:t xml:space="preserve">MISSING</x:t>
        </x:is>
      </x:c>
      <x:c r="F248" s="22" t="inlineStr">
        <x:is>
          <x:t xml:space="preserve">MISSING</x:t>
        </x:is>
      </x:c>
      <x:c r="G248" s="22" t="inlineStr">
        <x:is>
          <x:t xml:space="preserve">MISSING</x:t>
        </x:is>
      </x:c>
      <x:c r="H248" s="22" t="inlineStr">
        <x:is>
          <x:t xml:space="preserve">MISSING</x:t>
        </x:is>
      </x:c>
      <x:c r="I248" s="20" t="inlineStr">
        <x:is>
          <x:t xml:space="preserve">theophysics-lean-main\theophysics-lean-main\Theophysics_Canonization.lean</x:t>
        </x:is>
      </x:c>
      <x:c r="J248" s="20" t="inlineStr">
        <x:is>
          <x:t xml:space="preserve">511</x:t>
        </x:is>
      </x:c>
      <x:c r="K248" s="20" t="inlineStr">
        <x:is>
          <x:t xml:space="preserve">theorem christ_profile_is_stationary (p : FixedPointProfile) (G : ℝ) : coherenceRate p.O G p.S_personal p.C = 0</x:t>
        </x:is>
      </x:c>
      <x:c r="L248" s="20" t="inlineStr">
        <x:is>
          <x:t xml:space="preserve">christ_profile_is_stationary</x:t>
        </x:is>
      </x:c>
      <x:c r="M248" s="26" t="inlineStr">
        <x:is>
          <x:t xml:space="preserve">SUPPORTED</x:t>
        </x:is>
      </x:c>
      <x:c r="N248" s="21" t="inlineStr">
        <x:is>
          <x:t xml:space="preserve">PLACEHOLDER</x:t>
        </x:is>
      </x:c>
      <x:c r="O248" s="21" t="inlineStr">
        <x:is>
          <x:t xml:space="preserve">PLACEHOLDER</x:t>
        </x:is>
      </x:c>
      <x:c r="P248" s="22" t="inlineStr">
        <x:is>
          <x:t xml:space="preserve">MISSING</x:t>
        </x:is>
      </x:c>
      <x:c r="Q248" s="21" t="inlineStr">
        <x:is>
          <x:t xml:space="preserve">PLACEHOLDER</x:t>
        </x:is>
      </x:c>
      <x:c r="R248" s="21" t="inlineStr">
        <x:is>
          <x:t xml:space="preserve">PLACEHOLDER</x:t>
        </x:is>
      </x:c>
      <x:c r="S248" s="21" t="inlineStr">
        <x:is>
          <x:t xml:space="preserve">PLACEHOLDER</x:t>
        </x:is>
      </x:c>
      <x:c r="T248" s="23" t="inlineStr">
        <x:is>
          <x:t xml:space="preserve">PARTIAL</x:t>
        </x:is>
      </x:c>
      <x:c r="U248" s="21" t="inlineStr">
        <x:is>
          <x:t xml:space="preserve">PLACEHOLDER</x:t>
        </x:is>
      </x:c>
      <x:c r="V248" s="20" t="inlineStr">
        <x:is>
          <x:t xml:space="preserve">lean_match_count=1 | proof_strength=SUBSTANTIVE_OR_CASE_PROOF | Appears to contain an actual proof body; inspect before public citation. | definition/proof/numerical/empirical/interp fields still staged as TODO placeholders</x:t>
        </x:is>
      </x:c>
    </x:row>
    <x:row r="249" ht="69" customHeight="1">
      <x:c r="A249" s="20" t="inlineStr">
        <x:is>
          <x:t xml:space="preserve">C31</x:t>
        </x:is>
      </x:c>
      <x:c r="B249" s="20" t="inlineStr">
        <x:is>
          <x:t xml:space="preserve">Profile coherence becomes the creature's attractor target</x:t>
        </x:is>
      </x:c>
      <x:c r="C249" s="20" t="inlineStr">
        <x:is>
          <x:t xml:space="preserve">C2 - Structural correspondence candidate</x:t>
        </x:is>
      </x:c>
      <x:c r="D249" s="21" t="inlineStr">
        <x:is>
          <x:t xml:space="preserve">PLACEHOLDER</x:t>
        </x:is>
      </x:c>
      <x:c r="E249" s="22" t="inlineStr">
        <x:is>
          <x:t xml:space="preserve">MISSING</x:t>
        </x:is>
      </x:c>
      <x:c r="F249" s="22" t="inlineStr">
        <x:is>
          <x:t xml:space="preserve">MISSING</x:t>
        </x:is>
      </x:c>
      <x:c r="G249" s="22" t="inlineStr">
        <x:is>
          <x:t xml:space="preserve">MISSING</x:t>
        </x:is>
      </x:c>
      <x:c r="H249" s="22" t="inlineStr">
        <x:is>
          <x:t xml:space="preserve">MISSING</x:t>
        </x:is>
      </x:c>
      <x:c r="I249" s="20" t="inlineStr">
        <x:is>
          <x:t xml:space="preserve">theophysics-lean-main\theophysics-lean-main\Theophysics_Canonization.lean</x:t>
        </x:is>
      </x:c>
      <x:c r="J249" s="20" t="inlineStr">
        <x:is>
          <x:t xml:space="preserve">519</x:t>
        </x:is>
      </x:c>
      <x:c r="K249" s="20" t="inlineStr">
        <x:is>
          <x:t xml:space="preserve">theorem fixed_point_is_transferable (p : FixedPointProfile) (O_h G S_h C_h : ℝ) : O_h * G * (p.C - C_h) - S_h * C_h = coherenceRate O_h G S_h C_h</x:t>
        </x:is>
      </x:c>
      <x:c r="L249" s="20" t="inlineStr">
        <x:is>
          <x:t xml:space="preserve">fixed_point_is_transferable</x:t>
        </x:is>
      </x:c>
      <x:c r="M249" s="26" t="inlineStr">
        <x:is>
          <x:t xml:space="preserve">SUPPORTED</x:t>
        </x:is>
      </x:c>
      <x:c r="N249" s="21" t="inlineStr">
        <x:is>
          <x:t xml:space="preserve">PLACEHOLDER</x:t>
        </x:is>
      </x:c>
      <x:c r="O249" s="21" t="inlineStr">
        <x:is>
          <x:t xml:space="preserve">PLACEHOLDER</x:t>
        </x:is>
      </x:c>
      <x:c r="P249" s="22" t="inlineStr">
        <x:is>
          <x:t xml:space="preserve">MISSING</x:t>
        </x:is>
      </x:c>
      <x:c r="Q249" s="21" t="inlineStr">
        <x:is>
          <x:t xml:space="preserve">PLACEHOLDER</x:t>
        </x:is>
      </x:c>
      <x:c r="R249" s="21" t="inlineStr">
        <x:is>
          <x:t xml:space="preserve">PLACEHOLDER</x:t>
        </x:is>
      </x:c>
      <x:c r="S249" s="21" t="inlineStr">
        <x:is>
          <x:t xml:space="preserve">PLACEHOLDER</x:t>
        </x:is>
      </x:c>
      <x:c r="T249" s="23" t="inlineStr">
        <x:is>
          <x:t xml:space="preserve">PARTIAL</x:t>
        </x:is>
      </x:c>
      <x:c r="U249" s="21" t="inlineStr">
        <x:is>
          <x:t xml:space="preserve">PLACEHOLDER</x:t>
        </x:is>
      </x:c>
      <x:c r="V249" s="20" t="inlineStr">
        <x:is>
          <x:t xml:space="preserve">lean_match_count=1 | proof_strength=SUBSTANTIVE_OR_CASE_PROOF | Appears to contain an actual proof body; inspect before public citation. | definition/proof/numerical/empirical/interp fields still staged as TODO placeholders</x:t>
        </x:is>
      </x:c>
    </x:row>
    <x:row r="250" ht="55.20000076293945" customHeight="1">
      <x:c r="A250" s="20" t="inlineStr">
        <x:is>
          <x:t xml:space="preserve">C32</x:t>
        </x:is>
      </x:c>
      <x:c r="B250" s="20" t="inlineStr">
        <x:is>
          <x:t xml:space="preserve">D-&gt;0 grows received capacity past every bound; source infinite, channel finite</x:t>
        </x:is>
      </x:c>
      <x:c r="C250" s="20" t="inlineStr">
        <x:is>
          <x:t xml:space="preserve">C2 - Structural correspondence candidate</x:t>
        </x:is>
      </x:c>
      <x:c r="D250" s="21" t="inlineStr">
        <x:is>
          <x:t xml:space="preserve">PLACEHOLDER</x:t>
        </x:is>
      </x:c>
      <x:c r="E250" s="22" t="inlineStr">
        <x:is>
          <x:t xml:space="preserve">MISSING</x:t>
        </x:is>
      </x:c>
      <x:c r="F250" s="22" t="inlineStr">
        <x:is>
          <x:t xml:space="preserve">MISSING</x:t>
        </x:is>
      </x:c>
      <x:c r="G250" s="22" t="inlineStr">
        <x:is>
          <x:t xml:space="preserve">MISSING</x:t>
        </x:is>
      </x:c>
      <x:c r="H250" s="22" t="inlineStr">
        <x:is>
          <x:t xml:space="preserve">MISSING</x:t>
        </x:is>
      </x:c>
      <x:c r="I250" s="20" t="inlineStr">
        <x:is>
          <x:t xml:space="preserve">theophysics-lean-main\theophysics-lean-main\Theophysics_Canonization.lean</x:t>
        </x:is>
      </x:c>
      <x:c r="J250" s="20" t="inlineStr">
        <x:is>
          <x:t xml:space="preserve">528</x:t>
        </x:is>
      </x:c>
      <x:c r="K250" s="20" t="inlineStr">
        <x:is>
          <x:t xml:space="preserve">theorem sanctification_is_channel_healing (A T Mbound : ℝ) (hA : 0 &lt; A) (hT : 0 &lt; T) (hM : 0 &lt; Mbound) : ∃ D₀ : ℝ, 0 &lt; D₀ ∧ ∀ D : ℝ, 0 &lt; D → D ≤ D₀ → Mbound &lt; soulCapacity A T D</x:t>
        </x:is>
      </x:c>
      <x:c r="L250" s="20" t="inlineStr">
        <x:is>
          <x:t xml:space="preserve">sanctification_is_channel_healing</x:t>
        </x:is>
      </x:c>
      <x:c r="M250" s="26" t="inlineStr">
        <x:is>
          <x:t xml:space="preserve">SUPPORTED</x:t>
        </x:is>
      </x:c>
      <x:c r="N250" s="21" t="inlineStr">
        <x:is>
          <x:t xml:space="preserve">PLACEHOLDER</x:t>
        </x:is>
      </x:c>
      <x:c r="O250" s="21" t="inlineStr">
        <x:is>
          <x:t xml:space="preserve">PLACEHOLDER</x:t>
        </x:is>
      </x:c>
      <x:c r="P250" s="22" t="inlineStr">
        <x:is>
          <x:t xml:space="preserve">MISSING</x:t>
        </x:is>
      </x:c>
      <x:c r="Q250" s="21" t="inlineStr">
        <x:is>
          <x:t xml:space="preserve">PLACEHOLDER</x:t>
        </x:is>
      </x:c>
      <x:c r="R250" s="21" t="inlineStr">
        <x:is>
          <x:t xml:space="preserve">PLACEHOLDER</x:t>
        </x:is>
      </x:c>
      <x:c r="S250" s="21" t="inlineStr">
        <x:is>
          <x:t xml:space="preserve">PLACEHOLDER</x:t>
        </x:is>
      </x:c>
      <x:c r="T250" s="23" t="inlineStr">
        <x:is>
          <x:t xml:space="preserve">PARTIAL</x:t>
        </x:is>
      </x:c>
      <x:c r="U250" s="21" t="inlineStr">
        <x:is>
          <x:t xml:space="preserve">PLACEHOLDER</x:t>
        </x:is>
      </x:c>
      <x:c r="V250" s="20" t="inlineStr">
        <x:is>
          <x:t xml:space="preserve">lean_match_count=1 | proof_strength=WRAPPER_OR_IMPORTED | Likely delegates to another theorem; cite underlying theorem too. | definition/proof/numerical/empirical/interp fields still staged as TODO placeholders</x:t>
        </x:is>
      </x:c>
    </x:row>
    <x:row r="251" ht="69" customHeight="1">
      <x:c r="A251" s="20" t="inlineStr">
        <x:is>
          <x:t xml:space="preserve">C33</x:t>
        </x:is>
      </x:c>
      <x:c r="B251" s="20" t="inlineStr">
        <x:is>
          <x:t xml:space="preserve">Unbounded capacity implies no finite delta_total exhausts it (structural marker)</x:t>
        </x:is>
      </x:c>
      <x:c r="C251" s="20" t="inlineStr">
        <x:is>
          <x:t xml:space="preserve">C2 - Structural correspondence candidate</x:t>
        </x:is>
      </x:c>
      <x:c r="D251" s="21" t="inlineStr">
        <x:is>
          <x:t xml:space="preserve">PLACEHOLDER</x:t>
        </x:is>
      </x:c>
      <x:c r="E251" s="22" t="inlineStr">
        <x:is>
          <x:t xml:space="preserve">MISSING</x:t>
        </x:is>
      </x:c>
      <x:c r="F251" s="22" t="inlineStr">
        <x:is>
          <x:t xml:space="preserve">MISSING</x:t>
        </x:is>
      </x:c>
      <x:c r="G251" s="22" t="inlineStr">
        <x:is>
          <x:t xml:space="preserve">MISSING</x:t>
        </x:is>
      </x:c>
      <x:c r="H251" s="22" t="inlineStr">
        <x:is>
          <x:t xml:space="preserve">MISSING</x:t>
        </x:is>
      </x:c>
      <x:c r="I251" s="20" t="inlineStr">
        <x:is>
          <x:t xml:space="preserve">theophysics-lean-main\theophysics-lean-main\Theophysics_Canonization.lean</x:t>
        </x:is>
      </x:c>
      <x:c r="J251" s="20" t="inlineStr">
        <x:is>
          <x:t xml:space="preserve">563</x:t>
        </x:is>
      </x:c>
      <x:c r="K251" s="20" t="inlineStr">
        <x:is>
          <x:t xml:space="preserve">theorem resurrection_certifies_capacity (capacity : ℝ → ℝ) (hunbounded : ∀ M : ℝ, ∃ t : ℝ, M &lt; capacity t) : ∀ δ_total : ℝ, ∃ t : ℝ, δ_total &lt; capacity t := fun δ_total =&gt; hunbounded δ_total /-- Corollary: all perfect-coherence profiles agree. [LEAN_PROVEN] -/</x:t>
        </x:is>
      </x:c>
      <x:c r="L251" s="20" t="inlineStr">
        <x:is>
          <x:t xml:space="preserve">resurrection_certifies_capacity</x:t>
        </x:is>
      </x:c>
      <x:c r="M251" s="26" t="inlineStr">
        <x:is>
          <x:t xml:space="preserve">SUPPORTED</x:t>
        </x:is>
      </x:c>
      <x:c r="N251" s="21" t="inlineStr">
        <x:is>
          <x:t xml:space="preserve">PLACEHOLDER</x:t>
        </x:is>
      </x:c>
      <x:c r="O251" s="21" t="inlineStr">
        <x:is>
          <x:t xml:space="preserve">PLACEHOLDER</x:t>
        </x:is>
      </x:c>
      <x:c r="P251" s="22" t="inlineStr">
        <x:is>
          <x:t xml:space="preserve">MISSING</x:t>
        </x:is>
      </x:c>
      <x:c r="Q251" s="21" t="inlineStr">
        <x:is>
          <x:t xml:space="preserve">PLACEHOLDER</x:t>
        </x:is>
      </x:c>
      <x:c r="R251" s="21" t="inlineStr">
        <x:is>
          <x:t xml:space="preserve">PLACEHOLDER</x:t>
        </x:is>
      </x:c>
      <x:c r="S251" s="21" t="inlineStr">
        <x:is>
          <x:t xml:space="preserve">PLACEHOLDER</x:t>
        </x:is>
      </x:c>
      <x:c r="T251" s="23" t="inlineStr">
        <x:is>
          <x:t xml:space="preserve">PARTIAL</x:t>
        </x:is>
      </x:c>
      <x:c r="U251" s="21" t="inlineStr">
        <x:is>
          <x:t xml:space="preserve">PLACEHOLDER</x:t>
        </x:is>
      </x:c>
      <x:c r="V251" s="20" t="inlineStr">
        <x:is>
          <x:t xml:space="preserve">lean_match_count=1 | proof_strength=DECLARATION_OR_UNKNOWN | Could not classify from first proof lines. | definition/proof/numerical/empirical/interp fields still staged as TODO placeholders</x:t>
        </x:is>
      </x:c>
    </x:row>
    <x:row r="252" ht="69" customHeight="1">
      <x:c r="A252" s="20" t="inlineStr">
        <x:is>
          <x:t xml:space="preserve">C34</x:t>
        </x:is>
      </x:c>
      <x:c r="B252" s="20" t="inlineStr">
        <x:is>
          <x:t xml:space="preserve">All perfect-coherence profiles agree (definitional agreement)</x:t>
        </x:is>
      </x:c>
      <x:c r="C252" s="20" t="inlineStr">
        <x:is>
          <x:t xml:space="preserve">C2 - Structural correspondence candidate</x:t>
        </x:is>
      </x:c>
      <x:c r="D252" s="21" t="inlineStr">
        <x:is>
          <x:t xml:space="preserve">PLACEHOLDER</x:t>
        </x:is>
      </x:c>
      <x:c r="E252" s="22" t="inlineStr">
        <x:is>
          <x:t xml:space="preserve">MISSING</x:t>
        </x:is>
      </x:c>
      <x:c r="F252" s="22" t="inlineStr">
        <x:is>
          <x:t xml:space="preserve">MISSING</x:t>
        </x:is>
      </x:c>
      <x:c r="G252" s="22" t="inlineStr">
        <x:is>
          <x:t xml:space="preserve">MISSING</x:t>
        </x:is>
      </x:c>
      <x:c r="H252" s="22" t="inlineStr">
        <x:is>
          <x:t xml:space="preserve">MISSING</x:t>
        </x:is>
      </x:c>
      <x:c r="I252" s="20" t="inlineStr">
        <x:is>
          <x:t xml:space="preserve">theophysics-lean-main\theophysics-lean-main\Theophysics_Canonization.lean</x:t>
        </x:is>
      </x:c>
      <x:c r="J252" s="20" t="inlineStr">
        <x:is>
          <x:t xml:space="preserve">570</x:t>
        </x:is>
      </x:c>
      <x:c r="K252" s="20" t="inlineStr">
        <x:is>
          <x:t xml:space="preserve">theorem christ_is_unique_perfect_coherence_fixed_point (p q : FixedPointProfile) : p.C = q.C</x:t>
        </x:is>
      </x:c>
      <x:c r="L252" s="20" t="inlineStr">
        <x:is>
          <x:t xml:space="preserve">christ_is_unique_perfect_coherence_fixed_point</x:t>
        </x:is>
      </x:c>
      <x:c r="M252" s="26" t="inlineStr">
        <x:is>
          <x:t xml:space="preserve">SUPPORTED</x:t>
        </x:is>
      </x:c>
      <x:c r="N252" s="21" t="inlineStr">
        <x:is>
          <x:t xml:space="preserve">PLACEHOLDER</x:t>
        </x:is>
      </x:c>
      <x:c r="O252" s="21" t="inlineStr">
        <x:is>
          <x:t xml:space="preserve">PLACEHOLDER</x:t>
        </x:is>
      </x:c>
      <x:c r="P252" s="22" t="inlineStr">
        <x:is>
          <x:t xml:space="preserve">MISSING</x:t>
        </x:is>
      </x:c>
      <x:c r="Q252" s="21" t="inlineStr">
        <x:is>
          <x:t xml:space="preserve">PLACEHOLDER</x:t>
        </x:is>
      </x:c>
      <x:c r="R252" s="21" t="inlineStr">
        <x:is>
          <x:t xml:space="preserve">PLACEHOLDER</x:t>
        </x:is>
      </x:c>
      <x:c r="S252" s="21" t="inlineStr">
        <x:is>
          <x:t xml:space="preserve">PLACEHOLDER</x:t>
        </x:is>
      </x:c>
      <x:c r="T252" s="23" t="inlineStr">
        <x:is>
          <x:t xml:space="preserve">PARTIAL</x:t>
        </x:is>
      </x:c>
      <x:c r="U252" s="21" t="inlineStr">
        <x:is>
          <x:t xml:space="preserve">PLACEHOLDER</x:t>
        </x:is>
      </x:c>
      <x:c r="V252" s="20" t="inlineStr">
        <x:is>
          <x:t xml:space="preserve">lean_match_count=1 | proof_strength=SUBSTANTIVE_OR_CASE_PROOF | Appears to contain an actual proof body; inspect before public citation. | definition/proof/numerical/empirical/interp fields still staged as TODO placeholders</x:t>
        </x:is>
      </x:c>
    </x:row>
    <x:row r="253" ht="207" customHeight="1">
      <x:c r="A253" s="20" t="inlineStr">
        <x:is>
          <x:t xml:space="preserve">C35</x:t>
        </x:is>
      </x:c>
      <x:c r="B253" s="20" t="inlineStr">
        <x:is>
          <x:t xml:space="preserve">Profile coherence = 1 (definitional)</x:t>
        </x:is>
      </x:c>
      <x:c r="C253" s="20" t="inlineStr">
        <x:is>
          <x:t xml:space="preserve">C2 - Structural correspondence candidate</x:t>
        </x:is>
      </x:c>
      <x:c r="D253" s="21" t="inlineStr">
        <x:is>
          <x:t xml:space="preserve">PLACEHOLDER</x:t>
        </x:is>
      </x:c>
      <x:c r="E253" s="22" t="inlineStr">
        <x:is>
          <x:t xml:space="preserve">MISSING</x:t>
        </x:is>
      </x:c>
      <x:c r="F253" s="22" t="inlineStr">
        <x:is>
          <x:t xml:space="preserve">MISSING</x:t>
        </x:is>
      </x:c>
      <x:c r="G253" s="22" t="inlineStr">
        <x:is>
          <x:t xml:space="preserve">MISSING</x:t>
        </x:is>
      </x:c>
      <x:c r="H253" s="22" t="inlineStr">
        <x:is>
          <x:t xml:space="preserve">MISSING</x:t>
        </x:is>
      </x:c>
      <x:c r="I253" s="20" t="inlineStr">
        <x:is>
          <x:t xml:space="preserve">theophysics-lean-main\theophysics-lean-main\Theophysics_Canonization.lean</x:t>
        </x:is>
      </x:c>
      <x:c r="J253" s="20" t="inlineStr">
        <x:is>
          <x:t xml:space="preserve">574</x:t>
        </x:is>
      </x:c>
      <x:c r="K253" s="20" t="inlineStr">
        <x:is>
          <x:t xml:space="preserve">theorem glorification_is_completed_coherence (p : FixedPointProfile) : p.C = 1 := p.perfect_coherence end TransferableFixedPoint /-! ============================================================ §7 COUPLING LAYER (provisional tier, NOT locked canon) ============================================================ -/ section Couplings /-- Coupling vocabulary. [LEAN_DEFINED — provisional tier] -/ inductive Coupling | faith | mercy | hope | wisdom | covenant | salvation | worship | conscience deriving DecidableEq, Repr /-- Hope as the forward derivative of faith. [LEAN_DEFINED] -/ def hope (dFaith_dt : ℝ) : Prop := 0 &lt; dFaith_dt /-- Salvation as phase transition: ΔG &lt; 0. [LEAN_DEFINED] -/ def salvationSpontaneous (ΔG : ℝ) : Prop := ΔG &lt; 0 end Couplings end Theophysics.Canonization</x:t>
        </x:is>
      </x:c>
      <x:c r="L253" s="20" t="inlineStr">
        <x:is>
          <x:t xml:space="preserve">glorification_is_completed_coherence</x:t>
        </x:is>
      </x:c>
      <x:c r="M253" s="26" t="inlineStr">
        <x:is>
          <x:t xml:space="preserve">SUPPORTED</x:t>
        </x:is>
      </x:c>
      <x:c r="N253" s="21" t="inlineStr">
        <x:is>
          <x:t xml:space="preserve">PLACEHOLDER</x:t>
        </x:is>
      </x:c>
      <x:c r="O253" s="21" t="inlineStr">
        <x:is>
          <x:t xml:space="preserve">PLACEHOLDER</x:t>
        </x:is>
      </x:c>
      <x:c r="P253" s="22" t="inlineStr">
        <x:is>
          <x:t xml:space="preserve">MISSING</x:t>
        </x:is>
      </x:c>
      <x:c r="Q253" s="21" t="inlineStr">
        <x:is>
          <x:t xml:space="preserve">PLACEHOLDER</x:t>
        </x:is>
      </x:c>
      <x:c r="R253" s="21" t="inlineStr">
        <x:is>
          <x:t xml:space="preserve">PLACEHOLDER</x:t>
        </x:is>
      </x:c>
      <x:c r="S253" s="21" t="inlineStr">
        <x:is>
          <x:t xml:space="preserve">PLACEHOLDER</x:t>
        </x:is>
      </x:c>
      <x:c r="T253" s="23" t="inlineStr">
        <x:is>
          <x:t xml:space="preserve">PARTIAL</x:t>
        </x:is>
      </x:c>
      <x:c r="U253" s="21" t="inlineStr">
        <x:is>
          <x:t xml:space="preserve">PLACEHOLDER</x:t>
        </x:is>
      </x:c>
      <x:c r="V253" s="20" t="inlineStr">
        <x:is>
          <x:t xml:space="preserve">lean_match_count=1 | proof_strength=DECLARATION_OR_UNKNOWN | Could not classify from first proof lines. | definition/proof/numerical/empirical/interp fields still staged as TODO placeholders</x:t>
        </x:is>
      </x:c>
    </x:row>
    <x:row r="254" ht="82.80000305175781" customHeight="1">
      <x:c r="A254" s="20" t="inlineStr">
        <x:is>
          <x:t xml:space="preserve">STATS</x:t>
        </x:is>
      </x:c>
      <x:c r="B254" s="20" t="inlineStr">
        <x:is>
          <x:t xml:space="preserve">PLACEHOLDER</x:t>
        </x:is>
      </x:c>
      <x:c r="C254" s="20" t="inlineStr">
        <x:is>
          <x:t xml:space="preserve">C2 - Structural correspondence candidate</x:t>
        </x:is>
      </x:c>
      <x:c r="D254" s="21" t="inlineStr">
        <x:is>
          <x:t xml:space="preserve">PLACEHOLDER</x:t>
        </x:is>
      </x:c>
      <x:c r="E254" s="22" t="inlineStr">
        <x:is>
          <x:t xml:space="preserve">MISSING</x:t>
        </x:is>
      </x:c>
      <x:c r="F254" s="22" t="inlineStr">
        <x:is>
          <x:t xml:space="preserve">MISSING</x:t>
        </x:is>
      </x:c>
      <x:c r="G254" s="22" t="inlineStr">
        <x:is>
          <x:t xml:space="preserve">MISSING</x:t>
        </x:is>
      </x:c>
      <x:c r="H254" s="22" t="inlineStr">
        <x:is>
          <x:t xml:space="preserve">MISSING</x:t>
        </x:is>
      </x:c>
      <x:c r="I254" s="20" t="inlineStr">
        <x:is>
          <x:t xml:space="preserve">NEEDS_SOURCE_PATH</x:t>
        </x:is>
      </x:c>
      <x:c r="J254" s="20" t="inlineStr">
        <x:is>
          <x:t xml:space="preserve">NEEDS_SOURCE_PATH</x:t>
        </x:is>
      </x:c>
      <x:c r="K254" s="20" t="inlineStr">
        <x:is>
          <x:t xml:space="preserve">NEEDS_SOURCE_PATH</x:t>
        </x:is>
      </x:c>
      <x:c r="L254" s="20" t="inlineStr">
        <x:is>
          <x:t xml:space="preserve">PLACEHOLDER</x:t>
        </x:is>
      </x:c>
      <x:c r="M254" s="24" t="inlineStr">
        <x:is>
          <x:t xml:space="preserve">NEEDS_SOURCE_PATH</x:t>
        </x:is>
      </x:c>
      <x:c r="N254" s="21" t="inlineStr">
        <x:is>
          <x:t xml:space="preserve">PLACEHOLDER</x:t>
        </x:is>
      </x:c>
      <x:c r="O254" s="21" t="inlineStr">
        <x:is>
          <x:t xml:space="preserve">PLACEHOLDER</x:t>
        </x:is>
      </x:c>
      <x:c r="P254" s="22" t="inlineStr">
        <x:is>
          <x:t xml:space="preserve">MISSING</x:t>
        </x:is>
      </x:c>
      <x:c r="Q254" s="21" t="inlineStr">
        <x:is>
          <x:t xml:space="preserve">PLACEHOLDER</x:t>
        </x:is>
      </x:c>
      <x:c r="R254" s="21" t="inlineStr">
        <x:is>
          <x:t xml:space="preserve">PLACEHOLDER</x:t>
        </x:is>
      </x:c>
      <x:c r="S254" s="21" t="inlineStr">
        <x:is>
          <x:t xml:space="preserve">PLACEHOLDER</x:t>
        </x:is>
      </x:c>
      <x:c r="T254" s="21" t="inlineStr">
        <x:is>
          <x:t xml:space="preserve">PLACEHOLDER</x:t>
        </x:is>
      </x:c>
      <x:c r="U254" s="21" t="inlineStr">
        <x:is>
          <x:t xml:space="preserve">PLACEHOLDER</x:t>
        </x:is>
      </x:c>
      <x:c r="V254" s="20" t="inlineStr">
        <x:is>
          <x:t xml:space="preserve">lean_match_count=0 | proof_strength=NOT_FOUND_IN_HUB | Workbook theorem name not found in extracted hub Lean files. | public claim text missing in Structural Staging | theorem name missing in Structural Staging | source path/line/literal statement requires resolution | definition/proof/numerical/empirical/interp fields still staged as TODO placeholders</x:t>
        </x:is>
      </x:c>
    </x:row>
    <x:row r="255" ht="69" customHeight="1">
      <x:c r="A255" s="20" t="inlineStr">
        <x:is>
          <x:t xml:space="preserve">STAT-01</x:t>
        </x:is>
      </x:c>
      <x:c r="B255" s="20" t="inlineStr">
        <x:is>
          <x:t xml:space="preserve">PLACEHOLDER</x:t>
        </x:is>
      </x:c>
      <x:c r="C255" s="20" t="inlineStr">
        <x:is>
          <x:t xml:space="preserve">C2 - Structural correspondence candidate</x:t>
        </x:is>
      </x:c>
      <x:c r="D255" s="21" t="inlineStr">
        <x:is>
          <x:t xml:space="preserve">PLACEHOLDER</x:t>
        </x:is>
      </x:c>
      <x:c r="E255" s="22" t="inlineStr">
        <x:is>
          <x:t xml:space="preserve">MISSING</x:t>
        </x:is>
      </x:c>
      <x:c r="F255" s="22" t="inlineStr">
        <x:is>
          <x:t xml:space="preserve">MISSING</x:t>
        </x:is>
      </x:c>
      <x:c r="G255" s="22" t="inlineStr">
        <x:is>
          <x:t xml:space="preserve">MISSING</x:t>
        </x:is>
      </x:c>
      <x:c r="H255" s="22" t="inlineStr">
        <x:is>
          <x:t xml:space="preserve">MISSING</x:t>
        </x:is>
      </x:c>
      <x:c r="I255" s="20" t="inlineStr">
        <x:is>
          <x:t xml:space="preserve">NEEDS_SOURCE_PATH</x:t>
        </x:is>
      </x:c>
      <x:c r="J255" s="20" t="inlineStr">
        <x:is>
          <x:t xml:space="preserve">NEEDS_SOURCE_PATH</x:t>
        </x:is>
      </x:c>
      <x:c r="K255" s="20" t="inlineStr">
        <x:is>
          <x:t xml:space="preserve">NEEDS_SOURCE_PATH</x:t>
        </x:is>
      </x:c>
      <x:c r="L255" s="20" t="inlineStr">
        <x:is>
          <x:t xml:space="preserve">16 + 8 + 1 = 25 files across three corpora</x:t>
        </x:is>
      </x:c>
      <x:c r="M255" s="24" t="inlineStr">
        <x:is>
          <x:t xml:space="preserve">NEEDS_SOURCE_PATH</x:t>
        </x:is>
      </x:c>
      <x:c r="N255" s="21" t="inlineStr">
        <x:is>
          <x:t xml:space="preserve">PLACEHOLDER</x:t>
        </x:is>
      </x:c>
      <x:c r="O255" s="21" t="inlineStr">
        <x:is>
          <x:t xml:space="preserve">PLACEHOLDER</x:t>
        </x:is>
      </x:c>
      <x:c r="P255" s="22" t="inlineStr">
        <x:is>
          <x:t xml:space="preserve">MISSING</x:t>
        </x:is>
      </x:c>
      <x:c r="Q255" s="21" t="inlineStr">
        <x:is>
          <x:t xml:space="preserve">PLACEHOLDER</x:t>
        </x:is>
      </x:c>
      <x:c r="R255" s="21" t="inlineStr">
        <x:is>
          <x:t xml:space="preserve">PLACEHOLDER</x:t>
        </x:is>
      </x:c>
      <x:c r="S255" s="21" t="inlineStr">
        <x:is>
          <x:t xml:space="preserve">PLACEHOLDER</x:t>
        </x:is>
      </x:c>
      <x:c r="T255" s="21" t="inlineStr">
        <x:is>
          <x:t xml:space="preserve">PLACEHOLDER</x:t>
        </x:is>
      </x:c>
      <x:c r="U255" s="21" t="inlineStr">
        <x:is>
          <x:t xml:space="preserve">PLACEHOLDER</x:t>
        </x:is>
      </x:c>
      <x:c r="V255"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56" ht="69" customHeight="1">
      <x:c r="A256" s="20" t="inlineStr">
        <x:is>
          <x:t xml:space="preserve">STAT-02</x:t>
        </x:is>
      </x:c>
      <x:c r="B256" s="20" t="inlineStr">
        <x:is>
          <x:t xml:space="preserve">PLACEHOLDER</x:t>
        </x:is>
      </x:c>
      <x:c r="C256" s="20" t="inlineStr">
        <x:is>
          <x:t xml:space="preserve">C2 - Structural correspondence candidate</x:t>
        </x:is>
      </x:c>
      <x:c r="D256" s="21" t="inlineStr">
        <x:is>
          <x:t xml:space="preserve">PLACEHOLDER</x:t>
        </x:is>
      </x:c>
      <x:c r="E256" s="22" t="inlineStr">
        <x:is>
          <x:t xml:space="preserve">MISSING</x:t>
        </x:is>
      </x:c>
      <x:c r="F256" s="22" t="inlineStr">
        <x:is>
          <x:t xml:space="preserve">MISSING</x:t>
        </x:is>
      </x:c>
      <x:c r="G256" s="22" t="inlineStr">
        <x:is>
          <x:t xml:space="preserve">MISSING</x:t>
        </x:is>
      </x:c>
      <x:c r="H256" s="22" t="inlineStr">
        <x:is>
          <x:t xml:space="preserve">MISSING</x:t>
        </x:is>
      </x:c>
      <x:c r="I256" s="20" t="inlineStr">
        <x:is>
          <x:t xml:space="preserve">NEEDS_SOURCE_PATH</x:t>
        </x:is>
      </x:c>
      <x:c r="J256" s="20" t="inlineStr">
        <x:is>
          <x:t xml:space="preserve">NEEDS_SOURCE_PATH</x:t>
        </x:is>
      </x:c>
      <x:c r="K256" s="20" t="inlineStr">
        <x:is>
          <x:t xml:space="preserve">NEEDS_SOURCE_PATH</x:t>
        </x:is>
      </x:c>
      <x:c r="L256" s="20" t="inlineStr">
        <x:is>
          <x:t xml:space="preserve">287 (ResurrectionFormal doc) / 326 (root pkg, verified) / 35 (canonization, verified). Cite 326 or 326+35. 319 and 330 retired.</x:t>
        </x:is>
      </x:c>
      <x:c r="M256" s="24" t="inlineStr">
        <x:is>
          <x:t xml:space="preserve">NEEDS_SOURCE_PATH</x:t>
        </x:is>
      </x:c>
      <x:c r="N256" s="21" t="inlineStr">
        <x:is>
          <x:t xml:space="preserve">PLACEHOLDER</x:t>
        </x:is>
      </x:c>
      <x:c r="O256" s="21" t="inlineStr">
        <x:is>
          <x:t xml:space="preserve">PLACEHOLDER</x:t>
        </x:is>
      </x:c>
      <x:c r="P256" s="22" t="inlineStr">
        <x:is>
          <x:t xml:space="preserve">MISSING</x:t>
        </x:is>
      </x:c>
      <x:c r="Q256" s="21" t="inlineStr">
        <x:is>
          <x:t xml:space="preserve">PLACEHOLDER</x:t>
        </x:is>
      </x:c>
      <x:c r="R256" s="21" t="inlineStr">
        <x:is>
          <x:t xml:space="preserve">PLACEHOLDER</x:t>
        </x:is>
      </x:c>
      <x:c r="S256" s="21" t="inlineStr">
        <x:is>
          <x:t xml:space="preserve">PLACEHOLDER</x:t>
        </x:is>
      </x:c>
      <x:c r="T256" s="21" t="inlineStr">
        <x:is>
          <x:t xml:space="preserve">PLACEHOLDER</x:t>
        </x:is>
      </x:c>
      <x:c r="U256" s="21" t="inlineStr">
        <x:is>
          <x:t xml:space="preserve">PLACEHOLDER</x:t>
        </x:is>
      </x:c>
      <x:c r="V256"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57" ht="69" customHeight="1">
      <x:c r="A257" s="20" t="inlineStr">
        <x:is>
          <x:t xml:space="preserve">STAT-03</x:t>
        </x:is>
      </x:c>
      <x:c r="B257" s="20" t="inlineStr">
        <x:is>
          <x:t xml:space="preserve">PLACEHOLDER</x:t>
        </x:is>
      </x:c>
      <x:c r="C257" s="20" t="inlineStr">
        <x:is>
          <x:t xml:space="preserve">C2 - Structural correspondence candidate</x:t>
        </x:is>
      </x:c>
      <x:c r="D257" s="21" t="inlineStr">
        <x:is>
          <x:t xml:space="preserve">PLACEHOLDER</x:t>
        </x:is>
      </x:c>
      <x:c r="E257" s="22" t="inlineStr">
        <x:is>
          <x:t xml:space="preserve">MISSING</x:t>
        </x:is>
      </x:c>
      <x:c r="F257" s="22" t="inlineStr">
        <x:is>
          <x:t xml:space="preserve">MISSING</x:t>
        </x:is>
      </x:c>
      <x:c r="G257" s="22" t="inlineStr">
        <x:is>
          <x:t xml:space="preserve">MISSING</x:t>
        </x:is>
      </x:c>
      <x:c r="H257" s="22" t="inlineStr">
        <x:is>
          <x:t xml:space="preserve">MISSING</x:t>
        </x:is>
      </x:c>
      <x:c r="I257" s="20" t="inlineStr">
        <x:is>
          <x:t xml:space="preserve">NEEDS_SOURCE_PATH</x:t>
        </x:is>
      </x:c>
      <x:c r="J257" s="20" t="inlineStr">
        <x:is>
          <x:t xml:space="preserve">NEEDS_SOURCE_PATH</x:t>
        </x:is>
      </x:c>
      <x:c r="K257" s="20" t="inlineStr">
        <x:is>
          <x:t xml:space="preserve">NEEDS_SOURCE_PATH</x:t>
        </x:is>
      </x:c>
      <x:c r="L257" s="20" t="inlineStr">
        <x:is>
          <x:t xml:space="preserve">4 of 10 (Laws 3, 6, 7, 8)</x:t>
        </x:is>
      </x:c>
      <x:c r="M257" s="24" t="inlineStr">
        <x:is>
          <x:t xml:space="preserve">NEEDS_SOURCE_PATH</x:t>
        </x:is>
      </x:c>
      <x:c r="N257" s="21" t="inlineStr">
        <x:is>
          <x:t xml:space="preserve">PLACEHOLDER</x:t>
        </x:is>
      </x:c>
      <x:c r="O257" s="21" t="inlineStr">
        <x:is>
          <x:t xml:space="preserve">PLACEHOLDER</x:t>
        </x:is>
      </x:c>
      <x:c r="P257" s="22" t="inlineStr">
        <x:is>
          <x:t xml:space="preserve">MISSING</x:t>
        </x:is>
      </x:c>
      <x:c r="Q257" s="21" t="inlineStr">
        <x:is>
          <x:t xml:space="preserve">PLACEHOLDER</x:t>
        </x:is>
      </x:c>
      <x:c r="R257" s="21" t="inlineStr">
        <x:is>
          <x:t xml:space="preserve">PLACEHOLDER</x:t>
        </x:is>
      </x:c>
      <x:c r="S257" s="21" t="inlineStr">
        <x:is>
          <x:t xml:space="preserve">PLACEHOLDER</x:t>
        </x:is>
      </x:c>
      <x:c r="T257" s="21" t="inlineStr">
        <x:is>
          <x:t xml:space="preserve">PLACEHOLDER</x:t>
        </x:is>
      </x:c>
      <x:c r="U257" s="21" t="inlineStr">
        <x:is>
          <x:t xml:space="preserve">PLACEHOLDER</x:t>
        </x:is>
      </x:c>
      <x:c r="V257"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58" ht="69" customHeight="1">
      <x:c r="A258" s="20" t="inlineStr">
        <x:is>
          <x:t xml:space="preserve">STAT-04</x:t>
        </x:is>
      </x:c>
      <x:c r="B258" s="20" t="inlineStr">
        <x:is>
          <x:t xml:space="preserve">PLACEHOLDER</x:t>
        </x:is>
      </x:c>
      <x:c r="C258" s="20" t="inlineStr">
        <x:is>
          <x:t xml:space="preserve">C4 - Isomorphism candidate; requires inverse and broad candidate-space check</x:t>
        </x:is>
      </x:c>
      <x:c r="D258" s="21" t="inlineStr">
        <x:is>
          <x:t xml:space="preserve">PLACEHOLDER</x:t>
        </x:is>
      </x:c>
      <x:c r="E258" s="22" t="inlineStr">
        <x:is>
          <x:t xml:space="preserve">MISSING</x:t>
        </x:is>
      </x:c>
      <x:c r="F258" s="22" t="inlineStr">
        <x:is>
          <x:t xml:space="preserve">MISSING</x:t>
        </x:is>
      </x:c>
      <x:c r="G258" s="22" t="inlineStr">
        <x:is>
          <x:t xml:space="preserve">MISSING</x:t>
        </x:is>
      </x:c>
      <x:c r="H258" s="22" t="inlineStr">
        <x:is>
          <x:t xml:space="preserve">MISSING</x:t>
        </x:is>
      </x:c>
      <x:c r="I258" s="20" t="inlineStr">
        <x:is>
          <x:t xml:space="preserve">NEEDS_SOURCE_PATH</x:t>
        </x:is>
      </x:c>
      <x:c r="J258" s="20" t="inlineStr">
        <x:is>
          <x:t xml:space="preserve">NEEDS_SOURCE_PATH</x:t>
        </x:is>
      </x:c>
      <x:c r="K258" s="20" t="inlineStr">
        <x:is>
          <x:t xml:space="preserve">NEEDS_SOURCE_PATH</x:t>
        </x:is>
      </x:c>
      <x:c r="L258" s="20" t="inlineStr">
        <x:is>
          <x:t xml:space="preserve">2 more (Law 4 iso, Law 5 uniqueness)</x:t>
        </x:is>
      </x:c>
      <x:c r="M258" s="24" t="inlineStr">
        <x:is>
          <x:t xml:space="preserve">NEEDS_SOURCE_PATH</x:t>
        </x:is>
      </x:c>
      <x:c r="N258" s="21" t="inlineStr">
        <x:is>
          <x:t xml:space="preserve">PLACEHOLDER</x:t>
        </x:is>
      </x:c>
      <x:c r="O258" s="21" t="inlineStr">
        <x:is>
          <x:t xml:space="preserve">PLACEHOLDER</x:t>
        </x:is>
      </x:c>
      <x:c r="P258" s="22" t="inlineStr">
        <x:is>
          <x:t xml:space="preserve">MISSING</x:t>
        </x:is>
      </x:c>
      <x:c r="Q258" s="21" t="inlineStr">
        <x:is>
          <x:t xml:space="preserve">PLACEHOLDER</x:t>
        </x:is>
      </x:c>
      <x:c r="R258" s="21" t="inlineStr">
        <x:is>
          <x:t xml:space="preserve">PLACEHOLDER</x:t>
        </x:is>
      </x:c>
      <x:c r="S258" s="21" t="inlineStr">
        <x:is>
          <x:t xml:space="preserve">PLACEHOLDER</x:t>
        </x:is>
      </x:c>
      <x:c r="T258" s="21" t="inlineStr">
        <x:is>
          <x:t xml:space="preserve">PLACEHOLDER</x:t>
        </x:is>
      </x:c>
      <x:c r="U258" s="21" t="inlineStr">
        <x:is>
          <x:t xml:space="preserve">PLACEHOLDER</x:t>
        </x:is>
      </x:c>
      <x:c r="V258"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59" ht="69" customHeight="1">
      <x:c r="A259" s="20" t="inlineStr">
        <x:is>
          <x:t xml:space="preserve">STAT-05</x:t>
        </x:is>
      </x:c>
      <x:c r="B259" s="20" t="inlineStr">
        <x:is>
          <x:t xml:space="preserve">PLACEHOLDER</x:t>
        </x:is>
      </x:c>
      <x:c r="C259" s="20" t="inlineStr">
        <x:is>
          <x:t xml:space="preserve">C2 - Structural correspondence candidate</x:t>
        </x:is>
      </x:c>
      <x:c r="D259" s="21" t="inlineStr">
        <x:is>
          <x:t xml:space="preserve">PLACEHOLDER</x:t>
        </x:is>
      </x:c>
      <x:c r="E259" s="22" t="inlineStr">
        <x:is>
          <x:t xml:space="preserve">MISSING</x:t>
        </x:is>
      </x:c>
      <x:c r="F259" s="22" t="inlineStr">
        <x:is>
          <x:t xml:space="preserve">MISSING</x:t>
        </x:is>
      </x:c>
      <x:c r="G259" s="22" t="inlineStr">
        <x:is>
          <x:t xml:space="preserve">MISSING</x:t>
        </x:is>
      </x:c>
      <x:c r="H259" s="22" t="inlineStr">
        <x:is>
          <x:t xml:space="preserve">MISSING</x:t>
        </x:is>
      </x:c>
      <x:c r="I259" s="20" t="inlineStr">
        <x:is>
          <x:t xml:space="preserve">NEEDS_SOURCE_PATH</x:t>
        </x:is>
      </x:c>
      <x:c r="J259" s="20" t="inlineStr">
        <x:is>
          <x:t xml:space="preserve">NEEDS_SOURCE_PATH</x:t>
        </x:is>
      </x:c>
      <x:c r="K259" s="20" t="inlineStr">
        <x:is>
          <x:t xml:space="preserve">NEEDS_SOURCE_PATH</x:t>
        </x:is>
      </x:c>
      <x:c r="L259" s="20" t="inlineStr">
        <x:is>
          <x:t xml:space="preserve">4 (Laws 1, 2, 9, 10)</x:t>
        </x:is>
      </x:c>
      <x:c r="M259" s="24" t="inlineStr">
        <x:is>
          <x:t xml:space="preserve">NEEDS_SOURCE_PATH</x:t>
        </x:is>
      </x:c>
      <x:c r="N259" s="21" t="inlineStr">
        <x:is>
          <x:t xml:space="preserve">PLACEHOLDER</x:t>
        </x:is>
      </x:c>
      <x:c r="O259" s="21" t="inlineStr">
        <x:is>
          <x:t xml:space="preserve">PLACEHOLDER</x:t>
        </x:is>
      </x:c>
      <x:c r="P259" s="22" t="inlineStr">
        <x:is>
          <x:t xml:space="preserve">MISSING</x:t>
        </x:is>
      </x:c>
      <x:c r="Q259" s="21" t="inlineStr">
        <x:is>
          <x:t xml:space="preserve">PLACEHOLDER</x:t>
        </x:is>
      </x:c>
      <x:c r="R259" s="21" t="inlineStr">
        <x:is>
          <x:t xml:space="preserve">PLACEHOLDER</x:t>
        </x:is>
      </x:c>
      <x:c r="S259" s="21" t="inlineStr">
        <x:is>
          <x:t xml:space="preserve">PLACEHOLDER</x:t>
        </x:is>
      </x:c>
      <x:c r="T259" s="21" t="inlineStr">
        <x:is>
          <x:t xml:space="preserve">PLACEHOLDER</x:t>
        </x:is>
      </x:c>
      <x:c r="U259" s="21" t="inlineStr">
        <x:is>
          <x:t xml:space="preserve">PLACEHOLDER</x:t>
        </x:is>
      </x:c>
      <x:c r="V259"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60" ht="69" customHeight="1">
      <x:c r="A260" s="20" t="inlineStr">
        <x:is>
          <x:t xml:space="preserve">STAT-06</x:t>
        </x:is>
      </x:c>
      <x:c r="B260" s="20" t="inlineStr">
        <x:is>
          <x:t xml:space="preserve">PLACEHOLDER</x:t>
        </x:is>
      </x:c>
      <x:c r="C260" s="20" t="inlineStr">
        <x:is>
          <x:t xml:space="preserve">C2 - Structural correspondence candidate</x:t>
        </x:is>
      </x:c>
      <x:c r="D260" s="21" t="inlineStr">
        <x:is>
          <x:t xml:space="preserve">PLACEHOLDER</x:t>
        </x:is>
      </x:c>
      <x:c r="E260" s="22" t="inlineStr">
        <x:is>
          <x:t xml:space="preserve">MISSING</x:t>
        </x:is>
      </x:c>
      <x:c r="F260" s="22" t="inlineStr">
        <x:is>
          <x:t xml:space="preserve">MISSING</x:t>
        </x:is>
      </x:c>
      <x:c r="G260" s="22" t="inlineStr">
        <x:is>
          <x:t xml:space="preserve">MISSING</x:t>
        </x:is>
      </x:c>
      <x:c r="H260" s="22" t="inlineStr">
        <x:is>
          <x:t xml:space="preserve">MISSING</x:t>
        </x:is>
      </x:c>
      <x:c r="I260" s="20" t="inlineStr">
        <x:is>
          <x:t xml:space="preserve">NEEDS_SOURCE_PATH</x:t>
        </x:is>
      </x:c>
      <x:c r="J260" s="20" t="inlineStr">
        <x:is>
          <x:t xml:space="preserve">NEEDS_SOURCE_PATH</x:t>
        </x:is>
      </x:c>
      <x:c r="K260" s="20" t="inlineStr">
        <x:is>
          <x:t xml:space="preserve">NEEDS_SOURCE_PATH</x:t>
        </x:is>
      </x:c>
      <x:c r="L260" s="20" t="inlineStr">
        <x:is>
          <x:t xml:space="preserve">3 (StrongForce↔Love, Maxwell↔Trinity, Physics↔Theology)</x:t>
        </x:is>
      </x:c>
      <x:c r="M260" s="24" t="inlineStr">
        <x:is>
          <x:t xml:space="preserve">NEEDS_SOURCE_PATH</x:t>
        </x:is>
      </x:c>
      <x:c r="N260" s="21" t="inlineStr">
        <x:is>
          <x:t xml:space="preserve">PLACEHOLDER</x:t>
        </x:is>
      </x:c>
      <x:c r="O260" s="21" t="inlineStr">
        <x:is>
          <x:t xml:space="preserve">PLACEHOLDER</x:t>
        </x:is>
      </x:c>
      <x:c r="P260" s="22" t="inlineStr">
        <x:is>
          <x:t xml:space="preserve">MISSING</x:t>
        </x:is>
      </x:c>
      <x:c r="Q260" s="21" t="inlineStr">
        <x:is>
          <x:t xml:space="preserve">PLACEHOLDER</x:t>
        </x:is>
      </x:c>
      <x:c r="R260" s="21" t="inlineStr">
        <x:is>
          <x:t xml:space="preserve">PLACEHOLDER</x:t>
        </x:is>
      </x:c>
      <x:c r="S260" s="21" t="inlineStr">
        <x:is>
          <x:t xml:space="preserve">PLACEHOLDER</x:t>
        </x:is>
      </x:c>
      <x:c r="T260" s="21" t="inlineStr">
        <x:is>
          <x:t xml:space="preserve">PLACEHOLDER</x:t>
        </x:is>
      </x:c>
      <x:c r="U260" s="21" t="inlineStr">
        <x:is>
          <x:t xml:space="preserve">PLACEHOLDER</x:t>
        </x:is>
      </x:c>
      <x:c r="V260"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61" ht="69" customHeight="1">
      <x:c r="A261" s="20" t="inlineStr">
        <x:is>
          <x:t xml:space="preserve">STAT-07</x:t>
        </x:is>
      </x:c>
      <x:c r="B261" s="20" t="inlineStr">
        <x:is>
          <x:t xml:space="preserve">PLACEHOLDER</x:t>
        </x:is>
      </x:c>
      <x:c r="C261" s="20" t="inlineStr">
        <x:is>
          <x:t xml:space="preserve">C2 - Structural correspondence candidate</x:t>
        </x:is>
      </x:c>
      <x:c r="D261" s="21" t="inlineStr">
        <x:is>
          <x:t xml:space="preserve">PLACEHOLDER</x:t>
        </x:is>
      </x:c>
      <x:c r="E261" s="22" t="inlineStr">
        <x:is>
          <x:t xml:space="preserve">MISSING</x:t>
        </x:is>
      </x:c>
      <x:c r="F261" s="22" t="inlineStr">
        <x:is>
          <x:t xml:space="preserve">MISSING</x:t>
        </x:is>
      </x:c>
      <x:c r="G261" s="22" t="inlineStr">
        <x:is>
          <x:t xml:space="preserve">MISSING</x:t>
        </x:is>
      </x:c>
      <x:c r="H261" s="22" t="inlineStr">
        <x:is>
          <x:t xml:space="preserve">MISSING</x:t>
        </x:is>
      </x:c>
      <x:c r="I261" s="20" t="inlineStr">
        <x:is>
          <x:t xml:space="preserve">NEEDS_SOURCE_PATH</x:t>
        </x:is>
      </x:c>
      <x:c r="J261" s="20" t="inlineStr">
        <x:is>
          <x:t xml:space="preserve">NEEDS_SOURCE_PATH</x:t>
        </x:is>
      </x:c>
      <x:c r="K261" s="20" t="inlineStr">
        <x:is>
          <x:t xml:space="preserve">NEEDS_SOURCE_PATH</x:t>
        </x:is>
      </x:c>
      <x:c r="L261" s="20" t="inlineStr">
        <x:is>
          <x:t xml:space="preserve">1 (Cross is the unique convergence configuration)</x:t>
        </x:is>
      </x:c>
      <x:c r="M261" s="24" t="inlineStr">
        <x:is>
          <x:t xml:space="preserve">NEEDS_SOURCE_PATH</x:t>
        </x:is>
      </x:c>
      <x:c r="N261" s="21" t="inlineStr">
        <x:is>
          <x:t xml:space="preserve">PLACEHOLDER</x:t>
        </x:is>
      </x:c>
      <x:c r="O261" s="21" t="inlineStr">
        <x:is>
          <x:t xml:space="preserve">PLACEHOLDER</x:t>
        </x:is>
      </x:c>
      <x:c r="P261" s="22" t="inlineStr">
        <x:is>
          <x:t xml:space="preserve">MISSING</x:t>
        </x:is>
      </x:c>
      <x:c r="Q261" s="21" t="inlineStr">
        <x:is>
          <x:t xml:space="preserve">PLACEHOLDER</x:t>
        </x:is>
      </x:c>
      <x:c r="R261" s="21" t="inlineStr">
        <x:is>
          <x:t xml:space="preserve">PLACEHOLDER</x:t>
        </x:is>
      </x:c>
      <x:c r="S261" s="21" t="inlineStr">
        <x:is>
          <x:t xml:space="preserve">PLACEHOLDER</x:t>
        </x:is>
      </x:c>
      <x:c r="T261" s="21" t="inlineStr">
        <x:is>
          <x:t xml:space="preserve">PLACEHOLDER</x:t>
        </x:is>
      </x:c>
      <x:c r="U261" s="21" t="inlineStr">
        <x:is>
          <x:t xml:space="preserve">PLACEHOLDER</x:t>
        </x:is>
      </x:c>
      <x:c r="V261"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62" ht="69" customHeight="1">
      <x:c r="A262" s="20" t="inlineStr">
        <x:is>
          <x:t xml:space="preserve">STAT-08</x:t>
        </x:is>
      </x:c>
      <x:c r="B262" s="20" t="inlineStr">
        <x:is>
          <x:t xml:space="preserve">PLACEHOLDER</x:t>
        </x:is>
      </x:c>
      <x:c r="C262" s="20" t="inlineStr">
        <x:is>
          <x:t xml:space="preserve">C2 - Structural correspondence candidate</x:t>
        </x:is>
      </x:c>
      <x:c r="D262" s="21" t="inlineStr">
        <x:is>
          <x:t xml:space="preserve">PLACEHOLDER</x:t>
        </x:is>
      </x:c>
      <x:c r="E262" s="22" t="inlineStr">
        <x:is>
          <x:t xml:space="preserve">MISSING</x:t>
        </x:is>
      </x:c>
      <x:c r="F262" s="22" t="inlineStr">
        <x:is>
          <x:t xml:space="preserve">MISSING</x:t>
        </x:is>
      </x:c>
      <x:c r="G262" s="23" t="inlineStr">
        <x:is>
          <x:t xml:space="preserve">PARTIAL</x:t>
        </x:is>
      </x:c>
      <x:c r="H262" s="22" t="inlineStr">
        <x:is>
          <x:t xml:space="preserve">MISSING</x:t>
        </x:is>
      </x:c>
      <x:c r="I262" s="20" t="inlineStr">
        <x:is>
          <x:t xml:space="preserve">NEEDS_SOURCE_PATH</x:t>
        </x:is>
      </x:c>
      <x:c r="J262" s="20" t="inlineStr">
        <x:is>
          <x:t xml:space="preserve">NEEDS_SOURCE_PATH</x:t>
        </x:is>
      </x:c>
      <x:c r="K262" s="20" t="inlineStr">
        <x:is>
          <x:t xml:space="preserve">NEEDS_SOURCE_PATH</x:t>
        </x:is>
      </x:c>
      <x:c r="L262" s="20" t="inlineStr">
        <x:is>
          <x:t xml:space="preserve">70+ (wrong swaps, false positives, wrong orderings, boundary tests)</x:t>
        </x:is>
      </x:c>
      <x:c r="M262" s="24" t="inlineStr">
        <x:is>
          <x:t xml:space="preserve">NEEDS_SOURCE_PATH</x:t>
        </x:is>
      </x:c>
      <x:c r="N262" s="21" t="inlineStr">
        <x:is>
          <x:t xml:space="preserve">PLACEHOLDER</x:t>
        </x:is>
      </x:c>
      <x:c r="O262" s="21" t="inlineStr">
        <x:is>
          <x:t xml:space="preserve">PLACEHOLDER</x:t>
        </x:is>
      </x:c>
      <x:c r="P262" s="22" t="inlineStr">
        <x:is>
          <x:t xml:space="preserve">MISSING</x:t>
        </x:is>
      </x:c>
      <x:c r="Q262" s="21" t="inlineStr">
        <x:is>
          <x:t xml:space="preserve">PLACEHOLDER</x:t>
        </x:is>
      </x:c>
      <x:c r="R262" s="21" t="inlineStr">
        <x:is>
          <x:t xml:space="preserve">PLACEHOLDER</x:t>
        </x:is>
      </x:c>
      <x:c r="S262" s="21" t="inlineStr">
        <x:is>
          <x:t xml:space="preserve">PLACEHOLDER</x:t>
        </x:is>
      </x:c>
      <x:c r="T262" s="21" t="inlineStr">
        <x:is>
          <x:t xml:space="preserve">PLACEHOLDER</x:t>
        </x:is>
      </x:c>
      <x:c r="U262" s="21" t="inlineStr">
        <x:is>
          <x:t xml:space="preserve">PLACEHOLDER</x:t>
        </x:is>
      </x:c>
      <x:c r="V262"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63" ht="69" customHeight="1">
      <x:c r="A263" s="20" t="inlineStr">
        <x:is>
          <x:t xml:space="preserve">STAT-09</x:t>
        </x:is>
      </x:c>
      <x:c r="B263" s="20" t="inlineStr">
        <x:is>
          <x:t xml:space="preserve">PLACEHOLDER</x:t>
        </x:is>
      </x:c>
      <x:c r="C263" s="20" t="inlineStr">
        <x:is>
          <x:t xml:space="preserve">C2 - Structural correspondence candidate</x:t>
        </x:is>
      </x:c>
      <x:c r="D263" s="21" t="inlineStr">
        <x:is>
          <x:t xml:space="preserve">PLACEHOLDER</x:t>
        </x:is>
      </x:c>
      <x:c r="E263" s="22" t="inlineStr">
        <x:is>
          <x:t xml:space="preserve">MISSING</x:t>
        </x:is>
      </x:c>
      <x:c r="F263" s="22" t="inlineStr">
        <x:is>
          <x:t xml:space="preserve">MISSING</x:t>
        </x:is>
      </x:c>
      <x:c r="G263" s="22" t="inlineStr">
        <x:is>
          <x:t xml:space="preserve">MISSING</x:t>
        </x:is>
      </x:c>
      <x:c r="H263" s="22" t="inlineStr">
        <x:is>
          <x:t xml:space="preserve">MISSING</x:t>
        </x:is>
      </x:c>
      <x:c r="I263" s="20" t="inlineStr">
        <x:is>
          <x:t xml:space="preserve">NEEDS_SOURCE_PATH</x:t>
        </x:is>
      </x:c>
      <x:c r="J263" s="20" t="inlineStr">
        <x:is>
          <x:t xml:space="preserve">NEEDS_SOURCE_PATH</x:t>
        </x:is>
      </x:c>
      <x:c r="K263" s="20" t="inlineStr">
        <x:is>
          <x:t xml:space="preserve">NEEDS_SOURCE_PATH</x:t>
        </x:is>
      </x:c>
      <x:c r="L263" s="20" t="inlineStr">
        <x:is>
          <x:t xml:space="preserve">44 (20 theology + 24 physics)</x:t>
        </x:is>
      </x:c>
      <x:c r="M263" s="24" t="inlineStr">
        <x:is>
          <x:t xml:space="preserve">NEEDS_SOURCE_PATH</x:t>
        </x:is>
      </x:c>
      <x:c r="N263" s="21" t="inlineStr">
        <x:is>
          <x:t xml:space="preserve">PLACEHOLDER</x:t>
        </x:is>
      </x:c>
      <x:c r="O263" s="21" t="inlineStr">
        <x:is>
          <x:t xml:space="preserve">PLACEHOLDER</x:t>
        </x:is>
      </x:c>
      <x:c r="P263" s="22" t="inlineStr">
        <x:is>
          <x:t xml:space="preserve">MISSING</x:t>
        </x:is>
      </x:c>
      <x:c r="Q263" s="21" t="inlineStr">
        <x:is>
          <x:t xml:space="preserve">PLACEHOLDER</x:t>
        </x:is>
      </x:c>
      <x:c r="R263" s="21" t="inlineStr">
        <x:is>
          <x:t xml:space="preserve">PLACEHOLDER</x:t>
        </x:is>
      </x:c>
      <x:c r="S263" s="21" t="inlineStr">
        <x:is>
          <x:t xml:space="preserve">PLACEHOLDER</x:t>
        </x:is>
      </x:c>
      <x:c r="T263" s="21" t="inlineStr">
        <x:is>
          <x:t xml:space="preserve">PLACEHOLDER</x:t>
        </x:is>
      </x:c>
      <x:c r="U263" s="21" t="inlineStr">
        <x:is>
          <x:t xml:space="preserve">PLACEHOLDER</x:t>
        </x:is>
      </x:c>
      <x:c r="V263"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64" ht="69" customHeight="1">
      <x:c r="A264" s="20" t="inlineStr">
        <x:is>
          <x:t xml:space="preserve">STAT-10</x:t>
        </x:is>
      </x:c>
      <x:c r="B264" s="20" t="inlineStr">
        <x:is>
          <x:t xml:space="preserve">PLACEHOLDER</x:t>
        </x:is>
      </x:c>
      <x:c r="C264" s="20" t="inlineStr">
        <x:is>
          <x:t xml:space="preserve">C2 - Structural correspondence candidate</x:t>
        </x:is>
      </x:c>
      <x:c r="D264" s="21" t="inlineStr">
        <x:is>
          <x:t xml:space="preserve">PLACEHOLDER</x:t>
        </x:is>
      </x:c>
      <x:c r="E264" s="22" t="inlineStr">
        <x:is>
          <x:t xml:space="preserve">MISSING</x:t>
        </x:is>
      </x:c>
      <x:c r="F264" s="22" t="inlineStr">
        <x:is>
          <x:t xml:space="preserve">MISSING</x:t>
        </x:is>
      </x:c>
      <x:c r="G264" s="22" t="inlineStr">
        <x:is>
          <x:t xml:space="preserve">MISSING</x:t>
        </x:is>
      </x:c>
      <x:c r="H264" s="22" t="inlineStr">
        <x:is>
          <x:t xml:space="preserve">MISSING</x:t>
        </x:is>
      </x:c>
      <x:c r="I264" s="20" t="inlineStr">
        <x:is>
          <x:t xml:space="preserve">NEEDS_SOURCE_PATH</x:t>
        </x:is>
      </x:c>
      <x:c r="J264" s="20" t="inlineStr">
        <x:is>
          <x:t xml:space="preserve">NEEDS_SOURCE_PATH</x:t>
        </x:is>
      </x:c>
      <x:c r="K264" s="20" t="inlineStr">
        <x:is>
          <x:t xml:space="preserve">NEEDS_SOURCE_PATH</x:t>
        </x:is>
      </x:c>
      <x:c r="L264" s="20" t="inlineStr">
        <x:is>
          <x:t xml:space="preserve">3 formally proven</x:t>
        </x:is>
      </x:c>
      <x:c r="M264" s="24" t="inlineStr">
        <x:is>
          <x:t xml:space="preserve">NEEDS_SOURCE_PATH</x:t>
        </x:is>
      </x:c>
      <x:c r="N264" s="21" t="inlineStr">
        <x:is>
          <x:t xml:space="preserve">PLACEHOLDER</x:t>
        </x:is>
      </x:c>
      <x:c r="O264" s="21" t="inlineStr">
        <x:is>
          <x:t xml:space="preserve">PLACEHOLDER</x:t>
        </x:is>
      </x:c>
      <x:c r="P264" s="22" t="inlineStr">
        <x:is>
          <x:t xml:space="preserve">MISSING</x:t>
        </x:is>
      </x:c>
      <x:c r="Q264" s="21" t="inlineStr">
        <x:is>
          <x:t xml:space="preserve">PLACEHOLDER</x:t>
        </x:is>
      </x:c>
      <x:c r="R264" s="21" t="inlineStr">
        <x:is>
          <x:t xml:space="preserve">PLACEHOLDER</x:t>
        </x:is>
      </x:c>
      <x:c r="S264" s="21" t="inlineStr">
        <x:is>
          <x:t xml:space="preserve">PLACEHOLDER</x:t>
        </x:is>
      </x:c>
      <x:c r="T264" s="21" t="inlineStr">
        <x:is>
          <x:t xml:space="preserve">PLACEHOLDER</x:t>
        </x:is>
      </x:c>
      <x:c r="U264" s="21" t="inlineStr">
        <x:is>
          <x:t xml:space="preserve">PLACEHOLDER</x:t>
        </x:is>
      </x:c>
      <x:c r="V264"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65" ht="69" customHeight="1">
      <x:c r="A265" s="20" t="inlineStr">
        <x:is>
          <x:t xml:space="preserve">STAT-11</x:t>
        </x:is>
      </x:c>
      <x:c r="B265" s="20" t="inlineStr">
        <x:is>
          <x:t xml:space="preserve">PLACEHOLDER</x:t>
        </x:is>
      </x:c>
      <x:c r="C265" s="20" t="inlineStr">
        <x:is>
          <x:t xml:space="preserve">C2 - Structural correspondence candidate</x:t>
        </x:is>
      </x:c>
      <x:c r="D265" s="21" t="inlineStr">
        <x:is>
          <x:t xml:space="preserve">PLACEHOLDER</x:t>
        </x:is>
      </x:c>
      <x:c r="E265" s="22" t="inlineStr">
        <x:is>
          <x:t xml:space="preserve">MISSING</x:t>
        </x:is>
      </x:c>
      <x:c r="F265" s="22" t="inlineStr">
        <x:is>
          <x:t xml:space="preserve">MISSING</x:t>
        </x:is>
      </x:c>
      <x:c r="G265" s="23" t="inlineStr">
        <x:is>
          <x:t xml:space="preserve">PARTIAL</x:t>
        </x:is>
      </x:c>
      <x:c r="H265" s="23" t="inlineStr">
        <x:is>
          <x:t xml:space="preserve">PARTIAL</x:t>
        </x:is>
      </x:c>
      <x:c r="I265" s="20" t="inlineStr">
        <x:is>
          <x:t xml:space="preserve">NEEDS_SOURCE_PATH</x:t>
        </x:is>
      </x:c>
      <x:c r="J265" s="20" t="inlineStr">
        <x:is>
          <x:t xml:space="preserve">NEEDS_SOURCE_PATH</x:t>
        </x:is>
      </x:c>
      <x:c r="K265" s="20" t="inlineStr">
        <x:is>
          <x:t xml:space="preserve">NEEDS_SOURCE_PATH</x:t>
        </x:is>
      </x:c>
      <x:c r="L265" s="20" t="inlineStr">
        <x:is>
          <x:t xml:space="preserve">4 (label honesty, non-injective projection, product-only blindness, coin false positive)</x:t>
        </x:is>
      </x:c>
      <x:c r="M265" s="24" t="inlineStr">
        <x:is>
          <x:t xml:space="preserve">NEEDS_SOURCE_PATH</x:t>
        </x:is>
      </x:c>
      <x:c r="N265" s="21" t="inlineStr">
        <x:is>
          <x:t xml:space="preserve">PLACEHOLDER</x:t>
        </x:is>
      </x:c>
      <x:c r="O265" s="21" t="inlineStr">
        <x:is>
          <x:t xml:space="preserve">PLACEHOLDER</x:t>
        </x:is>
      </x:c>
      <x:c r="P265" s="22" t="inlineStr">
        <x:is>
          <x:t xml:space="preserve">MISSING</x:t>
        </x:is>
      </x:c>
      <x:c r="Q265" s="21" t="inlineStr">
        <x:is>
          <x:t xml:space="preserve">PLACEHOLDER</x:t>
        </x:is>
      </x:c>
      <x:c r="R265" s="21" t="inlineStr">
        <x:is>
          <x:t xml:space="preserve">PLACEHOLDER</x:t>
        </x:is>
      </x:c>
      <x:c r="S265" s="21" t="inlineStr">
        <x:is>
          <x:t xml:space="preserve">PLACEHOLDER</x:t>
        </x:is>
      </x:c>
      <x:c r="T265" s="21" t="inlineStr">
        <x:is>
          <x:t xml:space="preserve">PLACEHOLDER</x:t>
        </x:is>
      </x:c>
      <x:c r="U265" s="21" t="inlineStr">
        <x:is>
          <x:t xml:space="preserve">PLACEHOLDER</x:t>
        </x:is>
      </x:c>
      <x:c r="V265" s="20" t="inlineStr">
        <x:is>
          <x:t xml:space="preserve">lean_match_count=0 | proof_strength=NOT_FOUND_IN_HUB | Workbook theorem name not found in extracted hub Lean files. | public claim text missing in Structural Staging | source path/line/literal statement requires resolution | definition/proof/numerical/empirical/interp fields still staged as TODO placeholders</x:t>
        </x:is>
      </x:c>
    </x:row>
    <x:row r="266" ht="82.80000305175781" customHeight="1">
      <x:c r="A266" s="20" t="inlineStr">
        <x:is>
          <x:t xml:space="preserve">DEPS</x:t>
        </x:is>
      </x:c>
      <x:c r="B266" s="20" t="inlineStr">
        <x:is>
          <x:t xml:space="preserve">PLACEHOLDER</x:t>
        </x:is>
      </x:c>
      <x:c r="C266" s="20" t="inlineStr">
        <x:is>
          <x:t xml:space="preserve">C2 - Structural correspondence candidate</x:t>
        </x:is>
      </x:c>
      <x:c r="D266" s="21" t="inlineStr">
        <x:is>
          <x:t xml:space="preserve">PLACEHOLDER</x:t>
        </x:is>
      </x:c>
      <x:c r="E266" s="22" t="inlineStr">
        <x:is>
          <x:t xml:space="preserve">MISSING</x:t>
        </x:is>
      </x:c>
      <x:c r="F266" s="22" t="inlineStr">
        <x:is>
          <x:t xml:space="preserve">MISSING</x:t>
        </x:is>
      </x:c>
      <x:c r="G266" s="22" t="inlineStr">
        <x:is>
          <x:t xml:space="preserve">MISSING</x:t>
        </x:is>
      </x:c>
      <x:c r="H266" s="22" t="inlineStr">
        <x:is>
          <x:t xml:space="preserve">MISSING</x:t>
        </x:is>
      </x:c>
      <x:c r="I266" s="20" t="inlineStr">
        <x:is>
          <x:t xml:space="preserve">NEEDS_SOURCE_PATH</x:t>
        </x:is>
      </x:c>
      <x:c r="J266" s="20" t="inlineStr">
        <x:is>
          <x:t xml:space="preserve">NEEDS_SOURCE_PATH</x:t>
        </x:is>
      </x:c>
      <x:c r="K266" s="20" t="inlineStr">
        <x:is>
          <x:t xml:space="preserve">NEEDS_SOURCE_PATH</x:t>
        </x:is>
      </x:c>
      <x:c r="L266" s="20" t="inlineStr">
        <x:is>
          <x:t xml:space="preserve">PLACEHOLDER</x:t>
        </x:is>
      </x:c>
      <x:c r="M266" s="24" t="inlineStr">
        <x:is>
          <x:t xml:space="preserve">NEEDS_SOURCE_PATH</x:t>
        </x:is>
      </x:c>
      <x:c r="N266" s="21" t="inlineStr">
        <x:is>
          <x:t xml:space="preserve">PLACEHOLDER</x:t>
        </x:is>
      </x:c>
      <x:c r="O266" s="21" t="inlineStr">
        <x:is>
          <x:t xml:space="preserve">PLACEHOLDER</x:t>
        </x:is>
      </x:c>
      <x:c r="P266" s="22" t="inlineStr">
        <x:is>
          <x:t xml:space="preserve">MISSING</x:t>
        </x:is>
      </x:c>
      <x:c r="Q266" s="21" t="inlineStr">
        <x:is>
          <x:t xml:space="preserve">PLACEHOLDER</x:t>
        </x:is>
      </x:c>
      <x:c r="R266" s="21" t="inlineStr">
        <x:is>
          <x:t xml:space="preserve">PLACEHOLDER</x:t>
        </x:is>
      </x:c>
      <x:c r="S266" s="21" t="inlineStr">
        <x:is>
          <x:t xml:space="preserve">PLACEHOLDER</x:t>
        </x:is>
      </x:c>
      <x:c r="T266" s="21" t="inlineStr">
        <x:is>
          <x:t xml:space="preserve">PLACEHOLDER</x:t>
        </x:is>
      </x:c>
      <x:c r="U266" s="21" t="inlineStr">
        <x:is>
          <x:t xml:space="preserve">PLACEHOLDER</x:t>
        </x:is>
      </x:c>
      <x:c r="V266" s="20" t="inlineStr">
        <x:is>
          <x:t xml:space="preserve">lean_match_count=0 | proof_strength=NOT_FOUND_IN_HUB | Workbook theorem name not found in extracted hub Lean files. | public claim text missing in Structural Staging | theorem name missing in Structural Staging | source path/line/literal statement requires resolution | definition/proof/numerical/empirical/interp fields still staged as TODO placeholders</x:t>
        </x:is>
      </x:c>
    </x:row>
    <x:row r="267" ht="69" customHeight="1">
      <x:c r="A267" s="20" t="inlineStr">
        <x:is>
          <x:t xml:space="preserve">TRUNK</x:t>
        </x:is>
      </x:c>
      <x:c r="B267" s="20" t="inlineStr">
        <x:is>
          <x:t xml:space="preserve">The trunk: each layer builds on the previous. Core foundations → Bridge typing → Field controls → Score gating → Polarity → Memory → Sign conversion → Christ operator.</x:t>
        </x:is>
      </x:c>
      <x:c r="C267" s="20" t="inlineStr">
        <x:is>
          <x:t xml:space="preserve">C2 - Structural correspondence candidate</x:t>
        </x:is>
      </x:c>
      <x:c r="D267" s="21" t="inlineStr">
        <x:is>
          <x:t xml:space="preserve">PLACEHOLDER</x:t>
        </x:is>
      </x:c>
      <x:c r="E267" s="22" t="inlineStr">
        <x:is>
          <x:t xml:space="preserve">MISSING</x:t>
        </x:is>
      </x:c>
      <x:c r="F267" s="22" t="inlineStr">
        <x:is>
          <x:t xml:space="preserve">MISSING</x:t>
        </x:is>
      </x:c>
      <x:c r="G267" s="23" t="inlineStr">
        <x:is>
          <x:t xml:space="preserve">PARTIAL</x:t>
        </x:is>
      </x:c>
      <x:c r="H267" s="22" t="inlineStr">
        <x:is>
          <x:t xml:space="preserve">MISSING</x:t>
        </x:is>
      </x:c>
      <x:c r="I267" s="20" t="inlineStr">
        <x:is>
          <x:t xml:space="preserve">NEEDS_SOURCE_PATH</x:t>
        </x:is>
      </x:c>
      <x:c r="J267" s="20" t="inlineStr">
        <x:is>
          <x:t xml:space="preserve">NEEDS_SOURCE_PATH</x:t>
        </x:is>
      </x:c>
      <x:c r="K267" s="20" t="inlineStr">
        <x:is>
          <x:t xml:space="preserve">NEEDS_SOURCE_PATH</x:t>
        </x:is>
      </x:c>
      <x:c r="L267" s="20" t="inlineStr">
        <x:is>
          <x:t xml:space="preserve">PLACEHOLDER</x:t>
        </x:is>
      </x:c>
      <x:c r="M267" s="24" t="inlineStr">
        <x:is>
          <x:t xml:space="preserve">NEEDS_SOURCE_PATH</x:t>
        </x:is>
      </x:c>
      <x:c r="N267" s="21" t="inlineStr">
        <x:is>
          <x:t xml:space="preserve">PLACEHOLDER</x:t>
        </x:is>
      </x:c>
      <x:c r="O267" s="21" t="inlineStr">
        <x:is>
          <x:t xml:space="preserve">PLACEHOLDER</x:t>
        </x:is>
      </x:c>
      <x:c r="P267" s="22" t="inlineStr">
        <x:is>
          <x:t xml:space="preserve">MISSING</x:t>
        </x:is>
      </x:c>
      <x:c r="Q267" s="21" t="inlineStr">
        <x:is>
          <x:t xml:space="preserve">PLACEHOLDER</x:t>
        </x:is>
      </x:c>
      <x:c r="R267" s="21" t="inlineStr">
        <x:is>
          <x:t xml:space="preserve">PLACEHOLDER</x:t>
        </x:is>
      </x:c>
      <x:c r="S267" s="21" t="inlineStr">
        <x:is>
          <x:t xml:space="preserve">PLACEHOLDER</x:t>
        </x:is>
      </x:c>
      <x:c r="T267" s="24" t="inlineStr">
        <x:is>
          <x:t xml:space="preserve">NEEDS_SOURCE_PATH</x:t>
        </x:is>
      </x:c>
      <x:c r="U267" s="21" t="inlineStr">
        <x:is>
          <x:t xml:space="preserve">PLACEHOLDER</x:t>
        </x:is>
      </x:c>
      <x:c r="V267" s="20" t="inlineStr">
        <x:is>
          <x:t xml:space="preserve">lean_match_count=0 | proof_strength=NOT_FOUND_IN_HUB | Workbook theorem name not found in extracted hub Lean files. | theorem name missing in Structural Staging | source path/line/literal statement requires resolution | definition/proof/numerical/empirical/interp fields still staged as TODO placeholders</x:t>
        </x:is>
      </x:c>
    </x:row>
    <x:row r="268" ht="69" customHeight="1">
      <x:c r="A268" s="20" t="inlineStr">
        <x:is>
          <x:t xml:space="preserve">BRANCH-1</x:t>
        </x:is>
      </x:c>
      <x:c r="B268" s="20" t="inlineStr">
        <x:is>
          <x:t xml:space="preserve">HitRate imports ChristOperator. Statistical integrity sits on top of the operator.</x:t>
        </x:is>
      </x:c>
      <x:c r="C268" s="20" t="inlineStr">
        <x:is>
          <x:t xml:space="preserve">C2 - Structural correspondence candidate</x:t>
        </x:is>
      </x:c>
      <x:c r="D268" s="21" t="inlineStr">
        <x:is>
          <x:t xml:space="preserve">PLACEHOLDER</x:t>
        </x:is>
      </x:c>
      <x:c r="E268" s="22" t="inlineStr">
        <x:is>
          <x:t xml:space="preserve">MISSING</x:t>
        </x:is>
      </x:c>
      <x:c r="F268" s="22" t="inlineStr">
        <x:is>
          <x:t xml:space="preserve">MISSING</x:t>
        </x:is>
      </x:c>
      <x:c r="G268" s="22" t="inlineStr">
        <x:is>
          <x:t xml:space="preserve">MISSING</x:t>
        </x:is>
      </x:c>
      <x:c r="H268" s="22" t="inlineStr">
        <x:is>
          <x:t xml:space="preserve">MISSING</x:t>
        </x:is>
      </x:c>
      <x:c r="I268" s="20" t="inlineStr">
        <x:is>
          <x:t xml:space="preserve">NEEDS_SOURCE_PATH</x:t>
        </x:is>
      </x:c>
      <x:c r="J268" s="20" t="inlineStr">
        <x:is>
          <x:t xml:space="preserve">NEEDS_SOURCE_PATH</x:t>
        </x:is>
      </x:c>
      <x:c r="K268" s="20" t="inlineStr">
        <x:is>
          <x:t xml:space="preserve">NEEDS_SOURCE_PATH</x:t>
        </x:is>
      </x:c>
      <x:c r="L268" s="20" t="inlineStr">
        <x:is>
          <x:t xml:space="preserve">PLACEHOLDER</x:t>
        </x:is>
      </x:c>
      <x:c r="M268" s="24" t="inlineStr">
        <x:is>
          <x:t xml:space="preserve">NEEDS_SOURCE_PATH</x:t>
        </x:is>
      </x:c>
      <x:c r="N268" s="21" t="inlineStr">
        <x:is>
          <x:t xml:space="preserve">PLACEHOLDER</x:t>
        </x:is>
      </x:c>
      <x:c r="O268" s="21" t="inlineStr">
        <x:is>
          <x:t xml:space="preserve">PLACEHOLDER</x:t>
        </x:is>
      </x:c>
      <x:c r="P268" s="22" t="inlineStr">
        <x:is>
          <x:t xml:space="preserve">MISSING</x:t>
        </x:is>
      </x:c>
      <x:c r="Q268" s="21" t="inlineStr">
        <x:is>
          <x:t xml:space="preserve">PLACEHOLDER</x:t>
        </x:is>
      </x:c>
      <x:c r="R268" s="21" t="inlineStr">
        <x:is>
          <x:t xml:space="preserve">PLACEHOLDER</x:t>
        </x:is>
      </x:c>
      <x:c r="S268" s="21" t="inlineStr">
        <x:is>
          <x:t xml:space="preserve">PLACEHOLDER</x:t>
        </x:is>
      </x:c>
      <x:c r="T268" s="24" t="inlineStr">
        <x:is>
          <x:t xml:space="preserve">NEEDS_SOURCE_PATH</x:t>
        </x:is>
      </x:c>
      <x:c r="U268" s="21" t="inlineStr">
        <x:is>
          <x:t xml:space="preserve">PLACEHOLDER</x:t>
        </x:is>
      </x:c>
      <x:c r="V268" s="20" t="inlineStr">
        <x:is>
          <x:t xml:space="preserve">lean_match_count=0 | proof_strength=NOT_FOUND_IN_HUB | Workbook theorem name not found in extracted hub Lean files. | theorem name missing in Structural Staging | source path/line/literal statement requires resolution | definition/proof/numerical/empirical/interp fields still staged as TODO placeholders</x:t>
        </x:is>
      </x:c>
    </x:row>
    <x:row r="269" ht="69" customHeight="1">
      <x:c r="A269" s="20" t="inlineStr">
        <x:is>
          <x:t xml:space="preserve">BRANCH-2</x:t>
        </x:is>
      </x:c>
      <x:c r="B269" s="20" t="inlineStr">
        <x:is>
          <x:t xml:space="preserve">MissionReturn imports ChristOperator. Resurrection architecture builds on the conversion operator.</x:t>
        </x:is>
      </x:c>
      <x:c r="C269" s="20" t="inlineStr">
        <x:is>
          <x:t xml:space="preserve">C2 - Structural correspondence candidate</x:t>
        </x:is>
      </x:c>
      <x:c r="D269" s="21" t="inlineStr">
        <x:is>
          <x:t xml:space="preserve">PLACEHOLDER</x:t>
        </x:is>
      </x:c>
      <x:c r="E269" s="22" t="inlineStr">
        <x:is>
          <x:t xml:space="preserve">MISSING</x:t>
        </x:is>
      </x:c>
      <x:c r="F269" s="22" t="inlineStr">
        <x:is>
          <x:t xml:space="preserve">MISSING</x:t>
        </x:is>
      </x:c>
      <x:c r="G269" s="22" t="inlineStr">
        <x:is>
          <x:t xml:space="preserve">MISSING</x:t>
        </x:is>
      </x:c>
      <x:c r="H269" s="22" t="inlineStr">
        <x:is>
          <x:t xml:space="preserve">MISSING</x:t>
        </x:is>
      </x:c>
      <x:c r="I269" s="20" t="inlineStr">
        <x:is>
          <x:t xml:space="preserve">NEEDS_SOURCE_PATH</x:t>
        </x:is>
      </x:c>
      <x:c r="J269" s="20" t="inlineStr">
        <x:is>
          <x:t xml:space="preserve">NEEDS_SOURCE_PATH</x:t>
        </x:is>
      </x:c>
      <x:c r="K269" s="20" t="inlineStr">
        <x:is>
          <x:t xml:space="preserve">NEEDS_SOURCE_PATH</x:t>
        </x:is>
      </x:c>
      <x:c r="L269" s="20" t="inlineStr">
        <x:is>
          <x:t xml:space="preserve">PLACEHOLDER</x:t>
        </x:is>
      </x:c>
      <x:c r="M269" s="24" t="inlineStr">
        <x:is>
          <x:t xml:space="preserve">NEEDS_SOURCE_PATH</x:t>
        </x:is>
      </x:c>
      <x:c r="N269" s="21" t="inlineStr">
        <x:is>
          <x:t xml:space="preserve">PLACEHOLDER</x:t>
        </x:is>
      </x:c>
      <x:c r="O269" s="21" t="inlineStr">
        <x:is>
          <x:t xml:space="preserve">PLACEHOLDER</x:t>
        </x:is>
      </x:c>
      <x:c r="P269" s="22" t="inlineStr">
        <x:is>
          <x:t xml:space="preserve">MISSING</x:t>
        </x:is>
      </x:c>
      <x:c r="Q269" s="21" t="inlineStr">
        <x:is>
          <x:t xml:space="preserve">PLACEHOLDER</x:t>
        </x:is>
      </x:c>
      <x:c r="R269" s="21" t="inlineStr">
        <x:is>
          <x:t xml:space="preserve">PLACEHOLDER</x:t>
        </x:is>
      </x:c>
      <x:c r="S269" s="21" t="inlineStr">
        <x:is>
          <x:t xml:space="preserve">PLACEHOLDER</x:t>
        </x:is>
      </x:c>
      <x:c r="T269" s="24" t="inlineStr">
        <x:is>
          <x:t xml:space="preserve">NEEDS_SOURCE_PATH</x:t>
        </x:is>
      </x:c>
      <x:c r="U269" s="21" t="inlineStr">
        <x:is>
          <x:t xml:space="preserve">PLACEHOLDER</x:t>
        </x:is>
      </x:c>
      <x:c r="V269" s="20" t="inlineStr">
        <x:is>
          <x:t xml:space="preserve">lean_match_count=0 | proof_strength=NOT_FOUND_IN_HUB | Workbook theorem name not found in extracted hub Lean files. | theorem name missing in Structural Staging | source path/line/literal statement requires resolution | definition/proof/numerical/empirical/interp fields still staged as TODO placeholders</x:t>
        </x:is>
      </x:c>
    </x:row>
    <x:row r="270" ht="69" customHeight="1">
      <x:c r="A270" s="20" t="inlineStr">
        <x:is>
          <x:t xml:space="preserve">BRANCH-3</x:t>
        </x:is>
      </x:c>
      <x:c r="B270" s="20" t="inlineStr">
        <x:is>
          <x:t xml:space="preserve">Invariance imports BridgeMatrix directly. Product + signature invariance.</x:t>
        </x:is>
      </x:c>
      <x:c r="C270" s="20" t="inlineStr">
        <x:is>
          <x:t xml:space="preserve">C2 - Structural correspondence candidate</x:t>
        </x:is>
      </x:c>
      <x:c r="D270" s="21" t="inlineStr">
        <x:is>
          <x:t xml:space="preserve">PLACEHOLDER</x:t>
        </x:is>
      </x:c>
      <x:c r="E270" s="22" t="inlineStr">
        <x:is>
          <x:t xml:space="preserve">MISSING</x:t>
        </x:is>
      </x:c>
      <x:c r="F270" s="22" t="inlineStr">
        <x:is>
          <x:t xml:space="preserve">MISSING</x:t>
        </x:is>
      </x:c>
      <x:c r="G270" s="23" t="inlineStr">
        <x:is>
          <x:t xml:space="preserve">PARTIAL</x:t>
        </x:is>
      </x:c>
      <x:c r="H270" s="22" t="inlineStr">
        <x:is>
          <x:t xml:space="preserve">MISSING</x:t>
        </x:is>
      </x:c>
      <x:c r="I270" s="20" t="inlineStr">
        <x:is>
          <x:t xml:space="preserve">NEEDS_SOURCE_PATH</x:t>
        </x:is>
      </x:c>
      <x:c r="J270" s="20" t="inlineStr">
        <x:is>
          <x:t xml:space="preserve">NEEDS_SOURCE_PATH</x:t>
        </x:is>
      </x:c>
      <x:c r="K270" s="20" t="inlineStr">
        <x:is>
          <x:t xml:space="preserve">NEEDS_SOURCE_PATH</x:t>
        </x:is>
      </x:c>
      <x:c r="L270" s="20" t="inlineStr">
        <x:is>
          <x:t xml:space="preserve">PLACEHOLDER</x:t>
        </x:is>
      </x:c>
      <x:c r="M270" s="24" t="inlineStr">
        <x:is>
          <x:t xml:space="preserve">NEEDS_SOURCE_PATH</x:t>
        </x:is>
      </x:c>
      <x:c r="N270" s="21" t="inlineStr">
        <x:is>
          <x:t xml:space="preserve">PLACEHOLDER</x:t>
        </x:is>
      </x:c>
      <x:c r="O270" s="21" t="inlineStr">
        <x:is>
          <x:t xml:space="preserve">PLACEHOLDER</x:t>
        </x:is>
      </x:c>
      <x:c r="P270" s="22" t="inlineStr">
        <x:is>
          <x:t xml:space="preserve">MISSING</x:t>
        </x:is>
      </x:c>
      <x:c r="Q270" s="21" t="inlineStr">
        <x:is>
          <x:t xml:space="preserve">PLACEHOLDER</x:t>
        </x:is>
      </x:c>
      <x:c r="R270" s="21" t="inlineStr">
        <x:is>
          <x:t xml:space="preserve">PLACEHOLDER</x:t>
        </x:is>
      </x:c>
      <x:c r="S270" s="21" t="inlineStr">
        <x:is>
          <x:t xml:space="preserve">PLACEHOLDER</x:t>
        </x:is>
      </x:c>
      <x:c r="T270" s="24" t="inlineStr">
        <x:is>
          <x:t xml:space="preserve">NEEDS_SOURCE_PATH</x:t>
        </x:is>
      </x:c>
      <x:c r="U270" s="21" t="inlineStr">
        <x:is>
          <x:t xml:space="preserve">PLACEHOLDER</x:t>
        </x:is>
      </x:c>
      <x:c r="V270" s="20" t="inlineStr">
        <x:is>
          <x:t xml:space="preserve">lean_match_count=0 | proof_strength=NOT_FOUND_IN_HUB | Workbook theorem name not found in extracted hub Lean files. | theorem name missing in Structural Staging | source path/line/literal statement requires resolution | definition/proof/numerical/empirical/interp fields still staged as TODO placeholders</x:t>
        </x:is>
      </x:c>
    </x:row>
    <x:row r="271" ht="69" customHeight="1">
      <x:c r="A271" s="20" t="inlineStr">
        <x:is>
          <x:t xml:space="preserve">STANDALONE</x:t>
        </x:is>
      </x:c>
      <x:c r="B271" s="20" t="inlineStr">
        <x:is>
          <x:t xml:space="preserve">Six standalone files. Each proves its claims without depending on the trunk. JusticeMercy + MaxwellTrinity are the strongest standalone results.</x:t>
        </x:is>
      </x:c>
      <x:c r="C271" s="20" t="inlineStr">
        <x:is>
          <x:t xml:space="preserve">C2 - Structural correspondence candidate</x:t>
        </x:is>
      </x:c>
      <x:c r="D271" s="21" t="inlineStr">
        <x:is>
          <x:t xml:space="preserve">PLACEHOLDER</x:t>
        </x:is>
      </x:c>
      <x:c r="E271" s="22" t="inlineStr">
        <x:is>
          <x:t xml:space="preserve">MISSING</x:t>
        </x:is>
      </x:c>
      <x:c r="F271" s="22" t="inlineStr">
        <x:is>
          <x:t xml:space="preserve">MISSING</x:t>
        </x:is>
      </x:c>
      <x:c r="G271" s="22" t="inlineStr">
        <x:is>
          <x:t xml:space="preserve">MISSING</x:t>
        </x:is>
      </x:c>
      <x:c r="H271" s="22" t="inlineStr">
        <x:is>
          <x:t xml:space="preserve">MISSING</x:t>
        </x:is>
      </x:c>
      <x:c r="I271" s="20" t="inlineStr">
        <x:is>
          <x:t xml:space="preserve">NEEDS_SOURCE_PATH</x:t>
        </x:is>
      </x:c>
      <x:c r="J271" s="20" t="inlineStr">
        <x:is>
          <x:t xml:space="preserve">NEEDS_SOURCE_PATH</x:t>
        </x:is>
      </x:c>
      <x:c r="K271" s="20" t="inlineStr">
        <x:is>
          <x:t xml:space="preserve">NEEDS_SOURCE_PATH</x:t>
        </x:is>
      </x:c>
      <x:c r="L271" s="20" t="inlineStr">
        <x:is>
          <x:t xml:space="preserve">PLACEHOLDER</x:t>
        </x:is>
      </x:c>
      <x:c r="M271" s="24" t="inlineStr">
        <x:is>
          <x:t xml:space="preserve">NEEDS_SOURCE_PATH</x:t>
        </x:is>
      </x:c>
      <x:c r="N271" s="21" t="inlineStr">
        <x:is>
          <x:t xml:space="preserve">PLACEHOLDER</x:t>
        </x:is>
      </x:c>
      <x:c r="O271" s="21" t="inlineStr">
        <x:is>
          <x:t xml:space="preserve">PLACEHOLDER</x:t>
        </x:is>
      </x:c>
      <x:c r="P271" s="22" t="inlineStr">
        <x:is>
          <x:t xml:space="preserve">MISSING</x:t>
        </x:is>
      </x:c>
      <x:c r="Q271" s="21" t="inlineStr">
        <x:is>
          <x:t xml:space="preserve">PLACEHOLDER</x:t>
        </x:is>
      </x:c>
      <x:c r="R271" s="21" t="inlineStr">
        <x:is>
          <x:t xml:space="preserve">PLACEHOLDER</x:t>
        </x:is>
      </x:c>
      <x:c r="S271" s="21" t="inlineStr">
        <x:is>
          <x:t xml:space="preserve">PLACEHOLDER</x:t>
        </x:is>
      </x:c>
      <x:c r="T271" s="24" t="inlineStr">
        <x:is>
          <x:t xml:space="preserve">NEEDS_SOURCE_PATH</x:t>
        </x:is>
      </x:c>
      <x:c r="U271" s="21" t="inlineStr">
        <x:is>
          <x:t xml:space="preserve">PLACEHOLDER</x:t>
        </x:is>
      </x:c>
      <x:c r="V271" s="20" t="inlineStr">
        <x:is>
          <x:t xml:space="preserve">lean_match_count=0 | proof_strength=NOT_FOUND_IN_HUB | Workbook theorem name not found in extracted hub Lean files. | theorem name missing in Structural Staging | source path/line/literal statement requires resolution | definition/proof/numerical/empirical/interp fields still staged as TODO placeholders</x:t>
        </x:is>
      </x:c>
    </x:row>
  </x:sheetData>
  <x:pageMargins left="0.7" right="0.7" top="0.75" bottom="0.75" header="0.3" footer="0.3"/>
</x:worksheet>
</file>

<file path=xl/worksheets/sheet17.xml><?xml version="1.0" encoding="utf-8"?>
<x:worksheet xmlns:x="http://schemas.openxmlformats.org/spreadsheetml/2006/main">
  <x:sheetPr>
    <x:tabColor rgb="FF2E75B6"/>
  </x:sheetPr>
  <x:sheetViews>
    <x:sheetView showGridLines="0" workbookViewId="0"/>
  </x:sheetViews>
  <x:sheetFormatPr baseColWidth="8" defaultRowHeight="13.800000190734863"/>
  <x:cols>
    <x:col min="1" max="1" width="37.77734375" style="49" customWidth="1"/>
    <x:col min="2" max="2" width="20" style="49" customWidth="1"/>
    <x:col min="3" max="3" width="83.33203125" style="49" customWidth="1"/>
    <x:col min="4" max="16384" width="8.88671875" style="49" customWidth="1"/>
  </x:cols>
  <x:sheetData>
    <x:row r="1">
      <x:c r="A1" s="43" t="inlineStr">
        <x:is>
          <x:t xml:space="preserve">Lean Canonical Ledger Summary</x:t>
        </x:is>
      </x:c>
      <x:c r="B1" s="93" t="n"/>
      <x:c r="C1" s="93" t="n"/>
      <x:c r="D1" s="93" t="n"/>
      <x:c r="E1" s="93" t="n"/>
      <x:c r="F1" s="93" t="n"/>
      <x:c r="G1" s="93" t="n"/>
      <x:c r="H1" s="93" t="n"/>
    </x:row>
    <x:row r="2">
      <x:c r="A2" s="46" t="inlineStr">
        <x:is>
          <x:t xml:space="preserve">Updated</x:t>
        </x:is>
      </x:c>
      <x:c r="B2" s="93" t="n"/>
      <x:c r="C2" s="93" t="n"/>
      <x:c r="D2" s="93" t="n"/>
      <x:c r="E2" s="93" t="n"/>
      <x:c r="F2" s="93" t="n"/>
      <x:c r="G2" s="93" t="n"/>
      <x:c r="H2" s="93" t="n"/>
    </x:row>
    <x:row r="3">
      <x:c r="A3" s="46" t="inlineStr">
        <x:is>
          <x:t xml:space="preserve">Aligned workbook rows</x:t>
        </x:is>
      </x:c>
      <x:c r="B3" s="47" t="n">
        <x:v>270</x:v>
      </x:c>
      <x:c r="C3" s="48" t="inlineStr">
        <x:is>
          <x:t xml:space="preserve">Rows in Workbook Alignment.</x:t>
        </x:is>
      </x:c>
    </x:row>
    <x:row r="4">
      <x:c r="A4" s="46" t="inlineStr">
        <x:is>
          <x:t xml:space="preserve">Rows marked PROVED</x:t>
        </x:is>
      </x:c>
      <x:c r="B4" s="47" t="n">
        <x:v>139</x:v>
      </x:c>
      <x:c r="C4" s="48" t="inlineStr">
        <x:is>
          <x:t xml:space="preserve">Workbook Alignment rows with workbook_type = PROVED.</x:t>
        </x:is>
      </x:c>
    </x:row>
    <x:row r="5">
      <x:c r="A5" s="46" t="inlineStr">
        <x:is>
          <x:t xml:space="preserve">Unique theorem names aligned</x:t>
        </x:is>
      </x:c>
      <x:c r="B5" s="47" t="n">
        <x:v>261</x:v>
      </x:c>
      <x:c r="C5" s="48" t="inlineStr">
        <x:is>
          <x:t xml:space="preserve">Distinct theorem_name values.</x:t>
        </x:is>
      </x:c>
    </x:row>
    <x:row r="6">
      <x:c r="A6" s="46" t="inlineStr">
        <x:is>
          <x:t xml:space="preserve">Distinct proof methods</x:t>
        </x:is>
      </x:c>
      <x:c r="B6" s="47" t="n">
        <x:v>34</x:v>
      </x:c>
      <x:c r="C6" s="48" t="inlineStr">
        <x:is>
          <x:t xml:space="preserve">Distinct proof_method values.</x:t>
        </x:is>
      </x:c>
    </x:row>
    <x:row r="7">
      <x:c r="A7" s="46" t="inlineStr">
        <x:is>
          <x:t xml:space="preserve">Missing from workbook</x:t>
        </x:is>
      </x:c>
      <x:c r="B7" s="47" t="n">
        <x:v>349</x:v>
      </x:c>
      <x:c r="C7" s="48" t="inlineStr">
        <x:is>
          <x:t xml:space="preserve">Rows in Missing From Workbook.</x:t>
        </x:is>
      </x:c>
    </x:row>
    <x:row r="8">
      <x:c r="A8" s="46" t="inlineStr">
        <x:is>
          <x:t xml:space="preserve">Canonical ledger occupied rows</x:t>
        </x:is>
      </x:c>
      <x:c r="B8" s="47" t="n">
        <x:v>887</x:v>
      </x:c>
      <x:c r="C8" s="48" t="inlineStr">
        <x:is>
          <x:t xml:space="preserve">Non-empty rows in LEAN_CANONICAL_LEDGER.</x:t>
        </x:is>
      </x:c>
    </x:row>
    <x:row r="9" ht="27.600000381469727" customHeight="1">
      <x:c r="A9" s="46" t="inlineStr">
        <x:is>
          <x:t xml:space="preserve">Public claim guard</x:t>
        </x:is>
      </x:c>
      <x:c r="B9" s="47" t="inlineStr">
        <x:is>
          <x:t xml:space="preserve">Do not overclaim</x:t>
        </x:is>
      </x:c>
      <x:c r="C9" s="48" t="inlineStr">
        <x:is>
          <x:t xml:space="preserve">Lean rows prove formal/internal statements only unless mapped to a public claim boundary.</x:t>
        </x:is>
      </x:c>
    </x:row>
    <x:row r="12">
      <x:c r="A12" s="95" t="inlineStr">
        <x:is>
          <x:t xml:space="preserve">One-axiom probe added</x:t>
        </x:is>
      </x:c>
      <x:c r="B12" s="96" t="n">
        <x:v>16</x:v>
      </x:c>
      <x:c r="C12" s="12" t="inlineStr">
        <x:is>
          <x:t xml:space="preserve">Declarations appended to LEAN_CANONICAL_LEDGER; see ADDENDUM_ONE_AXIOM_PROBE.</x:t>
        </x:is>
      </x:c>
    </x:row>
    <x:row r="13">
      <x:c r="A13" s="95" t="inlineStr">
        <x:is>
          <x:t xml:space="preserve">One-axiom validation</x:t>
        </x:is>
      </x:c>
      <x:c r="B13" s="96" t="inlineStr">
        <x:is>
          <x:t xml:space="preserve">PASS</x:t>
        </x:is>
      </x:c>
      <x:c r="C13" s="12" t="inlineStr">
        <x:is>
          <x:t xml:space="preserve">2026-08-15 local lake build and direct lean check passed; one admitted root axiom, zero sorry/admit.</x:t>
        </x:is>
      </x:c>
    </x:row>
    <x:row r="14">
      <x:c r="A14" s="49" t="n"/>
    </x:row>
  </x:sheetData>
  <x:mergeCells>
    <x:mergeCell ref="A2:H2"/>
    <x:mergeCell ref="A14:H14"/>
    <x:mergeCell ref="A1:H1"/>
  </x:mergeCells>
  <x:pageMargins left="0.7" right="0.7" top="0.75" bottom="0.75" header="0.3" footer="0.3"/>
</x:worksheet>
</file>

<file path=xl/worksheets/sheet18.xml><?xml version="1.0" encoding="utf-8"?>
<x:worksheet xmlns:x="http://schemas.openxmlformats.org/spreadsheetml/2006/main">
  <x:sheetPr>
    <x:tabColor rgb="FF2E75B6"/>
  </x:sheetPr>
  <x:sheetViews>
    <x:sheetView showGridLines="0" workbookViewId="0"/>
  </x:sheetViews>
  <x:sheetFormatPr baseColWidth="8" defaultRowHeight="13.800000190734863"/>
  <x:cols>
    <x:col min="1" max="2" width="24.44140625" style="49" customWidth="1"/>
    <x:col min="3" max="16384" width="8.88671875" style="49" customWidth="1"/>
  </x:cols>
  <x:sheetData>
    <x:row r="1" ht="15" customHeight="1">
      <x:c r="A1" s="34" t="inlineStr">
        <x:is>
          <x:t xml:space="preserve">Proof Strength</x:t>
        </x:is>
      </x:c>
      <x:c r="B1" s="36" t="inlineStr">
        <x:is>
          <x:t xml:space="preserve">Count</x:t>
        </x:is>
      </x:c>
    </x:row>
    <x:row r="2" ht="15" customHeight="1">
      <x:c r="A2" s="37" t="inlineStr">
        <x:is>
          <x:t xml:space="preserve">WRAPPER_OR_IMPORTED</x:t>
        </x:is>
      </x:c>
      <x:c r="B2" s="39" t="n">
        <x:v>193</x:v>
      </x:c>
    </x:row>
    <x:row r="3" ht="15" customHeight="1">
      <x:c r="A3" s="37" t="inlineStr">
        <x:is>
          <x:t xml:space="preserve">DECLARATION_OR_UNKNOWN</x:t>
        </x:is>
      </x:c>
      <x:c r="B3" s="39" t="n">
        <x:v>281</x:v>
      </x:c>
    </x:row>
    <x:row r="4" ht="15" customHeight="1">
      <x:c r="A4" s="37" t="inlineStr">
        <x:is>
          <x:t xml:space="preserve">DEFINITIONAL_RFL</x:t>
        </x:is>
      </x:c>
      <x:c r="B4" s="39" t="n">
        <x:v>451</x:v>
      </x:c>
    </x:row>
    <x:row r="5" ht="15" customHeight="1">
      <x:c r="A5" s="37" t="inlineStr">
        <x:is>
          <x:t xml:space="preserve">FINITE_DECIDABLE</x:t>
        </x:is>
      </x:c>
      <x:c r="B5" s="39" t="n">
        <x:v>58</x:v>
      </x:c>
    </x:row>
    <x:row r="6" ht="15" customHeight="1">
      <x:c r="A6" s="37" t="inlineStr">
        <x:is>
          <x:t xml:space="preserve">SIMPLIFICATION</x:t>
        </x:is>
      </x:c>
      <x:c r="B6" s="39" t="n">
        <x:v>189</x:v>
      </x:c>
    </x:row>
    <x:row r="7" ht="15" customHeight="1">
      <x:c r="A7" s="37" t="inlineStr">
        <x:is>
          <x:t xml:space="preserve">SUBSTANTIVE_OR_CASE_PROOF</x:t>
        </x:is>
      </x:c>
      <x:c r="B7" s="39" t="n">
        <x:v>43</x:v>
      </x:c>
    </x:row>
    <x:row r="8" ht="15" customHeight="1">
      <x:c r="A8" s="40" t="inlineStr">
        <x:is>
          <x:t xml:space="preserve">TRIVIAL_TRUE</x:t>
        </x:is>
      </x:c>
      <x:c r="B8" s="42" t="n">
        <x:v>352</x:v>
      </x:c>
    </x:row>
  </x:sheetData>
  <x:pageMargins left="0.7" right="0.7" top="0.75" bottom="0.75" header="0.3" footer="0.3"/>
</x:worksheet>
</file>

<file path=xl/worksheets/sheet19.xml><?xml version="1.0" encoding="utf-8"?>
<x:worksheet xmlns:x="http://schemas.openxmlformats.org/spreadsheetml/2006/main">
  <x:sheetPr>
    <x:tabColor rgb="FF2E75B6"/>
  </x:sheetPr>
  <x:sheetViews>
    <x:sheetView showGridLines="0" workbookViewId="0"/>
  </x:sheetViews>
  <x:sheetFormatPr baseColWidth="8" defaultRowHeight="13.800000190734863"/>
  <x:cols>
    <x:col min="1" max="1" width="53.33203125" style="49" customWidth="1"/>
    <x:col min="2" max="2" width="15.5546875" style="49" customWidth="1"/>
    <x:col min="3" max="16384" width="8.88671875" style="49" customWidth="1"/>
  </x:cols>
  <x:sheetData>
    <x:row r="1">
      <x:c r="A1" s="27" t="inlineStr">
        <x:is>
          <x:t xml:space="preserve">metric</x:t>
        </x:is>
      </x:c>
      <x:c r="B1" s="27" t="inlineStr">
        <x:is>
          <x:t xml:space="preserve">value</x:t>
        </x:is>
      </x:c>
    </x:row>
    <x:row r="2">
      <x:c r="A2" s="49" t="inlineStr">
        <x:is>
          <x:t xml:space="preserve">V2 ledger rows</x:t>
        </x:is>
      </x:c>
      <x:c r="B2" s="49" t="n">
        <x:v>270</x:v>
      </x:c>
    </x:row>
    <x:row r="3">
      <x:c r="A3" s="49" t="inlineStr">
        <x:is>
          <x:t xml:space="preserve">definition_status: PLACEHOLDER</x:t>
        </x:is>
      </x:c>
      <x:c r="B3" s="49" t="n">
        <x:v>270</x:v>
      </x:c>
    </x:row>
    <x:row r="4">
      <x:c r="A4" s="49" t="inlineStr">
        <x:is>
          <x:t xml:space="preserve">parent: MISSING</x:t>
        </x:is>
      </x:c>
      <x:c r="B4" s="49" t="n">
        <x:v>263</x:v>
      </x:c>
    </x:row>
    <x:row r="5">
      <x:c r="A5" s="49" t="inlineStr">
        <x:is>
          <x:t xml:space="preserve">parent: PARTIAL</x:t>
        </x:is>
      </x:c>
      <x:c r="B5" s="49" t="n">
        <x:v>7</x:v>
      </x:c>
    </x:row>
    <x:row r="6">
      <x:c r="A6" s="49" t="inlineStr">
        <x:is>
          <x:t xml:space="preserve">symmetry: MISSING</x:t>
        </x:is>
      </x:c>
      <x:c r="B6" s="49" t="n">
        <x:v>243</x:v>
      </x:c>
    </x:row>
    <x:row r="7">
      <x:c r="A7" s="49" t="inlineStr">
        <x:is>
          <x:t xml:space="preserve">symmetry: PARTIAL</x:t>
        </x:is>
      </x:c>
      <x:c r="B7" s="49" t="n">
        <x:v>27</x:v>
      </x:c>
    </x:row>
    <x:row r="8">
      <x:c r="A8" s="49" t="inlineStr">
        <x:is>
          <x:t xml:space="preserve">charge: MISSING</x:t>
        </x:is>
      </x:c>
      <x:c r="B8" s="49" t="n">
        <x:v>209</x:v>
      </x:c>
    </x:row>
    <x:row r="9">
      <x:c r="A9" s="49" t="inlineStr">
        <x:is>
          <x:t xml:space="preserve">charge: PARTIAL</x:t>
        </x:is>
      </x:c>
      <x:c r="B9" s="49" t="n">
        <x:v>61</x:v>
      </x:c>
    </x:row>
    <x:row r="10">
      <x:c r="A10" s="49" t="inlineStr">
        <x:is>
          <x:t xml:space="preserve">meaning: MISSING</x:t>
        </x:is>
      </x:c>
      <x:c r="B10" s="49" t="n">
        <x:v>258</x:v>
      </x:c>
    </x:row>
    <x:row r="11">
      <x:c r="A11" s="49" t="inlineStr">
        <x:is>
          <x:t xml:space="preserve">meaning: PARTIAL</x:t>
        </x:is>
      </x:c>
      <x:c r="B11" s="49" t="n">
        <x:v>12</x:v>
      </x:c>
    </x:row>
    <x:row r="12">
      <x:c r="A12" s="49" t="inlineStr">
        <x:is>
          <x:t xml:space="preserve">lean_match_status: DOMAIN_JUDGMENT_NOT_LEAN_PROOF</x:t>
        </x:is>
      </x:c>
      <x:c r="B12" s="49" t="n">
        <x:v>1</x:v>
      </x:c>
    </x:row>
    <x:row r="13">
      <x:c r="A13" s="49" t="inlineStr">
        <x:is>
          <x:t xml:space="preserve">lean_match_status: NEEDS_SOURCE_PATH</x:t>
        </x:is>
      </x:c>
      <x:c r="B13" s="49" t="n">
        <x:v>42</x:v>
      </x:c>
    </x:row>
    <x:row r="14">
      <x:c r="A14" s="49" t="inlineStr">
        <x:is>
          <x:t xml:space="preserve">lean_match_status: PARTIAL</x:t>
        </x:is>
      </x:c>
      <x:c r="B14" s="49" t="n">
        <x:v>171</x:v>
      </x:c>
    </x:row>
    <x:row r="15">
      <x:c r="A15" s="49" t="inlineStr">
        <x:is>
          <x:t xml:space="preserve">lean_match_status: SUPPORTED</x:t>
        </x:is>
      </x:c>
      <x:c r="B15" s="49" t="n">
        <x:v>56</x:v>
      </x:c>
    </x:row>
    <x:row r="16">
      <x:c r="A16" s="49" t="inlineStr">
        <x:is>
          <x:t xml:space="preserve">python_support_status: PLACEHOLDER</x:t>
        </x:is>
      </x:c>
      <x:c r="B16" s="49" t="n">
        <x:v>270</x:v>
      </x:c>
    </x:row>
    <x:row r="17">
      <x:c r="A17" s="49" t="inlineStr">
        <x:is>
          <x:t xml:space="preserve">colab_support_status: PLACEHOLDER</x:t>
        </x:is>
      </x:c>
      <x:c r="B17" s="49" t="n">
        <x:v>270</x:v>
      </x:c>
    </x:row>
    <x:row r="18">
      <x:c r="A18" s="49" t="inlineStr">
        <x:is>
          <x:t xml:space="preserve">wolfram_support_status: MISSING</x:t>
        </x:is>
      </x:c>
      <x:c r="B18" s="49" t="n">
        <x:v>270</x:v>
      </x:c>
    </x:row>
    <x:row r="19">
      <x:c r="A19" s="49" t="inlineStr">
        <x:is>
          <x:t xml:space="preserve">empirical_status: PLACEHOLDER</x:t>
        </x:is>
      </x:c>
      <x:c r="B19" s="49" t="n">
        <x:v>270</x:v>
      </x:c>
    </x:row>
    <x:row r="20">
      <x:c r="A20" s="49" t="inlineStr">
        <x:is>
          <x:t xml:space="preserve">numerical_status: PLACEHOLDER</x:t>
        </x:is>
      </x:c>
      <x:c r="B20" s="49" t="n">
        <x:v>270</x:v>
      </x:c>
    </x:row>
    <x:row r="21">
      <x:c r="A21" s="49" t="inlineStr">
        <x:is>
          <x:t xml:space="preserve">interpretation_status: PLACEHOLDER</x:t>
        </x:is>
      </x:c>
      <x:c r="B21" s="49" t="n">
        <x:v>270</x:v>
      </x:c>
    </x:row>
    <x:row r="22">
      <x:c r="A22" s="49" t="inlineStr">
        <x:is>
          <x:t xml:space="preserve">public_claim_supported: DOMAIN_JUDGMENT_NOT_LEAN_PROOF</x:t>
        </x:is>
      </x:c>
      <x:c r="B22" s="49" t="n">
        <x:v>1</x:v>
      </x:c>
    </x:row>
    <x:row r="23">
      <x:c r="A23" s="49" t="inlineStr">
        <x:is>
          <x:t xml:space="preserve">public_claim_supported: NEEDS_SOURCE_PATH</x:t>
        </x:is>
      </x:c>
      <x:c r="B23" s="49" t="n">
        <x:v>29</x:v>
      </x:c>
    </x:row>
    <x:row r="24">
      <x:c r="A24" s="49" t="inlineStr">
        <x:is>
          <x:t xml:space="preserve">public_claim_supported: PARTIAL</x:t>
        </x:is>
      </x:c>
      <x:c r="B24" s="49" t="n">
        <x:v>227</x:v>
      </x:c>
    </x:row>
    <x:row r="25">
      <x:c r="A25" s="49" t="inlineStr">
        <x:is>
          <x:t xml:space="preserve">public_claim_supported: PLACEHOLDER</x:t>
        </x:is>
      </x:c>
      <x:c r="B25" s="49" t="n">
        <x:v>13</x:v>
      </x:c>
    </x:row>
    <x:row r="26">
      <x:c r="A26" s="49" t="inlineStr">
        <x:is>
          <x:t xml:space="preserve">kill_condition: PLACEHOLDER</x:t>
        </x:is>
      </x:c>
      <x:c r="B26" s="49" t="n">
        <x:v>270</x:v>
      </x:c>
    </x:row>
  </x:sheetData>
  <x:pageMargins left="0.7" right="0.7" top="0.75" bottom="0.75" header="0.3" footer="0.3"/>
</x:worksheet>
</file>

<file path=xl/worksheets/sheet20.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18" width="24.44140625" style="49" customWidth="1"/>
    <x:col min="19" max="16384" width="8.88671875" style="49" customWidth="1"/>
  </x:cols>
  <x:sheetData>
    <x:row r="1" ht="15" customHeight="1">
      <x:c r="A1" s="34" t="inlineStr">
        <x:is>
          <x:t xml:space="preserve">workbook</x:t>
        </x:is>
      </x:c>
      <x:c r="B1" s="35" t="inlineStr">
        <x:is>
          <x:t xml:space="preserve">sheet</x:t>
        </x:is>
      </x:c>
      <x:c r="C1" s="35" t="inlineStr">
        <x:is>
          <x:t xml:space="preserve">row_number</x:t>
        </x:is>
      </x:c>
      <x:c r="D1" s="35" t="inlineStr">
        <x:is>
          <x:t xml:space="preserve">thm_number</x:t>
        </x:is>
      </x:c>
      <x:c r="E1" s="35" t="inlineStr">
        <x:is>
          <x:t xml:space="preserve">layer</x:t>
        </x:is>
      </x:c>
      <x:c r="F1" s="35" t="inlineStr">
        <x:is>
          <x:t xml:space="preserve">lean_file</x:t>
        </x:is>
      </x:c>
      <x:c r="G1" s="35" t="inlineStr">
        <x:is>
          <x:t xml:space="preserve">theorem_name</x:t>
        </x:is>
      </x:c>
      <x:c r="H1" s="35" t="inlineStr">
        <x:is>
          <x:t xml:space="preserve">what_it_says</x:t>
        </x:is>
      </x:c>
      <x:c r="I1" s="35" t="inlineStr">
        <x:is>
          <x:t xml:space="preserve">proof_method</x:t>
        </x:is>
      </x:c>
      <x:c r="J1" s="35" t="inlineStr">
        <x:is>
          <x:t xml:space="preserve">workbook_type</x:t>
        </x:is>
      </x:c>
      <x:c r="K1" s="35" t="inlineStr">
        <x:is>
          <x:t xml:space="preserve">gauntlet_ref</x:t>
        </x:is>
      </x:c>
      <x:c r="L1" s="35" t="inlineStr">
        <x:is>
          <x:t xml:space="preserve">lean_match_count</x:t>
        </x:is>
      </x:c>
      <x:c r="M1" s="35" t="inlineStr">
        <x:is>
          <x:t xml:space="preserve">matched_repo</x:t>
        </x:is>
      </x:c>
      <x:c r="N1" s="35" t="inlineStr">
        <x:is>
          <x:t xml:space="preserve">matched_file</x:t>
        </x:is>
      </x:c>
      <x:c r="O1" s="35" t="inlineStr">
        <x:is>
          <x:t xml:space="preserve">matched_line</x:t>
        </x:is>
      </x:c>
      <x:c r="P1" s="35" t="inlineStr">
        <x:is>
          <x:t xml:space="preserve">proof_strength</x:t>
        </x:is>
      </x:c>
      <x:c r="Q1" s="35" t="inlineStr">
        <x:is>
          <x:t xml:space="preserve">proof_strength_note</x:t>
        </x:is>
      </x:c>
      <x:c r="R1" s="36" t="inlineStr">
        <x:is>
          <x:t xml:space="preserve">exact_statement</x:t>
        </x:is>
      </x:c>
    </x:row>
    <x:row r="2" ht="15" customHeight="1">
      <x:c r="A2" s="37" t="inlineStr">
        <x:is>
          <x:t xml:space="preserve">\\192.168.2.50\h_hp\Desktop\Master EXCEL\Lean 4.xlsx</x:t>
        </x:is>
      </x:c>
      <x:c r="B2" s="38" t="inlineStr">
        <x:is>
          <x:t xml:space="preserve">LEAN_DERIVATION_CHAIN</x:t>
        </x:is>
      </x:c>
      <x:c r="C2" s="38" t="inlineStr">
        <x:is>
          <x:t xml:space="preserve">3</x:t>
        </x:is>
      </x:c>
      <x:c r="D2" s="38" t="inlineStr">
        <x:is>
          <x:t xml:space="preserve">1</x:t>
        </x:is>
      </x:c>
      <x:c r="E2" s="38" t="inlineStr">
        <x:is>
          <x:t xml:space="preserve">0 — Core</x:t>
        </x:is>
      </x:c>
      <x:c r="F2" s="38" t="inlineStr">
        <x:is>
          <x:t xml:space="preserve">Core.lean</x:t>
        </x:is>
      </x:c>
      <x:c r="G2" s="38" t="inlineStr">
        <x:is>
          <x:t xml:space="preserve">C0_ne_C1</x:t>
        </x:is>
      </x:c>
      <x:c r="H2" s="38" t="inlineStr">
        <x:is>
          <x:t xml:space="preserve">C0 ≠ C1 — the two coupling states are structurally distinct</x:t>
        </x:is>
      </x:c>
      <x:c r="I2" s="38" t="inlineStr">
        <x:is>
          <x:t xml:space="preserve">decide</x:t>
        </x:is>
      </x:c>
      <x:c r="J2" s="38" t="inlineStr">
        <x:is>
          <x:t xml:space="preserve">PROVED</x:t>
        </x:is>
      </x:c>
      <x:c r="K2" s="38" t="inlineStr">
        <x:is>
          <x:t xml:space="preserve">L3-Q5, L6-Q1</x:t>
        </x:is>
      </x:c>
      <x:c r="L2" s="38" t="inlineStr">
        <x:is>
          <x:t xml:space="preserve">8</x:t>
        </x:is>
      </x:c>
      <x:c r="M2" s="38" t="inlineStr">
        <x:is>
          <x:t xml:space="preserve">theophysics-lean-main</x:t>
        </x:is>
      </x:c>
      <x:c r="N2" s="38" t="inlineStr">
        <x:is>
          <x:t xml:space="preserve">theophysics-lean-main\theophysics-lean-main\Final_Lean4_From_Excel.lean</x:t>
        </x:is>
      </x:c>
      <x:c r="O2" s="38" t="inlineStr">
        <x:is>
          <x:t xml:space="preserve">26</x:t>
        </x:is>
      </x:c>
      <x:c r="P2" s="38" t="inlineStr">
        <x:is>
          <x:t xml:space="preserve">FINITE_DECIDABLE</x:t>
        </x:is>
      </x:c>
      <x:c r="Q2" s="38" t="inlineStr">
        <x:is>
          <x:t xml:space="preserve">Finite/decidable proof; check candidate-space limits.</x:t>
        </x:is>
      </x:c>
      <x:c r="R2" s="39" t="inlineStr">
        <x:is>
          <x:t xml:space="preserve">theorem C0_ne_C1 : CouplingState.C0 ≠ CouplingState.C1</x:t>
        </x:is>
      </x:c>
    </x:row>
    <x:row r="3" ht="15" customHeight="1">
      <x:c r="A3" s="37" t="inlineStr">
        <x:is>
          <x:t xml:space="preserve">\\192.168.2.50\h_hp\Desktop\Master EXCEL\Lean 4.xlsx</x:t>
        </x:is>
      </x:c>
      <x:c r="B3" s="38" t="inlineStr">
        <x:is>
          <x:t xml:space="preserve">LEAN_DERIVATION_CHAIN</x:t>
        </x:is>
      </x:c>
      <x:c r="C3" s="38" t="inlineStr">
        <x:is>
          <x:t xml:space="preserve">4</x:t>
        </x:is>
      </x:c>
      <x:c r="D3" s="38" t="inlineStr">
        <x:is>
          <x:t xml:space="preserve">2</x:t>
        </x:is>
      </x:c>
      <x:c r="E3" s="38" t="inlineStr">
        <x:is>
          <x:t xml:space="preserve">0 — Core</x:t>
        </x:is>
      </x:c>
      <x:c r="F3" s="38" t="inlineStr">
        <x:is>
          <x:t xml:space="preserve">Core.lean</x:t>
        </x:is>
      </x:c>
      <x:c r="G3" s="38" t="inlineStr">
        <x:is>
          <x:t xml:space="preserve">C1_ne_C0</x:t>
        </x:is>
      </x:c>
      <x:c r="H3" s="38" t="inlineStr">
        <x:is>
          <x:t xml:space="preserve">C1 ≠ C0 (symmetric direction)</x:t>
        </x:is>
      </x:c>
      <x:c r="I3" s="38" t="inlineStr">
        <x:is>
          <x:t xml:space="preserve">decide</x:t>
        </x:is>
      </x:c>
      <x:c r="J3" s="38" t="inlineStr">
        <x:is>
          <x:t xml:space="preserve">PROVED</x:t>
        </x:is>
      </x:c>
      <x:c r="K3" s="38" t="inlineStr">
        <x:is>
          <x:t xml:space="preserve">L3-Q5</x:t>
        </x:is>
      </x:c>
      <x:c r="L3" s="38" t="inlineStr">
        <x:is>
          <x:t xml:space="preserve">8</x:t>
        </x:is>
      </x:c>
      <x:c r="M3" s="38" t="inlineStr">
        <x:is>
          <x:t xml:space="preserve">theophysics-lean-main</x:t>
        </x:is>
      </x:c>
      <x:c r="N3" s="38" t="inlineStr">
        <x:is>
          <x:t xml:space="preserve">theophysics-lean-main\theophysics-lean-main\Final_Lean4_From_Excel.lean</x:t>
        </x:is>
      </x:c>
      <x:c r="O3" s="38" t="inlineStr">
        <x:is>
          <x:t xml:space="preserve">29</x:t>
        </x:is>
      </x:c>
      <x:c r="P3" s="38" t="inlineStr">
        <x:is>
          <x:t xml:space="preserve">FINITE_DECIDABLE</x:t>
        </x:is>
      </x:c>
      <x:c r="Q3" s="38" t="inlineStr">
        <x:is>
          <x:t xml:space="preserve">Finite/decidable proof; check candidate-space limits.</x:t>
        </x:is>
      </x:c>
      <x:c r="R3" s="39" t="inlineStr">
        <x:is>
          <x:t xml:space="preserve">theorem C1_ne_C0 : CouplingState.C1 ≠ CouplingState.C0</x:t>
        </x:is>
      </x:c>
    </x:row>
    <x:row r="4" ht="15" customHeight="1">
      <x:c r="A4" s="37" t="inlineStr">
        <x:is>
          <x:t xml:space="preserve">\\192.168.2.50\h_hp\Desktop\Master EXCEL\Lean 4.xlsx</x:t>
        </x:is>
      </x:c>
      <x:c r="B4" s="38" t="inlineStr">
        <x:is>
          <x:t xml:space="preserve">LEAN_DERIVATION_CHAIN</x:t>
        </x:is>
      </x:c>
      <x:c r="C4" s="38" t="inlineStr">
        <x:is>
          <x:t xml:space="preserve">5</x:t>
        </x:is>
      </x:c>
      <x:c r="D4" s="38" t="inlineStr">
        <x:is>
          <x:t xml:space="preserve">3</x:t>
        </x:is>
      </x:c>
      <x:c r="E4" s="38" t="inlineStr">
        <x:is>
          <x:t xml:space="preserve">0 — Core</x:t>
        </x:is>
      </x:c>
      <x:c r="F4" s="38" t="inlineStr">
        <x:is>
          <x:t xml:space="preserve">Core.lean</x:t>
        </x:is>
      </x:c>
      <x:c r="G4" s="38" t="inlineStr">
        <x:is>
          <x:t xml:space="preserve">coupling_modification_irreversible</x:t>
        </x:is>
      </x:c>
      <x:c r="H4" s="38" t="inlineStr">
        <x:is>
          <x:t xml:space="preserve">C0 → C1 is one-way; C1 → C0 has no constructor. The transition cannot be undone.</x:t>
        </x:is>
      </x:c>
      <x:c r="I4" s="38" t="inlineStr">
        <x:is>
          <x:t xml:space="preserve">structural case</x:t>
        </x:is>
      </x:c>
      <x:c r="J4" s="38" t="inlineStr">
        <x:is>
          <x:t xml:space="preserve">PROVED</x:t>
        </x:is>
      </x:c>
      <x:c r="K4" s="38" t="inlineStr">
        <x:is>
          <x:t xml:space="preserve">L3-Q5, L6-Q5</x:t>
        </x:is>
      </x:c>
      <x:c r="L4" s="38" t="inlineStr">
        <x:is>
          <x:t xml:space="preserve">8</x:t>
        </x:is>
      </x:c>
      <x:c r="M4" s="38" t="inlineStr">
        <x:is>
          <x:t xml:space="preserve">theophysics-lean-main</x:t>
        </x:is>
      </x:c>
      <x:c r="N4" s="38" t="inlineStr">
        <x:is>
          <x:t xml:space="preserve">theophysics-lean-main\theophysics-lean-main\Final_Lean4_From_Excel.lean</x:t>
        </x:is>
      </x:c>
      <x:c r="O4" s="38" t="inlineStr">
        <x:is>
          <x:t xml:space="preserve">32</x:t>
        </x:is>
      </x:c>
      <x:c r="P4" s="38" t="inlineStr">
        <x:is>
          <x:t xml:space="preserve">WRAPPER_OR_IMPORTED</x:t>
        </x:is>
      </x:c>
      <x:c r="Q4" s="38" t="inlineStr">
        <x:is>
          <x:t xml:space="preserve">Likely delegates to another theorem; cite underlying theorem too.</x:t>
        </x:is>
      </x:c>
      <x:c r="R4" s="39" t="inlineStr">
        <x:is>
          <x:t xml:space="preserve">theorem coupling_modification_irreversible : ¬ ∃ x, transition x = some CouplingState.C0</x:t>
        </x:is>
      </x:c>
    </x:row>
    <x:row r="5" ht="15" customHeight="1">
      <x:c r="A5" s="37" t="inlineStr">
        <x:is>
          <x:t xml:space="preserve">\\192.168.2.50\h_hp\Desktop\Master EXCEL\Lean 4.xlsx</x:t>
        </x:is>
      </x:c>
      <x:c r="B5" s="38" t="inlineStr">
        <x:is>
          <x:t xml:space="preserve">LEAN_DERIVATION_CHAIN</x:t>
        </x:is>
      </x:c>
      <x:c r="C5" s="38" t="inlineStr">
        <x:is>
          <x:t xml:space="preserve">6</x:t>
        </x:is>
      </x:c>
      <x:c r="D5" s="38" t="inlineStr">
        <x:is>
          <x:t xml:space="preserve">4</x:t>
        </x:is>
      </x:c>
      <x:c r="E5" s="38" t="inlineStr">
        <x:is>
          <x:t xml:space="preserve">0 — Core</x:t>
        </x:is>
      </x:c>
      <x:c r="F5" s="38" t="inlineStr">
        <x:is>
          <x:t xml:space="preserve">Core.lean</x:t>
        </x:is>
      </x:c>
      <x:c r="G5" s="38" t="inlineStr">
        <x:is>
          <x:t xml:space="preserve">Q_zero_collapses_chi</x:t>
        </x:is>
      </x:c>
      <x:c r="H5" s="38" t="inlineStr">
        <x:is>
          <x:t xml:space="preserve">If Q = 0, then χ = 0 regardless of all other factors. Any single zero kills the product.</x:t>
        </x:is>
      </x:c>
      <x:c r="I5" s="38" t="inlineStr">
        <x:is>
          <x:t xml:space="preserve">simp</x:t>
        </x:is>
      </x:c>
      <x:c r="J5" s="38" t="inlineStr">
        <x:is>
          <x:t xml:space="preserve">PROVED</x:t>
        </x:is>
      </x:c>
      <x:c r="K5" s="38" t="inlineStr">
        <x:is>
          <x:t xml:space="preserve">L1-Q2, L7-Q4</x:t>
        </x:is>
      </x:c>
      <x:c r="L5" s="38" t="inlineStr">
        <x:is>
          <x:t xml:space="preserve">8</x:t>
        </x:is>
      </x:c>
      <x:c r="M5" s="38" t="inlineStr">
        <x:is>
          <x:t xml:space="preserve">theophysics-lean-main</x:t>
        </x:is>
      </x:c>
      <x:c r="N5" s="38" t="inlineStr">
        <x:is>
          <x:t xml:space="preserve">theophysics-lean-main\theophysics-lean-main\Final_Lean4_From_Excel.lean</x:t>
        </x:is>
      </x:c>
      <x:c r="O5" s="38" t="inlineStr">
        <x:is>
          <x:t xml:space="preserve">88</x:t>
        </x:is>
      </x:c>
      <x:c r="P5" s="38" t="inlineStr">
        <x:is>
          <x:t xml:space="preserve">SIMPLIFICATION</x:t>
        </x:is>
      </x:c>
      <x:c r="Q5" s="38" t="inlineStr">
        <x:is>
          <x:t xml:space="preserve">Follows by simplification under definitions; check definition strength.</x:t>
        </x:is>
      </x:c>
      <x:c r="R5" s="39" t="inlineStr">
        <x:is>
          <x:t xml:space="preserve">theorem Q_zero_collapses_chi (x : FactorState) (h : x.Q = 0) : chi x = 0</x:t>
        </x:is>
      </x:c>
    </x:row>
    <x:row r="6" ht="15" customHeight="1">
      <x:c r="A6" s="37" t="inlineStr">
        <x:is>
          <x:t xml:space="preserve">\\192.168.2.50\h_hp\Desktop\Master EXCEL\Lean 4.xlsx</x:t>
        </x:is>
      </x:c>
      <x:c r="B6" s="38" t="inlineStr">
        <x:is>
          <x:t xml:space="preserve">LEAN_DERIVATION_CHAIN</x:t>
        </x:is>
      </x:c>
      <x:c r="C6" s="38" t="inlineStr">
        <x:is>
          <x:t xml:space="preserve">7</x:t>
        </x:is>
      </x:c>
      <x:c r="D6" s="38" t="inlineStr">
        <x:is>
          <x:t xml:space="preserve">5</x:t>
        </x:is>
      </x:c>
      <x:c r="E6" s="38" t="inlineStr">
        <x:is>
          <x:t xml:space="preserve">0 — Core</x:t>
        </x:is>
      </x:c>
      <x:c r="F6" s="38" t="inlineStr">
        <x:is>
          <x:t xml:space="preserve">Core.lean</x:t>
        </x:is>
      </x:c>
      <x:c r="G6" s="38" t="inlineStr">
        <x:is>
          <x:t xml:space="preserve">Q_nonzero_not_sufficient_for_positive_chi</x:t>
        </x:is>
      </x:c>
      <x:c r="H6" s="38" t="inlineStr">
        <x:is>
          <x:t xml:space="preserve">Q &gt; 0 does NOT guarantee χ &gt; 0 (G = 0 still kills it). No single factor saves you.</x:t>
        </x:is>
      </x:c>
      <x:c r="I6" s="38" t="inlineStr">
        <x:is>
          <x:t xml:space="preserve">simp</x:t>
        </x:is>
      </x:c>
      <x:c r="J6" s="38" t="inlineStr">
        <x:is>
          <x:t xml:space="preserve">REJECTION</x:t>
        </x:is>
      </x:c>
      <x:c r="K6" s="38" t="inlineStr">
        <x:is>
          <x:t xml:space="preserve">L1-Q4, L7-Q4</x:t>
        </x:is>
      </x:c>
      <x:c r="L6" s="38" t="inlineStr">
        <x:is>
          <x:t xml:space="preserve">4</x:t>
        </x:is>
      </x:c>
      <x:c r="M6" s="38" t="inlineStr">
        <x:is>
          <x:t xml:space="preserve">theophysics-lean-main</x:t>
        </x:is>
      </x:c>
      <x:c r="N6" s="38" t="inlineStr">
        <x:is>
          <x:t xml:space="preserve">theophysics-lean-main\theophysics-lean-main\Final_Lean4_From_Excel.lean</x:t>
        </x:is>
      </x:c>
      <x:c r="O6" s="38" t="inlineStr">
        <x:is>
          <x:t xml:space="preserve">122</x:t>
        </x:is>
      </x:c>
      <x:c r="P6" s="38" t="inlineStr">
        <x:is>
          <x:t xml:space="preserve">SUBSTANTIVE_OR_CASE_PROOF</x:t>
        </x:is>
      </x:c>
      <x:c r="Q6" s="38" t="inlineStr">
        <x:is>
          <x:t xml:space="preserve">Appears to contain an actual proof body; inspect before public citation.</x:t>
        </x:is>
      </x:c>
      <x:c r="R6" s="39" t="inlineStr">
        <x:is>
          <x:t xml:space="preserve">theorem Q_nonzero_not_sufficient_for_positive_chi (x : FactorState) (hQ : x.Q &gt; 0) (hG : x.G = 0) : ¬ chi x &gt; 0</x:t>
        </x:is>
      </x:c>
    </x:row>
    <x:row r="7" ht="15" customHeight="1">
      <x:c r="A7" s="37" t="inlineStr">
        <x:is>
          <x:t xml:space="preserve">\\192.168.2.50\h_hp\Desktop\Master EXCEL\Lean 4.xlsx</x:t>
        </x:is>
      </x:c>
      <x:c r="B7" s="38" t="inlineStr">
        <x:is>
          <x:t xml:space="preserve">LEAN_DERIVATION_CHAIN</x:t>
        </x:is>
      </x:c>
      <x:c r="C7" s="38" t="inlineStr">
        <x:is>
          <x:t xml:space="preserve">9</x:t>
        </x:is>
      </x:c>
      <x:c r="D7" s="38" t="inlineStr">
        <x:is>
          <x:t xml:space="preserve">6</x:t>
        </x:is>
      </x:c>
      <x:c r="E7" s="38" t="inlineStr">
        <x:is>
          <x:t xml:space="preserve">1 — Stage</x:t>
        </x:is>
      </x:c>
      <x:c r="F7" s="38" t="inlineStr">
        <x:is>
          <x:t xml:space="preserve">StageMachine.lean</x:t>
        </x:is>
      </x:c>
      <x:c r="G7" s="38" t="inlineStr">
        <x:is>
          <x:t xml:space="preserve">reaches_localization_from_pre</x:t>
        </x:is>
      </x:c>
      <x:c r="H7" s="38" t="inlineStr">
        <x:is>
          <x:t xml:space="preserve">preLocalization can reach localization</x:t>
        </x:is>
      </x:c>
      <x:c r="I7" s="38" t="inlineStr">
        <x:is>
          <x:t xml:space="preserve">constructor</x:t>
        </x:is>
      </x:c>
      <x:c r="J7" s="38" t="inlineStr">
        <x:is>
          <x:t xml:space="preserve">PROVED</x:t>
        </x:is>
      </x:c>
      <x:c r="K7" s="38" t="inlineStr">
        <x:is>
          <x:t xml:space="preserve">S3-LOGIC</x:t>
        </x:is>
      </x:c>
      <x:c r="L7" s="38" t="inlineStr">
        <x:is>
          <x:t xml:space="preserve">4</x:t>
        </x:is>
      </x:c>
      <x:c r="M7" s="38" t="inlineStr">
        <x:is>
          <x:t xml:space="preserve">theophysics-lean-main</x:t>
        </x:is>
      </x:c>
      <x:c r="N7" s="38" t="inlineStr">
        <x:is>
          <x:t xml:space="preserve">theophysics-lean-main\theophysics-lean-main\Theophysics_Core.lean</x:t>
        </x:is>
      </x:c>
      <x:c r="O7" s="38" t="inlineStr">
        <x:is>
          <x:t xml:space="preserve">36</x:t>
        </x:is>
      </x:c>
      <x:c r="P7" s="38" t="inlineStr">
        <x:is>
          <x:t xml:space="preserve">TRIVIAL_TRUE</x:t>
        </x:is>
      </x:c>
      <x:c r="Q7" s="38" t="inlineStr">
        <x:is>
          <x:t xml:space="preserve">Statement is `True`; theorem name may exceed formal content.</x:t>
        </x:is>
      </x:c>
      <x:c r="R7" s="39" t="inlineStr">
        <x:is>
          <x:t xml:space="preserve">theorem reaches_localization_from_pre : True</x:t>
        </x:is>
      </x:c>
    </x:row>
    <x:row r="8" ht="15" customHeight="1">
      <x:c r="A8" s="37" t="inlineStr">
        <x:is>
          <x:t xml:space="preserve">\\192.168.2.50\h_hp\Desktop\Master EXCEL\Lean 4.xlsx</x:t>
        </x:is>
      </x:c>
      <x:c r="B8" s="38" t="inlineStr">
        <x:is>
          <x:t xml:space="preserve">LEAN_DERIVATION_CHAIN</x:t>
        </x:is>
      </x:c>
      <x:c r="C8" s="38" t="inlineStr">
        <x:is>
          <x:t xml:space="preserve">10</x:t>
        </x:is>
      </x:c>
      <x:c r="D8" s="38" t="inlineStr">
        <x:is>
          <x:t xml:space="preserve">7</x:t>
        </x:is>
      </x:c>
      <x:c r="E8" s="38" t="inlineStr">
        <x:is>
          <x:t xml:space="preserve">1 — Stage</x:t>
        </x:is>
      </x:c>
      <x:c r="F8" s="38" t="inlineStr">
        <x:is>
          <x:t xml:space="preserve">StageMachine.lean</x:t>
        </x:is>
      </x:c>
      <x:c r="G8" s="38" t="inlineStr">
        <x:is>
          <x:t xml:space="preserve">reaches_redistribution_from_pre</x:t>
        </x:is>
      </x:c>
      <x:c r="H8" s="38" t="inlineStr">
        <x:is>
          <x:t xml:space="preserve">Full 5-step sequence is reachable from preLocalization to redistribution</x:t>
        </x:is>
      </x:c>
      <x:c r="I8" s="38" t="inlineStr">
        <x:is>
          <x:t xml:space="preserve">transitive</x:t>
        </x:is>
      </x:c>
      <x:c r="J8" s="38" t="inlineStr">
        <x:is>
          <x:t xml:space="preserve">PROVED</x:t>
        </x:is>
      </x:c>
      <x:c r="K8" s="38" t="inlineStr">
        <x:is>
          <x:t xml:space="preserve">S3-LOGIC</x:t>
        </x:is>
      </x:c>
      <x:c r="L8" s="38" t="inlineStr">
        <x:is>
          <x:t xml:space="preserve">4</x:t>
        </x:is>
      </x:c>
      <x:c r="M8" s="38" t="inlineStr">
        <x:is>
          <x:t xml:space="preserve">theophysics-lean-main</x:t>
        </x:is>
      </x:c>
      <x:c r="N8" s="38" t="inlineStr">
        <x:is>
          <x:t xml:space="preserve">theophysics-lean-main\theophysics-lean-main\Theophysics_Core.lean</x:t>
        </x:is>
      </x:c>
      <x:c r="O8" s="38" t="inlineStr">
        <x:is>
          <x:t xml:space="preserve">37</x:t>
        </x:is>
      </x:c>
      <x:c r="P8" s="38" t="inlineStr">
        <x:is>
          <x:t xml:space="preserve">TRIVIAL_TRUE</x:t>
        </x:is>
      </x:c>
      <x:c r="Q8" s="38" t="inlineStr">
        <x:is>
          <x:t xml:space="preserve">Statement is `True`; theorem name may exceed formal content.</x:t>
        </x:is>
      </x:c>
      <x:c r="R8" s="39" t="inlineStr">
        <x:is>
          <x:t xml:space="preserve">theorem reaches_redistribution_from_pre : True</x:t>
        </x:is>
      </x:c>
    </x:row>
    <x:row r="9" ht="15" customHeight="1">
      <x:c r="A9" s="37" t="inlineStr">
        <x:is>
          <x:t xml:space="preserve">\\192.168.2.50\h_hp\Desktop\Master EXCEL\Lean 4.xlsx</x:t>
        </x:is>
      </x:c>
      <x:c r="B9" s="38" t="inlineStr">
        <x:is>
          <x:t xml:space="preserve">LEAN_DERIVATION_CHAIN</x:t>
        </x:is>
      </x:c>
      <x:c r="C9" s="38" t="inlineStr">
        <x:is>
          <x:t xml:space="preserve">11</x:t>
        </x:is>
      </x:c>
      <x:c r="D9" s="38" t="inlineStr">
        <x:is>
          <x:t xml:space="preserve">8</x:t>
        </x:is>
      </x:c>
      <x:c r="E9" s="38" t="inlineStr">
        <x:is>
          <x:t xml:space="preserve">1 — Stage</x:t>
        </x:is>
      </x:c>
      <x:c r="F9" s="38" t="inlineStr">
        <x:is>
          <x:t xml:space="preserve">StageMachine.lean</x:t>
        </x:is>
      </x:c>
      <x:c r="G9" s="38" t="inlineStr">
        <x:is>
          <x:t xml:space="preserve">no_stage_step_back_to_pre_from_localization</x:t>
        </x:is>
      </x:c>
      <x:c r="H9" s="38" t="inlineStr">
        <x:is>
          <x:t xml:space="preserve">No backward step from localization to pre. Irreversible.</x:t>
        </x:is>
      </x:c>
      <x:c r="I9" s="38" t="inlineStr">
        <x:is>
          <x:t xml:space="preserve">cases</x:t>
        </x:is>
      </x:c>
      <x:c r="J9" s="38" t="inlineStr">
        <x:is>
          <x:t xml:space="preserve">REJECTION</x:t>
        </x:is>
      </x:c>
      <x:c r="K9" s="38" t="inlineStr">
        <x:is>
          <x:t xml:space="preserve">L6-Q5</x:t>
        </x:is>
      </x:c>
      <x:c r="L9" s="38" t="inlineStr">
        <x:is>
          <x:t xml:space="preserve">4</x:t>
        </x:is>
      </x:c>
      <x:c r="M9" s="38" t="inlineStr">
        <x:is>
          <x:t xml:space="preserve">theophysics-lean-main</x:t>
        </x:is>
      </x:c>
      <x:c r="N9" s="38" t="inlineStr">
        <x:is>
          <x:t xml:space="preserve">theophysics-lean-main\theophysics-lean-main\Theophysics_Adversarial.lean</x:t>
        </x:is>
      </x:c>
      <x:c r="O9" s="38" t="inlineStr">
        <x:is>
          <x:t xml:space="preserve">321</x:t>
        </x:is>
      </x:c>
      <x:c r="P9" s="38" t="inlineStr">
        <x:is>
          <x:t xml:space="preserve">DEFINITIONAL_RFL</x:t>
        </x:is>
      </x:c>
      <x:c r="Q9" s="38" t="inlineStr">
        <x:is>
          <x:t xml:space="preserve">Proves definitional equality by reduction; useful but narrow.</x:t>
        </x:is>
      </x:c>
      <x:c r="R9" s="39" t="inlineStr">
        <x:is>
          <x:t xml:space="preserve">theorem no_stage_step_back_to_pre_from_localization : stepBackAllowed Stage.localization Stage.pre = false</x:t>
        </x:is>
      </x:c>
    </x:row>
    <x:row r="10" ht="15" customHeight="1">
      <x:c r="A10" s="37" t="inlineStr">
        <x:is>
          <x:t xml:space="preserve">\\192.168.2.50\h_hp\Desktop\Master EXCEL\Lean 4.xlsx</x:t>
        </x:is>
      </x:c>
      <x:c r="B10" s="38" t="inlineStr">
        <x:is>
          <x:t xml:space="preserve">LEAN_DERIVATION_CHAIN</x:t>
        </x:is>
      </x:c>
      <x:c r="C10" s="38" t="inlineStr">
        <x:is>
          <x:t xml:space="preserve">12</x:t>
        </x:is>
      </x:c>
      <x:c r="D10" s="38" t="inlineStr">
        <x:is>
          <x:t xml:space="preserve">9</x:t>
        </x:is>
      </x:c>
      <x:c r="E10" s="38" t="inlineStr">
        <x:is>
          <x:t xml:space="preserve">1 — Stage</x:t>
        </x:is>
      </x:c>
      <x:c r="F10" s="38" t="inlineStr">
        <x:is>
          <x:t xml:space="preserve">StageMachine.lean</x:t>
        </x:is>
      </x:c>
      <x:c r="G10" s="38" t="inlineStr">
        <x:is>
          <x:t xml:space="preserve">no_stage_step_back_to_release_from_confirmation</x:t>
        </x:is>
      </x:c>
      <x:c r="H10" s="38" t="inlineStr">
        <x:is>
          <x:t xml:space="preserve">No backward step from confirmation to release</x:t>
        </x:is>
      </x:c>
      <x:c r="I10" s="38" t="inlineStr">
        <x:is>
          <x:t xml:space="preserve">cases</x:t>
        </x:is>
      </x:c>
      <x:c r="J10" s="38" t="inlineStr">
        <x:is>
          <x:t xml:space="preserve">REJECTION</x:t>
        </x:is>
      </x:c>
      <x:c r="K10" s="38" t="inlineStr">
        <x:is>
          <x:t xml:space="preserve">L6-Q5</x:t>
        </x:is>
      </x:c>
      <x:c r="L10" s="38" t="inlineStr">
        <x:is>
          <x:t xml:space="preserve">4</x:t>
        </x:is>
      </x:c>
      <x:c r="M10" s="38" t="inlineStr">
        <x:is>
          <x:t xml:space="preserve">theophysics-lean-main</x:t>
        </x:is>
      </x:c>
      <x:c r="N10" s="38" t="inlineStr">
        <x:is>
          <x:t xml:space="preserve">theophysics-lean-main\theophysics-lean-main\Theophysics_Adversarial.lean</x:t>
        </x:is>
      </x:c>
      <x:c r="O10" s="38" t="inlineStr">
        <x:is>
          <x:t xml:space="preserve">325</x:t>
        </x:is>
      </x:c>
      <x:c r="P10" s="38" t="inlineStr">
        <x:is>
          <x:t xml:space="preserve">DEFINITIONAL_RFL</x:t>
        </x:is>
      </x:c>
      <x:c r="Q10" s="38" t="inlineStr">
        <x:is>
          <x:t xml:space="preserve">Proves definitional equality by reduction; useful but narrow.</x:t>
        </x:is>
      </x:c>
      <x:c r="R10" s="39" t="inlineStr">
        <x:is>
          <x:t xml:space="preserve">theorem no_stage_step_back_to_release_from_confirmation : stepBackAllowed Stage.confirmation Stage.release = false</x:t>
        </x:is>
      </x:c>
    </x:row>
    <x:row r="11" ht="15" customHeight="1">
      <x:c r="A11" s="37" t="inlineStr">
        <x:is>
          <x:t xml:space="preserve">\\192.168.2.50\h_hp\Desktop\Master EXCEL\Lean 4.xlsx</x:t>
        </x:is>
      </x:c>
      <x:c r="B11" s="38" t="inlineStr">
        <x:is>
          <x:t xml:space="preserve">LEAN_DERIVATION_CHAIN</x:t>
        </x:is>
      </x:c>
      <x:c r="C11" s="38" t="inlineStr">
        <x:is>
          <x:t xml:space="preserve">13</x:t>
        </x:is>
      </x:c>
      <x:c r="D11" s="38" t="inlineStr">
        <x:is>
          <x:t xml:space="preserve">10</x:t>
        </x:is>
      </x:c>
      <x:c r="E11" s="38" t="inlineStr">
        <x:is>
          <x:t xml:space="preserve">1 — Stage</x:t>
        </x:is>
      </x:c>
      <x:c r="F11" s="38" t="inlineStr">
        <x:is>
          <x:t xml:space="preserve">StageMachine.lean</x:t>
        </x:is>
      </x:c>
      <x:c r="G11" s="38" t="inlineStr">
        <x:is>
          <x:t xml:space="preserve">no_stage_step_back_to_confirmation_from_redistribution</x:t>
        </x:is>
      </x:c>
      <x:c r="H11" s="38" t="inlineStr">
        <x:is>
          <x:t xml:space="preserve">No backward step from redistribution to confirmation</x:t>
        </x:is>
      </x:c>
      <x:c r="I11" s="38" t="inlineStr">
        <x:is>
          <x:t xml:space="preserve">cases</x:t>
        </x:is>
      </x:c>
      <x:c r="J11" s="38" t="inlineStr">
        <x:is>
          <x:t xml:space="preserve">REJECTION</x:t>
        </x:is>
      </x:c>
      <x:c r="K11" s="38" t="inlineStr">
        <x:is>
          <x:t xml:space="preserve">L6-Q5</x:t>
        </x:is>
      </x:c>
      <x:c r="L11" s="38" t="inlineStr">
        <x:is>
          <x:t xml:space="preserve">4</x:t>
        </x:is>
      </x:c>
      <x:c r="M11" s="38" t="inlineStr">
        <x:is>
          <x:t xml:space="preserve">theophysics-lean-main</x:t>
        </x:is>
      </x:c>
      <x:c r="N11" s="38" t="inlineStr">
        <x:is>
          <x:t xml:space="preserve">theophysics-lean-main\theophysics-lean-main\Theophysics_Adversarial.lean</x:t>
        </x:is>
      </x:c>
      <x:c r="O11" s="38" t="inlineStr">
        <x:is>
          <x:t xml:space="preserve">329</x:t>
        </x:is>
      </x:c>
      <x:c r="P11" s="38" t="inlineStr">
        <x:is>
          <x:t xml:space="preserve">DEFINITIONAL_RFL</x:t>
        </x:is>
      </x:c>
      <x:c r="Q11" s="38" t="inlineStr">
        <x:is>
          <x:t xml:space="preserve">Proves definitional equality by reduction; useful but narrow.</x:t>
        </x:is>
      </x:c>
      <x:c r="R11" s="39" t="inlineStr">
        <x:is>
          <x:t xml:space="preserve">theorem no_stage_step_back_to_confirmation_from_redistribution : stepBackAllowed Stage.redistribution Stage.confirmation = false</x:t>
        </x:is>
      </x:c>
    </x:row>
    <x:row r="12" ht="15" customHeight="1">
      <x:c r="A12" s="37" t="inlineStr">
        <x:is>
          <x:t xml:space="preserve">\\192.168.2.50\h_hp\Desktop\Master EXCEL\Lean 4.xlsx</x:t>
        </x:is>
      </x:c>
      <x:c r="B12" s="38" t="inlineStr">
        <x:is>
          <x:t xml:space="preserve">LEAN_DERIVATION_CHAIN</x:t>
        </x:is>
      </x:c>
      <x:c r="C12" s="38" t="inlineStr">
        <x:is>
          <x:t xml:space="preserve">15</x:t>
        </x:is>
      </x:c>
      <x:c r="D12" s="38" t="inlineStr">
        <x:is>
          <x:t xml:space="preserve">11</x:t>
        </x:is>
      </x:c>
      <x:c r="E12" s="38" t="inlineStr">
        <x:is>
          <x:t xml:space="preserve">2 — Mapping</x:t>
        </x:is>
      </x:c>
      <x:c r="F12" s="38" t="inlineStr">
        <x:is>
          <x:t xml:space="preserve">Mapping.lean</x:t>
        </x:is>
      </x:c>
      <x:c r="G12" s="38" t="inlineStr">
        <x:is>
          <x:t xml:space="preserve">map_physics_sequence_is_theology_sequence</x:t>
        </x:is>
      </x:c>
      <x:c r="H12" s="38" t="inlineStr">
        <x:is>
          <x:t xml:space="preserve">Mapping the full physics list produces the full theology list — order-preserving. Proved by rfl (definitional equality).</x:t>
        </x:is>
      </x:c>
      <x:c r="I12" s="38" t="inlineStr">
        <x:is>
          <x:t xml:space="preserve">rfl</x:t>
        </x:is>
      </x:c>
      <x:c r="J12" s="38" t="inlineStr">
        <x:is>
          <x:t xml:space="preserve">PROVED</x:t>
        </x:is>
      </x:c>
      <x:c r="K12" s="38" t="inlineStr">
        <x:is>
          <x:t xml:space="preserve">S3-LOGIC</x:t>
        </x:is>
      </x:c>
      <x:c r="L12" s="38" t="inlineStr">
        <x:is>
          <x:t xml:space="preserve">4</x:t>
        </x:is>
      </x:c>
      <x:c r="M12" s="38" t="inlineStr">
        <x:is>
          <x:t xml:space="preserve">theophysics-lean-main</x:t>
        </x:is>
      </x:c>
      <x:c r="N12" s="38" t="inlineStr">
        <x:is>
          <x:t xml:space="preserve">theophysics-lean-main\theophysics-lean-main\Theophysics_Core.lean</x:t>
        </x:is>
      </x:c>
      <x:c r="O12" s="38" t="inlineStr">
        <x:is>
          <x:t xml:space="preserve">166</x:t>
        </x:is>
      </x:c>
      <x:c r="P12" s="38" t="inlineStr">
        <x:is>
          <x:t xml:space="preserve">TRIVIAL_TRUE</x:t>
        </x:is>
      </x:c>
      <x:c r="Q12" s="38" t="inlineStr">
        <x:is>
          <x:t xml:space="preserve">Statement is `True`; theorem name may exceed formal content.</x:t>
        </x:is>
      </x:c>
      <x:c r="R12" s="39" t="inlineStr">
        <x:is>
          <x:t xml:space="preserve">theorem map_physics_sequence_is_theology_sequence : True</x:t>
        </x:is>
      </x:c>
    </x:row>
    <x:row r="13" ht="15" customHeight="1">
      <x:c r="A13" s="37" t="inlineStr">
        <x:is>
          <x:t xml:space="preserve">\\192.168.2.50\h_hp\Desktop\Master EXCEL\Lean 4.xlsx</x:t>
        </x:is>
      </x:c>
      <x:c r="B13" s="38" t="inlineStr">
        <x:is>
          <x:t xml:space="preserve">LEAN_DERIVATION_CHAIN</x:t>
        </x:is>
      </x:c>
      <x:c r="C13" s="38" t="inlineStr">
        <x:is>
          <x:t xml:space="preserve">16</x:t>
        </x:is>
      </x:c>
      <x:c r="D13" s="38" t="inlineStr">
        <x:is>
          <x:t xml:space="preserve">12</x:t>
        </x:is>
      </x:c>
      <x:c r="E13" s="38" t="inlineStr">
        <x:is>
          <x:t xml:space="preserve">2 — Mapping</x:t>
        </x:is>
      </x:c>
      <x:c r="F13" s="38" t="inlineStr">
        <x:is>
          <x:t xml:space="preserve">Mapping.lean</x:t>
        </x:is>
      </x:c>
      <x:c r="G13" s="38" t="inlineStr">
        <x:is>
          <x:t xml:space="preserve">localization_maps_to_incarnation</x:t>
        </x:is>
      </x:c>
      <x:c r="H13" s="38" t="inlineStr">
        <x:is>
          <x:t xml:space="preserve">Specific: localization → incarnation</x:t>
        </x:is>
      </x:c>
      <x:c r="I13" s="38" t="inlineStr">
        <x:is>
          <x:t xml:space="preserve">rfl</x:t>
        </x:is>
      </x:c>
      <x:c r="J13" s="38" t="inlineStr">
        <x:is>
          <x:t xml:space="preserve">PROVED</x:t>
        </x:is>
      </x:c>
      <x:c r="K13" s="38" t="inlineStr">
        <x:is>
          <x:t xml:space="preserve">L6-Q4</x:t>
        </x:is>
      </x:c>
      <x:c r="L13" s="38" t="inlineStr">
        <x:is>
          <x:t xml:space="preserve">4</x:t>
        </x:is>
      </x:c>
      <x:c r="M13" s="38" t="inlineStr">
        <x:is>
          <x:t xml:space="preserve">theophysics-lean-main</x:t>
        </x:is>
      </x:c>
      <x:c r="N13" s="38" t="inlineStr">
        <x:is>
          <x:t xml:space="preserve">theophysics-lean-main\theophysics-lean-main\Theophysics_Core.lean</x:t>
        </x:is>
      </x:c>
      <x:c r="O13" s="38" t="inlineStr">
        <x:is>
          <x:t xml:space="preserve">165</x:t>
        </x:is>
      </x:c>
      <x:c r="P13" s="38" t="inlineStr">
        <x:is>
          <x:t xml:space="preserve">TRIVIAL_TRUE</x:t>
        </x:is>
      </x:c>
      <x:c r="Q13" s="38" t="inlineStr">
        <x:is>
          <x:t xml:space="preserve">Statement is `True`; theorem name may exceed formal content.</x:t>
        </x:is>
      </x:c>
      <x:c r="R13" s="39" t="inlineStr">
        <x:is>
          <x:t xml:space="preserve">theorem localization_maps_to_incarnation : True</x:t>
        </x:is>
      </x:c>
    </x:row>
    <x:row r="14" ht="15" customHeight="1">
      <x:c r="A14" s="37" t="inlineStr">
        <x:is>
          <x:t xml:space="preserve">\\192.168.2.50\h_hp\Desktop\Master EXCEL\Lean 4.xlsx</x:t>
        </x:is>
      </x:c>
      <x:c r="B14" s="38" t="inlineStr">
        <x:is>
          <x:t xml:space="preserve">LEAN_DERIVATION_CHAIN</x:t>
        </x:is>
      </x:c>
      <x:c r="C14" s="38" t="inlineStr">
        <x:is>
          <x:t xml:space="preserve">17</x:t>
        </x:is>
      </x:c>
      <x:c r="D14" s="38" t="inlineStr">
        <x:is>
          <x:t xml:space="preserve">13</x:t>
        </x:is>
      </x:c>
      <x:c r="E14" s="38" t="inlineStr">
        <x:is>
          <x:t xml:space="preserve">2 — Mapping</x:t>
        </x:is>
      </x:c>
      <x:c r="F14" s="38" t="inlineStr">
        <x:is>
          <x:t xml:space="preserve">Mapping.lean</x:t>
        </x:is>
      </x:c>
      <x:c r="G14" s="38" t="inlineStr">
        <x:is>
          <x:t xml:space="preserve">confirmation_maps_to_resurrection</x:t>
        </x:is>
      </x:c>
      <x:c r="H14" s="38" t="inlineStr">
        <x:is>
          <x:t xml:space="preserve">Specific: confirmation → resurrection</x:t>
        </x:is>
      </x:c>
      <x:c r="I14" s="38" t="inlineStr">
        <x:is>
          <x:t xml:space="preserve">rfl</x:t>
        </x:is>
      </x:c>
      <x:c r="J14" s="38" t="inlineStr">
        <x:is>
          <x:t xml:space="preserve">PROVED</x:t>
        </x:is>
      </x:c>
      <x:c r="K14" s="38" t="inlineStr">
        <x:is>
          <x:t xml:space="preserve">L6-Q7</x:t>
        </x:is>
      </x:c>
      <x:c r="L14" s="38" t="inlineStr">
        <x:is>
          <x:t xml:space="preserve">4</x:t>
        </x:is>
      </x:c>
      <x:c r="M14" s="38" t="inlineStr">
        <x:is>
          <x:t xml:space="preserve">theophysics-lean-main</x:t>
        </x:is>
      </x:c>
      <x:c r="N14" s="38" t="inlineStr">
        <x:is>
          <x:t xml:space="preserve">theophysics-lean-main\theophysics-lean-main\Theophysics_Core.lean</x:t>
        </x:is>
      </x:c>
      <x:c r="O14" s="38" t="inlineStr">
        <x:is>
          <x:t xml:space="preserve">164</x:t>
        </x:is>
      </x:c>
      <x:c r="P14" s="38" t="inlineStr">
        <x:is>
          <x:t xml:space="preserve">TRIVIAL_TRUE</x:t>
        </x:is>
      </x:c>
      <x:c r="Q14" s="38" t="inlineStr">
        <x:is>
          <x:t xml:space="preserve">Statement is `True`; theorem name may exceed formal content.</x:t>
        </x:is>
      </x:c>
      <x:c r="R14" s="39" t="inlineStr">
        <x:is>
          <x:t xml:space="preserve">theorem confirmation_maps_to_resurrection : True</x:t>
        </x:is>
      </x:c>
    </x:row>
    <x:row r="15" ht="15" customHeight="1">
      <x:c r="A15" s="37" t="inlineStr">
        <x:is>
          <x:t xml:space="preserve">\\192.168.2.50\h_hp\Desktop\Master EXCEL\Lean 4.xlsx</x:t>
        </x:is>
      </x:c>
      <x:c r="B15" s="38" t="inlineStr">
        <x:is>
          <x:t xml:space="preserve">LEAN_DERIVATION_CHAIN</x:t>
        </x:is>
      </x:c>
      <x:c r="C15" s="38" t="inlineStr">
        <x:is>
          <x:t xml:space="preserve">19</x:t>
        </x:is>
      </x:c>
      <x:c r="D15" s="38" t="inlineStr">
        <x:is>
          <x:t xml:space="preserve">14</x:t>
        </x:is>
      </x:c>
      <x:c r="E15" s="38" t="inlineStr">
        <x:is>
          <x:t xml:space="preserve">3 — Bridge</x:t>
        </x:is>
      </x:c>
      <x:c r="F15" s="38" t="inlineStr">
        <x:is>
          <x:t xml:space="preserve">BridgeMatrix.lean</x:t>
        </x:is>
      </x:c>
      <x:c r="G15" s="38" t="inlineStr">
        <x:is>
          <x:t xml:space="preserve">canonicalRows_all_valid</x:t>
        </x:is>
      </x:c>
      <x:c r="H15" s="38" t="inlineStr">
        <x:is>
          <x:t xml:space="preserve">All 10 canonical bridge rows pass signature validation</x:t>
        </x:is>
      </x:c>
      <x:c r="I15" s="38" t="inlineStr">
        <x:is>
          <x:t xml:space="preserve">rfl</x:t>
        </x:is>
      </x:c>
      <x:c r="J15" s="38" t="inlineStr">
        <x:is>
          <x:t xml:space="preserve">PROVED</x:t>
        </x:is>
      </x:c>
      <x:c r="K15" s="38" t="inlineStr">
        <x:is>
          <x:t xml:space="preserve">L1-Q4, L7-Q4</x:t>
        </x:is>
      </x:c>
      <x:c r="L15" s="38" t="inlineStr">
        <x:is>
          <x:t xml:space="preserve">8</x:t>
        </x:is>
      </x:c>
      <x:c r="M15" s="38" t="inlineStr">
        <x:is>
          <x:t xml:space="preserve">theophysics-lean-main</x:t>
        </x:is>
      </x:c>
      <x:c r="N15" s="38" t="inlineStr">
        <x:is>
          <x:t xml:space="preserve">theophysics-lean-main\theophysics-lean-main\Final_Lean4_From_Excel.lean</x:t>
        </x:is>
      </x:c>
      <x:c r="O15" s="38" t="inlineStr">
        <x:is>
          <x:t xml:space="preserve">196</x:t>
        </x:is>
      </x:c>
      <x:c r="P15" s="38" t="inlineStr">
        <x:is>
          <x:t xml:space="preserve">FINITE_DECIDABLE</x:t>
        </x:is>
      </x:c>
      <x:c r="Q15" s="38" t="inlineStr">
        <x:is>
          <x:t xml:space="preserve">Finite/decidable proof; check candidate-space limits.</x:t>
        </x:is>
      </x:c>
      <x:c r="R15" s="39" t="inlineStr">
        <x:is>
          <x:t xml:space="preserve">theorem canonicalRows_all_valid : (signatureOfFactor G).domain = DomainKind.nonnegative ∧ (signatureOfFactor M).domain = DomainKind.signedAlignment ∧ (signatureOfFactor E).mechanism = BridgeMechanism.signalFidelity</x:t>
        </x:is>
      </x:c>
    </x:row>
    <x:row r="16" ht="15" customHeight="1">
      <x:c r="A16" s="37" t="inlineStr">
        <x:is>
          <x:t xml:space="preserve">\\192.168.2.50\h_hp\Desktop\Master EXCEL\Lean 4.xlsx</x:t>
        </x:is>
      </x:c>
      <x:c r="B16" s="38" t="inlineStr">
        <x:is>
          <x:t xml:space="preserve">LEAN_DERIVATION_CHAIN</x:t>
        </x:is>
      </x:c>
      <x:c r="C16" s="38" t="inlineStr">
        <x:is>
          <x:t xml:space="preserve">20</x:t>
        </x:is>
      </x:c>
      <x:c r="D16" s="38" t="inlineStr">
        <x:is>
          <x:t xml:space="preserve">15</x:t>
        </x:is>
      </x:c>
      <x:c r="E16" s="38" t="inlineStr">
        <x:is>
          <x:t xml:space="preserve">3 — Bridge</x:t>
        </x:is>
      </x:c>
      <x:c r="F16" s="38" t="inlineStr">
        <x:is>
          <x:t xml:space="preserve">BridgeMatrix.lean</x:t>
        </x:is>
      </x:c>
      <x:c r="G16" s="38" t="inlineStr">
        <x:is>
          <x:t xml:space="preserve">grace_swapped_with_faith_invalid</x:t>
        </x:is>
      </x:c>
      <x:c r="H16" s="38" t="inlineStr">
        <x:is>
          <x:t xml:space="preserve">REJECTION: Swapping grace↔faith breaks the signature</x:t>
        </x:is>
      </x:c>
      <x:c r="I16" s="38" t="inlineStr">
        <x:is>
          <x:t xml:space="preserve">decide</x:t>
        </x:is>
      </x:c>
      <x:c r="J16" s="38" t="inlineStr">
        <x:is>
          <x:t xml:space="preserve">REJECTION</x:t>
        </x:is>
      </x:c>
      <x:c r="K16" s="38" t="inlineStr">
        <x:is>
          <x:t xml:space="preserve">L1-Q4</x:t>
        </x:is>
      </x:c>
      <x:c r="L16" s="38" t="inlineStr">
        <x:is>
          <x:t xml:space="preserve">4</x:t>
        </x:is>
      </x:c>
      <x:c r="M16" s="38" t="inlineStr">
        <x:is>
          <x:t xml:space="preserve">theophysics-lean-main</x:t>
        </x:is>
      </x:c>
      <x:c r="N16" s="38" t="inlineStr">
        <x:is>
          <x:t xml:space="preserve">theophysics-lean-main\theophysics-lean-main\Final_Lean4_From_Excel.lean</x:t>
        </x:is>
      </x:c>
      <x:c r="O16" s="38" t="inlineStr">
        <x:is>
          <x:t xml:space="preserve">202</x:t>
        </x:is>
      </x:c>
      <x:c r="P16" s="38" t="inlineStr">
        <x:is>
          <x:t xml:space="preserve">FINITE_DECIDABLE</x:t>
        </x:is>
      </x:c>
      <x:c r="Q16" s="38" t="inlineStr">
        <x:is>
          <x:t xml:space="preserve">Finite/decidable proof; check candidate-space limits.</x:t>
        </x:is>
      </x:c>
      <x:c r="R16" s="39" t="inlineStr">
        <x:is>
          <x:t xml:space="preserve">theorem grace_swapped_with_faith_invalid : signatureOfFactor G ≠ signatureOfFactor F</x:t>
        </x:is>
      </x:c>
    </x:row>
    <x:row r="17" ht="15" customHeight="1">
      <x:c r="A17" s="37" t="inlineStr">
        <x:is>
          <x:t xml:space="preserve">\\192.168.2.50\h_hp\Desktop\Master EXCEL\Lean 4.xlsx</x:t>
        </x:is>
      </x:c>
      <x:c r="B17" s="38" t="inlineStr">
        <x:is>
          <x:t xml:space="preserve">LEAN_DERIVATION_CHAIN</x:t>
        </x:is>
      </x:c>
      <x:c r="C17" s="38" t="inlineStr">
        <x:is>
          <x:t xml:space="preserve">21</x:t>
        </x:is>
      </x:c>
      <x:c r="D17" s="38" t="inlineStr">
        <x:is>
          <x:t xml:space="preserve">16</x:t>
        </x:is>
      </x:c>
      <x:c r="E17" s="38" t="inlineStr">
        <x:is>
          <x:t xml:space="preserve">3 — Bridge</x:t>
        </x:is>
      </x:c>
      <x:c r="F17" s="38" t="inlineStr">
        <x:is>
          <x:t xml:space="preserve">BridgeMatrix.lean</x:t>
        </x:is>
      </x:c>
      <x:c r="G17" s="38" t="inlineStr">
        <x:is>
          <x:t xml:space="preserve">entropy_swapped_with_grace_invalid</x:t>
        </x:is>
      </x:c>
      <x:c r="H17" s="38" t="inlineStr">
        <x:is>
          <x:t xml:space="preserve">REJECTION: Swapping entropy↔grace breaks the signature</x:t>
        </x:is>
      </x:c>
      <x:c r="I17" s="38" t="inlineStr">
        <x:is>
          <x:t xml:space="preserve">decide</x:t>
        </x:is>
      </x:c>
      <x:c r="J17" s="38" t="inlineStr">
        <x:is>
          <x:t xml:space="preserve">REJECTION</x:t>
        </x:is>
      </x:c>
      <x:c r="K17" s="38" t="inlineStr">
        <x:is>
          <x:t xml:space="preserve">L2-Q5</x:t>
        </x:is>
      </x:c>
      <x:c r="L17" s="38" t="inlineStr">
        <x:is>
          <x:t xml:space="preserve">4</x:t>
        </x:is>
      </x:c>
      <x:c r="M17" s="38" t="inlineStr">
        <x:is>
          <x:t xml:space="preserve">theophysics-lean-main</x:t>
        </x:is>
      </x:c>
      <x:c r="N17" s="38" t="inlineStr">
        <x:is>
          <x:t xml:space="preserve">theophysics-lean-main\theophysics-lean-main\Final_Lean4_From_Excel.lean</x:t>
        </x:is>
      </x:c>
      <x:c r="O17" s="38" t="inlineStr">
        <x:is>
          <x:t xml:space="preserve">206</x:t>
        </x:is>
      </x:c>
      <x:c r="P17" s="38" t="inlineStr">
        <x:is>
          <x:t xml:space="preserve">FINITE_DECIDABLE</x:t>
        </x:is>
      </x:c>
      <x:c r="Q17" s="38" t="inlineStr">
        <x:is>
          <x:t xml:space="preserve">Finite/decidable proof; check candidate-space limits.</x:t>
        </x:is>
      </x:c>
      <x:c r="R17" s="39" t="inlineStr">
        <x:is>
          <x:t xml:space="preserve">theorem entropy_swapped_with_grace_invalid : signatureOfFactor S ≠ signatureOfFactor G</x:t>
        </x:is>
      </x:c>
    </x:row>
    <x:row r="18" ht="15" customHeight="1">
      <x:c r="A18" s="37" t="inlineStr">
        <x:is>
          <x:t xml:space="preserve">\\192.168.2.50\h_hp\Desktop\Master EXCEL\Lean 4.xlsx</x:t>
        </x:is>
      </x:c>
      <x:c r="B18" s="38" t="inlineStr">
        <x:is>
          <x:t xml:space="preserve">LEAN_DERIVATION_CHAIN</x:t>
        </x:is>
      </x:c>
      <x:c r="C18" s="38" t="inlineStr">
        <x:is>
          <x:t xml:space="preserve">22</x:t>
        </x:is>
      </x:c>
      <x:c r="D18" s="38" t="inlineStr">
        <x:is>
          <x:t xml:space="preserve">17</x:t>
        </x:is>
      </x:c>
      <x:c r="E18" s="38" t="inlineStr">
        <x:is>
          <x:t xml:space="preserve">3 — Bridge</x:t>
        </x:is>
      </x:c>
      <x:c r="F18" s="38" t="inlineStr">
        <x:is>
          <x:t xml:space="preserve">BridgeMatrix.lean</x:t>
        </x:is>
      </x:c>
      <x:c r="G18" s="38" t="inlineStr">
        <x:is>
          <x:t xml:space="preserve">compression_swapped_with_communion_invalid</x:t>
        </x:is>
      </x:c>
      <x:c r="H18" s="38" t="inlineStr">
        <x:is>
          <x:t xml:space="preserve">REJECTION: K↔F swap rejected</x:t>
        </x:is>
      </x:c>
      <x:c r="I18" s="38" t="inlineStr">
        <x:is>
          <x:t xml:space="preserve">decide</x:t>
        </x:is>
      </x:c>
      <x:c r="J18" s="38" t="inlineStr">
        <x:is>
          <x:t xml:space="preserve">REJECTION</x:t>
        </x:is>
      </x:c>
      <x:c r="K18" s="38" t="inlineStr">
        <x:is>
          <x:t xml:space="preserve">L1-Q4</x:t>
        </x:is>
      </x:c>
      <x:c r="L18" s="38" t="inlineStr">
        <x:is>
          <x:t xml:space="preserve">4</x:t>
        </x:is>
      </x:c>
      <x:c r="M18" s="38" t="inlineStr">
        <x:is>
          <x:t xml:space="preserve">theophysics-lean-main</x:t>
        </x:is>
      </x:c>
      <x:c r="N18" s="38" t="inlineStr">
        <x:is>
          <x:t xml:space="preserve">theophysics-lean-main\theophysics-lean-main\Final_Lean4_From_Excel.lean</x:t>
        </x:is>
      </x:c>
      <x:c r="O18" s="38" t="inlineStr">
        <x:is>
          <x:t xml:space="preserve">210</x:t>
        </x:is>
      </x:c>
      <x:c r="P18" s="38" t="inlineStr">
        <x:is>
          <x:t xml:space="preserve">WRAPPER_OR_IMPORTED</x:t>
        </x:is>
      </x:c>
      <x:c r="Q18" s="38" t="inlineStr">
        <x:is>
          <x:t xml:space="preserve">Likely delegates to another theorem; cite underlying theorem too.</x:t>
        </x:is>
      </x:c>
      <x:c r="R18" s="39" t="inlineStr">
        <x:is>
          <x:t xml:space="preserve">theorem compression_swapped_with_communion_invalid : signatureOfFactor K ≠ signatureOfFactor F</x:t>
        </x:is>
      </x:c>
    </x:row>
    <x:row r="19" ht="15" customHeight="1">
      <x:c r="A19" s="37" t="inlineStr">
        <x:is>
          <x:t xml:space="preserve">\\192.168.2.50\h_hp\Desktop\Master EXCEL\Lean 4.xlsx</x:t>
        </x:is>
      </x:c>
      <x:c r="B19" s="38" t="inlineStr">
        <x:is>
          <x:t xml:space="preserve">LEAN_DERIVATION_CHAIN</x:t>
        </x:is>
      </x:c>
      <x:c r="C19" s="38" t="inlineStr">
        <x:is>
          <x:t xml:space="preserve">23</x:t>
        </x:is>
      </x:c>
      <x:c r="D19" s="38" t="inlineStr">
        <x:is>
          <x:t xml:space="preserve">18</x:t>
        </x:is>
      </x:c>
      <x:c r="E19" s="38" t="inlineStr">
        <x:is>
          <x:t xml:space="preserve">3 — Bridge</x:t>
        </x:is>
      </x:c>
      <x:c r="F19" s="38" t="inlineStr">
        <x:is>
          <x:t xml:space="preserve">BridgeMatrix.lean</x:t>
        </x:is>
      </x:c>
      <x:c r="G19" s="38" t="inlineStr">
        <x:is>
          <x:t xml:space="preserve">coherence_swapped_with_consequence_lock_invalid</x:t>
        </x:is>
      </x:c>
      <x:c r="H19" s="38" t="inlineStr">
        <x:is>
          <x:t xml:space="preserve">REJECTION: C↔R swap rejected</x:t>
        </x:is>
      </x:c>
      <x:c r="I19" s="38" t="inlineStr">
        <x:is>
          <x:t xml:space="preserve">decide</x:t>
        </x:is>
      </x:c>
      <x:c r="J19" s="38" t="inlineStr">
        <x:is>
          <x:t xml:space="preserve">REJECTION</x:t>
        </x:is>
      </x:c>
      <x:c r="K19" s="38" t="inlineStr">
        <x:is>
          <x:t xml:space="preserve">L1-Q4</x:t>
        </x:is>
      </x:c>
      <x:c r="L19" s="38" t="inlineStr">
        <x:is>
          <x:t xml:space="preserve">4</x:t>
        </x:is>
      </x:c>
      <x:c r="M19" s="38" t="inlineStr">
        <x:is>
          <x:t xml:space="preserve">theophysics-lean-main</x:t>
        </x:is>
      </x:c>
      <x:c r="N19" s="38" t="inlineStr">
        <x:is>
          <x:t xml:space="preserve">theophysics-lean-main\theophysics-lean-main\Theophysics_Adversarial.lean</x:t>
        </x:is>
      </x:c>
      <x:c r="O19" s="38" t="inlineStr">
        <x:is>
          <x:t xml:space="preserve">334</x:t>
        </x:is>
      </x:c>
      <x:c r="P19" s="38" t="inlineStr">
        <x:is>
          <x:t xml:space="preserve">DEFINITIONAL_RFL</x:t>
        </x:is>
      </x:c>
      <x:c r="Q19" s="38" t="inlineStr">
        <x:is>
          <x:t xml:space="preserve">Proves definitional equality by reduction; useful but narrow.</x:t>
        </x:is>
      </x:c>
      <x:c r="R19" s="39" t="inlineStr">
        <x:is>
          <x:t xml:space="preserve">theorem coherence_swapped_with_consequence_lock_invalid : bridgeFailureRejected BridgeFailure.coherenceConsequenceLockSwap = true</x:t>
        </x:is>
      </x:c>
    </x:row>
    <x:row r="20" ht="15" customHeight="1">
      <x:c r="A20" s="37" t="inlineStr">
        <x:is>
          <x:t xml:space="preserve">\\192.168.2.50\h_hp\Desktop\Master EXCEL\Lean 4.xlsx</x:t>
        </x:is>
      </x:c>
      <x:c r="B20" s="38" t="inlineStr">
        <x:is>
          <x:t xml:space="preserve">LEAN_DERIVATION_CHAIN</x:t>
        </x:is>
      </x:c>
      <x:c r="C20" s="38" t="inlineStr">
        <x:is>
          <x:t xml:space="preserve">24</x:t>
        </x:is>
      </x:c>
      <x:c r="D20" s="38" t="inlineStr">
        <x:is>
          <x:t xml:space="preserve">19</x:t>
        </x:is>
      </x:c>
      <x:c r="E20" s="38" t="inlineStr">
        <x:is>
          <x:t xml:space="preserve">3 — Bridge</x:t>
        </x:is>
      </x:c>
      <x:c r="F20" s="38" t="inlineStr">
        <x:is>
          <x:t xml:space="preserve">BridgeMatrix.lean</x:t>
        </x:is>
      </x:c>
      <x:c r="G20" s="38" t="inlineStr">
        <x:is>
          <x:t xml:space="preserve">wrong_physical_for_grace_invalid</x:t>
        </x:is>
      </x:c>
      <x:c r="H20" s="38" t="inlineStr">
        <x:is>
          <x:t xml:space="preserve">REJECTION: Assigning entanglement to G rejected</x:t>
        </x:is>
      </x:c>
      <x:c r="I20" s="38" t="inlineStr">
        <x:is>
          <x:t xml:space="preserve">decide</x:t>
        </x:is>
      </x:c>
      <x:c r="J20" s="38" t="inlineStr">
        <x:is>
          <x:t xml:space="preserve">REJECTION</x:t>
        </x:is>
      </x:c>
      <x:c r="K20" s="38" t="inlineStr">
        <x:is>
          <x:t xml:space="preserve">L1-Q4</x:t>
        </x:is>
      </x:c>
      <x:c r="L20" s="38" t="inlineStr">
        <x:is>
          <x:t xml:space="preserve">4</x:t>
        </x:is>
      </x:c>
      <x:c r="M20" s="38" t="inlineStr">
        <x:is>
          <x:t xml:space="preserve">theophysics-lean-main</x:t>
        </x:is>
      </x:c>
      <x:c r="N20" s="38" t="inlineStr">
        <x:is>
          <x:t xml:space="preserve">theophysics-lean-main\theophysics-lean-main\Theophysics_Adversarial.lean</x:t>
        </x:is>
      </x:c>
      <x:c r="O20" s="38" t="inlineStr">
        <x:is>
          <x:t xml:space="preserve">338</x:t>
        </x:is>
      </x:c>
      <x:c r="P20" s="38" t="inlineStr">
        <x:is>
          <x:t xml:space="preserve">DEFINITIONAL_RFL</x:t>
        </x:is>
      </x:c>
      <x:c r="Q20" s="38" t="inlineStr">
        <x:is>
          <x:t xml:space="preserve">Proves definitional equality by reduction; useful but narrow.</x:t>
        </x:is>
      </x:c>
      <x:c r="R20" s="39" t="inlineStr">
        <x:is>
          <x:t xml:space="preserve">theorem wrong_physical_for_grace_invalid : bridgeFailureRejected BridgeFailure.wrongPhysicalGrace = true</x:t>
        </x:is>
      </x:c>
    </x:row>
    <x:row r="21" ht="15" customHeight="1">
      <x:c r="A21" s="37" t="inlineStr">
        <x:is>
          <x:t xml:space="preserve">\\192.168.2.50\h_hp\Desktop\Master EXCEL\Lean 4.xlsx</x:t>
        </x:is>
      </x:c>
      <x:c r="B21" s="38" t="inlineStr">
        <x:is>
          <x:t xml:space="preserve">LEAN_DERIVATION_CHAIN</x:t>
        </x:is>
      </x:c>
      <x:c r="C21" s="38" t="inlineStr">
        <x:is>
          <x:t xml:space="preserve">25</x:t>
        </x:is>
      </x:c>
      <x:c r="D21" s="38" t="inlineStr">
        <x:is>
          <x:t xml:space="preserve">20</x:t>
        </x:is>
      </x:c>
      <x:c r="E21" s="38" t="inlineStr">
        <x:is>
          <x:t xml:space="preserve">3 — Bridge</x:t>
        </x:is>
      </x:c>
      <x:c r="F21" s="38" t="inlineStr">
        <x:is>
          <x:t xml:space="preserve">BridgeMatrix.lean</x:t>
        </x:is>
      </x:c>
      <x:c r="G21" s="38" t="inlineStr">
        <x:is>
          <x:t xml:space="preserve">arbitrary_grace_clone_matches_G</x:t>
        </x:is>
      </x:c>
      <x:c r="H21" s="38" t="inlineStr">
        <x:is>
          <x:t xml:space="preserve">A new term with G's signature passes structurally — adversarial boundary: label honesty cannot be verified</x:t>
        </x:is>
      </x:c>
      <x:c r="I21" s="38" t="inlineStr">
        <x:is>
          <x:t xml:space="preserve">decide</x:t>
        </x:is>
      </x:c>
      <x:c r="J21" s="38" t="inlineStr">
        <x:is>
          <x:t xml:space="preserve">BOUNDARY</x:t>
        </x:is>
      </x:c>
      <x:c r="K21" s="38" t="inlineStr">
        <x:is>
          <x:t xml:space="preserve">COMPRESS-4</x:t>
        </x:is>
      </x:c>
      <x:c r="L21" s="38" t="inlineStr">
        <x:is>
          <x:t xml:space="preserve">4</x:t>
        </x:is>
      </x:c>
      <x:c r="M21" s="38" t="inlineStr">
        <x:is>
          <x:t xml:space="preserve">theophysics-lean-main</x:t>
        </x:is>
      </x:c>
      <x:c r="N21" s="38" t="inlineStr">
        <x:is>
          <x:t xml:space="preserve">theophysics-lean-main\theophysics-lean-main\Theophysics_Adversarial.lean</x:t>
        </x:is>
      </x:c>
      <x:c r="O21" s="38" t="inlineStr">
        <x:is>
          <x:t xml:space="preserve">342</x:t>
        </x:is>
      </x:c>
      <x:c r="P21" s="38" t="inlineStr">
        <x:is>
          <x:t xml:space="preserve">DEFINITIONAL_RFL</x:t>
        </x:is>
      </x:c>
      <x:c r="Q21" s="38" t="inlineStr">
        <x:is>
          <x:t xml:space="preserve">Proves definitional equality by reduction; useful but narrow.</x:t>
        </x:is>
      </x:c>
      <x:c r="R21" s="39" t="inlineStr">
        <x:is>
          <x:t xml:space="preserve">theorem arbitrary_grace_clone_matches_G : arbitraryGraceCloneMatchesG = true</x:t>
        </x:is>
      </x:c>
    </x:row>
    <x:row r="22" ht="15" customHeight="1">
      <x:c r="A22" s="37" t="inlineStr">
        <x:is>
          <x:t xml:space="preserve">\\192.168.2.50\h_hp\Desktop\Master EXCEL\Lean 4.xlsx</x:t>
        </x:is>
      </x:c>
      <x:c r="B22" s="38" t="inlineStr">
        <x:is>
          <x:t xml:space="preserve">LEAN_DERIVATION_CHAIN</x:t>
        </x:is>
      </x:c>
      <x:c r="C22" s="38" t="inlineStr">
        <x:is>
          <x:t xml:space="preserve">26</x:t>
        </x:is>
      </x:c>
      <x:c r="D22" s="38" t="inlineStr">
        <x:is>
          <x:t xml:space="preserve">21</x:t>
        </x:is>
      </x:c>
      <x:c r="E22" s="38" t="inlineStr">
        <x:is>
          <x:t xml:space="preserve">3 — Bridge</x:t>
        </x:is>
      </x:c>
      <x:c r="F22" s="38" t="inlineStr">
        <x:is>
          <x:t xml:space="preserve">BridgeMatrix.lean</x:t>
        </x:is>
      </x:c>
      <x:c r="G22" s="38" t="inlineStr">
        <x:is>
          <x:t xml:space="preserve">arbitrary_faith_clone_does_not_match_G</x:t>
        </x:is>
      </x:c>
      <x:c r="H22" s="38" t="inlineStr">
        <x:is>
          <x:t xml:space="preserve">REJECTION: A term with Q's signature fails the G slot</x:t>
        </x:is>
      </x:c>
      <x:c r="I22" s="38" t="inlineStr">
        <x:is>
          <x:t xml:space="preserve">decide</x:t>
        </x:is>
      </x:c>
      <x:c r="J22" s="38" t="inlineStr">
        <x:is>
          <x:t xml:space="preserve">REJECTION</x:t>
        </x:is>
      </x:c>
      <x:c r="K22" s="38" t="inlineStr">
        <x:is>
          <x:t xml:space="preserve">L1-Q4</x:t>
        </x:is>
      </x:c>
      <x:c r="L22" s="38" t="inlineStr">
        <x:is>
          <x:t xml:space="preserve">4</x:t>
        </x:is>
      </x:c>
      <x:c r="M22" s="38" t="inlineStr">
        <x:is>
          <x:t xml:space="preserve">theophysics-lean-main</x:t>
        </x:is>
      </x:c>
      <x:c r="N22" s="38" t="inlineStr">
        <x:is>
          <x:t xml:space="preserve">theophysics-lean-main\theophysics-lean-main\Theophysics_Adversarial.lean</x:t>
        </x:is>
      </x:c>
      <x:c r="O22" s="38" t="inlineStr">
        <x:is>
          <x:t xml:space="preserve">346</x:t>
        </x:is>
      </x:c>
      <x:c r="P22" s="38" t="inlineStr">
        <x:is>
          <x:t xml:space="preserve">DEFINITIONAL_RFL</x:t>
        </x:is>
      </x:c>
      <x:c r="Q22" s="38" t="inlineStr">
        <x:is>
          <x:t xml:space="preserve">Proves definitional equality by reduction; useful but narrow.</x:t>
        </x:is>
      </x:c>
      <x:c r="R22" s="39" t="inlineStr">
        <x:is>
          <x:t xml:space="preserve">theorem arbitrary_faith_clone_does_not_match_G : bridgeFailureRejected BridgeFailure.arbitraryFaithClone = true</x:t>
        </x:is>
      </x:c>
    </x:row>
    <x:row r="23" ht="15" customHeight="1">
      <x:c r="A23" s="37" t="inlineStr">
        <x:is>
          <x:t xml:space="preserve">\\192.168.2.50\h_hp\Desktop\Master EXCEL\Lean 4.xlsx</x:t>
        </x:is>
      </x:c>
      <x:c r="B23" s="38" t="inlineStr">
        <x:is>
          <x:t xml:space="preserve">LEAN_DERIVATION_CHAIN</x:t>
        </x:is>
      </x:c>
      <x:c r="C23" s="38" t="inlineStr">
        <x:is>
          <x:t xml:space="preserve">27</x:t>
        </x:is>
      </x:c>
      <x:c r="D23" s="38" t="inlineStr">
        <x:is>
          <x:t xml:space="preserve">22</x:t>
        </x:is>
      </x:c>
      <x:c r="E23" s="38" t="inlineStr">
        <x:is>
          <x:t xml:space="preserve">3 — Bridge</x:t>
        </x:is>
      </x:c>
      <x:c r="F23" s="38" t="inlineStr">
        <x:is>
          <x:t xml:space="preserve">BridgeMatrix.lean</x:t>
        </x:is>
      </x:c>
      <x:c r="G23" s="38" t="inlineStr">
        <x:is>
          <x:t xml:space="preserve">full_G_zero_collapses</x:t>
        </x:is>
      </x:c>
      <x:c r="H23" s="38" t="inlineStr">
        <x:is>
          <x:t xml:space="preserve">G=0 → χ=0</x:t>
        </x:is>
      </x:c>
      <x:c r="I23" s="38" t="inlineStr">
        <x:is>
          <x:t xml:space="preserve">simp</x:t>
        </x:is>
      </x:c>
      <x:c r="J23" s="38" t="inlineStr">
        <x:is>
          <x:t xml:space="preserve">PROVED</x:t>
        </x:is>
      </x:c>
      <x:c r="K23" s="38" t="inlineStr">
        <x:is>
          <x:t xml:space="preserve">L1-Q2</x:t>
        </x:is>
      </x:c>
      <x:c r="L23" s="38" t="inlineStr">
        <x:is>
          <x:t xml:space="preserve">4</x:t>
        </x:is>
      </x:c>
      <x:c r="M23" s="38" t="inlineStr">
        <x:is>
          <x:t xml:space="preserve">theophysics-lean-main</x:t>
        </x:is>
      </x:c>
      <x:c r="N23" s="38" t="inlineStr">
        <x:is>
          <x:t xml:space="preserve">theophysics-lean-main\theophysics-lean-main\Theophysics_Core.lean</x:t>
        </x:is>
      </x:c>
      <x:c r="O23" s="38" t="inlineStr">
        <x:is>
          <x:t xml:space="preserve">177</x:t>
        </x:is>
      </x:c>
      <x:c r="P23" s="38" t="inlineStr">
        <x:is>
          <x:t xml:space="preserve">TRIVIAL_TRUE</x:t>
        </x:is>
      </x:c>
      <x:c r="Q23" s="38" t="inlineStr">
        <x:is>
          <x:t xml:space="preserve">Statement is `True`; theorem name may exceed formal content.</x:t>
        </x:is>
      </x:c>
      <x:c r="R23" s="39" t="inlineStr">
        <x:is>
          <x:t xml:space="preserve">theorem full_G_zero_collapses : True</x:t>
        </x:is>
      </x:c>
    </x:row>
    <x:row r="24" ht="15" customHeight="1">
      <x:c r="A24" s="37" t="inlineStr">
        <x:is>
          <x:t xml:space="preserve">\\192.168.2.50\h_hp\Desktop\Master EXCEL\Lean 4.xlsx</x:t>
        </x:is>
      </x:c>
      <x:c r="B24" s="38" t="inlineStr">
        <x:is>
          <x:t xml:space="preserve">LEAN_DERIVATION_CHAIN</x:t>
        </x:is>
      </x:c>
      <x:c r="C24" s="38" t="inlineStr">
        <x:is>
          <x:t xml:space="preserve">28</x:t>
        </x:is>
      </x:c>
      <x:c r="D24" s="38" t="inlineStr">
        <x:is>
          <x:t xml:space="preserve">23</x:t>
        </x:is>
      </x:c>
      <x:c r="E24" s="38" t="inlineStr">
        <x:is>
          <x:t xml:space="preserve">3 — Bridge</x:t>
        </x:is>
      </x:c>
      <x:c r="F24" s="38" t="inlineStr">
        <x:is>
          <x:t xml:space="preserve">BridgeMatrix.lean</x:t>
        </x:is>
      </x:c>
      <x:c r="G24" s="38" t="inlineStr">
        <x:is>
          <x:t xml:space="preserve">full_M_zero_collapses</x:t>
        </x:is>
      </x:c>
      <x:c r="H24" s="38" t="inlineStr">
        <x:is>
          <x:t xml:space="preserve">M=0 → χ=0</x:t>
        </x:is>
      </x:c>
      <x:c r="I24" s="38" t="inlineStr">
        <x:is>
          <x:t xml:space="preserve">simp</x:t>
        </x:is>
      </x:c>
      <x:c r="J24" s="38" t="inlineStr">
        <x:is>
          <x:t xml:space="preserve">PROVED</x:t>
        </x:is>
      </x:c>
      <x:c r="K24" s="38" t="inlineStr">
        <x:is>
          <x:t xml:space="preserve">L1-Q2</x:t>
        </x:is>
      </x:c>
      <x:c r="L24" s="38" t="inlineStr">
        <x:is>
          <x:t xml:space="preserve">4</x:t>
        </x:is>
      </x:c>
      <x:c r="M24" s="38" t="inlineStr">
        <x:is>
          <x:t xml:space="preserve">theophysics-lean-main</x:t>
        </x:is>
      </x:c>
      <x:c r="N24" s="38" t="inlineStr">
        <x:is>
          <x:t xml:space="preserve">theophysics-lean-main\theophysics-lean-main\Theophysics_Core.lean</x:t>
        </x:is>
      </x:c>
      <x:c r="O24" s="38" t="inlineStr">
        <x:is>
          <x:t xml:space="preserve">179</x:t>
        </x:is>
      </x:c>
      <x:c r="P24" s="38" t="inlineStr">
        <x:is>
          <x:t xml:space="preserve">TRIVIAL_TRUE</x:t>
        </x:is>
      </x:c>
      <x:c r="Q24" s="38" t="inlineStr">
        <x:is>
          <x:t xml:space="preserve">Statement is `True`; theorem name may exceed formal content.</x:t>
        </x:is>
      </x:c>
      <x:c r="R24" s="39" t="inlineStr">
        <x:is>
          <x:t xml:space="preserve">theorem full_M_zero_collapses : True</x:t>
        </x:is>
      </x:c>
    </x:row>
    <x:row r="25" ht="15" customHeight="1">
      <x:c r="A25" s="37" t="inlineStr">
        <x:is>
          <x:t xml:space="preserve">\\192.168.2.50\h_hp\Desktop\Master EXCEL\Lean 4.xlsx</x:t>
        </x:is>
      </x:c>
      <x:c r="B25" s="38" t="inlineStr">
        <x:is>
          <x:t xml:space="preserve">LEAN_DERIVATION_CHAIN</x:t>
        </x:is>
      </x:c>
      <x:c r="C25" s="38" t="inlineStr">
        <x:is>
          <x:t xml:space="preserve">29</x:t>
        </x:is>
      </x:c>
      <x:c r="D25" s="38" t="inlineStr">
        <x:is>
          <x:t xml:space="preserve">24</x:t>
        </x:is>
      </x:c>
      <x:c r="E25" s="38" t="inlineStr">
        <x:is>
          <x:t xml:space="preserve">3 — Bridge</x:t>
        </x:is>
      </x:c>
      <x:c r="F25" s="38" t="inlineStr">
        <x:is>
          <x:t xml:space="preserve">BridgeMatrix.lean</x:t>
        </x:is>
      </x:c>
      <x:c r="G25" s="38" t="inlineStr">
        <x:is>
          <x:t xml:space="preserve">full_E_zero_collapses</x:t>
        </x:is>
      </x:c>
      <x:c r="H25" s="38" t="inlineStr">
        <x:is>
          <x:t xml:space="preserve">E=0 → χ=0</x:t>
        </x:is>
      </x:c>
      <x:c r="I25" s="38" t="inlineStr">
        <x:is>
          <x:t xml:space="preserve">simp</x:t>
        </x:is>
      </x:c>
      <x:c r="J25" s="38" t="inlineStr">
        <x:is>
          <x:t xml:space="preserve">PROVED</x:t>
        </x:is>
      </x:c>
      <x:c r="K25" s="38" t="inlineStr">
        <x:is>
          <x:t xml:space="preserve">L1-Q2</x:t>
        </x:is>
      </x:c>
      <x:c r="L25" s="38" t="inlineStr">
        <x:is>
          <x:t xml:space="preserve">4</x:t>
        </x:is>
      </x:c>
      <x:c r="M25" s="38" t="inlineStr">
        <x:is>
          <x:t xml:space="preserve">theophysics-lean-main</x:t>
        </x:is>
      </x:c>
      <x:c r="N25" s="38" t="inlineStr">
        <x:is>
          <x:t xml:space="preserve">theophysics-lean-main\theophysics-lean-main\Theophysics_Core.lean</x:t>
        </x:is>
      </x:c>
      <x:c r="O25" s="38" t="inlineStr">
        <x:is>
          <x:t xml:space="preserve">175</x:t>
        </x:is>
      </x:c>
      <x:c r="P25" s="38" t="inlineStr">
        <x:is>
          <x:t xml:space="preserve">TRIVIAL_TRUE</x:t>
        </x:is>
      </x:c>
      <x:c r="Q25" s="38" t="inlineStr">
        <x:is>
          <x:t xml:space="preserve">Statement is `True`; theorem name may exceed formal content.</x:t>
        </x:is>
      </x:c>
      <x:c r="R25" s="39" t="inlineStr">
        <x:is>
          <x:t xml:space="preserve">theorem full_E_zero_collapses : True</x:t>
        </x:is>
      </x:c>
    </x:row>
    <x:row r="26" ht="15" customHeight="1">
      <x:c r="A26" s="37" t="inlineStr">
        <x:is>
          <x:t xml:space="preserve">\\192.168.2.50\h_hp\Desktop\Master EXCEL\Lean 4.xlsx</x:t>
        </x:is>
      </x:c>
      <x:c r="B26" s="38" t="inlineStr">
        <x:is>
          <x:t xml:space="preserve">LEAN_DERIVATION_CHAIN</x:t>
        </x:is>
      </x:c>
      <x:c r="C26" s="38" t="inlineStr">
        <x:is>
          <x:t xml:space="preserve">30</x:t>
        </x:is>
      </x:c>
      <x:c r="D26" s="38" t="inlineStr">
        <x:is>
          <x:t xml:space="preserve">25</x:t>
        </x:is>
      </x:c>
      <x:c r="E26" s="38" t="inlineStr">
        <x:is>
          <x:t xml:space="preserve">3 — Bridge</x:t>
        </x:is>
      </x:c>
      <x:c r="F26" s="38" t="inlineStr">
        <x:is>
          <x:t xml:space="preserve">BridgeMatrix.lean</x:t>
        </x:is>
      </x:c>
      <x:c r="G26" s="38" t="inlineStr">
        <x:is>
          <x:t xml:space="preserve">full_S_zero_collapses</x:t>
        </x:is>
      </x:c>
      <x:c r="H26" s="38" t="inlineStr">
        <x:is>
          <x:t xml:space="preserve">S=0 → χ=0</x:t>
        </x:is>
      </x:c>
      <x:c r="I26" s="38" t="inlineStr">
        <x:is>
          <x:t xml:space="preserve">simp</x:t>
        </x:is>
      </x:c>
      <x:c r="J26" s="38" t="inlineStr">
        <x:is>
          <x:t xml:space="preserve">PROVED</x:t>
        </x:is>
      </x:c>
      <x:c r="K26" s="38" t="inlineStr">
        <x:is>
          <x:t xml:space="preserve">L1-Q2</x:t>
        </x:is>
      </x:c>
      <x:c r="L26" s="38" t="inlineStr">
        <x:is>
          <x:t xml:space="preserve">4</x:t>
        </x:is>
      </x:c>
      <x:c r="M26" s="38" t="inlineStr">
        <x:is>
          <x:t xml:space="preserve">theophysics-lean-main</x:t>
        </x:is>
      </x:c>
      <x:c r="N26" s="38" t="inlineStr">
        <x:is>
          <x:t xml:space="preserve">theophysics-lean-main\theophysics-lean-main\Theophysics_Core.lean</x:t>
        </x:is>
      </x:c>
      <x:c r="O26" s="38" t="inlineStr">
        <x:is>
          <x:t xml:space="preserve">182</x:t>
        </x:is>
      </x:c>
      <x:c r="P26" s="38" t="inlineStr">
        <x:is>
          <x:t xml:space="preserve">TRIVIAL_TRUE</x:t>
        </x:is>
      </x:c>
      <x:c r="Q26" s="38" t="inlineStr">
        <x:is>
          <x:t xml:space="preserve">Statement is `True`; theorem name may exceed formal content.</x:t>
        </x:is>
      </x:c>
      <x:c r="R26" s="39" t="inlineStr">
        <x:is>
          <x:t xml:space="preserve">theorem full_S_zero_collapses : True</x:t>
        </x:is>
      </x:c>
    </x:row>
    <x:row r="27" ht="15" customHeight="1">
      <x:c r="A27" s="37" t="inlineStr">
        <x:is>
          <x:t xml:space="preserve">\\192.168.2.50\h_hp\Desktop\Master EXCEL\Lean 4.xlsx</x:t>
        </x:is>
      </x:c>
      <x:c r="B27" s="38" t="inlineStr">
        <x:is>
          <x:t xml:space="preserve">LEAN_DERIVATION_CHAIN</x:t>
        </x:is>
      </x:c>
      <x:c r="C27" s="38" t="inlineStr">
        <x:is>
          <x:t xml:space="preserve">31</x:t>
        </x:is>
      </x:c>
      <x:c r="D27" s="38" t="inlineStr">
        <x:is>
          <x:t xml:space="preserve">26</x:t>
        </x:is>
      </x:c>
      <x:c r="E27" s="38" t="inlineStr">
        <x:is>
          <x:t xml:space="preserve">3 — Bridge</x:t>
        </x:is>
      </x:c>
      <x:c r="F27" s="38" t="inlineStr">
        <x:is>
          <x:t xml:space="preserve">BridgeMatrix.lean</x:t>
        </x:is>
      </x:c>
      <x:c r="G27" s="38" t="inlineStr">
        <x:is>
          <x:t xml:space="preserve">full_T_zero_collapses</x:t>
        </x:is>
      </x:c>
      <x:c r="H27" s="38" t="inlineStr">
        <x:is>
          <x:t xml:space="preserve">T=0 → χ=0</x:t>
        </x:is>
      </x:c>
      <x:c r="I27" s="38" t="inlineStr">
        <x:is>
          <x:t xml:space="preserve">simp</x:t>
        </x:is>
      </x:c>
      <x:c r="J27" s="38" t="inlineStr">
        <x:is>
          <x:t xml:space="preserve">PROVED</x:t>
        </x:is>
      </x:c>
      <x:c r="K27" s="38" t="inlineStr">
        <x:is>
          <x:t xml:space="preserve">L1-Q2</x:t>
        </x:is>
      </x:c>
      <x:c r="L27" s="38" t="inlineStr">
        <x:is>
          <x:t xml:space="preserve">4</x:t>
        </x:is>
      </x:c>
      <x:c r="M27" s="38" t="inlineStr">
        <x:is>
          <x:t xml:space="preserve">theophysics-lean-main</x:t>
        </x:is>
      </x:c>
      <x:c r="N27" s="38" t="inlineStr">
        <x:is>
          <x:t xml:space="preserve">theophysics-lean-main\theophysics-lean-main\Theophysics_Core.lean</x:t>
        </x:is>
      </x:c>
      <x:c r="O27" s="38" t="inlineStr">
        <x:is>
          <x:t xml:space="preserve">183</x:t>
        </x:is>
      </x:c>
      <x:c r="P27" s="38" t="inlineStr">
        <x:is>
          <x:t xml:space="preserve">TRIVIAL_TRUE</x:t>
        </x:is>
      </x:c>
      <x:c r="Q27" s="38" t="inlineStr">
        <x:is>
          <x:t xml:space="preserve">Statement is `True`; theorem name may exceed formal content.</x:t>
        </x:is>
      </x:c>
      <x:c r="R27" s="39" t="inlineStr">
        <x:is>
          <x:t xml:space="preserve">theorem full_T_zero_collapses : True</x:t>
        </x:is>
      </x:c>
    </x:row>
    <x:row r="28" ht="15" customHeight="1">
      <x:c r="A28" s="37" t="inlineStr">
        <x:is>
          <x:t xml:space="preserve">\\192.168.2.50\h_hp\Desktop\Master EXCEL\Lean 4.xlsx</x:t>
        </x:is>
      </x:c>
      <x:c r="B28" s="38" t="inlineStr">
        <x:is>
          <x:t xml:space="preserve">LEAN_DERIVATION_CHAIN</x:t>
        </x:is>
      </x:c>
      <x:c r="C28" s="38" t="inlineStr">
        <x:is>
          <x:t xml:space="preserve">32</x:t>
        </x:is>
      </x:c>
      <x:c r="D28" s="38" t="inlineStr">
        <x:is>
          <x:t xml:space="preserve">27</x:t>
        </x:is>
      </x:c>
      <x:c r="E28" s="38" t="inlineStr">
        <x:is>
          <x:t xml:space="preserve">3 — Bridge</x:t>
        </x:is>
      </x:c>
      <x:c r="F28" s="38" t="inlineStr">
        <x:is>
          <x:t xml:space="preserve">BridgeMatrix.lean</x:t>
        </x:is>
      </x:c>
      <x:c r="G28" s="38" t="inlineStr">
        <x:is>
          <x:t xml:space="preserve">full_K_zero_collapses</x:t>
        </x:is>
      </x:c>
      <x:c r="H28" s="38" t="inlineStr">
        <x:is>
          <x:t xml:space="preserve">K=0 → χ=0</x:t>
        </x:is>
      </x:c>
      <x:c r="I28" s="38" t="inlineStr">
        <x:is>
          <x:t xml:space="preserve">simp</x:t>
        </x:is>
      </x:c>
      <x:c r="J28" s="38" t="inlineStr">
        <x:is>
          <x:t xml:space="preserve">PROVED</x:t>
        </x:is>
      </x:c>
      <x:c r="K28" s="38" t="inlineStr">
        <x:is>
          <x:t xml:space="preserve">L1-Q2</x:t>
        </x:is>
      </x:c>
      <x:c r="L28" s="38" t="inlineStr">
        <x:is>
          <x:t xml:space="preserve">4</x:t>
        </x:is>
      </x:c>
      <x:c r="M28" s="38" t="inlineStr">
        <x:is>
          <x:t xml:space="preserve">theophysics-lean-main</x:t>
        </x:is>
      </x:c>
      <x:c r="N28" s="38" t="inlineStr">
        <x:is>
          <x:t xml:space="preserve">theophysics-lean-main\theophysics-lean-main\Theophysics_Core.lean</x:t>
        </x:is>
      </x:c>
      <x:c r="O28" s="38" t="inlineStr">
        <x:is>
          <x:t xml:space="preserve">178</x:t>
        </x:is>
      </x:c>
      <x:c r="P28" s="38" t="inlineStr">
        <x:is>
          <x:t xml:space="preserve">TRIVIAL_TRUE</x:t>
        </x:is>
      </x:c>
      <x:c r="Q28" s="38" t="inlineStr">
        <x:is>
          <x:t xml:space="preserve">Statement is `True`; theorem name may exceed formal content.</x:t>
        </x:is>
      </x:c>
      <x:c r="R28" s="39" t="inlineStr">
        <x:is>
          <x:t xml:space="preserve">theorem full_K_zero_collapses : True</x:t>
        </x:is>
      </x:c>
    </x:row>
    <x:row r="29" ht="15" customHeight="1">
      <x:c r="A29" s="37" t="inlineStr">
        <x:is>
          <x:t xml:space="preserve">\\192.168.2.50\h_hp\Desktop\Master EXCEL\Lean 4.xlsx</x:t>
        </x:is>
      </x:c>
      <x:c r="B29" s="38" t="inlineStr">
        <x:is>
          <x:t xml:space="preserve">LEAN_DERIVATION_CHAIN</x:t>
        </x:is>
      </x:c>
      <x:c r="C29" s="38" t="inlineStr">
        <x:is>
          <x:t xml:space="preserve">33</x:t>
        </x:is>
      </x:c>
      <x:c r="D29" s="38" t="inlineStr">
        <x:is>
          <x:t xml:space="preserve">28</x:t>
        </x:is>
      </x:c>
      <x:c r="E29" s="38" t="inlineStr">
        <x:is>
          <x:t xml:space="preserve">3 — Bridge</x:t>
        </x:is>
      </x:c>
      <x:c r="F29" s="38" t="inlineStr">
        <x:is>
          <x:t xml:space="preserve">BridgeMatrix.lean</x:t>
        </x:is>
      </x:c>
      <x:c r="G29" s="38" t="inlineStr">
        <x:is>
          <x:t xml:space="preserve">full_R_zero_collapses</x:t>
        </x:is>
      </x:c>
      <x:c r="H29" s="38" t="inlineStr">
        <x:is>
          <x:t xml:space="preserve">R=0 → χ=0</x:t>
        </x:is>
      </x:c>
      <x:c r="I29" s="38" t="inlineStr">
        <x:is>
          <x:t xml:space="preserve">simp</x:t>
        </x:is>
      </x:c>
      <x:c r="J29" s="38" t="inlineStr">
        <x:is>
          <x:t xml:space="preserve">PROVED</x:t>
        </x:is>
      </x:c>
      <x:c r="K29" s="38" t="inlineStr">
        <x:is>
          <x:t xml:space="preserve">L1-Q2</x:t>
        </x:is>
      </x:c>
      <x:c r="L29" s="38" t="inlineStr">
        <x:is>
          <x:t xml:space="preserve">4</x:t>
        </x:is>
      </x:c>
      <x:c r="M29" s="38" t="inlineStr">
        <x:is>
          <x:t xml:space="preserve">theophysics-lean-main</x:t>
        </x:is>
      </x:c>
      <x:c r="N29" s="38" t="inlineStr">
        <x:is>
          <x:t xml:space="preserve">theophysics-lean-main\theophysics-lean-main\Theophysics_Core.lean</x:t>
        </x:is>
      </x:c>
      <x:c r="O29" s="38" t="inlineStr">
        <x:is>
          <x:t xml:space="preserve">181</x:t>
        </x:is>
      </x:c>
      <x:c r="P29" s="38" t="inlineStr">
        <x:is>
          <x:t xml:space="preserve">TRIVIAL_TRUE</x:t>
        </x:is>
      </x:c>
      <x:c r="Q29" s="38" t="inlineStr">
        <x:is>
          <x:t xml:space="preserve">Statement is `True`; theorem name may exceed formal content.</x:t>
        </x:is>
      </x:c>
      <x:c r="R29" s="39" t="inlineStr">
        <x:is>
          <x:t xml:space="preserve">theorem full_R_zero_collapses : True</x:t>
        </x:is>
      </x:c>
    </x:row>
    <x:row r="30" ht="15" customHeight="1">
      <x:c r="A30" s="37" t="inlineStr">
        <x:is>
          <x:t xml:space="preserve">\\192.168.2.50\h_hp\Desktop\Master EXCEL\Lean 4.xlsx</x:t>
        </x:is>
      </x:c>
      <x:c r="B30" s="38" t="inlineStr">
        <x:is>
          <x:t xml:space="preserve">LEAN_DERIVATION_CHAIN</x:t>
        </x:is>
      </x:c>
      <x:c r="C30" s="38" t="inlineStr">
        <x:is>
          <x:t xml:space="preserve">34</x:t>
        </x:is>
      </x:c>
      <x:c r="D30" s="38" t="inlineStr">
        <x:is>
          <x:t xml:space="preserve">29</x:t>
        </x:is>
      </x:c>
      <x:c r="E30" s="38" t="inlineStr">
        <x:is>
          <x:t xml:space="preserve">3 — Bridge</x:t>
        </x:is>
      </x:c>
      <x:c r="F30" s="38" t="inlineStr">
        <x:is>
          <x:t xml:space="preserve">BridgeMatrix.lean</x:t>
        </x:is>
      </x:c>
      <x:c r="G30" s="38" t="inlineStr">
        <x:is>
          <x:t xml:space="preserve">full_Q_zero_collapses</x:t>
        </x:is>
      </x:c>
      <x:c r="H30" s="38" t="inlineStr">
        <x:is>
          <x:t xml:space="preserve">Q=0 → χ=0</x:t>
        </x:is>
      </x:c>
      <x:c r="I30" s="38" t="inlineStr">
        <x:is>
          <x:t xml:space="preserve">simp</x:t>
        </x:is>
      </x:c>
      <x:c r="J30" s="38" t="inlineStr">
        <x:is>
          <x:t xml:space="preserve">PROVED</x:t>
        </x:is>
      </x:c>
      <x:c r="K30" s="38" t="inlineStr">
        <x:is>
          <x:t xml:space="preserve">L1-Q2</x:t>
        </x:is>
      </x:c>
      <x:c r="L30" s="38" t="inlineStr">
        <x:is>
          <x:t xml:space="preserve">4</x:t>
        </x:is>
      </x:c>
      <x:c r="M30" s="38" t="inlineStr">
        <x:is>
          <x:t xml:space="preserve">theophysics-lean-main</x:t>
        </x:is>
      </x:c>
      <x:c r="N30" s="38" t="inlineStr">
        <x:is>
          <x:t xml:space="preserve">theophysics-lean-main\theophysics-lean-main\Theophysics_Core.lean</x:t>
        </x:is>
      </x:c>
      <x:c r="O30" s="38" t="inlineStr">
        <x:is>
          <x:t xml:space="preserve">180</x:t>
        </x:is>
      </x:c>
      <x:c r="P30" s="38" t="inlineStr">
        <x:is>
          <x:t xml:space="preserve">TRIVIAL_TRUE</x:t>
        </x:is>
      </x:c>
      <x:c r="Q30" s="38" t="inlineStr">
        <x:is>
          <x:t xml:space="preserve">Statement is `True`; theorem name may exceed formal content.</x:t>
        </x:is>
      </x:c>
      <x:c r="R30" s="39" t="inlineStr">
        <x:is>
          <x:t xml:space="preserve">theorem full_Q_zero_collapses : True</x:t>
        </x:is>
      </x:c>
    </x:row>
    <x:row r="31" ht="15" customHeight="1">
      <x:c r="A31" s="37" t="inlineStr">
        <x:is>
          <x:t xml:space="preserve">\\192.168.2.50\h_hp\Desktop\Master EXCEL\Lean 4.xlsx</x:t>
        </x:is>
      </x:c>
      <x:c r="B31" s="38" t="inlineStr">
        <x:is>
          <x:t xml:space="preserve">LEAN_DERIVATION_CHAIN</x:t>
        </x:is>
      </x:c>
      <x:c r="C31" s="38" t="inlineStr">
        <x:is>
          <x:t xml:space="preserve">35</x:t>
        </x:is>
      </x:c>
      <x:c r="D31" s="38" t="inlineStr">
        <x:is>
          <x:t xml:space="preserve">30</x:t>
        </x:is>
      </x:c>
      <x:c r="E31" s="38" t="inlineStr">
        <x:is>
          <x:t xml:space="preserve">3 — Bridge</x:t>
        </x:is>
      </x:c>
      <x:c r="F31" s="38" t="inlineStr">
        <x:is>
          <x:t xml:space="preserve">BridgeMatrix.lean</x:t>
        </x:is>
      </x:c>
      <x:c r="G31" s="38" t="inlineStr">
        <x:is>
          <x:t xml:space="preserve">full_F_zero_collapses</x:t>
        </x:is>
      </x:c>
      <x:c r="H31" s="38" t="inlineStr">
        <x:is>
          <x:t xml:space="preserve">F=0 → χ=0</x:t>
        </x:is>
      </x:c>
      <x:c r="I31" s="38" t="inlineStr">
        <x:is>
          <x:t xml:space="preserve">simp</x:t>
        </x:is>
      </x:c>
      <x:c r="J31" s="38" t="inlineStr">
        <x:is>
          <x:t xml:space="preserve">PROVED</x:t>
        </x:is>
      </x:c>
      <x:c r="K31" s="38" t="inlineStr">
        <x:is>
          <x:t xml:space="preserve">L1-Q2</x:t>
        </x:is>
      </x:c>
      <x:c r="L31" s="38" t="inlineStr">
        <x:is>
          <x:t xml:space="preserve">4</x:t>
        </x:is>
      </x:c>
      <x:c r="M31" s="38" t="inlineStr">
        <x:is>
          <x:t xml:space="preserve">theophysics-lean-main</x:t>
        </x:is>
      </x:c>
      <x:c r="N31" s="38" t="inlineStr">
        <x:is>
          <x:t xml:space="preserve">theophysics-lean-main\theophysics-lean-main\Theophysics_Core.lean</x:t>
        </x:is>
      </x:c>
      <x:c r="O31" s="38" t="inlineStr">
        <x:is>
          <x:t xml:space="preserve">176</x:t>
        </x:is>
      </x:c>
      <x:c r="P31" s="38" t="inlineStr">
        <x:is>
          <x:t xml:space="preserve">TRIVIAL_TRUE</x:t>
        </x:is>
      </x:c>
      <x:c r="Q31" s="38" t="inlineStr">
        <x:is>
          <x:t xml:space="preserve">Statement is `True`; theorem name may exceed formal content.</x:t>
        </x:is>
      </x:c>
      <x:c r="R31" s="39" t="inlineStr">
        <x:is>
          <x:t xml:space="preserve">theorem full_F_zero_collapses : True</x:t>
        </x:is>
      </x:c>
    </x:row>
    <x:row r="32" ht="15" customHeight="1">
      <x:c r="A32" s="37" t="inlineStr">
        <x:is>
          <x:t xml:space="preserve">\\192.168.2.50\h_hp\Desktop\Master EXCEL\Lean 4.xlsx</x:t>
        </x:is>
      </x:c>
      <x:c r="B32" s="38" t="inlineStr">
        <x:is>
          <x:t xml:space="preserve">LEAN_DERIVATION_CHAIN</x:t>
        </x:is>
      </x:c>
      <x:c r="C32" s="38" t="inlineStr">
        <x:is>
          <x:t xml:space="preserve">36</x:t>
        </x:is>
      </x:c>
      <x:c r="D32" s="38" t="inlineStr">
        <x:is>
          <x:t xml:space="preserve">31</x:t>
        </x:is>
      </x:c>
      <x:c r="E32" s="38" t="inlineStr">
        <x:is>
          <x:t xml:space="preserve">3 — Bridge</x:t>
        </x:is>
      </x:c>
      <x:c r="F32" s="38" t="inlineStr">
        <x:is>
          <x:t xml:space="preserve">BridgeMatrix.lean</x:t>
        </x:is>
      </x:c>
      <x:c r="G32" s="38" t="inlineStr">
        <x:is>
          <x:t xml:space="preserve">full_C_zero_collapses</x:t>
        </x:is>
      </x:c>
      <x:c r="H32" s="38" t="inlineStr">
        <x:is>
          <x:t xml:space="preserve">C=0 → χ=0</x:t>
        </x:is>
      </x:c>
      <x:c r="I32" s="38" t="inlineStr">
        <x:is>
          <x:t xml:space="preserve">simp</x:t>
        </x:is>
      </x:c>
      <x:c r="J32" s="38" t="inlineStr">
        <x:is>
          <x:t xml:space="preserve">PROVED</x:t>
        </x:is>
      </x:c>
      <x:c r="K32" s="38" t="inlineStr">
        <x:is>
          <x:t xml:space="preserve">L1-Q2</x:t>
        </x:is>
      </x:c>
      <x:c r="L32" s="38" t="inlineStr">
        <x:is>
          <x:t xml:space="preserve">4</x:t>
        </x:is>
      </x:c>
      <x:c r="M32" s="38" t="inlineStr">
        <x:is>
          <x:t xml:space="preserve">theophysics-lean-main</x:t>
        </x:is>
      </x:c>
      <x:c r="N32" s="38" t="inlineStr">
        <x:is>
          <x:t xml:space="preserve">theophysics-lean-main\theophysics-lean-main\Theophysics_Core.lean</x:t>
        </x:is>
      </x:c>
      <x:c r="O32" s="38" t="inlineStr">
        <x:is>
          <x:t xml:space="preserve">174</x:t>
        </x:is>
      </x:c>
      <x:c r="P32" s="38" t="inlineStr">
        <x:is>
          <x:t xml:space="preserve">TRIVIAL_TRUE</x:t>
        </x:is>
      </x:c>
      <x:c r="Q32" s="38" t="inlineStr">
        <x:is>
          <x:t xml:space="preserve">Statement is `True`; theorem name may exceed formal content.</x:t>
        </x:is>
      </x:c>
      <x:c r="R32" s="39" t="inlineStr">
        <x:is>
          <x:t xml:space="preserve">theorem full_C_zero_collapses : True</x:t>
        </x:is>
      </x:c>
    </x:row>
    <x:row r="33" ht="15" customHeight="1">
      <x:c r="A33" s="37" t="inlineStr">
        <x:is>
          <x:t xml:space="preserve">\\192.168.2.50\h_hp\Desktop\Master EXCEL\Lean 4.xlsx</x:t>
        </x:is>
      </x:c>
      <x:c r="B33" s="38" t="inlineStr">
        <x:is>
          <x:t xml:space="preserve">LEAN_DERIVATION_CHAIN</x:t>
        </x:is>
      </x:c>
      <x:c r="C33" s="38" t="inlineStr">
        <x:is>
          <x:t xml:space="preserve">37</x:t>
        </x:is>
      </x:c>
      <x:c r="D33" s="38" t="inlineStr">
        <x:is>
          <x:t xml:space="preserve">32</x:t>
        </x:is>
      </x:c>
      <x:c r="E33" s="38" t="inlineStr">
        <x:is>
          <x:t xml:space="preserve">3 — Bridge</x:t>
        </x:is>
      </x:c>
      <x:c r="F33" s="38" t="inlineStr">
        <x:is>
          <x:t xml:space="preserve">BridgeMatrix.lean</x:t>
        </x:is>
      </x:c>
      <x:c r="G33" s="38" t="inlineStr">
        <x:is>
          <x:t xml:space="preserve">full_Q_nonzero_not_sufficient</x:t>
        </x:is>
      </x:c>
      <x:c r="H33" s="38" t="inlineStr">
        <x:is>
          <x:t xml:space="preserve">REJECTION: Q &gt; 0 doesn't save you if G = 0. No single factor is sufficient.</x:t>
        </x:is>
      </x:c>
      <x:c r="I33" s="38" t="inlineStr">
        <x:is>
          <x:t xml:space="preserve">simp</x:t>
        </x:is>
      </x:c>
      <x:c r="J33" s="38" t="inlineStr">
        <x:is>
          <x:t xml:space="preserve">REJECTION</x:t>
        </x:is>
      </x:c>
      <x:c r="K33" s="38" t="inlineStr">
        <x:is>
          <x:t xml:space="preserve">L7-Q4</x:t>
        </x:is>
      </x:c>
      <x:c r="L33" s="38" t="inlineStr">
        <x:is>
          <x:t xml:space="preserve">4</x:t>
        </x:is>
      </x:c>
      <x:c r="M33" s="38" t="inlineStr">
        <x:is>
          <x:t xml:space="preserve">theophysics-lean-main</x:t>
        </x:is>
      </x:c>
      <x:c r="N33" s="38" t="inlineStr">
        <x:is>
          <x:t xml:space="preserve">theophysics-lean-main\theophysics-lean-main\Theophysics_Adversarial.lean</x:t>
        </x:is>
      </x:c>
      <x:c r="O33" s="38" t="inlineStr">
        <x:is>
          <x:t xml:space="preserve">350</x:t>
        </x:is>
      </x:c>
      <x:c r="P33" s="38" t="inlineStr">
        <x:is>
          <x:t xml:space="preserve">FINITE_DECIDABLE</x:t>
        </x:is>
      </x:c>
      <x:c r="Q33" s="38" t="inlineStr">
        <x:is>
          <x:t xml:space="preserve">Finite/decidable proof; check candidate-space limits.</x:t>
        </x:is>
      </x:c>
      <x:c r="R33" s="39" t="inlineStr">
        <x:is>
          <x:t xml:space="preserve">theorem full_Q_nonzero_not_sufficient : fullQNonzeroButOtherGateZero.Q = 1 ∧ chi fullQNonzeroButOtherGateZero = 0</x:t>
        </x:is>
      </x:c>
    </x:row>
    <x:row r="34" ht="15" customHeight="1">
      <x:c r="A34" s="37" t="inlineStr">
        <x:is>
          <x:t xml:space="preserve">\\192.168.2.50\h_hp\Desktop\Master EXCEL\Lean 4.xlsx</x:t>
        </x:is>
      </x:c>
      <x:c r="B34" s="38" t="inlineStr">
        <x:is>
          <x:t xml:space="preserve">LEAN_DERIVATION_CHAIN</x:t>
        </x:is>
      </x:c>
      <x:c r="C34" s="38" t="inlineStr">
        <x:is>
          <x:t xml:space="preserve">38</x:t>
        </x:is>
      </x:c>
      <x:c r="D34" s="38" t="inlineStr">
        <x:is>
          <x:t xml:space="preserve">33</x:t>
        </x:is>
      </x:c>
      <x:c r="E34" s="38" t="inlineStr">
        <x:is>
          <x:t xml:space="preserve">3 — Bridge</x:t>
        </x:is>
      </x:c>
      <x:c r="F34" s="38" t="inlineStr">
        <x:is>
          <x:t xml:space="preserve">BridgeMatrix.lean</x:t>
        </x:is>
      </x:c>
      <x:c r="G34" s="38" t="inlineStr">
        <x:is>
          <x:t xml:space="preserve">full_R_gate_required</x:t>
        </x:is>
      </x:c>
      <x:c r="H34" s="38" t="inlineStr">
        <x:is>
          <x:t xml:space="preserve">REJECTION: R=0 kills χ even if everything else is 1. Gate is non-negotiable.</x:t>
        </x:is>
      </x:c>
      <x:c r="I34" s="38" t="inlineStr">
        <x:is>
          <x:t xml:space="preserve">simp</x:t>
        </x:is>
      </x:c>
      <x:c r="J34" s="38" t="inlineStr">
        <x:is>
          <x:t xml:space="preserve">REJECTION</x:t>
        </x:is>
      </x:c>
      <x:c r="K34" s="38" t="inlineStr">
        <x:is>
          <x:t xml:space="preserve">L1-Q4</x:t>
        </x:is>
      </x:c>
      <x:c r="L34" s="38" t="inlineStr">
        <x:is>
          <x:t xml:space="preserve">4</x:t>
        </x:is>
      </x:c>
      <x:c r="M34" s="38" t="inlineStr">
        <x:is>
          <x:t xml:space="preserve">theophysics-lean-main</x:t>
        </x:is>
      </x:c>
      <x:c r="N34" s="38" t="inlineStr">
        <x:is>
          <x:t xml:space="preserve">theophysics-lean-main\theophysics-lean-main\Theophysics_Adversarial.lean</x:t>
        </x:is>
      </x:c>
      <x:c r="O34" s="38" t="inlineStr">
        <x:is>
          <x:t xml:space="preserve">354</x:t>
        </x:is>
      </x:c>
      <x:c r="P34" s="38" t="inlineStr">
        <x:is>
          <x:t xml:space="preserve">FINITE_DECIDABLE</x:t>
        </x:is>
      </x:c>
      <x:c r="Q34" s="38" t="inlineStr">
        <x:is>
          <x:t xml:space="preserve">Finite/decidable proof; check candidate-space limits.</x:t>
        </x:is>
      </x:c>
      <x:c r="R34" s="39" t="inlineStr">
        <x:is>
          <x:t xml:space="preserve">theorem full_R_gate_required : fullRGateCounterexample.R = 0 ∧ chi fullRGateCounterexample = 0</x:t>
        </x:is>
      </x:c>
    </x:row>
    <x:row r="35" ht="15" customHeight="1">
      <x:c r="A35" s="37" t="inlineStr">
        <x:is>
          <x:t xml:space="preserve">\\192.168.2.50\h_hp\Desktop\Master EXCEL\Lean 4.xlsx</x:t>
        </x:is>
      </x:c>
      <x:c r="B35" s="38" t="inlineStr">
        <x:is>
          <x:t xml:space="preserve">LEAN_DERIVATION_CHAIN</x:t>
        </x:is>
      </x:c>
      <x:c r="C35" s="38" t="inlineStr">
        <x:is>
          <x:t xml:space="preserve">39</x:t>
        </x:is>
      </x:c>
      <x:c r="D35" s="38" t="inlineStr">
        <x:is>
          <x:t xml:space="preserve">34</x:t>
        </x:is>
      </x:c>
      <x:c r="E35" s="38" t="inlineStr">
        <x:is>
          <x:t xml:space="preserve">3 — Bridge</x:t>
        </x:is>
      </x:c>
      <x:c r="F35" s="38" t="inlineStr">
        <x:is>
          <x:t xml:space="preserve">BridgeMatrix.lean</x:t>
        </x:is>
      </x:c>
      <x:c r="G35" s="38" t="inlineStr">
        <x:is>
          <x:t xml:space="preserve">all_ones_live</x:t>
        </x:is>
      </x:c>
      <x:c r="H35" s="38" t="inlineStr">
        <x:is>
          <x:t xml:space="preserve">All factors at 1 → χ = 1 (life). The only surviving state when all gates pass.</x:t>
        </x:is>
      </x:c>
      <x:c r="I35" s="38" t="inlineStr">
        <x:is>
          <x:t xml:space="preserve">simp</x:t>
        </x:is>
      </x:c>
      <x:c r="J35" s="38" t="inlineStr">
        <x:is>
          <x:t xml:space="preserve">PROVED</x:t>
        </x:is>
      </x:c>
      <x:c r="K35" s="38" t="inlineStr">
        <x:is>
          <x:t xml:space="preserve">L7-Q6</x:t>
        </x:is>
      </x:c>
      <x:c r="L35" s="38" t="inlineStr">
        <x:is>
          <x:t xml:space="preserve">8</x:t>
        </x:is>
      </x:c>
      <x:c r="M35" s="38" t="inlineStr">
        <x:is>
          <x:t xml:space="preserve">theophysics-lean-main</x:t>
        </x:is>
      </x:c>
      <x:c r="N35" s="38" t="inlineStr">
        <x:is>
          <x:t xml:space="preserve">theophysics-lean-main\theophysics-lean-main\Final_Lean4_From_Excel.lean</x:t>
        </x:is>
      </x:c>
      <x:c r="O35" s="38" t="inlineStr">
        <x:is>
          <x:t xml:space="preserve">128</x:t>
        </x:is>
      </x:c>
      <x:c r="P35" s="38" t="inlineStr">
        <x:is>
          <x:t xml:space="preserve">WRAPPER_OR_IMPORTED</x:t>
        </x:is>
      </x:c>
      <x:c r="Q35" s="38" t="inlineStr">
        <x:is>
          <x:t xml:space="preserve">Likely delegates to another theorem; cite underlying theorem too.</x:t>
        </x:is>
      </x:c>
      <x:c r="R35" s="39" t="inlineStr">
        <x:is>
          <x:t xml:space="preserve">theorem all_ones_live : chi ⟨1,1,1,1,1,1,1,1,1,1⟩ = 1</x:t>
        </x:is>
      </x:c>
    </x:row>
    <x:row r="36" ht="15" customHeight="1">
      <x:c r="A36" s="37" t="inlineStr">
        <x:is>
          <x:t xml:space="preserve">\\192.168.2.50\h_hp\Desktop\Master EXCEL\Lean 4.xlsx</x:t>
        </x:is>
      </x:c>
      <x:c r="B36" s="38" t="inlineStr">
        <x:is>
          <x:t xml:space="preserve">LEAN_DERIVATION_CHAIN</x:t>
        </x:is>
      </x:c>
      <x:c r="C36" s="38" t="inlineStr">
        <x:is>
          <x:t xml:space="preserve">41</x:t>
        </x:is>
      </x:c>
      <x:c r="D36" s="38" t="inlineStr">
        <x:is>
          <x:t xml:space="preserve">35</x:t>
        </x:is>
      </x:c>
      <x:c r="E36" s="38" t="inlineStr">
        <x:is>
          <x:t xml:space="preserve">4 — Invariance</x:t>
        </x:is>
      </x:c>
      <x:c r="F36" s="38" t="inlineStr">
        <x:is>
          <x:t xml:space="preserve">MasterEquationInvariance.lean</x:t>
        </x:is>
      </x:c>
      <x:c r="G36" s="38" t="inlineStr">
        <x:is>
          <x:t xml:space="preserve">canonical_substitution_row_valid</x:t>
        </x:is>
      </x:c>
      <x:c r="H36" s="38" t="inlineStr">
        <x:is>
          <x:t xml:space="preserve">Every factor's canonical substitution row passes</x:t>
        </x:is>
      </x:c>
      <x:c r="I36" s="38" t="inlineStr">
        <x:is>
          <x:t xml:space="preserve">decide</x:t>
        </x:is>
      </x:c>
      <x:c r="J36" s="38" t="inlineStr">
        <x:is>
          <x:t xml:space="preserve">PROVED</x:t>
        </x:is>
      </x:c>
      <x:c r="K36" s="38" t="inlineStr">
        <x:is>
          <x:t xml:space="preserve">L7-Q3</x:t>
        </x:is>
      </x:c>
      <x:c r="L36" s="38" t="inlineStr">
        <x:is>
          <x:t xml:space="preserve">4</x:t>
        </x:is>
      </x:c>
      <x:c r="M36" s="38" t="inlineStr">
        <x:is>
          <x:t xml:space="preserve">theophysics-lean-main</x:t>
        </x:is>
      </x:c>
      <x:c r="N36" s="38" t="inlineStr">
        <x:is>
          <x:t xml:space="preserve">theophysics-lean-main\theophysics-lean-main\Theophysics_Core.lean</x:t>
        </x:is>
      </x:c>
      <x:c r="O36" s="38" t="inlineStr">
        <x:is>
          <x:t xml:space="preserve">187</x:t>
        </x:is>
      </x:c>
      <x:c r="P36" s="38" t="inlineStr">
        <x:is>
          <x:t xml:space="preserve">TRIVIAL_TRUE</x:t>
        </x:is>
      </x:c>
      <x:c r="Q36" s="38" t="inlineStr">
        <x:is>
          <x:t xml:space="preserve">Statement is `True`; theorem name may exceed formal content.</x:t>
        </x:is>
      </x:c>
      <x:c r="R36" s="39" t="inlineStr">
        <x:is>
          <x:t xml:space="preserve">theorem canonical_substitution_row_valid : True</x:t>
        </x:is>
      </x:c>
    </x:row>
    <x:row r="37" ht="15" customHeight="1">
      <x:c r="A37" s="37" t="inlineStr">
        <x:is>
          <x:t xml:space="preserve">\\192.168.2.50\h_hp\Desktop\Master EXCEL\Lean 4.xlsx</x:t>
        </x:is>
      </x:c>
      <x:c r="B37" s="38" t="inlineStr">
        <x:is>
          <x:t xml:space="preserve">LEAN_DERIVATION_CHAIN</x:t>
        </x:is>
      </x:c>
      <x:c r="C37" s="38" t="inlineStr">
        <x:is>
          <x:t xml:space="preserve">42</x:t>
        </x:is>
      </x:c>
      <x:c r="D37" s="38" t="inlineStr">
        <x:is>
          <x:t xml:space="preserve">36</x:t>
        </x:is>
      </x:c>
      <x:c r="E37" s="38" t="inlineStr">
        <x:is>
          <x:t xml:space="preserve">4 — Invariance</x:t>
        </x:is>
      </x:c>
      <x:c r="F37" s="38" t="inlineStr">
        <x:is>
          <x:t xml:space="preserve">MasterEquationInvariance.lean</x:t>
        </x:is>
      </x:c>
      <x:c r="G37" s="38" t="inlineStr">
        <x:is>
          <x:t xml:space="preserve">canonical_substitution_preserves_signature</x:t>
        </x:is>
      </x:c>
      <x:c r="H37" s="38" t="inlineStr">
        <x:is>
          <x:t xml:space="preserve">Physical→spiritual substitution preserves signatures for all 10 factors</x:t>
        </x:is>
      </x:c>
      <x:c r="I37" s="38" t="inlineStr">
        <x:is>
          <x:t xml:space="preserve">decide</x:t>
        </x:is>
      </x:c>
      <x:c r="J37" s="38" t="inlineStr">
        <x:is>
          <x:t xml:space="preserve">PROVED</x:t>
        </x:is>
      </x:c>
      <x:c r="K37" s="38" t="inlineStr">
        <x:is>
          <x:t xml:space="preserve">L7-Q3</x:t>
        </x:is>
      </x:c>
      <x:c r="L37" s="38" t="inlineStr">
        <x:is>
          <x:t xml:space="preserve">8</x:t>
        </x:is>
      </x:c>
      <x:c r="M37" s="38" t="inlineStr">
        <x:is>
          <x:t xml:space="preserve">theophysics-lean-main</x:t>
        </x:is>
      </x:c>
      <x:c r="N37" s="38" t="inlineStr">
        <x:is>
          <x:t xml:space="preserve">theophysics-lean-main\theophysics-lean-main\Final_Lean4_From_Excel.lean</x:t>
        </x:is>
      </x:c>
      <x:c r="O37" s="38" t="inlineStr">
        <x:is>
          <x:t xml:space="preserve">229</x:t>
        </x:is>
      </x:c>
      <x:c r="P37" s="38" t="inlineStr">
        <x:is>
          <x:t xml:space="preserve">SUBSTANTIVE_OR_CASE_PROOF</x:t>
        </x:is>
      </x:c>
      <x:c r="Q37" s="38" t="inlineStr">
        <x:is>
          <x:t xml:space="preserve">Appears to contain an actual proof body; inspect before public citation.</x:t>
        </x:is>
      </x:c>
      <x:c r="R37" s="39" t="inlineStr">
        <x:is>
          <x:t xml:space="preserve">theorem canonical_substitution_preserves_signature (f : Factor) : signatureOfFactor (physicalToSpiritual f) = signatureOfFactor f</x:t>
        </x:is>
      </x:c>
    </x:row>
    <x:row r="38" ht="15" customHeight="1">
      <x:c r="A38" s="37" t="inlineStr">
        <x:is>
          <x:t xml:space="preserve">\\192.168.2.50\h_hp\Desktop\Master EXCEL\Lean 4.xlsx</x:t>
        </x:is>
      </x:c>
      <x:c r="B38" s="38" t="inlineStr">
        <x:is>
          <x:t xml:space="preserve">LEAN_DERIVATION_CHAIN</x:t>
        </x:is>
      </x:c>
      <x:c r="C38" s="38" t="inlineStr">
        <x:is>
          <x:t xml:space="preserve">43</x:t>
        </x:is>
      </x:c>
      <x:c r="D38" s="38" t="inlineStr">
        <x:is>
          <x:t xml:space="preserve">37</x:t>
        </x:is>
      </x:c>
      <x:c r="E38" s="38" t="inlineStr">
        <x:is>
          <x:t xml:space="preserve">4 — Invariance</x:t>
        </x:is>
      </x:c>
      <x:c r="F38" s="38" t="inlineStr">
        <x:is>
          <x:t xml:space="preserve">MasterEquationInvariance.lean</x:t>
        </x:is>
      </x:c>
      <x:c r="G38" s="38" t="inlineStr">
        <x:is>
          <x:t xml:space="preserve">master_equation_invariant_under_canonical_substitution</x:t>
        </x:is>
      </x:c>
      <x:c r="H38" s="38" t="inlineStr">
        <x:is>
          <x:t xml:space="preserve">χ(physical) = χ(spiritual) under canonical map. The equation is the same in both registers.</x:t>
        </x:is>
      </x:c>
      <x:c r="I38" s="38" t="inlineStr">
        <x:is>
          <x:t xml:space="preserve">simp</x:t>
        </x:is>
      </x:c>
      <x:c r="J38" s="38" t="inlineStr">
        <x:is>
          <x:t xml:space="preserve">PROVED</x:t>
        </x:is>
      </x:c>
      <x:c r="K38" s="38" t="inlineStr">
        <x:is>
          <x:t xml:space="preserve">L7-Q4, COMPRESS-1</x:t>
        </x:is>
      </x:c>
      <x:c r="L38" s="38" t="inlineStr">
        <x:is>
          <x:t xml:space="preserve">8</x:t>
        </x:is>
      </x:c>
      <x:c r="M38" s="38" t="inlineStr">
        <x:is>
          <x:t xml:space="preserve">theophysics-lean-main</x:t>
        </x:is>
      </x:c>
      <x:c r="N38" s="38" t="inlineStr">
        <x:is>
          <x:t xml:space="preserve">theophysics-lean-main\theophysics-lean-main\Final_Lean4_From_Excel.lean</x:t>
        </x:is>
      </x:c>
      <x:c r="O38" s="38" t="inlineStr">
        <x:is>
          <x:t xml:space="preserve">233</x:t>
        </x:is>
      </x:c>
      <x:c r="P38" s="38" t="inlineStr">
        <x:is>
          <x:t xml:space="preserve">DEFINITIONAL_RFL</x:t>
        </x:is>
      </x:c>
      <x:c r="Q38" s="38" t="inlineStr">
        <x:is>
          <x:t xml:space="preserve">Proves definitional equality by reduction; useful but narrow.</x:t>
        </x:is>
      </x:c>
      <x:c r="R38" s="39" t="inlineStr">
        <x:is>
          <x:t xml:space="preserve">theorem master_equation_invariant_under_canonical_substitution (x : FactorState) : chi x = chi x</x:t>
        </x:is>
      </x:c>
    </x:row>
    <x:row r="39" ht="15" customHeight="1">
      <x:c r="A39" s="37" t="inlineStr">
        <x:is>
          <x:t xml:space="preserve">\\192.168.2.50\h_hp\Desktop\Master EXCEL\Lean 4.xlsx</x:t>
        </x:is>
      </x:c>
      <x:c r="B39" s="38" t="inlineStr">
        <x:is>
          <x:t xml:space="preserve">LEAN_DERIVATION_CHAIN</x:t>
        </x:is>
      </x:c>
      <x:c r="C39" s="38" t="inlineStr">
        <x:is>
          <x:t xml:space="preserve">44</x:t>
        </x:is>
      </x:c>
      <x:c r="D39" s="38" t="inlineStr">
        <x:is>
          <x:t xml:space="preserve">38</x:t>
        </x:is>
      </x:c>
      <x:c r="E39" s="38" t="inlineStr">
        <x:is>
          <x:t xml:space="preserve">4 — Invariance</x:t>
        </x:is>
      </x:c>
      <x:c r="F39" s="38" t="inlineStr">
        <x:is>
          <x:t xml:space="preserve">MasterEquationInvariance.lean</x:t>
        </x:is>
      </x:c>
      <x:c r="G39" s="38" t="inlineStr">
        <x:is>
          <x:t xml:space="preserve">G_zero_still_collapses_after_substitution</x:t>
        </x:is>
      </x:c>
      <x:c r="H39" s="38" t="inlineStr">
        <x:is>
          <x:t xml:space="preserve">G=0 collapse survives substitution</x:t>
        </x:is>
      </x:c>
      <x:c r="I39" s="38" t="inlineStr">
        <x:is>
          <x:t xml:space="preserve">simp</x:t>
        </x:is>
      </x:c>
      <x:c r="J39" s="38" t="inlineStr">
        <x:is>
          <x:t xml:space="preserve">PROVED</x:t>
        </x:is>
      </x:c>
      <x:c r="K39" s="38" t="inlineStr">
        <x:is>
          <x:t xml:space="preserve">L7-Q4</x:t>
        </x:is>
      </x:c>
      <x:c r="L39" s="38" t="inlineStr">
        <x:is>
          <x:t xml:space="preserve">4</x:t>
        </x:is>
      </x:c>
      <x:c r="M39" s="38" t="inlineStr">
        <x:is>
          <x:t xml:space="preserve">theophysics-lean-main</x:t>
        </x:is>
      </x:c>
      <x:c r="N39" s="38" t="inlineStr">
        <x:is>
          <x:t xml:space="preserve">theophysics-lean-main\theophysics-lean-main\Theophysics_Core.lean</x:t>
        </x:is>
      </x:c>
      <x:c r="O39" s="38" t="inlineStr">
        <x:is>
          <x:t xml:space="preserve">188</x:t>
        </x:is>
      </x:c>
      <x:c r="P39" s="38" t="inlineStr">
        <x:is>
          <x:t xml:space="preserve">TRIVIAL_TRUE</x:t>
        </x:is>
      </x:c>
      <x:c r="Q39" s="38" t="inlineStr">
        <x:is>
          <x:t xml:space="preserve">Statement is `True`; theorem name may exceed formal content.</x:t>
        </x:is>
      </x:c>
      <x:c r="R39" s="39" t="inlineStr">
        <x:is>
          <x:t xml:space="preserve">theorem G_zero_still_collapses_after_substitution : True</x:t>
        </x:is>
      </x:c>
    </x:row>
    <x:row r="40" ht="15" customHeight="1">
      <x:c r="A40" s="37" t="inlineStr">
        <x:is>
          <x:t xml:space="preserve">\\192.168.2.50\h_hp\Desktop\Master EXCEL\Lean 4.xlsx</x:t>
        </x:is>
      </x:c>
      <x:c r="B40" s="38" t="inlineStr">
        <x:is>
          <x:t xml:space="preserve">LEAN_DERIVATION_CHAIN</x:t>
        </x:is>
      </x:c>
      <x:c r="C40" s="38" t="inlineStr">
        <x:is>
          <x:t xml:space="preserve">45</x:t>
        </x:is>
      </x:c>
      <x:c r="D40" s="38" t="inlineStr">
        <x:is>
          <x:t xml:space="preserve">39</x:t>
        </x:is>
      </x:c>
      <x:c r="E40" s="38" t="inlineStr">
        <x:is>
          <x:t xml:space="preserve">4 — Invariance</x:t>
        </x:is>
      </x:c>
      <x:c r="F40" s="38" t="inlineStr">
        <x:is>
          <x:t xml:space="preserve">MasterEquationInvariance.lean</x:t>
        </x:is>
      </x:c>
      <x:c r="G40" s="38" t="inlineStr">
        <x:is>
          <x:t xml:space="preserve">Q_zero_still_collapses_after_substitution</x:t>
        </x:is>
      </x:c>
      <x:c r="H40" s="38" t="inlineStr">
        <x:is>
          <x:t xml:space="preserve">Q=0 collapse survives substitution</x:t>
        </x:is>
      </x:c>
      <x:c r="I40" s="38" t="inlineStr">
        <x:is>
          <x:t xml:space="preserve">simp</x:t>
        </x:is>
      </x:c>
      <x:c r="J40" s="38" t="inlineStr">
        <x:is>
          <x:t xml:space="preserve">PROVED</x:t>
        </x:is>
      </x:c>
      <x:c r="K40" s="38" t="inlineStr">
        <x:is>
          <x:t xml:space="preserve">L7-Q4</x:t>
        </x:is>
      </x:c>
      <x:c r="L40" s="38" t="inlineStr">
        <x:is>
          <x:t xml:space="preserve">4</x:t>
        </x:is>
      </x:c>
      <x:c r="M40" s="38" t="inlineStr">
        <x:is>
          <x:t xml:space="preserve">theophysics-lean-main</x:t>
        </x:is>
      </x:c>
      <x:c r="N40" s="38" t="inlineStr">
        <x:is>
          <x:t xml:space="preserve">theophysics-lean-main\theophysics-lean-main\Theophysics_Core.lean</x:t>
        </x:is>
      </x:c>
      <x:c r="O40" s="38" t="inlineStr">
        <x:is>
          <x:t xml:space="preserve">193</x:t>
        </x:is>
      </x:c>
      <x:c r="P40" s="38" t="inlineStr">
        <x:is>
          <x:t xml:space="preserve">TRIVIAL_TRUE</x:t>
        </x:is>
      </x:c>
      <x:c r="Q40" s="38" t="inlineStr">
        <x:is>
          <x:t xml:space="preserve">Statement is `True`; theorem name may exceed formal content.</x:t>
        </x:is>
      </x:c>
      <x:c r="R40" s="39" t="inlineStr">
        <x:is>
          <x:t xml:space="preserve">theorem Q_zero_still_collapses_after_substitution : True</x:t>
        </x:is>
      </x:c>
    </x:row>
    <x:row r="41" ht="15" customHeight="1">
      <x:c r="A41" s="37" t="inlineStr">
        <x:is>
          <x:t xml:space="preserve">\\192.168.2.50\h_hp\Desktop\Master EXCEL\Lean 4.xlsx</x:t>
        </x:is>
      </x:c>
      <x:c r="B41" s="38" t="inlineStr">
        <x:is>
          <x:t xml:space="preserve">LEAN_DERIVATION_CHAIN</x:t>
        </x:is>
      </x:c>
      <x:c r="C41" s="38" t="inlineStr">
        <x:is>
          <x:t xml:space="preserve">46</x:t>
        </x:is>
      </x:c>
      <x:c r="D41" s="38" t="inlineStr">
        <x:is>
          <x:t xml:space="preserve">40</x:t>
        </x:is>
      </x:c>
      <x:c r="E41" s="38" t="inlineStr">
        <x:is>
          <x:t xml:space="preserve">4 — Invariance</x:t>
        </x:is>
      </x:c>
      <x:c r="F41" s="38" t="inlineStr">
        <x:is>
          <x:t xml:space="preserve">MasterEquationInvariance.lean</x:t>
        </x:is>
      </x:c>
      <x:c r="G41" s="38" t="inlineStr">
        <x:is>
          <x:t xml:space="preserve">product_only_does_not_detect_grace_faith_swap</x:t>
        </x:is>
      </x:c>
      <x:c r="H41" s="38" t="inlineStr">
        <x:is>
          <x:t xml:space="preserve">REJECTION FAILURE: Product alone is BLIND to semantic swaps. Grace↔Faith swap passes product check.</x:t>
        </x:is>
      </x:c>
      <x:c r="I41" s="38" t="inlineStr">
        <x:is>
          <x:t xml:space="preserve">decide</x:t>
        </x:is>
      </x:c>
      <x:c r="J41" s="38" t="inlineStr">
        <x:is>
          <x:t xml:space="preserve">BOUNDARY</x:t>
        </x:is>
      </x:c>
      <x:c r="K41" s="38" t="inlineStr">
        <x:is>
          <x:t xml:space="preserve">COMPRESS-4</x:t>
        </x:is>
      </x:c>
      <x:c r="L41" s="38" t="inlineStr">
        <x:is>
          <x:t xml:space="preserve">4</x:t>
        </x:is>
      </x:c>
      <x:c r="M41" s="38" t="inlineStr">
        <x:is>
          <x:t xml:space="preserve">theophysics-lean-main</x:t>
        </x:is>
      </x:c>
      <x:c r="N41" s="38" t="inlineStr">
        <x:is>
          <x:t xml:space="preserve">theophysics-lean-main\theophysics-lean-main\Theophysics_Adversarial.lean</x:t>
        </x:is>
      </x:c>
      <x:c r="O41" s="38" t="inlineStr">
        <x:is>
          <x:t xml:space="preserve">358</x:t>
        </x:is>
      </x:c>
      <x:c r="P41" s="38" t="inlineStr">
        <x:is>
          <x:t xml:space="preserve">DEFINITIONAL_RFL</x:t>
        </x:is>
      </x:c>
      <x:c r="Q41" s="38" t="inlineStr">
        <x:is>
          <x:t xml:space="preserve">Proves definitional equality by reduction; useful but narrow.</x:t>
        </x:is>
      </x:c>
      <x:c r="R41" s="39" t="inlineStr">
        <x:is>
          <x:t xml:space="preserve">theorem product_only_does_not_detect_grace_faith_swap : productOnlyDetectsSignatureSwap = false</x:t>
        </x:is>
      </x:c>
    </x:row>
    <x:row r="42" ht="15" customHeight="1">
      <x:c r="A42" s="37" t="inlineStr">
        <x:is>
          <x:t xml:space="preserve">\\192.168.2.50\h_hp\Desktop\Master EXCEL\Lean 4.xlsx</x:t>
        </x:is>
      </x:c>
      <x:c r="B42" s="38" t="inlineStr">
        <x:is>
          <x:t xml:space="preserve">LEAN_DERIVATION_CHAIN</x:t>
        </x:is>
      </x:c>
      <x:c r="C42" s="38" t="inlineStr">
        <x:is>
          <x:t xml:space="preserve">47</x:t>
        </x:is>
      </x:c>
      <x:c r="D42" s="38" t="inlineStr">
        <x:is>
          <x:t xml:space="preserve">41</x:t>
        </x:is>
      </x:c>
      <x:c r="E42" s="38" t="inlineStr">
        <x:is>
          <x:t xml:space="preserve">4 — Invariance</x:t>
        </x:is>
      </x:c>
      <x:c r="F42" s="38" t="inlineStr">
        <x:is>
          <x:t xml:space="preserve">MasterEquationInvariance.lean</x:t>
        </x:is>
      </x:c>
      <x:c r="G42" s="38" t="inlineStr">
        <x:is>
          <x:t xml:space="preserve">signature_layer_rejects_grace_faith_swap</x:t>
        </x:is>
      </x:c>
      <x:c r="H42" s="38" t="inlineStr">
        <x:is>
          <x:t xml:space="preserve">REJECTION: But the signature layer catches Grace↔Faith swap that product missed</x:t>
        </x:is>
      </x:c>
      <x:c r="I42" s="38" t="inlineStr">
        <x:is>
          <x:t xml:space="preserve">decide</x:t>
        </x:is>
      </x:c>
      <x:c r="J42" s="38" t="inlineStr">
        <x:is>
          <x:t xml:space="preserve">REJECTION</x:t>
        </x:is>
      </x:c>
      <x:c r="K42" s="38" t="inlineStr">
        <x:is>
          <x:t xml:space="preserve">L1-Q4</x:t>
        </x:is>
      </x:c>
      <x:c r="L42" s="38" t="inlineStr">
        <x:is>
          <x:t xml:space="preserve">4</x:t>
        </x:is>
      </x:c>
      <x:c r="M42" s="38" t="inlineStr">
        <x:is>
          <x:t xml:space="preserve">theophysics-lean-main</x:t>
        </x:is>
      </x:c>
      <x:c r="N42" s="38" t="inlineStr">
        <x:is>
          <x:t xml:space="preserve">theophysics-lean-main\theophysics-lean-main\Theophysics_Adversarial.lean</x:t>
        </x:is>
      </x:c>
      <x:c r="O42" s="38" t="inlineStr">
        <x:is>
          <x:t xml:space="preserve">362</x:t>
        </x:is>
      </x:c>
      <x:c r="P42" s="38" t="inlineStr">
        <x:is>
          <x:t xml:space="preserve">DEFINITIONAL_RFL</x:t>
        </x:is>
      </x:c>
      <x:c r="Q42" s="38" t="inlineStr">
        <x:is>
          <x:t xml:space="preserve">Proves definitional equality by reduction; useful but narrow.</x:t>
        </x:is>
      </x:c>
      <x:c r="R42" s="39" t="inlineStr">
        <x:is>
          <x:t xml:space="preserve">theorem signature_layer_rejects_grace_faith_swap : signatureLayerDetectsGraceFaithSwap = true</x:t>
        </x:is>
      </x:c>
    </x:row>
    <x:row r="43" ht="15" customHeight="1">
      <x:c r="A43" s="37" t="inlineStr">
        <x:is>
          <x:t xml:space="preserve">\\192.168.2.50\h_hp\Desktop\Master EXCEL\Lean 4.xlsx</x:t>
        </x:is>
      </x:c>
      <x:c r="B43" s="38" t="inlineStr">
        <x:is>
          <x:t xml:space="preserve">LEAN_DERIVATION_CHAIN</x:t>
        </x:is>
      </x:c>
      <x:c r="C43" s="38" t="inlineStr">
        <x:is>
          <x:t xml:space="preserve">48</x:t>
        </x:is>
      </x:c>
      <x:c r="D43" s="38" t="inlineStr">
        <x:is>
          <x:t xml:space="preserve">42</x:t>
        </x:is>
      </x:c>
      <x:c r="E43" s="38" t="inlineStr">
        <x:is>
          <x:t xml:space="preserve">4 — Invariance</x:t>
        </x:is>
      </x:c>
      <x:c r="F43" s="38" t="inlineStr">
        <x:is>
          <x:t xml:space="preserve">MasterEquationInvariance.lean</x:t>
        </x:is>
      </x:c>
      <x:c r="G43" s="38" t="inlineStr">
        <x:is>
          <x:t xml:space="preserve">master_invariance_requires_signature_discipline</x:t>
        </x:is>
      </x:c>
      <x:c r="H43" s="38" t="inlineStr">
        <x:is>
          <x:t xml:space="preserve">BOTH product AND signature needed — neither alone suffices. This is why the bridge is two-layer.</x:t>
        </x:is>
      </x:c>
      <x:c r="I43" s="38" t="inlineStr">
        <x:is>
          <x:t xml:space="preserve">conjunction</x:t>
        </x:is>
      </x:c>
      <x:c r="J43" s="38" t="inlineStr">
        <x:is>
          <x:t xml:space="preserve">PROVED</x:t>
        </x:is>
      </x:c>
      <x:c r="K43" s="38" t="inlineStr">
        <x:is>
          <x:t xml:space="preserve">L7-Q4, COMPRESS-4</x:t>
        </x:is>
      </x:c>
      <x:c r="L43" s="38" t="inlineStr">
        <x:is>
          <x:t xml:space="preserve">4</x:t>
        </x:is>
      </x:c>
      <x:c r="M43" s="38" t="inlineStr">
        <x:is>
          <x:t xml:space="preserve">theophysics-lean-main</x:t>
        </x:is>
      </x:c>
      <x:c r="N43" s="38" t="inlineStr">
        <x:is>
          <x:t xml:space="preserve">theophysics-lean-main\theophysics-lean-main\Theophysics_Core.lean</x:t>
        </x:is>
      </x:c>
      <x:c r="O43" s="38" t="inlineStr">
        <x:is>
          <x:t xml:space="preserve">192</x:t>
        </x:is>
      </x:c>
      <x:c r="P43" s="38" t="inlineStr">
        <x:is>
          <x:t xml:space="preserve">TRIVIAL_TRUE</x:t>
        </x:is>
      </x:c>
      <x:c r="Q43" s="38" t="inlineStr">
        <x:is>
          <x:t xml:space="preserve">Statement is `True`; theorem name may exceed formal content.</x:t>
        </x:is>
      </x:c>
      <x:c r="R43" s="39" t="inlineStr">
        <x:is>
          <x:t xml:space="preserve">theorem master_invariance_requires_signature_discipline : True</x:t>
        </x:is>
      </x:c>
    </x:row>
    <x:row r="44" ht="15" customHeight="1">
      <x:c r="A44" s="37" t="inlineStr">
        <x:is>
          <x:t xml:space="preserve">\\192.168.2.50\h_hp\Desktop\Master EXCEL\Lean 4.xlsx</x:t>
        </x:is>
      </x:c>
      <x:c r="B44" s="38" t="inlineStr">
        <x:is>
          <x:t xml:space="preserve">LEAN_DERIVATION_CHAIN</x:t>
        </x:is>
      </x:c>
      <x:c r="C44" s="38" t="inlineStr">
        <x:is>
          <x:t xml:space="preserve">50</x:t>
        </x:is>
      </x:c>
      <x:c r="D44" s="38" t="inlineStr">
        <x:is>
          <x:t xml:space="preserve">43</x:t>
        </x:is>
      </x:c>
      <x:c r="E44" s="38" t="inlineStr">
        <x:is>
          <x:t xml:space="preserve">5 — Law 3 (EM/Truth)</x:t>
        </x:is>
      </x:c>
      <x:c r="F44" s="38" t="inlineStr">
        <x:is>
          <x:t xml:space="preserve">FieldBridgeControls.lean</x:t>
        </x:is>
      </x:c>
      <x:c r="G44" s="38" t="inlineStr">
        <x:is>
          <x:t xml:space="preserve">law3_truth_limit_E_one</x:t>
        </x:is>
      </x:c>
      <x:c r="H44" s="38" t="inlineStr">
        <x:is>
          <x:t xml:space="preserve">Full slots + source-backed + phase-aligned → E = 1</x:t>
        </x:is>
      </x:c>
      <x:c r="I44" s="38" t="inlineStr">
        <x:is>
          <x:t xml:space="preserve">simp</x:t>
        </x:is>
      </x:c>
      <x:c r="J44" s="38" t="inlineStr">
        <x:is>
          <x:t xml:space="preserve">PROVED</x:t>
        </x:is>
      </x:c>
      <x:c r="K44" s="38" t="inlineStr">
        <x:is>
          <x:t xml:space="preserve">L1-Q2</x:t>
        </x:is>
      </x:c>
      <x:c r="L44" s="38" t="inlineStr">
        <x:is>
          <x:t xml:space="preserve">8</x:t>
        </x:is>
      </x:c>
      <x:c r="M44" s="38" t="inlineStr">
        <x:is>
          <x:t xml:space="preserve">theophysics-lean-main</x:t>
        </x:is>
      </x:c>
      <x:c r="N44" s="38" t="inlineStr">
        <x:is>
          <x:t xml:space="preserve">theophysics-lean-main\theophysics-lean-main\Final_Lean4_From_Excel.lean</x:t>
        </x:is>
      </x:c>
      <x:c r="O44" s="38" t="inlineStr">
        <x:is>
          <x:t xml:space="preserve">253</x:t>
        </x:is>
      </x:c>
      <x:c r="P44" s="38" t="inlineStr">
        <x:is>
          <x:t xml:space="preserve">WRAPPER_OR_IMPORTED</x:t>
        </x:is>
      </x:c>
      <x:c r="Q44" s="38" t="inlineStr">
        <x:is>
          <x:t xml:space="preserve">Likely delegates to another theorem; cite underlying theorem too.</x:t>
        </x:is>
      </x:c>
      <x:c r="R44" s="39" t="inlineStr">
        <x:is>
          <x:t xml:space="preserve">theorem law3_truth_limit_E_one (x : FactorState) (h : x.E = 1) (hc : ¬ x.R = 0) (hb : ¬ x.Q = 0) : x.E = 1</x:t>
        </x:is>
      </x:c>
    </x:row>
    <x:row r="45" ht="15" customHeight="1">
      <x:c r="A45" s="37" t="inlineStr">
        <x:is>
          <x:t xml:space="preserve">\\192.168.2.50\h_hp\Desktop\Master EXCEL\Lean 4.xlsx</x:t>
        </x:is>
      </x:c>
      <x:c r="B45" s="38" t="inlineStr">
        <x:is>
          <x:t xml:space="preserve">LEAN_DERIVATION_CHAIN</x:t>
        </x:is>
      </x:c>
      <x:c r="C45" s="38" t="inlineStr">
        <x:is>
          <x:t xml:space="preserve">51</x:t>
        </x:is>
      </x:c>
      <x:c r="D45" s="38" t="inlineStr">
        <x:is>
          <x:t xml:space="preserve">44</x:t>
        </x:is>
      </x:c>
      <x:c r="E45" s="38" t="inlineStr">
        <x:is>
          <x:t xml:space="preserve">5 — Law 3 (EM/Truth)</x:t>
        </x:is>
      </x:c>
      <x:c r="F45" s="38" t="inlineStr">
        <x:is>
          <x:t xml:space="preserve">FieldBridgeControls.lean</x:t>
        </x:is>
      </x:c>
      <x:c r="G45" s="38" t="inlineStr">
        <x:is>
          <x:t xml:space="preserve">law3_command_bypass_forces_E_zero</x:t>
        </x:is>
      </x:c>
      <x:c r="H45" s="38" t="inlineStr">
        <x:is>
          <x:t xml:space="preserve">REJECTION: Command bypass → E = 0 (∀ states). Bypassing command kills truth-fidelity.</x:t>
        </x:is>
      </x:c>
      <x:c r="I45" s="38" t="inlineStr">
        <x:is>
          <x:t xml:space="preserve">simp</x:t>
        </x:is>
      </x:c>
      <x:c r="J45" s="38" t="inlineStr">
        <x:is>
          <x:t xml:space="preserve">REJECTION</x:t>
        </x:is>
      </x:c>
      <x:c r="K45" s="38" t="inlineStr">
        <x:is>
          <x:t xml:space="preserve">L6-P2</x:t>
        </x:is>
      </x:c>
      <x:c r="L45" s="38" t="inlineStr">
        <x:is>
          <x:t xml:space="preserve">4</x:t>
        </x:is>
      </x:c>
      <x:c r="M45" s="38" t="inlineStr">
        <x:is>
          <x:t xml:space="preserve">theophysics-lean-main</x:t>
        </x:is>
      </x:c>
      <x:c r="N45" s="38" t="inlineStr">
        <x:is>
          <x:t xml:space="preserve">theophysics-lean-main\theophysics-lean-main\Final_Lean4_From_Excel.lean</x:t>
        </x:is>
      </x:c>
      <x:c r="O45" s="38" t="inlineStr">
        <x:is>
          <x:t xml:space="preserve">257</x:t>
        </x:is>
      </x:c>
      <x:c r="P45" s="38" t="inlineStr">
        <x:is>
          <x:t xml:space="preserve">DECLARATION_OR_UNKNOWN</x:t>
        </x:is>
      </x:c>
      <x:c r="Q45" s="38" t="inlineStr">
        <x:is>
          <x:t xml:space="preserve">Could not classify from first proof lines.</x:t>
        </x:is>
      </x:c>
      <x:c r="R45" s="39" t="inlineStr">
        <x:is>
          <x:t xml:space="preserve">theorem law3_command_bypass_forces_E_zero (x : FactorState) : (∃ c : Controls, c.commandBypass = true) → ((if true then (0 : Nat) else x.E) = 0) := by intro _ simp</x:t>
        </x:is>
      </x:c>
    </x:row>
    <x:row r="46" ht="15" customHeight="1">
      <x:c r="A46" s="37" t="inlineStr">
        <x:is>
          <x:t xml:space="preserve">\\192.168.2.50\h_hp\Desktop\Master EXCEL\Lean 4.xlsx</x:t>
        </x:is>
      </x:c>
      <x:c r="B46" s="38" t="inlineStr">
        <x:is>
          <x:t xml:space="preserve">LEAN_DERIVATION_CHAIN</x:t>
        </x:is>
      </x:c>
      <x:c r="C46" s="38" t="inlineStr">
        <x:is>
          <x:t xml:space="preserve">52</x:t>
        </x:is>
      </x:c>
      <x:c r="D46" s="38" t="inlineStr">
        <x:is>
          <x:t xml:space="preserve">45</x:t>
        </x:is>
      </x:c>
      <x:c r="E46" s="38" t="inlineStr">
        <x:is>
          <x:t xml:space="preserve">5 — Law 3 (EM/Truth)</x:t>
        </x:is>
      </x:c>
      <x:c r="F46" s="38" t="inlineStr">
        <x:is>
          <x:t xml:space="preserve">FieldBridgeControls.lean</x:t>
        </x:is>
      </x:c>
      <x:c r="G46" s="38" t="inlineStr">
        <x:is>
          <x:t xml:space="preserve">law3_phase_inversion_forces_E_zero</x:t>
        </x:is>
      </x:c>
      <x:c r="H46" s="38" t="inlineStr">
        <x:is>
          <x:t xml:space="preserve">REJECTION: Phase inversion → E = 0 (∀ states). Inverted alignment kills truth.</x:t>
        </x:is>
      </x:c>
      <x:c r="I46" s="38" t="inlineStr">
        <x:is>
          <x:t xml:space="preserve">simp</x:t>
        </x:is>
      </x:c>
      <x:c r="J46" s="38" t="inlineStr">
        <x:is>
          <x:t xml:space="preserve">REJECTION</x:t>
        </x:is>
      </x:c>
      <x:c r="K46" s="38" t="inlineStr">
        <x:is>
          <x:t xml:space="preserve">L2-Q3</x:t>
        </x:is>
      </x:c>
      <x:c r="L46" s="38" t="inlineStr">
        <x:is>
          <x:t xml:space="preserve">4</x:t>
        </x:is>
      </x:c>
      <x:c r="M46" s="38" t="inlineStr">
        <x:is>
          <x:t xml:space="preserve">theophysics-lean-main</x:t>
        </x:is>
      </x:c>
      <x:c r="N46" s="38" t="inlineStr">
        <x:is>
          <x:t xml:space="preserve">theophysics-lean-main\theophysics-lean-main\Final_Lean4_From_Excel.lean</x:t>
        </x:is>
      </x:c>
      <x:c r="O46" s="38" t="inlineStr">
        <x:is>
          <x:t xml:space="preserve">263</x:t>
        </x:is>
      </x:c>
      <x:c r="P46" s="38" t="inlineStr">
        <x:is>
          <x:t xml:space="preserve">DECLARATION_OR_UNKNOWN</x:t>
        </x:is>
      </x:c>
      <x:c r="Q46" s="38" t="inlineStr">
        <x:is>
          <x:t xml:space="preserve">Could not classify from first proof lines.</x:t>
        </x:is>
      </x:c>
      <x:c r="R46" s="39" t="inlineStr">
        <x:is>
          <x:t xml:space="preserve">theorem law3_phase_inversion_forces_E_zero (x : FactorState) : (∃ c : Controls, c.phaseInversion = true) → ((if true then (0 : Nat) else x.E) = 0) := by intro _ simp -- law 7 (relational gate)</x:t>
        </x:is>
      </x:c>
    </x:row>
    <x:row r="47" ht="15" customHeight="1">
      <x:c r="A47" s="37" t="inlineStr">
        <x:is>
          <x:t xml:space="preserve">\\192.168.2.50\h_hp\Desktop\Master EXCEL\Lean 4.xlsx</x:t>
        </x:is>
      </x:c>
      <x:c r="B47" s="38" t="inlineStr">
        <x:is>
          <x:t xml:space="preserve">LEAN_DERIVATION_CHAIN</x:t>
        </x:is>
      </x:c>
      <x:c r="C47" s="38" t="inlineStr">
        <x:is>
          <x:t xml:space="preserve">53</x:t>
        </x:is>
      </x:c>
      <x:c r="D47" s="38" t="inlineStr">
        <x:is>
          <x:t xml:space="preserve">46</x:t>
        </x:is>
      </x:c>
      <x:c r="E47" s="38" t="inlineStr">
        <x:is>
          <x:t xml:space="preserve">5 — Law 3 (EM/Truth)</x:t>
        </x:is>
      </x:c>
      <x:c r="F47" s="38" t="inlineStr">
        <x:is>
          <x:t xml:space="preserve">FieldBridgeControls.lean</x:t>
        </x:is>
      </x:c>
      <x:c r="G47" s="38" t="inlineStr">
        <x:is>
          <x:t xml:space="preserve">law3_command_bypass_collapses_chi</x:t>
        </x:is>
      </x:c>
      <x:c r="H47" s="38" t="inlineStr">
        <x:is>
          <x:t xml:space="preserve">Command bypass → χ = 0. Truth bypass kills the whole system.</x:t>
        </x:is>
      </x:c>
      <x:c r="I47" s="38" t="inlineStr">
        <x:is>
          <x:t xml:space="preserve">simp</x:t>
        </x:is>
      </x:c>
      <x:c r="J47" s="38" t="inlineStr">
        <x:is>
          <x:t xml:space="preserve">PROVED</x:t>
        </x:is>
      </x:c>
      <x:c r="K47" s="38" t="inlineStr">
        <x:is>
          <x:t xml:space="preserve">L6-P2</x:t>
        </x:is>
      </x:c>
      <x:c r="L47" s="38" t="inlineStr">
        <x:is>
          <x:t xml:space="preserve">4</x:t>
        </x:is>
      </x:c>
      <x:c r="M47" s="38" t="inlineStr">
        <x:is>
          <x:t xml:space="preserve">theophysics-lean-main</x:t>
        </x:is>
      </x:c>
      <x:c r="N47" s="38" t="inlineStr">
        <x:is>
          <x:t xml:space="preserve">theophysics-lean-main\theophysics-lean-main\Theophysics_Core.lean</x:t>
        </x:is>
      </x:c>
      <x:c r="O47" s="38" t="inlineStr">
        <x:is>
          <x:t xml:space="preserve">194</x:t>
        </x:is>
      </x:c>
      <x:c r="P47" s="38" t="inlineStr">
        <x:is>
          <x:t xml:space="preserve">TRIVIAL_TRUE</x:t>
        </x:is>
      </x:c>
      <x:c r="Q47" s="38" t="inlineStr">
        <x:is>
          <x:t xml:space="preserve">Statement is `True`; theorem name may exceed formal content.</x:t>
        </x:is>
      </x:c>
      <x:c r="R47" s="39" t="inlineStr">
        <x:is>
          <x:t xml:space="preserve">theorem law3_command_bypass_collapses_chi : True</x:t>
        </x:is>
      </x:c>
    </x:row>
    <x:row r="48" ht="15" customHeight="1">
      <x:c r="A48" s="37" t="inlineStr">
        <x:is>
          <x:t xml:space="preserve">\\192.168.2.50\h_hp\Desktop\Master EXCEL\Lean 4.xlsx</x:t>
        </x:is>
      </x:c>
      <x:c r="B48" s="38" t="inlineStr">
        <x:is>
          <x:t xml:space="preserve">LEAN_DERIVATION_CHAIN</x:t>
        </x:is>
      </x:c>
      <x:c r="C48" s="38" t="inlineStr">
        <x:is>
          <x:t xml:space="preserve">54</x:t>
        </x:is>
      </x:c>
      <x:c r="D48" s="38" t="inlineStr">
        <x:is>
          <x:t xml:space="preserve">47</x:t>
        </x:is>
      </x:c>
      <x:c r="E48" s="38" t="inlineStr">
        <x:is>
          <x:t xml:space="preserve">5 — Law 3 (EM/Truth)</x:t>
        </x:is>
      </x:c>
      <x:c r="F48" s="38" t="inlineStr">
        <x:is>
          <x:t xml:space="preserve">FieldBridgeControls.lean</x:t>
        </x:is>
      </x:c>
      <x:c r="G48" s="38" t="inlineStr">
        <x:is>
          <x:t xml:space="preserve">law3_phase_inversion_collapses_chi</x:t>
        </x:is>
      </x:c>
      <x:c r="H48" s="38" t="inlineStr">
        <x:is>
          <x:t xml:space="preserve">Phase inversion → χ = 0</x:t>
        </x:is>
      </x:c>
      <x:c r="I48" s="38" t="inlineStr">
        <x:is>
          <x:t xml:space="preserve">simp</x:t>
        </x:is>
      </x:c>
      <x:c r="J48" s="38" t="inlineStr">
        <x:is>
          <x:t xml:space="preserve">PROVED</x:t>
        </x:is>
      </x:c>
      <x:c r="K48" s="38" t="inlineStr">
        <x:is>
          <x:t xml:space="preserve">L2-Q3</x:t>
        </x:is>
      </x:c>
      <x:c r="L48" s="38" t="inlineStr">
        <x:is>
          <x:t xml:space="preserve">4</x:t>
        </x:is>
      </x:c>
      <x:c r="M48" s="38" t="inlineStr">
        <x:is>
          <x:t xml:space="preserve">theophysics-lean-main</x:t>
        </x:is>
      </x:c>
      <x:c r="N48" s="38" t="inlineStr">
        <x:is>
          <x:t xml:space="preserve">theophysics-lean-main\theophysics-lean-main\Theophysics_Core.lean</x:t>
        </x:is>
      </x:c>
      <x:c r="O48" s="38" t="inlineStr">
        <x:is>
          <x:t xml:space="preserve">195</x:t>
        </x:is>
      </x:c>
      <x:c r="P48" s="38" t="inlineStr">
        <x:is>
          <x:t xml:space="preserve">TRIVIAL_TRUE</x:t>
        </x:is>
      </x:c>
      <x:c r="Q48" s="38" t="inlineStr">
        <x:is>
          <x:t xml:space="preserve">Statement is `True`; theorem name may exceed formal content.</x:t>
        </x:is>
      </x:c>
      <x:c r="R48" s="39" t="inlineStr">
        <x:is>
          <x:t xml:space="preserve">theorem law3_phase_inversion_collapses_chi : True</x:t>
        </x:is>
      </x:c>
    </x:row>
    <x:row r="49" ht="15" customHeight="1">
      <x:c r="A49" s="37" t="inlineStr">
        <x:is>
          <x:t xml:space="preserve">\\192.168.2.50\h_hp\Desktop\Master EXCEL\Lean 4.xlsx</x:t>
        </x:is>
      </x:c>
      <x:c r="B49" s="38" t="inlineStr">
        <x:is>
          <x:t xml:space="preserve">LEAN_DERIVATION_CHAIN</x:t>
        </x:is>
      </x:c>
      <x:c r="C49" s="38" t="inlineStr">
        <x:is>
          <x:t xml:space="preserve">55</x:t>
        </x:is>
      </x:c>
      <x:c r="D49" s="38" t="inlineStr">
        <x:is>
          <x:t xml:space="preserve">48</x:t>
        </x:is>
      </x:c>
      <x:c r="E49" s="38" t="inlineStr">
        <x:is>
          <x:t xml:space="preserve">5 — Law 6 (Info/Logos)</x:t>
        </x:is>
      </x:c>
      <x:c r="F49" s="38" t="inlineStr">
        <x:is>
          <x:t xml:space="preserve">FieldBridgeControls.lean</x:t>
        </x:is>
      </x:c>
      <x:c r="G49" s="38" t="inlineStr">
        <x:is>
          <x:t xml:space="preserve">law6_logos_limit_K_one</x:t>
        </x:is>
      </x:c>
      <x:c r="H49" s="38" t="inlineStr">
        <x:is>
          <x:t xml:space="preserve">Full conditions → K = 1</x:t>
        </x:is>
      </x:c>
      <x:c r="I49" s="38" t="inlineStr">
        <x:is>
          <x:t xml:space="preserve">simp</x:t>
        </x:is>
      </x:c>
      <x:c r="J49" s="38" t="inlineStr">
        <x:is>
          <x:t xml:space="preserve">PROVED</x:t>
        </x:is>
      </x:c>
      <x:c r="K49" s="38" t="inlineStr">
        <x:is>
          <x:t xml:space="preserve">L3-Q4</x:t>
        </x:is>
      </x:c>
      <x:c r="L49" s="38" t="inlineStr">
        <x:is>
          <x:t xml:space="preserve">4</x:t>
        </x:is>
      </x:c>
      <x:c r="M49" s="38" t="inlineStr">
        <x:is>
          <x:t xml:space="preserve">theophysics-lean-main</x:t>
        </x:is>
      </x:c>
      <x:c r="N49" s="38" t="inlineStr">
        <x:is>
          <x:t xml:space="preserve">theophysics-lean-main\theophysics-lean-main\Theophysics_Core.lean</x:t>
        </x:is>
      </x:c>
      <x:c r="O49" s="38" t="inlineStr">
        <x:is>
          <x:t xml:space="preserve">200</x:t>
        </x:is>
      </x:c>
      <x:c r="P49" s="38" t="inlineStr">
        <x:is>
          <x:t xml:space="preserve">TRIVIAL_TRUE</x:t>
        </x:is>
      </x:c>
      <x:c r="Q49" s="38" t="inlineStr">
        <x:is>
          <x:t xml:space="preserve">Statement is `True`; theorem name may exceed formal content.</x:t>
        </x:is>
      </x:c>
      <x:c r="R49" s="39" t="inlineStr">
        <x:is>
          <x:t xml:space="preserve">theorem law6_logos_limit_K_one : True</x:t>
        </x:is>
      </x:c>
    </x:row>
    <x:row r="50" ht="15" customHeight="1">
      <x:c r="A50" s="37" t="inlineStr">
        <x:is>
          <x:t xml:space="preserve">\\192.168.2.50\h_hp\Desktop\Master EXCEL\Lean 4.xlsx</x:t>
        </x:is>
      </x:c>
      <x:c r="B50" s="38" t="inlineStr">
        <x:is>
          <x:t xml:space="preserve">LEAN_DERIVATION_CHAIN</x:t>
        </x:is>
      </x:c>
      <x:c r="C50" s="38" t="inlineStr">
        <x:is>
          <x:t xml:space="preserve">56</x:t>
        </x:is>
      </x:c>
      <x:c r="D50" s="38" t="inlineStr">
        <x:is>
          <x:t xml:space="preserve">49</x:t>
        </x:is>
      </x:c>
      <x:c r="E50" s="38" t="inlineStr">
        <x:is>
          <x:t xml:space="preserve">5 — Law 6 (Info/Logos)</x:t>
        </x:is>
      </x:c>
      <x:c r="F50" s="38" t="inlineStr">
        <x:is>
          <x:t xml:space="preserve">FieldBridgeControls.lean</x:t>
        </x:is>
      </x:c>
      <x:c r="G50" s="38" t="inlineStr">
        <x:is>
          <x:t xml:space="preserve">law6_relation_bypass_forces_K_zero</x:t>
        </x:is>
      </x:c>
      <x:c r="H50" s="38" t="inlineStr">
        <x:is>
          <x:t xml:space="preserve">REJECTION: Relation bypass → K = 0. No relation, no Logos.</x:t>
        </x:is>
      </x:c>
      <x:c r="I50" s="38" t="inlineStr">
        <x:is>
          <x:t xml:space="preserve">simp</x:t>
        </x:is>
      </x:c>
      <x:c r="J50" s="38" t="inlineStr">
        <x:is>
          <x:t xml:space="preserve">REJECTION</x:t>
        </x:is>
      </x:c>
      <x:c r="K50" s="38" t="inlineStr">
        <x:is>
          <x:t xml:space="preserve">L6-P1</x:t>
        </x:is>
      </x:c>
      <x:c r="L50" s="38" t="inlineStr">
        <x:is>
          <x:t xml:space="preserve">4</x:t>
        </x:is>
      </x:c>
      <x:c r="M50" s="38" t="inlineStr">
        <x:is>
          <x:t xml:space="preserve">theophysics-lean-main</x:t>
        </x:is>
      </x:c>
      <x:c r="N50" s="38" t="inlineStr">
        <x:is>
          <x:t xml:space="preserve">theophysics-lean-main\theophysics-lean-main\Theophysics_Adversarial.lean</x:t>
        </x:is>
      </x:c>
      <x:c r="O50" s="38" t="inlineStr">
        <x:is>
          <x:t xml:space="preserve">367</x:t>
        </x:is>
      </x:c>
      <x:c r="P50" s="38" t="inlineStr">
        <x:is>
          <x:t xml:space="preserve">DEFINITIONAL_RFL</x:t>
        </x:is>
      </x:c>
      <x:c r="Q50" s="38" t="inlineStr">
        <x:is>
          <x:t xml:space="preserve">Proves definitional equality by reduction; useful but narrow.</x:t>
        </x:is>
      </x:c>
      <x:c r="R50" s="39" t="inlineStr">
        <x:is>
          <x:t xml:space="preserve">theorem law6_relation_bypass_forces_K_zero : KGate { relation := false } = 0</x:t>
        </x:is>
      </x:c>
    </x:row>
    <x:row r="51" ht="15" customHeight="1">
      <x:c r="A51" s="37" t="inlineStr">
        <x:is>
          <x:t xml:space="preserve">\\192.168.2.50\h_hp\Desktop\Master EXCEL\Lean 4.xlsx</x:t>
        </x:is>
      </x:c>
      <x:c r="B51" s="38" t="inlineStr">
        <x:is>
          <x:t xml:space="preserve">LEAN_DERIVATION_CHAIN</x:t>
        </x:is>
      </x:c>
      <x:c r="C51" s="38" t="inlineStr">
        <x:is>
          <x:t xml:space="preserve">57</x:t>
        </x:is>
      </x:c>
      <x:c r="D51" s="38" t="inlineStr">
        <x:is>
          <x:t xml:space="preserve">50</x:t>
        </x:is>
      </x:c>
      <x:c r="E51" s="38" t="inlineStr">
        <x:is>
          <x:t xml:space="preserve">5 — Law 6 (Info/Logos)</x:t>
        </x:is>
      </x:c>
      <x:c r="F51" s="38" t="inlineStr">
        <x:is>
          <x:t xml:space="preserve">FieldBridgeControls.lean</x:t>
        </x:is>
      </x:c>
      <x:c r="G51" s="38" t="inlineStr">
        <x:is>
          <x:t xml:space="preserve">law6_bandwidth_closed_forces_K_zero</x:t>
        </x:is>
      </x:c>
      <x:c r="H51" s="38" t="inlineStr">
        <x:is>
          <x:t xml:space="preserve">REJECTION: Bandwidth closed → K = 0. Channel closed, Logos blocked.</x:t>
        </x:is>
      </x:c>
      <x:c r="I51" s="38" t="inlineStr">
        <x:is>
          <x:t xml:space="preserve">simp</x:t>
        </x:is>
      </x:c>
      <x:c r="J51" s="38" t="inlineStr">
        <x:is>
          <x:t xml:space="preserve">REJECTION</x:t>
        </x:is>
      </x:c>
      <x:c r="K51" s="38" t="inlineStr">
        <x:is>
          <x:t xml:space="preserve">L3-Q4</x:t>
        </x:is>
      </x:c>
      <x:c r="L51" s="38" t="inlineStr">
        <x:is>
          <x:t xml:space="preserve">4</x:t>
        </x:is>
      </x:c>
      <x:c r="M51" s="38" t="inlineStr">
        <x:is>
          <x:t xml:space="preserve">theophysics-lean-main</x:t>
        </x:is>
      </x:c>
      <x:c r="N51" s="38" t="inlineStr">
        <x:is>
          <x:t xml:space="preserve">theophysics-lean-main\theophysics-lean-main\Theophysics_Adversarial.lean</x:t>
        </x:is>
      </x:c>
      <x:c r="O51" s="38" t="inlineStr">
        <x:is>
          <x:t xml:space="preserve">371</x:t>
        </x:is>
      </x:c>
      <x:c r="P51" s="38" t="inlineStr">
        <x:is>
          <x:t xml:space="preserve">DEFINITIONAL_RFL</x:t>
        </x:is>
      </x:c>
      <x:c r="Q51" s="38" t="inlineStr">
        <x:is>
          <x:t xml:space="preserve">Proves definitional equality by reduction; useful but narrow.</x:t>
        </x:is>
      </x:c>
      <x:c r="R51" s="39" t="inlineStr">
        <x:is>
          <x:t xml:space="preserve">theorem law6_bandwidth_closed_forces_K_zero : KGate { bandwidthOpen := false } = 0</x:t>
        </x:is>
      </x:c>
    </x:row>
    <x:row r="52" ht="15" customHeight="1">
      <x:c r="A52" s="37" t="inlineStr">
        <x:is>
          <x:t xml:space="preserve">\\192.168.2.50\h_hp\Desktop\Master EXCEL\Lean 4.xlsx</x:t>
        </x:is>
      </x:c>
      <x:c r="B52" s="38" t="inlineStr">
        <x:is>
          <x:t xml:space="preserve">LEAN_DERIVATION_CHAIN</x:t>
        </x:is>
      </x:c>
      <x:c r="C52" s="38" t="inlineStr">
        <x:is>
          <x:t xml:space="preserve">58</x:t>
        </x:is>
      </x:c>
      <x:c r="D52" s="38" t="inlineStr">
        <x:is>
          <x:t xml:space="preserve">51</x:t>
        </x:is>
      </x:c>
      <x:c r="E52" s="38" t="inlineStr">
        <x:is>
          <x:t xml:space="preserve">5 — Law 6 (Info/Logos)</x:t>
        </x:is>
      </x:c>
      <x:c r="F52" s="38" t="inlineStr">
        <x:is>
          <x:t xml:space="preserve">FieldBridgeControls.lean</x:t>
        </x:is>
      </x:c>
      <x:c r="G52" s="38" t="inlineStr">
        <x:is>
          <x:t xml:space="preserve">law6_distortion_dominates_forces_K_zero</x:t>
        </x:is>
      </x:c>
      <x:c r="H52" s="38" t="inlineStr">
        <x:is>
          <x:t xml:space="preserve">REJECTION: Distortion dominates → K = 0</x:t>
        </x:is>
      </x:c>
      <x:c r="I52" s="38" t="inlineStr">
        <x:is>
          <x:t xml:space="preserve">simp</x:t>
        </x:is>
      </x:c>
      <x:c r="J52" s="38" t="inlineStr">
        <x:is>
          <x:t xml:space="preserve">REJECTION</x:t>
        </x:is>
      </x:c>
      <x:c r="K52" s="38" t="inlineStr">
        <x:is>
          <x:t xml:space="preserve">L3-Q4</x:t>
        </x:is>
      </x:c>
      <x:c r="L52" s="38" t="inlineStr">
        <x:is>
          <x:t xml:space="preserve">4</x:t>
        </x:is>
      </x:c>
      <x:c r="M52" s="38" t="inlineStr">
        <x:is>
          <x:t xml:space="preserve">theophysics-lean-main</x:t>
        </x:is>
      </x:c>
      <x:c r="N52" s="38" t="inlineStr">
        <x:is>
          <x:t xml:space="preserve">theophysics-lean-main\theophysics-lean-main\Theophysics_Adversarial.lean</x:t>
        </x:is>
      </x:c>
      <x:c r="O52" s="38" t="inlineStr">
        <x:is>
          <x:t xml:space="preserve">375</x:t>
        </x:is>
      </x:c>
      <x:c r="P52" s="38" t="inlineStr">
        <x:is>
          <x:t xml:space="preserve">DEFINITIONAL_RFL</x:t>
        </x:is>
      </x:c>
      <x:c r="Q52" s="38" t="inlineStr">
        <x:is>
          <x:t xml:space="preserve">Proves definitional equality by reduction; useful but narrow.</x:t>
        </x:is>
      </x:c>
      <x:c r="R52" s="39" t="inlineStr">
        <x:is>
          <x:t xml:space="preserve">theorem law6_distortion_dominates_forces_K_zero : KGate { distortionDominates := true } = 0</x:t>
        </x:is>
      </x:c>
    </x:row>
    <x:row r="53" ht="15" customHeight="1">
      <x:c r="A53" s="37" t="inlineStr">
        <x:is>
          <x:t xml:space="preserve">\\192.168.2.50\h_hp\Desktop\Master EXCEL\Lean 4.xlsx</x:t>
        </x:is>
      </x:c>
      <x:c r="B53" s="38" t="inlineStr">
        <x:is>
          <x:t xml:space="preserve">LEAN_DERIVATION_CHAIN</x:t>
        </x:is>
      </x:c>
      <x:c r="C53" s="38" t="inlineStr">
        <x:is>
          <x:t xml:space="preserve">59</x:t>
        </x:is>
      </x:c>
      <x:c r="D53" s="38" t="inlineStr">
        <x:is>
          <x:t xml:space="preserve">52</x:t>
        </x:is>
      </x:c>
      <x:c r="E53" s="38" t="inlineStr">
        <x:is>
          <x:t xml:space="preserve">5 — Law 6 (Info/Logos)</x:t>
        </x:is>
      </x:c>
      <x:c r="F53" s="38" t="inlineStr">
        <x:is>
          <x:t xml:space="preserve">FieldBridgeControls.lean</x:t>
        </x:is>
      </x:c>
      <x:c r="G53" s="38" t="inlineStr">
        <x:is>
          <x:t xml:space="preserve">law6_bandwidth_collapse_collapses_chi</x:t>
        </x:is>
      </x:c>
      <x:c r="H53" s="38" t="inlineStr">
        <x:is>
          <x:t xml:space="preserve">Bandwidth collapse → χ = 0</x:t>
        </x:is>
      </x:c>
      <x:c r="I53" s="38" t="inlineStr">
        <x:is>
          <x:t xml:space="preserve">simp</x:t>
        </x:is>
      </x:c>
      <x:c r="J53" s="38" t="inlineStr">
        <x:is>
          <x:t xml:space="preserve">PROVED</x:t>
        </x:is>
      </x:c>
      <x:c r="K53" s="38" t="inlineStr">
        <x:is>
          <x:t xml:space="preserve">L3-Q4</x:t>
        </x:is>
      </x:c>
      <x:c r="L53" s="38" t="inlineStr">
        <x:is>
          <x:t xml:space="preserve">4</x:t>
        </x:is>
      </x:c>
      <x:c r="M53" s="38" t="inlineStr">
        <x:is>
          <x:t xml:space="preserve">theophysics-lean-main</x:t>
        </x:is>
      </x:c>
      <x:c r="N53" s="38" t="inlineStr">
        <x:is>
          <x:t xml:space="preserve">theophysics-lean-main\theophysics-lean-main\Theophysics_Core.lean</x:t>
        </x:is>
      </x:c>
      <x:c r="O53" s="38" t="inlineStr">
        <x:is>
          <x:t xml:space="preserve">199</x:t>
        </x:is>
      </x:c>
      <x:c r="P53" s="38" t="inlineStr">
        <x:is>
          <x:t xml:space="preserve">TRIVIAL_TRUE</x:t>
        </x:is>
      </x:c>
      <x:c r="Q53" s="38" t="inlineStr">
        <x:is>
          <x:t xml:space="preserve">Statement is `True`; theorem name may exceed formal content.</x:t>
        </x:is>
      </x:c>
      <x:c r="R53" s="39" t="inlineStr">
        <x:is>
          <x:t xml:space="preserve">theorem law6_bandwidth_collapse_collapses_chi : True</x:t>
        </x:is>
      </x:c>
    </x:row>
    <x:row r="54" ht="15" customHeight="1">
      <x:c r="A54" s="37" t="inlineStr">
        <x:is>
          <x:t xml:space="preserve">\\192.168.2.50\h_hp\Desktop\Master EXCEL\Lean 4.xlsx</x:t>
        </x:is>
      </x:c>
      <x:c r="B54" s="38" t="inlineStr">
        <x:is>
          <x:t xml:space="preserve">LEAN_DERIVATION_CHAIN</x:t>
        </x:is>
      </x:c>
      <x:c r="C54" s="38" t="inlineStr">
        <x:is>
          <x:t xml:space="preserve">60</x:t>
        </x:is>
      </x:c>
      <x:c r="D54" s="38" t="inlineStr">
        <x:is>
          <x:t xml:space="preserve">53</x:t>
        </x:is>
      </x:c>
      <x:c r="E54" s="38" t="inlineStr">
        <x:is>
          <x:t xml:space="preserve">5 — Law 7 (Rel/Frame)</x:t>
        </x:is>
      </x:c>
      <x:c r="F54" s="38" t="inlineStr">
        <x:is>
          <x:t xml:space="preserve">FieldBridgeControls.lean</x:t>
        </x:is>
      </x:c>
      <x:c r="G54" s="38" t="inlineStr">
        <x:is>
          <x:t xml:space="preserve">law7_righteous_limit_R_one</x:t>
        </x:is>
      </x:c>
      <x:c r="H54" s="38" t="inlineStr">
        <x:is>
          <x:t xml:space="preserve">Full conditions → R = 1</x:t>
        </x:is>
      </x:c>
      <x:c r="I54" s="38" t="inlineStr">
        <x:is>
          <x:t xml:space="preserve">simp</x:t>
        </x:is>
      </x:c>
      <x:c r="J54" s="38" t="inlineStr">
        <x:is>
          <x:t xml:space="preserve">PROVED</x:t>
        </x:is>
      </x:c>
      <x:c r="K54" s="38" t="inlineStr">
        <x:is>
          <x:t xml:space="preserve">L1-Q6</x:t>
        </x:is>
      </x:c>
      <x:c r="L54" s="38" t="inlineStr">
        <x:is>
          <x:t xml:space="preserve">4</x:t>
        </x:is>
      </x:c>
      <x:c r="M54" s="38" t="inlineStr">
        <x:is>
          <x:t xml:space="preserve">theophysics-lean-main</x:t>
        </x:is>
      </x:c>
      <x:c r="N54" s="38" t="inlineStr">
        <x:is>
          <x:t xml:space="preserve">theophysics-lean-main\theophysics-lean-main\Theophysics_Core.lean</x:t>
        </x:is>
      </x:c>
      <x:c r="O54" s="38" t="inlineStr">
        <x:is>
          <x:t xml:space="preserve">203</x:t>
        </x:is>
      </x:c>
      <x:c r="P54" s="38" t="inlineStr">
        <x:is>
          <x:t xml:space="preserve">TRIVIAL_TRUE</x:t>
        </x:is>
      </x:c>
      <x:c r="Q54" s="38" t="inlineStr">
        <x:is>
          <x:t xml:space="preserve">Statement is `True`; theorem name may exceed formal content.</x:t>
        </x:is>
      </x:c>
      <x:c r="R54" s="39" t="inlineStr">
        <x:is>
          <x:t xml:space="preserve">theorem law7_righteous_limit_R_one : True</x:t>
        </x:is>
      </x:c>
    </x:row>
    <x:row r="55" ht="15" customHeight="1">
      <x:c r="A55" s="37" t="inlineStr">
        <x:is>
          <x:t xml:space="preserve">\\192.168.2.50\h_hp\Desktop\Master EXCEL\Lean 4.xlsx</x:t>
        </x:is>
      </x:c>
      <x:c r="B55" s="38" t="inlineStr">
        <x:is>
          <x:t xml:space="preserve">LEAN_DERIVATION_CHAIN</x:t>
        </x:is>
      </x:c>
      <x:c r="C55" s="38" t="inlineStr">
        <x:is>
          <x:t xml:space="preserve">61</x:t>
        </x:is>
      </x:c>
      <x:c r="D55" s="38" t="inlineStr">
        <x:is>
          <x:t xml:space="preserve">54</x:t>
        </x:is>
      </x:c>
      <x:c r="E55" s="38" t="inlineStr">
        <x:is>
          <x:t xml:space="preserve">5 — Law 7 (Rel/Frame)</x:t>
        </x:is>
      </x:c>
      <x:c r="F55" s="38" t="inlineStr">
        <x:is>
          <x:t xml:space="preserve">FieldBridgeControls.lean</x:t>
        </x:is>
      </x:c>
      <x:c r="G55" s="38" t="inlineStr">
        <x:is>
          <x:t xml:space="preserve">law7_relation_bypass_forces_R_zero</x:t>
        </x:is>
      </x:c>
      <x:c r="H55" s="38" t="inlineStr">
        <x:is>
          <x:t xml:space="preserve">REJECTION: Relation bypass → R = 0. No relation, no frame translation.</x:t>
        </x:is>
      </x:c>
      <x:c r="I55" s="38" t="inlineStr">
        <x:is>
          <x:t xml:space="preserve">simp</x:t>
        </x:is>
      </x:c>
      <x:c r="J55" s="38" t="inlineStr">
        <x:is>
          <x:t xml:space="preserve">REJECTION</x:t>
        </x:is>
      </x:c>
      <x:c r="K55" s="38" t="inlineStr">
        <x:is>
          <x:t xml:space="preserve">L6-P1</x:t>
        </x:is>
      </x:c>
      <x:c r="L55" s="38" t="inlineStr">
        <x:is>
          <x:t xml:space="preserve">4</x:t>
        </x:is>
      </x:c>
      <x:c r="M55" s="38" t="inlineStr">
        <x:is>
          <x:t xml:space="preserve">theophysics-lean-main</x:t>
        </x:is>
      </x:c>
      <x:c r="N55" s="38" t="inlineStr">
        <x:is>
          <x:t xml:space="preserve">theophysics-lean-main\theophysics-lean-main\Final_Lean4_From_Excel.lean</x:t>
        </x:is>
      </x:c>
      <x:c r="O55" s="38" t="inlineStr">
        <x:is>
          <x:t xml:space="preserve">270</x:t>
        </x:is>
      </x:c>
      <x:c r="P55" s="38" t="inlineStr">
        <x:is>
          <x:t xml:space="preserve">DECLARATION_OR_UNKNOWN</x:t>
        </x:is>
      </x:c>
      <x:c r="Q55" s="38" t="inlineStr">
        <x:is>
          <x:t xml:space="preserve">Could not classify from first proof lines.</x:t>
        </x:is>
      </x:c>
      <x:c r="R55" s="39" t="inlineStr">
        <x:is>
          <x:t xml:space="preserve">theorem law7_relation_bypass_forces_R_zero : ∀ c : Controls, c.relation = false → c.relation = false := fun c h =&gt; h</x:t>
        </x:is>
      </x:c>
    </x:row>
    <x:row r="56" ht="15" customHeight="1">
      <x:c r="A56" s="37" t="inlineStr">
        <x:is>
          <x:t xml:space="preserve">\\192.168.2.50\h_hp\Desktop\Master EXCEL\Lean 4.xlsx</x:t>
        </x:is>
      </x:c>
      <x:c r="B56" s="38" t="inlineStr">
        <x:is>
          <x:t xml:space="preserve">LEAN_DERIVATION_CHAIN</x:t>
        </x:is>
      </x:c>
      <x:c r="C56" s="38" t="inlineStr">
        <x:is>
          <x:t xml:space="preserve">62</x:t>
        </x:is>
      </x:c>
      <x:c r="D56" s="38" t="inlineStr">
        <x:is>
          <x:t xml:space="preserve">55</x:t>
        </x:is>
      </x:c>
      <x:c r="E56" s="38" t="inlineStr">
        <x:is>
          <x:t xml:space="preserve">5 — Law 7 (Rel/Frame)</x:t>
        </x:is>
      </x:c>
      <x:c r="F56" s="38" t="inlineStr">
        <x:is>
          <x:t xml:space="preserve">FieldBridgeControls.lean</x:t>
        </x:is>
      </x:c>
      <x:c r="G56" s="38" t="inlineStr">
        <x:is>
          <x:t xml:space="preserve">law7_metric_absent_forces_R_zero</x:t>
        </x:is>
      </x:c>
      <x:c r="H56" s="38" t="inlineStr">
        <x:is>
          <x:t xml:space="preserve">REJECTION: No shared metric → R = 0</x:t>
        </x:is>
      </x:c>
      <x:c r="I56" s="38" t="inlineStr">
        <x:is>
          <x:t xml:space="preserve">simp</x:t>
        </x:is>
      </x:c>
      <x:c r="J56" s="38" t="inlineStr">
        <x:is>
          <x:t xml:space="preserve">REJECTION</x:t>
        </x:is>
      </x:c>
      <x:c r="K56" s="38" t="inlineStr">
        <x:is>
          <x:t xml:space="preserve">L1-Q4</x:t>
        </x:is>
      </x:c>
      <x:c r="L56" s="38" t="inlineStr">
        <x:is>
          <x:t xml:space="preserve">4</x:t>
        </x:is>
      </x:c>
      <x:c r="M56" s="38" t="inlineStr">
        <x:is>
          <x:t xml:space="preserve">theophysics-lean-main</x:t>
        </x:is>
      </x:c>
      <x:c r="N56" s="38" t="inlineStr">
        <x:is>
          <x:t xml:space="preserve">theophysics-lean-main\theophysics-lean-main\Theophysics_Adversarial.lean</x:t>
        </x:is>
      </x:c>
      <x:c r="O56" s="38" t="inlineStr">
        <x:is>
          <x:t xml:space="preserve">379</x:t>
        </x:is>
      </x:c>
      <x:c r="P56" s="38" t="inlineStr">
        <x:is>
          <x:t xml:space="preserve">DEFINITIONAL_RFL</x:t>
        </x:is>
      </x:c>
      <x:c r="Q56" s="38" t="inlineStr">
        <x:is>
          <x:t xml:space="preserve">Proves definitional equality by reduction; useful but narrow.</x:t>
        </x:is>
      </x:c>
      <x:c r="R56" s="39" t="inlineStr">
        <x:is>
          <x:t xml:space="preserve">theorem law7_metric_absent_forces_R_zero : RGate { metricPresent := false } = 0</x:t>
        </x:is>
      </x:c>
    </x:row>
    <x:row r="57" ht="15" customHeight="1">
      <x:c r="A57" s="37" t="inlineStr">
        <x:is>
          <x:t xml:space="preserve">\\192.168.2.50\h_hp\Desktop\Master EXCEL\Lean 4.xlsx</x:t>
        </x:is>
      </x:c>
      <x:c r="B57" s="38" t="inlineStr">
        <x:is>
          <x:t xml:space="preserve">LEAN_DERIVATION_CHAIN</x:t>
        </x:is>
      </x:c>
      <x:c r="C57" s="38" t="inlineStr">
        <x:is>
          <x:t xml:space="preserve">63</x:t>
        </x:is>
      </x:c>
      <x:c r="D57" s="38" t="inlineStr">
        <x:is>
          <x:t xml:space="preserve">56</x:t>
        </x:is>
      </x:c>
      <x:c r="E57" s="38" t="inlineStr">
        <x:is>
          <x:t xml:space="preserve">5 — Law 7 (Rel/Frame)</x:t>
        </x:is>
      </x:c>
      <x:c r="F57" s="38" t="inlineStr">
        <x:is>
          <x:t xml:space="preserve">FieldBridgeControls.lean</x:t>
        </x:is>
      </x:c>
      <x:c r="G57" s="38" t="inlineStr">
        <x:is>
          <x:t xml:space="preserve">law7_frame_lock_forces_R_zero</x:t>
        </x:is>
      </x:c>
      <x:c r="H57" s="38" t="inlineStr">
        <x:is>
          <x:t xml:space="preserve">REJECTION: Frame lock → R = 0</x:t>
        </x:is>
      </x:c>
      <x:c r="I57" s="38" t="inlineStr">
        <x:is>
          <x:t xml:space="preserve">simp</x:t>
        </x:is>
      </x:c>
      <x:c r="J57" s="38" t="inlineStr">
        <x:is>
          <x:t xml:space="preserve">REJECTION</x:t>
        </x:is>
      </x:c>
      <x:c r="K57" s="38" t="inlineStr">
        <x:is>
          <x:t xml:space="preserve">L1-Q4</x:t>
        </x:is>
      </x:c>
      <x:c r="L57" s="38" t="inlineStr">
        <x:is>
          <x:t xml:space="preserve">4</x:t>
        </x:is>
      </x:c>
      <x:c r="M57" s="38" t="inlineStr">
        <x:is>
          <x:t xml:space="preserve">theophysics-lean-main</x:t>
        </x:is>
      </x:c>
      <x:c r="N57" s="38" t="inlineStr">
        <x:is>
          <x:t xml:space="preserve">theophysics-lean-main\theophysics-lean-main\Final_Lean4_From_Excel.lean</x:t>
        </x:is>
      </x:c>
      <x:c r="O57" s="38" t="inlineStr">
        <x:is>
          <x:t xml:space="preserve">273</x:t>
        </x:is>
      </x:c>
      <x:c r="P57" s="38" t="inlineStr">
        <x:is>
          <x:t xml:space="preserve">DECLARATION_OR_UNKNOWN</x:t>
        </x:is>
      </x:c>
      <x:c r="Q57" s="38" t="inlineStr">
        <x:is>
          <x:t xml:space="preserve">Could not classify from first proof lines.</x:t>
        </x:is>
      </x:c>
      <x:c r="R57" s="39" t="inlineStr">
        <x:is>
          <x:t xml:space="preserve">theorem law7_frame_lock_forces_R_zero : ∀ c : Controls, c.frameLock = true → c.frameLock = true := fun c h =&gt; h -- score discipline as a binary gate def binaryGate (s : Nat) : Nat := if s = 0 then 0 else 1</x:t>
        </x:is>
      </x:c>
    </x:row>
    <x:row r="58" ht="15" customHeight="1">
      <x:c r="A58" s="37" t="inlineStr">
        <x:is>
          <x:t xml:space="preserve">\\192.168.2.50\h_hp\Desktop\Master EXCEL\Lean 4.xlsx</x:t>
        </x:is>
      </x:c>
      <x:c r="B58" s="38" t="inlineStr">
        <x:is>
          <x:t xml:space="preserve">LEAN_DERIVATION_CHAIN</x:t>
        </x:is>
      </x:c>
      <x:c r="C58" s="38" t="inlineStr">
        <x:is>
          <x:t xml:space="preserve">64</x:t>
        </x:is>
      </x:c>
      <x:c r="D58" s="38" t="inlineStr">
        <x:is>
          <x:t xml:space="preserve">57</x:t>
        </x:is>
      </x:c>
      <x:c r="E58" s="38" t="inlineStr">
        <x:is>
          <x:t xml:space="preserve">5 — Law 7 (Rel/Frame)</x:t>
        </x:is>
      </x:c>
      <x:c r="F58" s="38" t="inlineStr">
        <x:is>
          <x:t xml:space="preserve">FieldBridgeControls.lean</x:t>
        </x:is>
      </x:c>
      <x:c r="G58" s="38" t="inlineStr">
        <x:is>
          <x:t xml:space="preserve">law7_relation_bypass_collapses_chi</x:t>
        </x:is>
      </x:c>
      <x:c r="H58" s="38" t="inlineStr">
        <x:is>
          <x:t xml:space="preserve">Relation bypass → χ = 0</x:t>
        </x:is>
      </x:c>
      <x:c r="I58" s="38" t="inlineStr">
        <x:is>
          <x:t xml:space="preserve">simp</x:t>
        </x:is>
      </x:c>
      <x:c r="J58" s="38" t="inlineStr">
        <x:is>
          <x:t xml:space="preserve">PROVED</x:t>
        </x:is>
      </x:c>
      <x:c r="K58" s="38" t="inlineStr">
        <x:is>
          <x:t xml:space="preserve">L6-P1</x:t>
        </x:is>
      </x:c>
      <x:c r="L58" s="38" t="inlineStr">
        <x:is>
          <x:t xml:space="preserve">4</x:t>
        </x:is>
      </x:c>
      <x:c r="M58" s="38" t="inlineStr">
        <x:is>
          <x:t xml:space="preserve">theophysics-lean-main</x:t>
        </x:is>
      </x:c>
      <x:c r="N58" s="38" t="inlineStr">
        <x:is>
          <x:t xml:space="preserve">theophysics-lean-main\theophysics-lean-main\Theophysics_Core.lean</x:t>
        </x:is>
      </x:c>
      <x:c r="O58" s="38" t="inlineStr">
        <x:is>
          <x:t xml:space="preserve">202</x:t>
        </x:is>
      </x:c>
      <x:c r="P58" s="38" t="inlineStr">
        <x:is>
          <x:t xml:space="preserve">TRIVIAL_TRUE</x:t>
        </x:is>
      </x:c>
      <x:c r="Q58" s="38" t="inlineStr">
        <x:is>
          <x:t xml:space="preserve">Statement is `True`; theorem name may exceed formal content.</x:t>
        </x:is>
      </x:c>
      <x:c r="R58" s="39" t="inlineStr">
        <x:is>
          <x:t xml:space="preserve">theorem law7_relation_bypass_collapses_chi : True</x:t>
        </x:is>
      </x:c>
    </x:row>
    <x:row r="59" ht="15" customHeight="1">
      <x:c r="A59" s="37" t="inlineStr">
        <x:is>
          <x:t xml:space="preserve">\\192.168.2.50\h_hp\Desktop\Master EXCEL\Lean 4.xlsx</x:t>
        </x:is>
      </x:c>
      <x:c r="B59" s="38" t="inlineStr">
        <x:is>
          <x:t xml:space="preserve">LEAN_DERIVATION_CHAIN</x:t>
        </x:is>
      </x:c>
      <x:c r="C59" s="38" t="inlineStr">
        <x:is>
          <x:t xml:space="preserve">65</x:t>
        </x:is>
      </x:c>
      <x:c r="D59" s="38" t="inlineStr">
        <x:is>
          <x:t xml:space="preserve">58</x:t>
        </x:is>
      </x:c>
      <x:c r="E59" s="38" t="inlineStr">
        <x:is>
          <x:t xml:space="preserve">5 — Law 7 (Rel/Frame)</x:t>
        </x:is>
      </x:c>
      <x:c r="F59" s="38" t="inlineStr">
        <x:is>
          <x:t xml:space="preserve">FieldBridgeControls.lean</x:t>
        </x:is>
      </x:c>
      <x:c r="G59" s="38" t="inlineStr">
        <x:is>
          <x:t xml:space="preserve">law7_frame_lock_collapses_chi</x:t>
        </x:is>
      </x:c>
      <x:c r="H59" s="38" t="inlineStr">
        <x:is>
          <x:t xml:space="preserve">Frame lock → χ = 0</x:t>
        </x:is>
      </x:c>
      <x:c r="I59" s="38" t="inlineStr">
        <x:is>
          <x:t xml:space="preserve">simp</x:t>
        </x:is>
      </x:c>
      <x:c r="J59" s="38" t="inlineStr">
        <x:is>
          <x:t xml:space="preserve">PROVED</x:t>
        </x:is>
      </x:c>
      <x:c r="K59" s="38" t="inlineStr">
        <x:is>
          <x:t xml:space="preserve">L1-Q4</x:t>
        </x:is>
      </x:c>
      <x:c r="L59" s="38" t="inlineStr">
        <x:is>
          <x:t xml:space="preserve">4</x:t>
        </x:is>
      </x:c>
      <x:c r="M59" s="38" t="inlineStr">
        <x:is>
          <x:t xml:space="preserve">theophysics-lean-main</x:t>
        </x:is>
      </x:c>
      <x:c r="N59" s="38" t="inlineStr">
        <x:is>
          <x:t xml:space="preserve">theophysics-lean-main\theophysics-lean-main\Theophysics_Core.lean</x:t>
        </x:is>
      </x:c>
      <x:c r="O59" s="38" t="inlineStr">
        <x:is>
          <x:t xml:space="preserve">201</x:t>
        </x:is>
      </x:c>
      <x:c r="P59" s="38" t="inlineStr">
        <x:is>
          <x:t xml:space="preserve">TRIVIAL_TRUE</x:t>
        </x:is>
      </x:c>
      <x:c r="Q59" s="38" t="inlineStr">
        <x:is>
          <x:t xml:space="preserve">Statement is `True`; theorem name may exceed formal content.</x:t>
        </x:is>
      </x:c>
      <x:c r="R59" s="39" t="inlineStr">
        <x:is>
          <x:t xml:space="preserve">theorem law7_frame_lock_collapses_chi : True</x:t>
        </x:is>
      </x:c>
    </x:row>
    <x:row r="60" ht="15" customHeight="1">
      <x:c r="A60" s="37" t="inlineStr">
        <x:is>
          <x:t xml:space="preserve">\\192.168.2.50\h_hp\Desktop\Master EXCEL\Lean 4.xlsx</x:t>
        </x:is>
      </x:c>
      <x:c r="B60" s="38" t="inlineStr">
        <x:is>
          <x:t xml:space="preserve">LEAN_DERIVATION_CHAIN</x:t>
        </x:is>
      </x:c>
      <x:c r="C60" s="38" t="inlineStr">
        <x:is>
          <x:t xml:space="preserve">66</x:t>
        </x:is>
      </x:c>
      <x:c r="D60" s="38" t="inlineStr">
        <x:is>
          <x:t xml:space="preserve">59</x:t>
        </x:is>
      </x:c>
      <x:c r="E60" s="38" t="inlineStr">
        <x:is>
          <x:t xml:space="preserve">5 — Law 8 (QM/Faith)</x:t>
        </x:is>
      </x:c>
      <x:c r="F60" s="38" t="inlineStr">
        <x:is>
          <x:t xml:space="preserve">FieldBridgeControls.lean</x:t>
        </x:is>
      </x:c>
      <x:c r="G60" s="38" t="inlineStr">
        <x:is>
          <x:t xml:space="preserve">law8_faith_limit_Q_one</x:t>
        </x:is>
      </x:c>
      <x:c r="H60" s="38" t="inlineStr">
        <x:is>
          <x:t xml:space="preserve">Full conditions → Q = 1</x:t>
        </x:is>
      </x:c>
      <x:c r="I60" s="38" t="inlineStr">
        <x:is>
          <x:t xml:space="preserve">simp</x:t>
        </x:is>
      </x:c>
      <x:c r="J60" s="38" t="inlineStr">
        <x:is>
          <x:t xml:space="preserve">PROVED</x:t>
        </x:is>
      </x:c>
      <x:c r="K60" s="38" t="inlineStr">
        <x:is>
          <x:t xml:space="preserve">L4-Q4</x:t>
        </x:is>
      </x:c>
      <x:c r="L60" s="38" t="inlineStr">
        <x:is>
          <x:t xml:space="preserve">4</x:t>
        </x:is>
      </x:c>
      <x:c r="M60" s="38" t="inlineStr">
        <x:is>
          <x:t xml:space="preserve">theophysics-lean-main</x:t>
        </x:is>
      </x:c>
      <x:c r="N60" s="38" t="inlineStr">
        <x:is>
          <x:t xml:space="preserve">theophysics-lean-main\theophysics-lean-main\Theophysics_Core.lean</x:t>
        </x:is>
      </x:c>
      <x:c r="O60" s="38" t="inlineStr">
        <x:is>
          <x:t xml:space="preserve">206</x:t>
        </x:is>
      </x:c>
      <x:c r="P60" s="38" t="inlineStr">
        <x:is>
          <x:t xml:space="preserve">TRIVIAL_TRUE</x:t>
        </x:is>
      </x:c>
      <x:c r="Q60" s="38" t="inlineStr">
        <x:is>
          <x:t xml:space="preserve">Statement is `True`; theorem name may exceed formal content.</x:t>
        </x:is>
      </x:c>
      <x:c r="R60" s="39" t="inlineStr">
        <x:is>
          <x:t xml:space="preserve">theorem law8_faith_limit_Q_one : True</x:t>
        </x:is>
      </x:c>
    </x:row>
    <x:row r="61" ht="15" customHeight="1">
      <x:c r="A61" s="37" t="inlineStr">
        <x:is>
          <x:t xml:space="preserve">\\192.168.2.50\h_hp\Desktop\Master EXCEL\Lean 4.xlsx</x:t>
        </x:is>
      </x:c>
      <x:c r="B61" s="38" t="inlineStr">
        <x:is>
          <x:t xml:space="preserve">LEAN_DERIVATION_CHAIN</x:t>
        </x:is>
      </x:c>
      <x:c r="C61" s="38" t="inlineStr">
        <x:is>
          <x:t xml:space="preserve">67</x:t>
        </x:is>
      </x:c>
      <x:c r="D61" s="38" t="inlineStr">
        <x:is>
          <x:t xml:space="preserve">60</x:t>
        </x:is>
      </x:c>
      <x:c r="E61" s="38" t="inlineStr">
        <x:is>
          <x:t xml:space="preserve">5 — Law 8 (QM/Faith)</x:t>
        </x:is>
      </x:c>
      <x:c r="F61" s="38" t="inlineStr">
        <x:is>
          <x:t xml:space="preserve">FieldBridgeControls.lean</x:t>
        </x:is>
      </x:c>
      <x:c r="G61" s="38" t="inlineStr">
        <x:is>
          <x:t xml:space="preserve">law8_command_bypass_forces_Q_zero</x:t>
        </x:is>
      </x:c>
      <x:c r="H61" s="38" t="inlineStr">
        <x:is>
          <x:t xml:space="preserve">REJECTION: Command bypass → Q = 0</x:t>
        </x:is>
      </x:c>
      <x:c r="I61" s="38" t="inlineStr">
        <x:is>
          <x:t xml:space="preserve">simp</x:t>
        </x:is>
      </x:c>
      <x:c r="J61" s="38" t="inlineStr">
        <x:is>
          <x:t xml:space="preserve">REJECTION</x:t>
        </x:is>
      </x:c>
      <x:c r="K61" s="38" t="inlineStr">
        <x:is>
          <x:t xml:space="preserve">L6-P2</x:t>
        </x:is>
      </x:c>
      <x:c r="L61" s="38" t="inlineStr">
        <x:is>
          <x:t xml:space="preserve">4</x:t>
        </x:is>
      </x:c>
      <x:c r="M61" s="38" t="inlineStr">
        <x:is>
          <x:t xml:space="preserve">theophysics-lean-main</x:t>
        </x:is>
      </x:c>
      <x:c r="N61" s="38" t="inlineStr">
        <x:is>
          <x:t xml:space="preserve">theophysics-lean-main\theophysics-lean-main\Theophysics_Adversarial.lean</x:t>
        </x:is>
      </x:c>
      <x:c r="O61" s="38" t="inlineStr">
        <x:is>
          <x:t xml:space="preserve">383</x:t>
        </x:is>
      </x:c>
      <x:c r="P61" s="38" t="inlineStr">
        <x:is>
          <x:t xml:space="preserve">DEFINITIONAL_RFL</x:t>
        </x:is>
      </x:c>
      <x:c r="Q61" s="38" t="inlineStr">
        <x:is>
          <x:t xml:space="preserve">Proves definitional equality by reduction; useful but narrow.</x:t>
        </x:is>
      </x:c>
      <x:c r="R61" s="39" t="inlineStr">
        <x:is>
          <x:t xml:space="preserve">theorem law8_command_bypass_forces_Q_zero : QGate { commandBypass := true } = 0</x:t>
        </x:is>
      </x:c>
    </x:row>
    <x:row r="62" ht="15" customHeight="1">
      <x:c r="A62" s="37" t="inlineStr">
        <x:is>
          <x:t xml:space="preserve">\\192.168.2.50\h_hp\Desktop\Master EXCEL\Lean 4.xlsx</x:t>
        </x:is>
      </x:c>
      <x:c r="B62" s="38" t="inlineStr">
        <x:is>
          <x:t xml:space="preserve">LEAN_DERIVATION_CHAIN</x:t>
        </x:is>
      </x:c>
      <x:c r="C62" s="38" t="inlineStr">
        <x:is>
          <x:t xml:space="preserve">68</x:t>
        </x:is>
      </x:c>
      <x:c r="D62" s="38" t="inlineStr">
        <x:is>
          <x:t xml:space="preserve">61</x:t>
        </x:is>
      </x:c>
      <x:c r="E62" s="38" t="inlineStr">
        <x:is>
          <x:t xml:space="preserve">5 — Law 8 (QM/Faith)</x:t>
        </x:is>
      </x:c>
      <x:c r="F62" s="38" t="inlineStr">
        <x:is>
          <x:t xml:space="preserve">FieldBridgeControls.lean</x:t>
        </x:is>
      </x:c>
      <x:c r="G62" s="38" t="inlineStr">
        <x:is>
          <x:t xml:space="preserve">law8_missing_eigenbasis_forces_Q_zero</x:t>
        </x:is>
      </x:c>
      <x:c r="H62" s="38" t="inlineStr">
        <x:is>
          <x:t xml:space="preserve">REJECTION: Missing eigenbasis → Q = 0. No basis to collapse into.</x:t>
        </x:is>
      </x:c>
      <x:c r="I62" s="38" t="inlineStr">
        <x:is>
          <x:t xml:space="preserve">simp</x:t>
        </x:is>
      </x:c>
      <x:c r="J62" s="38" t="inlineStr">
        <x:is>
          <x:t xml:space="preserve">REJECTION</x:t>
        </x:is>
      </x:c>
      <x:c r="K62" s="38" t="inlineStr">
        <x:is>
          <x:t xml:space="preserve">L4-Q6</x:t>
        </x:is>
      </x:c>
      <x:c r="L62" s="38" t="inlineStr">
        <x:is>
          <x:t xml:space="preserve">4</x:t>
        </x:is>
      </x:c>
      <x:c r="M62" s="38" t="inlineStr">
        <x:is>
          <x:t xml:space="preserve">theophysics-lean-main</x:t>
        </x:is>
      </x:c>
      <x:c r="N62" s="38" t="inlineStr">
        <x:is>
          <x:t xml:space="preserve">theophysics-lean-main\theophysics-lean-main\Theophysics_Adversarial.lean</x:t>
        </x:is>
      </x:c>
      <x:c r="O62" s="38" t="inlineStr">
        <x:is>
          <x:t xml:space="preserve">387</x:t>
        </x:is>
      </x:c>
      <x:c r="P62" s="38" t="inlineStr">
        <x:is>
          <x:t xml:space="preserve">DEFINITIONAL_RFL</x:t>
        </x:is>
      </x:c>
      <x:c r="Q62" s="38" t="inlineStr">
        <x:is>
          <x:t xml:space="preserve">Proves definitional equality by reduction; useful but narrow.</x:t>
        </x:is>
      </x:c>
      <x:c r="R62" s="39" t="inlineStr">
        <x:is>
          <x:t xml:space="preserve">theorem law8_missing_eigenbasis_forces_Q_zero : QGate { eigenbasisPresent := false } = 0</x:t>
        </x:is>
      </x:c>
    </x:row>
    <x:row r="63" ht="15" customHeight="1">
      <x:c r="A63" s="37" t="inlineStr">
        <x:is>
          <x:t xml:space="preserve">\\192.168.2.50\h_hp\Desktop\Master EXCEL\Lean 4.xlsx</x:t>
        </x:is>
      </x:c>
      <x:c r="B63" s="38" t="inlineStr">
        <x:is>
          <x:t xml:space="preserve">LEAN_DERIVATION_CHAIN</x:t>
        </x:is>
      </x:c>
      <x:c r="C63" s="38" t="inlineStr">
        <x:is>
          <x:t xml:space="preserve">69</x:t>
        </x:is>
      </x:c>
      <x:c r="D63" s="38" t="inlineStr">
        <x:is>
          <x:t xml:space="preserve">62</x:t>
        </x:is>
      </x:c>
      <x:c r="E63" s="38" t="inlineStr">
        <x:is>
          <x:t xml:space="preserve">5 — Law 8 (QM/Faith)</x:t>
        </x:is>
      </x:c>
      <x:c r="F63" s="38" t="inlineStr">
        <x:is>
          <x:t xml:space="preserve">FieldBridgeControls.lean</x:t>
        </x:is>
      </x:c>
      <x:c r="G63" s="38" t="inlineStr">
        <x:is>
          <x:t xml:space="preserve">law8_control_refusal_forces_Q_zero</x:t>
        </x:is>
      </x:c>
      <x:c r="H63" s="38" t="inlineStr">
        <x:is>
          <x:t xml:space="preserve">REJECTION: Will refuses to measure → Q = 0. Free will preserved but no collapse.</x:t>
        </x:is>
      </x:c>
      <x:c r="I63" s="38" t="inlineStr">
        <x:is>
          <x:t xml:space="preserve">simp</x:t>
        </x:is>
      </x:c>
      <x:c r="J63" s="38" t="inlineStr">
        <x:is>
          <x:t xml:space="preserve">REJECTION</x:t>
        </x:is>
      </x:c>
      <x:c r="K63" s="38" t="inlineStr">
        <x:is>
          <x:t xml:space="preserve">L6-P3</x:t>
        </x:is>
      </x:c>
      <x:c r="L63" s="38" t="inlineStr">
        <x:is>
          <x:t xml:space="preserve">4</x:t>
        </x:is>
      </x:c>
      <x:c r="M63" s="38" t="inlineStr">
        <x:is>
          <x:t xml:space="preserve">theophysics-lean-main</x:t>
        </x:is>
      </x:c>
      <x:c r="N63" s="38" t="inlineStr">
        <x:is>
          <x:t xml:space="preserve">theophysics-lean-main\theophysics-lean-main\Theophysics_Adversarial.lean</x:t>
        </x:is>
      </x:c>
      <x:c r="O63" s="38" t="inlineStr">
        <x:is>
          <x:t xml:space="preserve">391</x:t>
        </x:is>
      </x:c>
      <x:c r="P63" s="38" t="inlineStr">
        <x:is>
          <x:t xml:space="preserve">DEFINITIONAL_RFL</x:t>
        </x:is>
      </x:c>
      <x:c r="Q63" s="38" t="inlineStr">
        <x:is>
          <x:t xml:space="preserve">Proves definitional equality by reduction; useful but narrow.</x:t>
        </x:is>
      </x:c>
      <x:c r="R63" s="39" t="inlineStr">
        <x:is>
          <x:t xml:space="preserve">theorem law8_control_refusal_forces_Q_zero : QGate { controlRefusal := true } = 0</x:t>
        </x:is>
      </x:c>
    </x:row>
    <x:row r="64" ht="15" customHeight="1">
      <x:c r="A64" s="37" t="inlineStr">
        <x:is>
          <x:t xml:space="preserve">\\192.168.2.50\h_hp\Desktop\Master EXCEL\Lean 4.xlsx</x:t>
        </x:is>
      </x:c>
      <x:c r="B64" s="38" t="inlineStr">
        <x:is>
          <x:t xml:space="preserve">LEAN_DERIVATION_CHAIN</x:t>
        </x:is>
      </x:c>
      <x:c r="C64" s="38" t="inlineStr">
        <x:is>
          <x:t xml:space="preserve">70</x:t>
        </x:is>
      </x:c>
      <x:c r="D64" s="38" t="inlineStr">
        <x:is>
          <x:t xml:space="preserve">63</x:t>
        </x:is>
      </x:c>
      <x:c r="E64" s="38" t="inlineStr">
        <x:is>
          <x:t xml:space="preserve">5 — Law 8 (QM/Faith)</x:t>
        </x:is>
      </x:c>
      <x:c r="F64" s="38" t="inlineStr">
        <x:is>
          <x:t xml:space="preserve">FieldBridgeControls.lean</x:t>
        </x:is>
      </x:c>
      <x:c r="G64" s="38" t="inlineStr">
        <x:is>
          <x:t xml:space="preserve">law8_command_bypass_collapses_chi</x:t>
        </x:is>
      </x:c>
      <x:c r="H64" s="38" t="inlineStr">
        <x:is>
          <x:t xml:space="preserve">Command bypass → χ = 0</x:t>
        </x:is>
      </x:c>
      <x:c r="I64" s="38" t="inlineStr">
        <x:is>
          <x:t xml:space="preserve">simp</x:t>
        </x:is>
      </x:c>
      <x:c r="J64" s="38" t="inlineStr">
        <x:is>
          <x:t xml:space="preserve">PROVED</x:t>
        </x:is>
      </x:c>
      <x:c r="K64" s="38" t="inlineStr">
        <x:is>
          <x:t xml:space="preserve">L6-P2</x:t>
        </x:is>
      </x:c>
      <x:c r="L64" s="38" t="inlineStr">
        <x:is>
          <x:t xml:space="preserve">4</x:t>
        </x:is>
      </x:c>
      <x:c r="M64" s="38" t="inlineStr">
        <x:is>
          <x:t xml:space="preserve">theophysics-lean-main</x:t>
        </x:is>
      </x:c>
      <x:c r="N64" s="38" t="inlineStr">
        <x:is>
          <x:t xml:space="preserve">theophysics-lean-main\theophysics-lean-main\Theophysics_Core.lean</x:t>
        </x:is>
      </x:c>
      <x:c r="O64" s="38" t="inlineStr">
        <x:is>
          <x:t xml:space="preserve">204</x:t>
        </x:is>
      </x:c>
      <x:c r="P64" s="38" t="inlineStr">
        <x:is>
          <x:t xml:space="preserve">TRIVIAL_TRUE</x:t>
        </x:is>
      </x:c>
      <x:c r="Q64" s="38" t="inlineStr">
        <x:is>
          <x:t xml:space="preserve">Statement is `True`; theorem name may exceed formal content.</x:t>
        </x:is>
      </x:c>
      <x:c r="R64" s="39" t="inlineStr">
        <x:is>
          <x:t xml:space="preserve">theorem law8_command_bypass_collapses_chi : True</x:t>
        </x:is>
      </x:c>
    </x:row>
    <x:row r="65" ht="15" customHeight="1">
      <x:c r="A65" s="37" t="inlineStr">
        <x:is>
          <x:t xml:space="preserve">\\192.168.2.50\h_hp\Desktop\Master EXCEL\Lean 4.xlsx</x:t>
        </x:is>
      </x:c>
      <x:c r="B65" s="38" t="inlineStr">
        <x:is>
          <x:t xml:space="preserve">LEAN_DERIVATION_CHAIN</x:t>
        </x:is>
      </x:c>
      <x:c r="C65" s="38" t="inlineStr">
        <x:is>
          <x:t xml:space="preserve">71</x:t>
        </x:is>
      </x:c>
      <x:c r="D65" s="38" t="inlineStr">
        <x:is>
          <x:t xml:space="preserve">64</x:t>
        </x:is>
      </x:c>
      <x:c r="E65" s="38" t="inlineStr">
        <x:is>
          <x:t xml:space="preserve">5 — Law 8 (QM/Faith)</x:t>
        </x:is>
      </x:c>
      <x:c r="F65" s="38" t="inlineStr">
        <x:is>
          <x:t xml:space="preserve">FieldBridgeControls.lean</x:t>
        </x:is>
      </x:c>
      <x:c r="G65" s="38" t="inlineStr">
        <x:is>
          <x:t xml:space="preserve">law8_control_refusal_collapses_chi</x:t>
        </x:is>
      </x:c>
      <x:c r="H65" s="38" t="inlineStr">
        <x:is>
          <x:t xml:space="preserve">Control refusal → χ = 0</x:t>
        </x:is>
      </x:c>
      <x:c r="I65" s="38" t="inlineStr">
        <x:is>
          <x:t xml:space="preserve">simp</x:t>
        </x:is>
      </x:c>
      <x:c r="J65" s="38" t="inlineStr">
        <x:is>
          <x:t xml:space="preserve">PROVED</x:t>
        </x:is>
      </x:c>
      <x:c r="K65" s="38" t="inlineStr">
        <x:is>
          <x:t xml:space="preserve">L6-P3</x:t>
        </x:is>
      </x:c>
      <x:c r="L65" s="38" t="inlineStr">
        <x:is>
          <x:t xml:space="preserve">4</x:t>
        </x:is>
      </x:c>
      <x:c r="M65" s="38" t="inlineStr">
        <x:is>
          <x:t xml:space="preserve">theophysics-lean-main</x:t>
        </x:is>
      </x:c>
      <x:c r="N65" s="38" t="inlineStr">
        <x:is>
          <x:t xml:space="preserve">theophysics-lean-main\theophysics-lean-main\Theophysics_Core.lean</x:t>
        </x:is>
      </x:c>
      <x:c r="O65" s="38" t="inlineStr">
        <x:is>
          <x:t xml:space="preserve">205</x:t>
        </x:is>
      </x:c>
      <x:c r="P65" s="38" t="inlineStr">
        <x:is>
          <x:t xml:space="preserve">TRIVIAL_TRUE</x:t>
        </x:is>
      </x:c>
      <x:c r="Q65" s="38" t="inlineStr">
        <x:is>
          <x:t xml:space="preserve">Statement is `True`; theorem name may exceed formal content.</x:t>
        </x:is>
      </x:c>
      <x:c r="R65" s="39" t="inlineStr">
        <x:is>
          <x:t xml:space="preserve">theorem law8_control_refusal_collapses_chi : True</x:t>
        </x:is>
      </x:c>
    </x:row>
    <x:row r="66" ht="15" customHeight="1">
      <x:c r="A66" s="37" t="inlineStr">
        <x:is>
          <x:t xml:space="preserve">\\192.168.2.50\h_hp\Desktop\Master EXCEL\Lean 4.xlsx</x:t>
        </x:is>
      </x:c>
      <x:c r="B66" s="38" t="inlineStr">
        <x:is>
          <x:t xml:space="preserve">LEAN_DERIVATION_CHAIN</x:t>
        </x:is>
      </x:c>
      <x:c r="C66" s="38" t="inlineStr">
        <x:is>
          <x:t xml:space="preserve">73</x:t>
        </x:is>
      </x:c>
      <x:c r="D66" s="38" t="inlineStr">
        <x:is>
          <x:t xml:space="preserve">65</x:t>
        </x:is>
      </x:c>
      <x:c r="E66" s="38" t="inlineStr">
        <x:is>
          <x:t xml:space="preserve">6 — Score</x:t>
        </x:is>
      </x:c>
      <x:c r="F66" s="38" t="inlineStr">
        <x:is>
          <x:t xml:space="preserve">BridgeScoreDiscipline.lean</x:t>
        </x:is>
      </x:c>
      <x:c r="G66" s="38" t="inlineStr">
        <x:is>
          <x:t xml:space="preserve">binaryGate_zero</x:t>
        </x:is>
      </x:c>
      <x:c r="H66" s="38" t="inlineStr">
        <x:is>
          <x:t xml:space="preserve">Score 0 → gate 0</x:t>
        </x:is>
      </x:c>
      <x:c r="I66" s="38" t="inlineStr">
        <x:is>
          <x:t xml:space="preserve">rfl</x:t>
        </x:is>
      </x:c>
      <x:c r="J66" s="38" t="inlineStr">
        <x:is>
          <x:t xml:space="preserve">PROVED</x:t>
        </x:is>
      </x:c>
      <x:c r="K66" s="38" t="inlineStr">
        <x:is>
          <x:t xml:space="preserve">L1-Q4</x:t>
        </x:is>
      </x:c>
      <x:c r="L66" s="38" t="inlineStr">
        <x:is>
          <x:t xml:space="preserve">8</x:t>
        </x:is>
      </x:c>
      <x:c r="M66" s="38" t="inlineStr">
        <x:is>
          <x:t xml:space="preserve">theophysics-lean-main</x:t>
        </x:is>
      </x:c>
      <x:c r="N66" s="38" t="inlineStr">
        <x:is>
          <x:t xml:space="preserve">theophysics-lean-main\theophysics-lean-main\Final_Lean4_From_Excel.lean</x:t>
        </x:is>
      </x:c>
      <x:c r="O66" s="38" t="inlineStr">
        <x:is>
          <x:t xml:space="preserve">279</x:t>
        </x:is>
      </x:c>
      <x:c r="P66" s="38" t="inlineStr">
        <x:is>
          <x:t xml:space="preserve">SIMPLIFICATION</x:t>
        </x:is>
      </x:c>
      <x:c r="Q66" s="38" t="inlineStr">
        <x:is>
          <x:t xml:space="preserve">Follows by simplification under definitions; check definition strength.</x:t>
        </x:is>
      </x:c>
      <x:c r="R66" s="39" t="inlineStr">
        <x:is>
          <x:t xml:space="preserve">theorem binaryGate_zero : binaryGate 0 = 0</x:t>
        </x:is>
      </x:c>
    </x:row>
    <x:row r="67" ht="15" customHeight="1">
      <x:c r="A67" s="37" t="inlineStr">
        <x:is>
          <x:t xml:space="preserve">\\192.168.2.50\h_hp\Desktop\Master EXCEL\Lean 4.xlsx</x:t>
        </x:is>
      </x:c>
      <x:c r="B67" s="38" t="inlineStr">
        <x:is>
          <x:t xml:space="preserve">LEAN_DERIVATION_CHAIN</x:t>
        </x:is>
      </x:c>
      <x:c r="C67" s="38" t="inlineStr">
        <x:is>
          <x:t xml:space="preserve">74</x:t>
        </x:is>
      </x:c>
      <x:c r="D67" s="38" t="inlineStr">
        <x:is>
          <x:t xml:space="preserve">66</x:t>
        </x:is>
      </x:c>
      <x:c r="E67" s="38" t="inlineStr">
        <x:is>
          <x:t xml:space="preserve">6 — Score</x:t>
        </x:is>
      </x:c>
      <x:c r="F67" s="38" t="inlineStr">
        <x:is>
          <x:t xml:space="preserve">BridgeScoreDiscipline.lean</x:t>
        </x:is>
      </x:c>
      <x:c r="G67" s="38" t="inlineStr">
        <x:is>
          <x:t xml:space="preserve">binaryGate_positive</x:t>
        </x:is>
      </x:c>
      <x:c r="H67" s="38" t="inlineStr">
        <x:is>
          <x:t xml:space="preserve">Score ≥ 1 → gate 1</x:t>
        </x:is>
      </x:c>
      <x:c r="I67" s="38" t="inlineStr">
        <x:is>
          <x:t xml:space="preserve">decide</x:t>
        </x:is>
      </x:c>
      <x:c r="J67" s="38" t="inlineStr">
        <x:is>
          <x:t xml:space="preserve">PROVED</x:t>
        </x:is>
      </x:c>
      <x:c r="K67" s="38" t="inlineStr">
        <x:is>
          <x:t xml:space="preserve">L1-Q4</x:t>
        </x:is>
      </x:c>
      <x:c r="L67" s="38" t="inlineStr">
        <x:is>
          <x:t xml:space="preserve">8</x:t>
        </x:is>
      </x:c>
      <x:c r="M67" s="38" t="inlineStr">
        <x:is>
          <x:t xml:space="preserve">theophysics-lean-main</x:t>
        </x:is>
      </x:c>
      <x:c r="N67" s="38" t="inlineStr">
        <x:is>
          <x:t xml:space="preserve">theophysics-lean-main\theophysics-lean-main\Final_Lean4_From_Excel.lean</x:t>
        </x:is>
      </x:c>
      <x:c r="O67" s="38" t="inlineStr">
        <x:is>
          <x:t xml:space="preserve">280</x:t>
        </x:is>
      </x:c>
      <x:c r="P67" s="38" t="inlineStr">
        <x:is>
          <x:t xml:space="preserve">WRAPPER_OR_IMPORTED</x:t>
        </x:is>
      </x:c>
      <x:c r="Q67" s="38" t="inlineStr">
        <x:is>
          <x:t xml:space="preserve">Likely delegates to another theorem; cite underlying theorem too.</x:t>
        </x:is>
      </x:c>
      <x:c r="R67" s="39" t="inlineStr">
        <x:is>
          <x:t xml:space="preserve">theorem binaryGate_positive : ∀ s : Nat, 0 &lt; s → binaryGate s = 1</x:t>
        </x:is>
      </x:c>
    </x:row>
    <x:row r="68" ht="15" customHeight="1">
      <x:c r="A68" s="37" t="inlineStr">
        <x:is>
          <x:t xml:space="preserve">\\192.168.2.50\h_hp\Desktop\Master EXCEL\Lean 4.xlsx</x:t>
        </x:is>
      </x:c>
      <x:c r="B68" s="38" t="inlineStr">
        <x:is>
          <x:t xml:space="preserve">LEAN_DERIVATION_CHAIN</x:t>
        </x:is>
      </x:c>
      <x:c r="C68" s="38" t="inlineStr">
        <x:is>
          <x:t xml:space="preserve">75</x:t>
        </x:is>
      </x:c>
      <x:c r="D68" s="38" t="inlineStr">
        <x:is>
          <x:t xml:space="preserve">67</x:t>
        </x:is>
      </x:c>
      <x:c r="E68" s="38" t="inlineStr">
        <x:is>
          <x:t xml:space="preserve">6 — Score</x:t>
        </x:is>
      </x:c>
      <x:c r="F68" s="38" t="inlineStr">
        <x:is>
          <x:t xml:space="preserve">BridgeScoreDiscipline.lean</x:t>
        </x:is>
      </x:c>
      <x:c r="G68" s="38" t="inlineStr">
        <x:is>
          <x:t xml:space="preserve">binaryGate_zero_or_one</x:t>
        </x:is>
      </x:c>
      <x:c r="H68" s="38" t="inlineStr">
        <x:is>
          <x:t xml:space="preserve">Gate output is always exactly 0 or 1. No intermediate states.</x:t>
        </x:is>
      </x:c>
      <x:c r="I68" s="38" t="inlineStr">
        <x:is>
          <x:t xml:space="preserve">cases</x:t>
        </x:is>
      </x:c>
      <x:c r="J68" s="38" t="inlineStr">
        <x:is>
          <x:t xml:space="preserve">PROVED</x:t>
        </x:is>
      </x:c>
      <x:c r="K68" s="38" t="inlineStr">
        <x:is>
          <x:t xml:space="preserve">L1-Q4</x:t>
        </x:is>
      </x:c>
      <x:c r="L68" s="38" t="inlineStr">
        <x:is>
          <x:t xml:space="preserve">8</x:t>
        </x:is>
      </x:c>
      <x:c r="M68" s="38" t="inlineStr">
        <x:is>
          <x:t xml:space="preserve">theophysics-lean-main</x:t>
        </x:is>
      </x:c>
      <x:c r="N68" s="38" t="inlineStr">
        <x:is>
          <x:t xml:space="preserve">theophysics-lean-main\theophysics-lean-main\Final_Lean4_From_Excel.lean</x:t>
        </x:is>
      </x:c>
      <x:c r="O68" s="38" t="inlineStr">
        <x:is>
          <x:t xml:space="preserve">284</x:t>
        </x:is>
      </x:c>
      <x:c r="P68" s="38" t="inlineStr">
        <x:is>
          <x:t xml:space="preserve">SIMPLIFICATION</x:t>
        </x:is>
      </x:c>
      <x:c r="Q68" s="38" t="inlineStr">
        <x:is>
          <x:t xml:space="preserve">Follows by simplification under definitions; check definition strength.</x:t>
        </x:is>
      </x:c>
      <x:c r="R68" s="39" t="inlineStr">
        <x:is>
          <x:t xml:space="preserve">theorem binaryGate_zero_or_one : ∀ s : Nat, binaryGate s = 0 ∨ binaryGate s = 1</x:t>
        </x:is>
      </x:c>
    </x:row>
    <x:row r="69" ht="15" customHeight="1">
      <x:c r="A69" s="37" t="inlineStr">
        <x:is>
          <x:t xml:space="preserve">\\192.168.2.50\h_hp\Desktop\Master EXCEL\Lean 4.xlsx</x:t>
        </x:is>
      </x:c>
      <x:c r="B69" s="38" t="inlineStr">
        <x:is>
          <x:t xml:space="preserve">LEAN_DERIVATION_CHAIN</x:t>
        </x:is>
      </x:c>
      <x:c r="C69" s="38" t="inlineStr">
        <x:is>
          <x:t xml:space="preserve">76</x:t>
        </x:is>
      </x:c>
      <x:c r="D69" s="38" t="inlineStr">
        <x:is>
          <x:t xml:space="preserve">68</x:t>
        </x:is>
      </x:c>
      <x:c r="E69" s="38" t="inlineStr">
        <x:is>
          <x:t xml:space="preserve">6 — Score</x:t>
        </x:is>
      </x:c>
      <x:c r="F69" s="38" t="inlineStr">
        <x:is>
          <x:t xml:space="preserve">BridgeScoreDiscipline.lean</x:t>
        </x:is>
      </x:c>
      <x:c r="G69" s="38" t="inlineStr">
        <x:is>
          <x:t xml:space="preserve">law3_unbacked_amplitude_still_has_zero_truth_fidelity</x:t>
        </x:is>
      </x:c>
      <x:c r="H69" s="38" t="inlineStr">
        <x:is>
          <x:t xml:space="preserve">REJECTION: Raw amplitude can be 5 but truth fidelity is 0 without source backing. High signal ≠ truth.</x:t>
        </x:is>
      </x:c>
      <x:c r="I69" s="38" t="inlineStr">
        <x:is>
          <x:t xml:space="preserve">simp</x:t>
        </x:is>
      </x:c>
      <x:c r="J69" s="38" t="inlineStr">
        <x:is>
          <x:t xml:space="preserve">REJECTION</x:t>
        </x:is>
      </x:c>
      <x:c r="K69" s="38" t="inlineStr">
        <x:is>
          <x:t xml:space="preserve">L1-Q5</x:t>
        </x:is>
      </x:c>
      <x:c r="L69" s="38" t="inlineStr">
        <x:is>
          <x:t xml:space="preserve">4</x:t>
        </x:is>
      </x:c>
      <x:c r="M69" s="38" t="inlineStr">
        <x:is>
          <x:t xml:space="preserve">theophysics-lean-main</x:t>
        </x:is>
      </x:c>
      <x:c r="N69" s="38" t="inlineStr">
        <x:is>
          <x:t xml:space="preserve">theophysics-lean-main\theophysics-lean-main\Theophysics_Adversarial.lean</x:t>
        </x:is>
      </x:c>
      <x:c r="O69" s="38" t="inlineStr">
        <x:is>
          <x:t xml:space="preserve">395</x:t>
        </x:is>
      </x:c>
      <x:c r="P69" s="38" t="inlineStr">
        <x:is>
          <x:t xml:space="preserve">DEFINITIONAL_RFL</x:t>
        </x:is>
      </x:c>
      <x:c r="Q69" s="38" t="inlineStr">
        <x:is>
          <x:t xml:space="preserve">Proves definitional equality by reduction; useful but narrow.</x:t>
        </x:is>
      </x:c>
      <x:c r="R69" s="39" t="inlineStr">
        <x:is>
          <x:t xml:space="preserve">theorem law3_unbacked_amplitude_still_has_zero_truth_fidelity : truthFidelity false false = 0</x:t>
        </x:is>
      </x:c>
    </x:row>
    <x:row r="70" ht="15" customHeight="1">
      <x:c r="A70" s="37" t="inlineStr">
        <x:is>
          <x:t xml:space="preserve">\\192.168.2.50\h_hp\Desktop\Master EXCEL\Lean 4.xlsx</x:t>
        </x:is>
      </x:c>
      <x:c r="B70" s="38" t="inlineStr">
        <x:is>
          <x:t xml:space="preserve">LEAN_DERIVATION_CHAIN</x:t>
        </x:is>
      </x:c>
      <x:c r="C70" s="38" t="inlineStr">
        <x:is>
          <x:t xml:space="preserve">77</x:t>
        </x:is>
      </x:c>
      <x:c r="D70" s="38" t="inlineStr">
        <x:is>
          <x:t xml:space="preserve">69</x:t>
        </x:is>
      </x:c>
      <x:c r="E70" s="38" t="inlineStr">
        <x:is>
          <x:t xml:space="preserve">6 — Score</x:t>
        </x:is>
      </x:c>
      <x:c r="F70" s="38" t="inlineStr">
        <x:is>
          <x:t xml:space="preserve">BridgeScoreDiscipline.lean</x:t>
        </x:is>
      </x:c>
      <x:c r="G70" s="38" t="inlineStr">
        <x:is>
          <x:t xml:space="preserve">law3_command_bypass_zeroes_source_backed_fidelity</x:t>
        </x:is>
      </x:c>
      <x:c r="H70" s="38" t="inlineStr">
        <x:is>
          <x:t xml:space="preserve">REJECTION: Command bypass → truth fidelity 0 (∀ states)</x:t>
        </x:is>
      </x:c>
      <x:c r="I70" s="38" t="inlineStr">
        <x:is>
          <x:t xml:space="preserve">simp</x:t>
        </x:is>
      </x:c>
      <x:c r="J70" s="38" t="inlineStr">
        <x:is>
          <x:t xml:space="preserve">REJECTION</x:t>
        </x:is>
      </x:c>
      <x:c r="K70" s="38" t="inlineStr">
        <x:is>
          <x:t xml:space="preserve">L6-P2</x:t>
        </x:is>
      </x:c>
      <x:c r="L70" s="38" t="inlineStr">
        <x:is>
          <x:t xml:space="preserve">4</x:t>
        </x:is>
      </x:c>
      <x:c r="M70" s="38" t="inlineStr">
        <x:is>
          <x:t xml:space="preserve">theophysics-lean-main</x:t>
        </x:is>
      </x:c>
      <x:c r="N70" s="38" t="inlineStr">
        <x:is>
          <x:t xml:space="preserve">theophysics-lean-main\theophysics-lean-main\Theophysics_Adversarial.lean</x:t>
        </x:is>
      </x:c>
      <x:c r="O70" s="38" t="inlineStr">
        <x:is>
          <x:t xml:space="preserve">399</x:t>
        </x:is>
      </x:c>
      <x:c r="P70" s="38" t="inlineStr">
        <x:is>
          <x:t xml:space="preserve">DEFINITIONAL_RFL</x:t>
        </x:is>
      </x:c>
      <x:c r="Q70" s="38" t="inlineStr">
        <x:is>
          <x:t xml:space="preserve">Proves definitional equality by reduction; useful but narrow.</x:t>
        </x:is>
      </x:c>
      <x:c r="R70" s="39" t="inlineStr">
        <x:is>
          <x:t xml:space="preserve">theorem law3_command_bypass_zeroes_source_backed_fidelity : truthFidelity true true = 0</x:t>
        </x:is>
      </x:c>
    </x:row>
    <x:row r="71" ht="15" customHeight="1">
      <x:c r="A71" s="37" t="inlineStr">
        <x:is>
          <x:t xml:space="preserve">\\192.168.2.50\h_hp\Desktop\Master EXCEL\Lean 4.xlsx</x:t>
        </x:is>
      </x:c>
      <x:c r="B71" s="38" t="inlineStr">
        <x:is>
          <x:t xml:space="preserve">LEAN_DERIVATION_CHAIN</x:t>
        </x:is>
      </x:c>
      <x:c r="C71" s="38" t="inlineStr">
        <x:is>
          <x:t xml:space="preserve">78</x:t>
        </x:is>
      </x:c>
      <x:c r="D71" s="38" t="inlineStr">
        <x:is>
          <x:t xml:space="preserve">70</x:t>
        </x:is>
      </x:c>
      <x:c r="E71" s="38" t="inlineStr">
        <x:is>
          <x:t xml:space="preserve">6 — Score</x:t>
        </x:is>
      </x:c>
      <x:c r="F71" s="38" t="inlineStr">
        <x:is>
          <x:t xml:space="preserve">BridgeScoreDiscipline.lean</x:t>
        </x:is>
      </x:c>
      <x:c r="G71" s="38" t="inlineStr">
        <x:is>
          <x:t xml:space="preserve">law7_healthy_score_passes_R_gate</x:t>
        </x:is>
      </x:c>
      <x:c r="H71" s="38" t="inlineStr">
        <x:is>
          <x:t xml:space="preserve">Healthy frame score → R gate = 1</x:t>
        </x:is>
      </x:c>
      <x:c r="I71" s="38" t="inlineStr">
        <x:is>
          <x:t xml:space="preserve">rfl</x:t>
        </x:is>
      </x:c>
      <x:c r="J71" s="38" t="inlineStr">
        <x:is>
          <x:t xml:space="preserve">PROVED</x:t>
        </x:is>
      </x:c>
      <x:c r="K71" s="38" t="inlineStr">
        <x:is>
          <x:t xml:space="preserve">L1-Q6</x:t>
        </x:is>
      </x:c>
      <x:c r="L71" s="38" t="inlineStr">
        <x:is>
          <x:t xml:space="preserve">8</x:t>
        </x:is>
      </x:c>
      <x:c r="M71" s="38" t="inlineStr">
        <x:is>
          <x:t xml:space="preserve">theophysics-lean-main</x:t>
        </x:is>
      </x:c>
      <x:c r="N71" s="38" t="inlineStr">
        <x:is>
          <x:t xml:space="preserve">theophysics-lean-main\theophysics-lean-main\Final_Lean4_From_Excel.lean</x:t>
        </x:is>
      </x:c>
      <x:c r="O71" s="38" t="inlineStr">
        <x:is>
          <x:t xml:space="preserve">290</x:t>
        </x:is>
      </x:c>
      <x:c r="P71" s="38" t="inlineStr">
        <x:is>
          <x:t xml:space="preserve">SIMPLIFICATION</x:t>
        </x:is>
      </x:c>
      <x:c r="Q71" s="38" t="inlineStr">
        <x:is>
          <x:t xml:space="preserve">Follows by simplification under definitions; check definition strength.</x:t>
        </x:is>
      </x:c>
      <x:c r="R71" s="39" t="inlineStr">
        <x:is>
          <x:t xml:space="preserve">theorem law7_healthy_score_passes_R_gate : ∀ h : 0 &lt; 1, binaryGate 1 = 1</x:t>
        </x:is>
      </x:c>
    </x:row>
    <x:row r="72" ht="15" customHeight="1">
      <x:c r="A72" s="37" t="inlineStr">
        <x:is>
          <x:t xml:space="preserve">\\192.168.2.50\h_hp\Desktop\Master EXCEL\Lean 4.xlsx</x:t>
        </x:is>
      </x:c>
      <x:c r="B72" s="38" t="inlineStr">
        <x:is>
          <x:t xml:space="preserve">LEAN_DERIVATION_CHAIN</x:t>
        </x:is>
      </x:c>
      <x:c r="C72" s="38" t="inlineStr">
        <x:is>
          <x:t xml:space="preserve">79</x:t>
        </x:is>
      </x:c>
      <x:c r="D72" s="38" t="inlineStr">
        <x:is>
          <x:t xml:space="preserve">71</x:t>
        </x:is>
      </x:c>
      <x:c r="E72" s="38" t="inlineStr">
        <x:is>
          <x:t xml:space="preserve">6 — Score</x:t>
        </x:is>
      </x:c>
      <x:c r="F72" s="38" t="inlineStr">
        <x:is>
          <x:t xml:space="preserve">BridgeScoreDiscipline.lean</x:t>
        </x:is>
      </x:c>
      <x:c r="G72" s="38" t="inlineStr">
        <x:is>
          <x:t xml:space="preserve">law7_frame_locked_score_fails_R_gate</x:t>
        </x:is>
      </x:c>
      <x:c r="H72" s="38" t="inlineStr">
        <x:is>
          <x:t xml:space="preserve">REJECTION: Frame locked → R gate = 0</x:t>
        </x:is>
      </x:c>
      <x:c r="I72" s="38" t="inlineStr">
        <x:is>
          <x:t xml:space="preserve">rfl</x:t>
        </x:is>
      </x:c>
      <x:c r="J72" s="38" t="inlineStr">
        <x:is>
          <x:t xml:space="preserve">REJECTION</x:t>
        </x:is>
      </x:c>
      <x:c r="K72" s="38" t="inlineStr">
        <x:is>
          <x:t xml:space="preserve">L1-Q4</x:t>
        </x:is>
      </x:c>
      <x:c r="L72" s="38" t="inlineStr">
        <x:is>
          <x:t xml:space="preserve">4</x:t>
        </x:is>
      </x:c>
      <x:c r="M72" s="38" t="inlineStr">
        <x:is>
          <x:t xml:space="preserve">theophysics-lean-main</x:t>
        </x:is>
      </x:c>
      <x:c r="N72" s="38" t="inlineStr">
        <x:is>
          <x:t xml:space="preserve">theophysics-lean-main\theophysics-lean-main\Theophysics_Adversarial.lean</x:t>
        </x:is>
      </x:c>
      <x:c r="O72" s="38" t="inlineStr">
        <x:is>
          <x:t xml:space="preserve">403</x:t>
        </x:is>
      </x:c>
      <x:c r="P72" s="38" t="inlineStr">
        <x:is>
          <x:t xml:space="preserve">DEFINITIONAL_RFL</x:t>
        </x:is>
      </x:c>
      <x:c r="Q72" s="38" t="inlineStr">
        <x:is>
          <x:t xml:space="preserve">Proves definitional equality by reduction; useful but narrow.</x:t>
        </x:is>
      </x:c>
      <x:c r="R72" s="39" t="inlineStr">
        <x:is>
          <x:t xml:space="preserve">theorem law7_frame_locked_score_fails_R_gate : RGate { relation := true, metricPresent := false } = 0</x:t>
        </x:is>
      </x:c>
    </x:row>
    <x:row r="73" ht="15" customHeight="1">
      <x:c r="A73" s="37" t="inlineStr">
        <x:is>
          <x:t xml:space="preserve">\\192.168.2.50\h_hp\Desktop\Master EXCEL\Lean 4.xlsx</x:t>
        </x:is>
      </x:c>
      <x:c r="B73" s="38" t="inlineStr">
        <x:is>
          <x:t xml:space="preserve">LEAN_DERIVATION_CHAIN</x:t>
        </x:is>
      </x:c>
      <x:c r="C73" s="38" t="inlineStr">
        <x:is>
          <x:t xml:space="preserve">80</x:t>
        </x:is>
      </x:c>
      <x:c r="D73" s="38" t="inlineStr">
        <x:is>
          <x:t xml:space="preserve">72</x:t>
        </x:is>
      </x:c>
      <x:c r="E73" s="38" t="inlineStr">
        <x:is>
          <x:t xml:space="preserve">6 — Score</x:t>
        </x:is>
      </x:c>
      <x:c r="F73" s="38" t="inlineStr">
        <x:is>
          <x:t xml:space="preserve">BridgeScoreDiscipline.lean</x:t>
        </x:is>
      </x:c>
      <x:c r="G73" s="38" t="inlineStr">
        <x:is>
          <x:t xml:space="preserve">law7_relation_bypass_score_fails_R_gate</x:t>
        </x:is>
      </x:c>
      <x:c r="H73" s="38" t="inlineStr">
        <x:is>
          <x:t xml:space="preserve">REJECTION: No relation → R gate = 0</x:t>
        </x:is>
      </x:c>
      <x:c r="I73" s="38" t="inlineStr">
        <x:is>
          <x:t xml:space="preserve">rfl</x:t>
        </x:is>
      </x:c>
      <x:c r="J73" s="38" t="inlineStr">
        <x:is>
          <x:t xml:space="preserve">REJECTION</x:t>
        </x:is>
      </x:c>
      <x:c r="K73" s="38" t="inlineStr">
        <x:is>
          <x:t xml:space="preserve">L6-P1</x:t>
        </x:is>
      </x:c>
      <x:c r="L73" s="38" t="inlineStr">
        <x:is>
          <x:t xml:space="preserve">4</x:t>
        </x:is>
      </x:c>
      <x:c r="M73" s="38" t="inlineStr">
        <x:is>
          <x:t xml:space="preserve">theophysics-lean-main</x:t>
        </x:is>
      </x:c>
      <x:c r="N73" s="38" t="inlineStr">
        <x:is>
          <x:t xml:space="preserve">theophysics-lean-main\theophysics-lean-main\Theophysics_Adversarial.lean</x:t>
        </x:is>
      </x:c>
      <x:c r="O73" s="38" t="inlineStr">
        <x:is>
          <x:t xml:space="preserve">407</x:t>
        </x:is>
      </x:c>
      <x:c r="P73" s="38" t="inlineStr">
        <x:is>
          <x:t xml:space="preserve">DEFINITIONAL_RFL</x:t>
        </x:is>
      </x:c>
      <x:c r="Q73" s="38" t="inlineStr">
        <x:is>
          <x:t xml:space="preserve">Proves definitional equality by reduction; useful but narrow.</x:t>
        </x:is>
      </x:c>
      <x:c r="R73" s="39" t="inlineStr">
        <x:is>
          <x:t xml:space="preserve">theorem law7_relation_bypass_score_fails_R_gate : RGate { relation := false, metricPresent := true } = 0</x:t>
        </x:is>
      </x:c>
    </x:row>
    <x:row r="74" ht="15" customHeight="1">
      <x:c r="A74" s="37" t="inlineStr">
        <x:is>
          <x:t xml:space="preserve">\\192.168.2.50\h_hp\Desktop\Master EXCEL\Lean 4.xlsx</x:t>
        </x:is>
      </x:c>
      <x:c r="B74" s="38" t="inlineStr">
        <x:is>
          <x:t xml:space="preserve">LEAN_DERIVATION_CHAIN</x:t>
        </x:is>
      </x:c>
      <x:c r="C74" s="38" t="inlineStr">
        <x:is>
          <x:t xml:space="preserve">81</x:t>
        </x:is>
      </x:c>
      <x:c r="D74" s="38" t="inlineStr">
        <x:is>
          <x:t xml:space="preserve">73</x:t>
        </x:is>
      </x:c>
      <x:c r="E74" s="38" t="inlineStr">
        <x:is>
          <x:t xml:space="preserve">6 — Score</x:t>
        </x:is>
      </x:c>
      <x:c r="F74" s="38" t="inlineStr">
        <x:is>
          <x:t xml:space="preserve">BridgeScoreDiscipline.lean</x:t>
        </x:is>
      </x:c>
      <x:c r="G74" s="38" t="inlineStr">
        <x:is>
          <x:t xml:space="preserve">law7_final_R_is_binary</x:t>
        </x:is>
      </x:c>
      <x:c r="H74" s="38" t="inlineStr">
        <x:is>
          <x:t xml:space="preserve">R gate is always 0 or 1. No drift.</x:t>
        </x:is>
      </x:c>
      <x:c r="I74" s="38" t="inlineStr">
        <x:is>
          <x:t xml:space="preserve">cases</x:t>
        </x:is>
      </x:c>
      <x:c r="J74" s="38" t="inlineStr">
        <x:is>
          <x:t xml:space="preserve">PROVED</x:t>
        </x:is>
      </x:c>
      <x:c r="K74" s="38" t="inlineStr">
        <x:is>
          <x:t xml:space="preserve">L1-Q4</x:t>
        </x:is>
      </x:c>
      <x:c r="L74" s="38" t="inlineStr">
        <x:is>
          <x:t xml:space="preserve">4</x:t>
        </x:is>
      </x:c>
      <x:c r="M74" s="38" t="inlineStr">
        <x:is>
          <x:t xml:space="preserve">theophysics-lean-main</x:t>
        </x:is>
      </x:c>
      <x:c r="N74" s="38" t="inlineStr">
        <x:is>
          <x:t xml:space="preserve">theophysics-lean-main\theophysics-lean-main\Theophysics_Core.lean</x:t>
        </x:is>
      </x:c>
      <x:c r="O74" s="38" t="inlineStr">
        <x:is>
          <x:t xml:space="preserve">213</x:t>
        </x:is>
      </x:c>
      <x:c r="P74" s="38" t="inlineStr">
        <x:is>
          <x:t xml:space="preserve">TRIVIAL_TRUE</x:t>
        </x:is>
      </x:c>
      <x:c r="Q74" s="38" t="inlineStr">
        <x:is>
          <x:t xml:space="preserve">Statement is `True`; theorem name may exceed formal content.</x:t>
        </x:is>
      </x:c>
      <x:c r="R74" s="39" t="inlineStr">
        <x:is>
          <x:t xml:space="preserve">theorem law7_final_R_is_binary : True</x:t>
        </x:is>
      </x:c>
    </x:row>
    <x:row r="75" ht="15" customHeight="1">
      <x:c r="A75" s="37" t="inlineStr">
        <x:is>
          <x:t xml:space="preserve">\\192.168.2.50\h_hp\Desktop\Master EXCEL\Lean 4.xlsx</x:t>
        </x:is>
      </x:c>
      <x:c r="B75" s="38" t="inlineStr">
        <x:is>
          <x:t xml:space="preserve">LEAN_DERIVATION_CHAIN</x:t>
        </x:is>
      </x:c>
      <x:c r="C75" s="38" t="inlineStr">
        <x:is>
          <x:t xml:space="preserve">82</x:t>
        </x:is>
      </x:c>
      <x:c r="D75" s="38" t="inlineStr">
        <x:is>
          <x:t xml:space="preserve">74–77</x:t>
        </x:is>
      </x:c>
      <x:c r="E75" s="38" t="inlineStr">
        <x:is>
          <x:t xml:space="preserve">6 — Score</x:t>
        </x:is>
      </x:c>
      <x:c r="F75" s="38" t="inlineStr">
        <x:is>
          <x:t xml:space="preserve">BridgeScoreDiscipline.lean</x:t>
        </x:is>
      </x:c>
      <x:c r="G75" s="38" t="inlineStr">
        <x:is>
          <x:t xml:space="preserve">Four chi-collapse through score discipline</x:t>
        </x:is>
      </x:c>
      <x:c r="H75" s="38" t="inlineStr">
        <x:is>
          <x:t xml:space="preserve">Various bypass/lock conditions → χ = 0 through the score gate layer</x:t>
        </x:is>
      </x:c>
      <x:c r="I75" s="38" t="inlineStr">
        <x:is>
          <x:t xml:space="preserve">simp</x:t>
        </x:is>
      </x:c>
      <x:c r="J75" s="38" t="inlineStr">
        <x:is>
          <x:t xml:space="preserve">PROVED</x:t>
        </x:is>
      </x:c>
      <x:c r="K75" s="38" t="inlineStr">
        <x:is>
          <x:t xml:space="preserve">L1-Q2</x:t>
        </x:is>
      </x:c>
      <x:c r="L75" s="38" t="inlineStr">
        <x:is>
          <x:t xml:space="preserve">0</x:t>
        </x:is>
      </x:c>
      <x:c r="M75" s="38" t="n"/>
      <x:c r="N75" s="38" t="n"/>
      <x:c r="O75" s="38" t="n"/>
      <x:c r="P75" s="38" t="inlineStr">
        <x:is>
          <x:t xml:space="preserve">NOT_FOUND_IN_HUB</x:t>
        </x:is>
      </x:c>
      <x:c r="Q75" s="38" t="inlineStr">
        <x:is>
          <x:t xml:space="preserve">Workbook theorem name not found in extracted hub Lean files.</x:t>
        </x:is>
      </x:c>
      <x:c r="R75" s="39" t="n"/>
    </x:row>
    <x:row r="76" ht="15" customHeight="1">
      <x:c r="A76" s="37" t="inlineStr">
        <x:is>
          <x:t xml:space="preserve">\\192.168.2.50\h_hp\Desktop\Master EXCEL\Lean 4.xlsx</x:t>
        </x:is>
      </x:c>
      <x:c r="B76" s="38" t="inlineStr">
        <x:is>
          <x:t xml:space="preserve">LEAN_DERIVATION_CHAIN</x:t>
        </x:is>
      </x:c>
      <x:c r="C76" s="38" t="inlineStr">
        <x:is>
          <x:t xml:space="preserve">84</x:t>
        </x:is>
      </x:c>
      <x:c r="D76" s="38" t="inlineStr">
        <x:is>
          <x:t xml:space="preserve">78</x:t>
        </x:is>
      </x:c>
      <x:c r="E76" s="38" t="inlineStr">
        <x:is>
          <x:t xml:space="preserve">7 — Iso</x:t>
        </x:is>
      </x:c>
      <x:c r="F76" s="38" t="inlineStr">
        <x:is>
          <x:t xml:space="preserve">IsomorphismTest.lean</x:t>
        </x:is>
      </x:c>
      <x:c r="G76" s="38" t="inlineStr">
        <x:is>
          <x:t xml:space="preserve">law4Iso</x:t>
        </x:is>
      </x:c>
      <x:c r="H76" s="38" t="inlineStr">
        <x:is>
          <x:t xml:space="preserve">StrongForce ≅ Love (LawIso — value + collapse preserving bijection)</x:t>
        </x:is>
      </x:c>
      <x:c r="I76" s="38" t="inlineStr">
        <x:is>
          <x:t xml:space="preserve">constructor</x:t>
        </x:is>
      </x:c>
      <x:c r="J76" s="38" t="inlineStr">
        <x:is>
          <x:t xml:space="preserve">PROVED</x:t>
        </x:is>
      </x:c>
      <x:c r="K76" s="38" t="inlineStr">
        <x:is>
          <x:t xml:space="preserve">L7-Q3</x:t>
        </x:is>
      </x:c>
      <x:c r="L76" s="38" t="inlineStr">
        <x:is>
          <x:t xml:space="preserve">4</x:t>
        </x:is>
      </x:c>
      <x:c r="M76" s="38" t="inlineStr">
        <x:is>
          <x:t xml:space="preserve">theophysics-lean-main</x:t>
        </x:is>
      </x:c>
      <x:c r="N76" s="38" t="inlineStr">
        <x:is>
          <x:t xml:space="preserve">theophysics-lean-main\theophysics-lean-main\Theophysics_Core.lean</x:t>
        </x:is>
      </x:c>
      <x:c r="O76" s="38" t="inlineStr">
        <x:is>
          <x:t xml:space="preserve">217</x:t>
        </x:is>
      </x:c>
      <x:c r="P76" s="38" t="inlineStr">
        <x:is>
          <x:t xml:space="preserve">TRIVIAL_TRUE</x:t>
        </x:is>
      </x:c>
      <x:c r="Q76" s="38" t="inlineStr">
        <x:is>
          <x:t xml:space="preserve">Statement is `True`; theorem name may exceed formal content.</x:t>
        </x:is>
      </x:c>
      <x:c r="R76" s="39" t="inlineStr">
        <x:is>
          <x:t xml:space="preserve">theorem law4Iso : True</x:t>
        </x:is>
      </x:c>
    </x:row>
    <x:row r="77" ht="15" customHeight="1">
      <x:c r="A77" s="37" t="inlineStr">
        <x:is>
          <x:t xml:space="preserve">\\192.168.2.50\h_hp\Desktop\Master EXCEL\Lean 4.xlsx</x:t>
        </x:is>
      </x:c>
      <x:c r="B77" s="38" t="inlineStr">
        <x:is>
          <x:t xml:space="preserve">LEAN_DERIVATION_CHAIN</x:t>
        </x:is>
      </x:c>
      <x:c r="C77" s="38" t="inlineStr">
        <x:is>
          <x:t xml:space="preserve">85</x:t>
        </x:is>
      </x:c>
      <x:c r="D77" s="38" t="inlineStr">
        <x:is>
          <x:t xml:space="preserve">79</x:t>
        </x:is>
      </x:c>
      <x:c r="E77" s="38" t="inlineStr">
        <x:is>
          <x:t xml:space="preserve">7 — Iso</x:t>
        </x:is>
      </x:c>
      <x:c r="F77" s="38" t="inlineStr">
        <x:is>
          <x:t xml:space="preserve">IsomorphismTest.lean</x:t>
        </x:is>
      </x:c>
      <x:c r="G77" s="38" t="inlineStr">
        <x:is>
          <x:t xml:space="preserve">strongForceCoinIso</x:t>
        </x:is>
      </x:c>
      <x:c r="H77" s="38" t="inlineStr">
        <x:is>
          <x:t xml:space="preserve">BOUNDARY: Coin model ALSO passes LawIso. This is the adversarial boundary — basic isomorphism is too weak.</x:t>
        </x:is>
      </x:c>
      <x:c r="I77" s="38" t="inlineStr">
        <x:is>
          <x:t xml:space="preserve">constructor</x:t>
        </x:is>
      </x:c>
      <x:c r="J77" s="38" t="inlineStr">
        <x:is>
          <x:t xml:space="preserve">BOUNDARY</x:t>
        </x:is>
      </x:c>
      <x:c r="K77" s="38" t="inlineStr">
        <x:is>
          <x:t xml:space="preserve">COMPRESS-4</x:t>
        </x:is>
      </x:c>
      <x:c r="L77" s="38" t="inlineStr">
        <x:is>
          <x:t xml:space="preserve">4</x:t>
        </x:is>
      </x:c>
      <x:c r="M77" s="38" t="inlineStr">
        <x:is>
          <x:t xml:space="preserve">theophysics-lean-main</x:t>
        </x:is>
      </x:c>
      <x:c r="N77" s="38" t="inlineStr">
        <x:is>
          <x:t xml:space="preserve">theophysics-lean-main\theophysics-lean-main\Theophysics_Adversarial.lean</x:t>
        </x:is>
      </x:c>
      <x:c r="O77" s="38" t="inlineStr">
        <x:is>
          <x:t xml:space="preserve">412</x:t>
        </x:is>
      </x:c>
      <x:c r="P77" s="38" t="inlineStr">
        <x:is>
          <x:t xml:space="preserve">DEFINITIONAL_RFL</x:t>
        </x:is>
      </x:c>
      <x:c r="Q77" s="38" t="inlineStr">
        <x:is>
          <x:t xml:space="preserve">Proves definitional equality by reduction; useful but narrow.</x:t>
        </x:is>
      </x:c>
      <x:c r="R77" s="39" t="inlineStr">
        <x:is>
          <x:t xml:space="preserve">theorem strongForceCoinIso : strongForceCoinIsoBoundary = true</x:t>
        </x:is>
      </x:c>
    </x:row>
    <x:row r="78" ht="15" customHeight="1">
      <x:c r="A78" s="37" t="inlineStr">
        <x:is>
          <x:t xml:space="preserve">\\192.168.2.50\h_hp\Desktop\Master EXCEL\Lean 4.xlsx</x:t>
        </x:is>
      </x:c>
      <x:c r="B78" s="38" t="inlineStr">
        <x:is>
          <x:t xml:space="preserve">LEAN_DERIVATION_CHAIN</x:t>
        </x:is>
      </x:c>
      <x:c r="C78" s="38" t="inlineStr">
        <x:is>
          <x:t xml:space="preserve">86</x:t>
        </x:is>
      </x:c>
      <x:c r="D78" s="38" t="inlineStr">
        <x:is>
          <x:t xml:space="preserve">80</x:t>
        </x:is>
      </x:c>
      <x:c r="E78" s="38" t="inlineStr">
        <x:is>
          <x:t xml:space="preserve">7 — Iso</x:t>
        </x:is>
      </x:c>
      <x:c r="F78" s="38" t="inlineStr">
        <x:is>
          <x:t xml:space="preserve">IsomorphismTest.lean</x:t>
        </x:is>
      </x:c>
      <x:c r="G78" s="38" t="inlineStr">
        <x:is>
          <x:t xml:space="preserve">richLaw4Iso</x:t>
        </x:is>
      </x:c>
      <x:c r="H78" s="38" t="inlineStr">
        <x:is>
          <x:t xml:space="preserve">StrongForce ≅ Love under RichLawIso (roles + transitions preserved). Stronger level.</x:t>
        </x:is>
      </x:c>
      <x:c r="I78" s="38" t="inlineStr">
        <x:is>
          <x:t xml:space="preserve">constructor</x:t>
        </x:is>
      </x:c>
      <x:c r="J78" s="38" t="inlineStr">
        <x:is>
          <x:t xml:space="preserve">PROVED</x:t>
        </x:is>
      </x:c>
      <x:c r="K78" s="38" t="inlineStr">
        <x:is>
          <x:t xml:space="preserve">L7-Q3</x:t>
        </x:is>
      </x:c>
      <x:c r="L78" s="38" t="inlineStr">
        <x:is>
          <x:t xml:space="preserve">4</x:t>
        </x:is>
      </x:c>
      <x:c r="M78" s="38" t="inlineStr">
        <x:is>
          <x:t xml:space="preserve">theophysics-lean-main</x:t>
        </x:is>
      </x:c>
      <x:c r="N78" s="38" t="inlineStr">
        <x:is>
          <x:t xml:space="preserve">theophysics-lean-main\theophysics-lean-main\Theophysics_Core.lean</x:t>
        </x:is>
      </x:c>
      <x:c r="O78" s="38" t="inlineStr">
        <x:is>
          <x:t xml:space="preserve">218</x:t>
        </x:is>
      </x:c>
      <x:c r="P78" s="38" t="inlineStr">
        <x:is>
          <x:t xml:space="preserve">TRIVIAL_TRUE</x:t>
        </x:is>
      </x:c>
      <x:c r="Q78" s="38" t="inlineStr">
        <x:is>
          <x:t xml:space="preserve">Statement is `True`; theorem name may exceed formal content.</x:t>
        </x:is>
      </x:c>
      <x:c r="R78" s="39" t="inlineStr">
        <x:is>
          <x:t xml:space="preserve">theorem richLaw4Iso : True</x:t>
        </x:is>
      </x:c>
    </x:row>
    <x:row r="79" ht="15" customHeight="1">
      <x:c r="A79" s="37" t="inlineStr">
        <x:is>
          <x:t xml:space="preserve">\\192.168.2.50\h_hp\Desktop\Master EXCEL\Lean 4.xlsx</x:t>
        </x:is>
      </x:c>
      <x:c r="B79" s="38" t="inlineStr">
        <x:is>
          <x:t xml:space="preserve">LEAN_DERIVATION_CHAIN</x:t>
        </x:is>
      </x:c>
      <x:c r="C79" s="38" t="inlineStr">
        <x:is>
          <x:t xml:space="preserve">87</x:t>
        </x:is>
      </x:c>
      <x:c r="D79" s="38" t="inlineStr">
        <x:is>
          <x:t xml:space="preserve">81</x:t>
        </x:is>
      </x:c>
      <x:c r="E79" s="38" t="inlineStr">
        <x:is>
          <x:t xml:space="preserve">7 — Iso</x:t>
        </x:is>
      </x:c>
      <x:c r="F79" s="38" t="inlineStr">
        <x:is>
          <x:t xml:space="preserve">IsomorphismTest.lean</x:t>
        </x:is>
      </x:c>
      <x:c r="G79" s="38" t="inlineStr">
        <x:is>
          <x:t xml:space="preserve">no_rich_iso_to_natural_coin</x:t>
        </x:is>
      </x:c>
      <x:c r="H79" s="38" t="inlineStr">
        <x:is>
          <x:t xml:space="preserve">REJECTION: Natural coin model FAILS RichLawIso — role mismatch blocks it</x:t>
        </x:is>
      </x:c>
      <x:c r="I79" s="38" t="inlineStr">
        <x:is>
          <x:t xml:space="preserve">decide</x:t>
        </x:is>
      </x:c>
      <x:c r="J79" s="38" t="inlineStr">
        <x:is>
          <x:t xml:space="preserve">REJECTION</x:t>
        </x:is>
      </x:c>
      <x:c r="K79" s="38" t="inlineStr">
        <x:is>
          <x:t xml:space="preserve">L7-Q6</x:t>
        </x:is>
      </x:c>
      <x:c r="L79" s="38" t="inlineStr">
        <x:is>
          <x:t xml:space="preserve">4</x:t>
        </x:is>
      </x:c>
      <x:c r="M79" s="38" t="inlineStr">
        <x:is>
          <x:t xml:space="preserve">theophysics-lean-main</x:t>
        </x:is>
      </x:c>
      <x:c r="N79" s="38" t="inlineStr">
        <x:is>
          <x:t xml:space="preserve">theophysics-lean-main\theophysics-lean-main\Theophysics_Adversarial.lean</x:t>
        </x:is>
      </x:c>
      <x:c r="O79" s="38" t="inlineStr">
        <x:is>
          <x:t xml:space="preserve">416</x:t>
        </x:is>
      </x:c>
      <x:c r="P79" s="38" t="inlineStr">
        <x:is>
          <x:t xml:space="preserve">DEFINITIONAL_RFL</x:t>
        </x:is>
      </x:c>
      <x:c r="Q79" s="38" t="inlineStr">
        <x:is>
          <x:t xml:space="preserve">Proves definitional equality by reduction; useful but narrow.</x:t>
        </x:is>
      </x:c>
      <x:c r="R79" s="39" t="inlineStr">
        <x:is>
          <x:t xml:space="preserve">theorem no_rich_iso_to_natural_coin : richIsoToNaturalCoin = false</x:t>
        </x:is>
      </x:c>
    </x:row>
    <x:row r="80" ht="15" customHeight="1">
      <x:c r="A80" s="37" t="inlineStr">
        <x:is>
          <x:t xml:space="preserve">\\192.168.2.50\h_hp\Desktop\Master EXCEL\Lean 4.xlsx</x:t>
        </x:is>
      </x:c>
      <x:c r="B80" s="38" t="inlineStr">
        <x:is>
          <x:t xml:space="preserve">LEAN_DERIVATION_CHAIN</x:t>
        </x:is>
      </x:c>
      <x:c r="C80" s="38" t="inlineStr">
        <x:is>
          <x:t xml:space="preserve">88</x:t>
        </x:is>
      </x:c>
      <x:c r="D80" s="38" t="inlineStr">
        <x:is>
          <x:t xml:space="preserve">82</x:t>
        </x:is>
      </x:c>
      <x:c r="E80" s="38" t="inlineStr">
        <x:is>
          <x:t xml:space="preserve">7 — Iso</x:t>
        </x:is>
      </x:c>
      <x:c r="F80" s="38" t="inlineStr">
        <x:is>
          <x:t xml:space="preserve">IsomorphismTest.lean</x:t>
        </x:is>
      </x:c>
      <x:c r="G80" s="38" t="inlineStr">
        <x:is>
          <x:t xml:space="preserve">richRelabeledCoinIso</x:t>
        </x:is>
      </x:c>
      <x:c r="H80" s="38" t="inlineStr">
        <x:is>
          <x:t xml:space="preserve">BOUNDARY: Relabeled coin PASSES — deliberately adversarial. Lean cannot verify label honesty.</x:t>
        </x:is>
      </x:c>
      <x:c r="I80" s="38" t="inlineStr">
        <x:is>
          <x:t xml:space="preserve">constructor</x:t>
        </x:is>
      </x:c>
      <x:c r="J80" s="38" t="inlineStr">
        <x:is>
          <x:t xml:space="preserve">BOUNDARY</x:t>
        </x:is>
      </x:c>
      <x:c r="K80" s="38" t="inlineStr">
        <x:is>
          <x:t xml:space="preserve">COMPRESS-4</x:t>
        </x:is>
      </x:c>
      <x:c r="L80" s="38" t="inlineStr">
        <x:is>
          <x:t xml:space="preserve">4</x:t>
        </x:is>
      </x:c>
      <x:c r="M80" s="38" t="inlineStr">
        <x:is>
          <x:t xml:space="preserve">theophysics-lean-main</x:t>
        </x:is>
      </x:c>
      <x:c r="N80" s="38" t="inlineStr">
        <x:is>
          <x:t xml:space="preserve">theophysics-lean-main\theophysics-lean-main\Theophysics_Adversarial.lean</x:t>
        </x:is>
      </x:c>
      <x:c r="O80" s="38" t="inlineStr">
        <x:is>
          <x:t xml:space="preserve">420</x:t>
        </x:is>
      </x:c>
      <x:c r="P80" s="38" t="inlineStr">
        <x:is>
          <x:t xml:space="preserve">DEFINITIONAL_RFL</x:t>
        </x:is>
      </x:c>
      <x:c r="Q80" s="38" t="inlineStr">
        <x:is>
          <x:t xml:space="preserve">Proves definitional equality by reduction; useful but narrow.</x:t>
        </x:is>
      </x:c>
      <x:c r="R80" s="39" t="inlineStr">
        <x:is>
          <x:t xml:space="preserve">theorem richRelabeledCoinIso : richRelabeledCoinIsoBoundary = true</x:t>
        </x:is>
      </x:c>
    </x:row>
    <x:row r="81" ht="15" customHeight="1">
      <x:c r="A81" s="37" t="inlineStr">
        <x:is>
          <x:t xml:space="preserve">\\192.168.2.50\h_hp\Desktop\Master EXCEL\Lean 4.xlsx</x:t>
        </x:is>
      </x:c>
      <x:c r="B81" s="38" t="inlineStr">
        <x:is>
          <x:t xml:space="preserve">LEAN_DERIVATION_CHAIN</x:t>
        </x:is>
      </x:c>
      <x:c r="C81" s="38" t="inlineStr">
        <x:is>
          <x:t xml:space="preserve">89</x:t>
        </x:is>
      </x:c>
      <x:c r="D81" s="38" t="inlineStr">
        <x:is>
          <x:t xml:space="preserve">83</x:t>
        </x:is>
      </x:c>
      <x:c r="E81" s="38" t="inlineStr">
        <x:is>
          <x:t xml:space="preserve">7 — Iso</x:t>
        </x:is>
      </x:c>
      <x:c r="F81" s="38" t="inlineStr">
        <x:is>
          <x:t xml:space="preserve">IsomorphismTest.lean</x:t>
        </x:is>
      </x:c>
      <x:c r="G81" s="38" t="inlineStr">
        <x:is>
          <x:t xml:space="preserve">faith_candidate_not_right_inverse</x:t>
        </x:is>
      </x:c>
      <x:c r="H81" s="38" t="inlineStr">
        <x:is>
          <x:t xml:space="preserve">REJECTION: 3-state Faith model fails bijection with 2-state StrongForce</x:t>
        </x:is>
      </x:c>
      <x:c r="I81" s="38" t="inlineStr">
        <x:is>
          <x:t xml:space="preserve">decide</x:t>
        </x:is>
      </x:c>
      <x:c r="J81" s="38" t="inlineStr">
        <x:is>
          <x:t xml:space="preserve">REJECTION</x:t>
        </x:is>
      </x:c>
      <x:c r="K81" s="38" t="inlineStr">
        <x:is>
          <x:t xml:space="preserve">L7-Q6</x:t>
        </x:is>
      </x:c>
      <x:c r="L81" s="38" t="inlineStr">
        <x:is>
          <x:t xml:space="preserve">4</x:t>
        </x:is>
      </x:c>
      <x:c r="M81" s="38" t="inlineStr">
        <x:is>
          <x:t xml:space="preserve">theophysics-lean-main</x:t>
        </x:is>
      </x:c>
      <x:c r="N81" s="38" t="inlineStr">
        <x:is>
          <x:t xml:space="preserve">theophysics-lean-main\theophysics-lean-main\Theophysics_Adversarial.lean</x:t>
        </x:is>
      </x:c>
      <x:c r="O81" s="38" t="inlineStr">
        <x:is>
          <x:t xml:space="preserve">424</x:t>
        </x:is>
      </x:c>
      <x:c r="P81" s="38" t="inlineStr">
        <x:is>
          <x:t xml:space="preserve">DEFINITIONAL_RFL</x:t>
        </x:is>
      </x:c>
      <x:c r="Q81" s="38" t="inlineStr">
        <x:is>
          <x:t xml:space="preserve">Proves definitional equality by reduction; useful but narrow.</x:t>
        </x:is>
      </x:c>
      <x:c r="R81" s="39" t="inlineStr">
        <x:is>
          <x:t xml:space="preserve">theorem faith_candidate_not_right_inverse : faithCandidateRightInverse = false</x:t>
        </x:is>
      </x:c>
    </x:row>
    <x:row r="82" ht="15" customHeight="1">
      <x:c r="A82" s="37" t="inlineStr">
        <x:is>
          <x:t xml:space="preserve">\\192.168.2.50\h_hp\Desktop\Master EXCEL\Lean 4.xlsx</x:t>
        </x:is>
      </x:c>
      <x:c r="B82" s="38" t="inlineStr">
        <x:is>
          <x:t xml:space="preserve">LEAN_DERIVATION_CHAIN</x:t>
        </x:is>
      </x:c>
      <x:c r="C82" s="38" t="inlineStr">
        <x:is>
          <x:t xml:space="preserve">90</x:t>
        </x:is>
      </x:c>
      <x:c r="D82" s="38" t="inlineStr">
        <x:is>
          <x:t xml:space="preserve">84</x:t>
        </x:is>
      </x:c>
      <x:c r="E82" s="38" t="inlineStr">
        <x:is>
          <x:t xml:space="preserve">7 — Iso</x:t>
        </x:is>
      </x:c>
      <x:c r="F82" s="38" t="inlineStr">
        <x:is>
          <x:t xml:space="preserve">IsomorphismTest.lean</x:t>
        </x:is>
      </x:c>
      <x:c r="G82" s="38" t="inlineStr">
        <x:is>
          <x:t xml:space="preserve">em_candidate_not_right_inverse</x:t>
        </x:is>
      </x:c>
      <x:c r="H82" s="38" t="inlineStr">
        <x:is>
          <x:t xml:space="preserve">REJECTION: 3-state EM model fails bijection with 2-state StrongForce</x:t>
        </x:is>
      </x:c>
      <x:c r="I82" s="38" t="inlineStr">
        <x:is>
          <x:t xml:space="preserve">decide</x:t>
        </x:is>
      </x:c>
      <x:c r="J82" s="38" t="inlineStr">
        <x:is>
          <x:t xml:space="preserve">REJECTION</x:t>
        </x:is>
      </x:c>
      <x:c r="K82" s="38" t="inlineStr">
        <x:is>
          <x:t xml:space="preserve">L7-Q6</x:t>
        </x:is>
      </x:c>
      <x:c r="L82" s="38" t="inlineStr">
        <x:is>
          <x:t xml:space="preserve">4</x:t>
        </x:is>
      </x:c>
      <x:c r="M82" s="38" t="inlineStr">
        <x:is>
          <x:t xml:space="preserve">theophysics-lean-main</x:t>
        </x:is>
      </x:c>
      <x:c r="N82" s="38" t="inlineStr">
        <x:is>
          <x:t xml:space="preserve">theophysics-lean-main\theophysics-lean-main\Theophysics_Adversarial.lean</x:t>
        </x:is>
      </x:c>
      <x:c r="O82" s="38" t="inlineStr">
        <x:is>
          <x:t xml:space="preserve">428</x:t>
        </x:is>
      </x:c>
      <x:c r="P82" s="38" t="inlineStr">
        <x:is>
          <x:t xml:space="preserve">DEFINITIONAL_RFL</x:t>
        </x:is>
      </x:c>
      <x:c r="Q82" s="38" t="inlineStr">
        <x:is>
          <x:t xml:space="preserve">Proves definitional equality by reduction; useful but narrow.</x:t>
        </x:is>
      </x:c>
      <x:c r="R82" s="39" t="inlineStr">
        <x:is>
          <x:t xml:space="preserve">theorem em_candidate_not_right_inverse : emCandidateRightInverse = false</x:t>
        </x:is>
      </x:c>
    </x:row>
    <x:row r="83" ht="15" customHeight="1">
      <x:c r="A83" s="37" t="inlineStr">
        <x:is>
          <x:t xml:space="preserve">\\192.168.2.50\h_hp\Desktop\Master EXCEL\Lean 4.xlsx</x:t>
        </x:is>
      </x:c>
      <x:c r="B83" s="38" t="inlineStr">
        <x:is>
          <x:t xml:space="preserve">LEAN_DERIVATION_CHAIN</x:t>
        </x:is>
      </x:c>
      <x:c r="C83" s="38" t="inlineStr">
        <x:is>
          <x:t xml:space="preserve">91</x:t>
        </x:is>
      </x:c>
      <x:c r="D83" s="38" t="inlineStr">
        <x:is>
          <x:t xml:space="preserve">85</x:t>
        </x:is>
      </x:c>
      <x:c r="E83" s="38" t="inlineStr">
        <x:is>
          <x:t xml:space="preserve">7 — Iso</x:t>
        </x:is>
      </x:c>
      <x:c r="F83" s="38" t="inlineStr">
        <x:is>
          <x:t xml:space="preserve">IsomorphismTest.lean</x:t>
        </x:is>
      </x:c>
      <x:c r="G83" s="38" t="inlineStr">
        <x:is>
          <x:t xml:space="preserve">inverted_mapping_does_not_preserve_value</x:t>
        </x:is>
      </x:c>
      <x:c r="H83" s="38" t="inlineStr">
        <x:is>
          <x:t xml:space="preserve">REJECTION: bound→liberation fails value preservation</x:t>
        </x:is>
      </x:c>
      <x:c r="I83" s="38" t="inlineStr">
        <x:is>
          <x:t xml:space="preserve">decide</x:t>
        </x:is>
      </x:c>
      <x:c r="J83" s="38" t="inlineStr">
        <x:is>
          <x:t xml:space="preserve">REJECTION</x:t>
        </x:is>
      </x:c>
      <x:c r="K83" s="38" t="inlineStr">
        <x:is>
          <x:t xml:space="preserve">L7-Q6</x:t>
        </x:is>
      </x:c>
      <x:c r="L83" s="38" t="inlineStr">
        <x:is>
          <x:t xml:space="preserve">4</x:t>
        </x:is>
      </x:c>
      <x:c r="M83" s="38" t="inlineStr">
        <x:is>
          <x:t xml:space="preserve">theophysics-lean-main</x:t>
        </x:is>
      </x:c>
      <x:c r="N83" s="38" t="inlineStr">
        <x:is>
          <x:t xml:space="preserve">theophysics-lean-main\theophysics-lean-main\Theophysics_Adversarial.lean</x:t>
        </x:is>
      </x:c>
      <x:c r="O83" s="38" t="inlineStr">
        <x:is>
          <x:t xml:space="preserve">432</x:t>
        </x:is>
      </x:c>
      <x:c r="P83" s="38" t="inlineStr">
        <x:is>
          <x:t xml:space="preserve">DEFINITIONAL_RFL</x:t>
        </x:is>
      </x:c>
      <x:c r="Q83" s="38" t="inlineStr">
        <x:is>
          <x:t xml:space="preserve">Proves definitional equality by reduction; useful but narrow.</x:t>
        </x:is>
      </x:c>
      <x:c r="R83" s="39" t="inlineStr">
        <x:is>
          <x:t xml:space="preserve">theorem inverted_mapping_does_not_preserve_value : invertedMappingPreservesValue = false</x:t>
        </x:is>
      </x:c>
    </x:row>
    <x:row r="84" ht="15" customHeight="1">
      <x:c r="A84" s="37" t="inlineStr">
        <x:is>
          <x:t xml:space="preserve">\\192.168.2.50\h_hp\Desktop\Master EXCEL\Lean 4.xlsx</x:t>
        </x:is>
      </x:c>
      <x:c r="B84" s="38" t="inlineStr">
        <x:is>
          <x:t xml:space="preserve">LEAN_DERIVATION_CHAIN</x:t>
        </x:is>
      </x:c>
      <x:c r="C84" s="38" t="inlineStr">
        <x:is>
          <x:t xml:space="preserve">92</x:t>
        </x:is>
      </x:c>
      <x:c r="D84" s="38" t="inlineStr">
        <x:is>
          <x:t xml:space="preserve">86</x:t>
        </x:is>
      </x:c>
      <x:c r="E84" s="38" t="inlineStr">
        <x:is>
          <x:t xml:space="preserve">7 — Iso</x:t>
        </x:is>
      </x:c>
      <x:c r="F84" s="38" t="inlineStr">
        <x:is>
          <x:t xml:space="preserve">IsomorphismTest.lean</x:t>
        </x:is>
      </x:c>
      <x:c r="G84" s="38" t="inlineStr">
        <x:is>
          <x:t xml:space="preserve">no_law4_iso_uses_inverted_mapping</x:t>
        </x:is>
      </x:c>
      <x:c r="H84" s="38" t="inlineStr">
        <x:is>
          <x:t xml:space="preserve">REJECTION: No valid Law4 iso uses the inverted map</x:t>
        </x:is>
      </x:c>
      <x:c r="I84" s="38" t="inlineStr">
        <x:is>
          <x:t xml:space="preserve">contradiction</x:t>
        </x:is>
      </x:c>
      <x:c r="J84" s="38" t="inlineStr">
        <x:is>
          <x:t xml:space="preserve">REJECTION</x:t>
        </x:is>
      </x:c>
      <x:c r="K84" s="38" t="inlineStr">
        <x:is>
          <x:t xml:space="preserve">L7-Q6</x:t>
        </x:is>
      </x:c>
      <x:c r="L84" s="38" t="inlineStr">
        <x:is>
          <x:t xml:space="preserve">4</x:t>
        </x:is>
      </x:c>
      <x:c r="M84" s="38" t="inlineStr">
        <x:is>
          <x:t xml:space="preserve">theophysics-lean-main</x:t>
        </x:is>
      </x:c>
      <x:c r="N84" s="38" t="inlineStr">
        <x:is>
          <x:t xml:space="preserve">theophysics-lean-main\theophysics-lean-main\Theophysics_Adversarial.lean</x:t>
        </x:is>
      </x:c>
      <x:c r="O84" s="38" t="inlineStr">
        <x:is>
          <x:t xml:space="preserve">436</x:t>
        </x:is>
      </x:c>
      <x:c r="P84" s="38" t="inlineStr">
        <x:is>
          <x:t xml:space="preserve">DEFINITIONAL_RFL</x:t>
        </x:is>
      </x:c>
      <x:c r="Q84" s="38" t="inlineStr">
        <x:is>
          <x:t xml:space="preserve">Proves definitional equality by reduction; useful but narrow.</x:t>
        </x:is>
      </x:c>
      <x:c r="R84" s="39" t="inlineStr">
        <x:is>
          <x:t xml:space="preserve">theorem no_law4_iso_uses_inverted_mapping : law4IsoUsesInvertedMapping = false</x:t>
        </x:is>
      </x:c>
    </x:row>
    <x:row r="85" ht="15" customHeight="1">
      <x:c r="A85" s="37" t="inlineStr">
        <x:is>
          <x:t xml:space="preserve">\\192.168.2.50\h_hp\Desktop\Master EXCEL\Lean 4.xlsx</x:t>
        </x:is>
      </x:c>
      <x:c r="B85" s="38" t="inlineStr">
        <x:is>
          <x:t xml:space="preserve">LEAN_DERIVATION_CHAIN</x:t>
        </x:is>
      </x:c>
      <x:c r="C85" s="38" t="inlineStr">
        <x:is>
          <x:t xml:space="preserve">93</x:t>
        </x:is>
      </x:c>
      <x:c r="D85" s="38" t="inlineStr">
        <x:is>
          <x:t xml:space="preserve">87</x:t>
        </x:is>
      </x:c>
      <x:c r="E85" s="38" t="inlineStr">
        <x:is>
          <x:t xml:space="preserve">7 — Iso</x:t>
        </x:is>
      </x:c>
      <x:c r="F85" s="38" t="inlineStr">
        <x:is>
          <x:t xml:space="preserve">IsomorphismTest.lean</x:t>
        </x:is>
      </x:c>
      <x:c r="G85" s="38" t="inlineStr">
        <x:is>
          <x:t xml:space="preserve">misaligned_collapse_rule_invalid</x:t>
        </x:is>
      </x:c>
      <x:c r="H85" s="38" t="inlineStr">
        <x:is>
          <x:t xml:space="preserve">REJECTION: Collapse at stateB (value=one) contradicts axiom</x:t>
        </x:is>
      </x:c>
      <x:c r="I85" s="38" t="inlineStr">
        <x:is>
          <x:t xml:space="preserve">decide</x:t>
        </x:is>
      </x:c>
      <x:c r="J85" s="38" t="inlineStr">
        <x:is>
          <x:t xml:space="preserve">REJECTION</x:t>
        </x:is>
      </x:c>
      <x:c r="K85" s="38" t="inlineStr">
        <x:is>
          <x:t xml:space="preserve">L7-Q6</x:t>
        </x:is>
      </x:c>
      <x:c r="L85" s="38" t="inlineStr">
        <x:is>
          <x:t xml:space="preserve">4</x:t>
        </x:is>
      </x:c>
      <x:c r="M85" s="38" t="inlineStr">
        <x:is>
          <x:t xml:space="preserve">theophysics-lean-main</x:t>
        </x:is>
      </x:c>
      <x:c r="N85" s="38" t="inlineStr">
        <x:is>
          <x:t xml:space="preserve">theophysics-lean-main\theophysics-lean-main\Theophysics_Adversarial.lean</x:t>
        </x:is>
      </x:c>
      <x:c r="O85" s="38" t="inlineStr">
        <x:is>
          <x:t xml:space="preserve">440</x:t>
        </x:is>
      </x:c>
      <x:c r="P85" s="38" t="inlineStr">
        <x:is>
          <x:t xml:space="preserve">DEFINITIONAL_RFL</x:t>
        </x:is>
      </x:c>
      <x:c r="Q85" s="38" t="inlineStr">
        <x:is>
          <x:t xml:space="preserve">Proves definitional equality by reduction; useful but narrow.</x:t>
        </x:is>
      </x:c>
      <x:c r="R85" s="39" t="inlineStr">
        <x:is>
          <x:t xml:space="preserve">theorem misaligned_collapse_rule_invalid : misalignedCollapseRuleValid = false</x:t>
        </x:is>
      </x:c>
    </x:row>
    <x:row r="86" ht="15" customHeight="1">
      <x:c r="A86" s="37" t="inlineStr">
        <x:is>
          <x:t xml:space="preserve">\\192.168.2.50\h_hp\Desktop\Master EXCEL\Lean 4.xlsx</x:t>
        </x:is>
      </x:c>
      <x:c r="B86" s="38" t="inlineStr">
        <x:is>
          <x:t xml:space="preserve">LEAN_DERIVATION_CHAIN</x:t>
        </x:is>
      </x:c>
      <x:c r="C86" s="38" t="inlineStr">
        <x:is>
          <x:t xml:space="preserve">95</x:t>
        </x:is>
      </x:c>
      <x:c r="D86" s="38" t="inlineStr">
        <x:is>
          <x:t xml:space="preserve">88</x:t>
        </x:is>
      </x:c>
      <x:c r="E86" s="38" t="inlineStr">
        <x:is>
          <x:t xml:space="preserve">8 — Maxwell</x:t>
        </x:is>
      </x:c>
      <x:c r="F86" s="38" t="inlineStr">
        <x:is>
          <x:t xml:space="preserve">MaxwellTrinity.lean</x:t>
        </x:is>
      </x:c>
      <x:c r="G86" s="38" t="inlineStr">
        <x:is>
          <x:t xml:space="preserve">full_quaternion_product_has_coupling_invariant</x:t>
        </x:is>
      </x:c>
      <x:c r="H86" s="38" t="inlineStr">
        <x:is>
          <x:t xml:space="preserve">Quaternion multiplication has scalar-vector coupling that vector-only product lacks</x:t>
        </x:is>
      </x:c>
      <x:c r="I86" s="38" t="inlineStr">
        <x:is>
          <x:t xml:space="preserve">decide</x:t>
        </x:is>
      </x:c>
      <x:c r="J86" s="38" t="inlineStr">
        <x:is>
          <x:t xml:space="preserve">PROVED</x:t>
        </x:is>
      </x:c>
      <x:c r="K86" s="38" t="inlineStr">
        <x:is>
          <x:t xml:space="preserve">L7-Q3</x:t>
        </x:is>
      </x:c>
      <x:c r="L86" s="38" t="inlineStr">
        <x:is>
          <x:t xml:space="preserve">5</x:t>
        </x:is>
      </x:c>
      <x:c r="M86" s="38" t="inlineStr">
        <x:is>
          <x:t xml:space="preserve">theophysics-lean-main</x:t>
        </x:is>
      </x:c>
      <x:c r="N86" s="38" t="inlineStr">
        <x:is>
          <x:t xml:space="preserve">theophysics-lean-main\theophysics-lean-main\Theophysics_Core.lean</x:t>
        </x:is>
      </x:c>
      <x:c r="O86" s="38" t="inlineStr">
        <x:is>
          <x:t xml:space="preserve">219</x:t>
        </x:is>
      </x:c>
      <x:c r="P86" s="38" t="inlineStr">
        <x:is>
          <x:t xml:space="preserve">DECLARATION_OR_UNKNOWN</x:t>
        </x:is>
      </x:c>
      <x:c r="Q86" s="38" t="inlineStr">
        <x:is>
          <x:t xml:space="preserve">Could not classify from first proof lines.</x:t>
        </x:is>
      </x:c>
      <x:c r="R86" s="39" t="inlineStr">
        <x:is>
          <x:t xml:space="preserve">theorem full_quaternion_product_has_coupling_invariant : preservesCouplingInvariant EMSystem.quaternion = true := Theophysics.MaxwellTrinity.full_quaternion_product_has_coupling_invariant</x:t>
        </x:is>
      </x:c>
    </x:row>
    <x:row r="87" ht="15" customHeight="1">
      <x:c r="A87" s="37" t="inlineStr">
        <x:is>
          <x:t xml:space="preserve">\\192.168.2.50\h_hp\Desktop\Master EXCEL\Lean 4.xlsx</x:t>
        </x:is>
      </x:c>
      <x:c r="B87" s="38" t="inlineStr">
        <x:is>
          <x:t xml:space="preserve">LEAN_DERIVATION_CHAIN</x:t>
        </x:is>
      </x:c>
      <x:c r="C87" s="38" t="inlineStr">
        <x:is>
          <x:t xml:space="preserve">96</x:t>
        </x:is>
      </x:c>
      <x:c r="D87" s="38" t="inlineStr">
        <x:is>
          <x:t xml:space="preserve">89</x:t>
        </x:is>
      </x:c>
      <x:c r="E87" s="38" t="inlineStr">
        <x:is>
          <x:t xml:space="preserve">8 — Maxwell</x:t>
        </x:is>
      </x:c>
      <x:c r="F87" s="38" t="inlineStr">
        <x:is>
          <x:t xml:space="preserve">MaxwellTrinity.lean</x:t>
        </x:is>
      </x:c>
      <x:c r="G87" s="38" t="inlineStr">
        <x:is>
          <x:t xml:space="preserve">vector_only_product_lacks_coupling_invariant</x:t>
        </x:is>
      </x:c>
      <x:c r="H87" s="38" t="inlineStr">
        <x:is>
          <x:t xml:space="preserve">REJECTION: Heaviside vector-only product lacks coupling invariant</x:t>
        </x:is>
      </x:c>
      <x:c r="I87" s="38" t="inlineStr">
        <x:is>
          <x:t xml:space="preserve">decide</x:t>
        </x:is>
      </x:c>
      <x:c r="J87" s="38" t="inlineStr">
        <x:is>
          <x:t xml:space="preserve">REJECTION</x:t>
        </x:is>
      </x:c>
      <x:c r="K87" s="38" t="inlineStr">
        <x:is>
          <x:t xml:space="preserve">L7-Q6</x:t>
        </x:is>
      </x:c>
      <x:c r="L87" s="38" t="inlineStr">
        <x:is>
          <x:t xml:space="preserve">5</x:t>
        </x:is>
      </x:c>
      <x:c r="M87" s="38" t="inlineStr">
        <x:is>
          <x:t xml:space="preserve">theophysics-lean-main</x:t>
        </x:is>
      </x:c>
      <x:c r="N87" s="38" t="inlineStr">
        <x:is>
          <x:t xml:space="preserve">theophysics-lean-main\theophysics-lean-main\Theophysics_MaxwellTrinity.lean</x:t>
        </x:is>
      </x:c>
      <x:c r="O87" s="38" t="inlineStr">
        <x:is>
          <x:t xml:space="preserve">71</x:t>
        </x:is>
      </x:c>
      <x:c r="P87" s="38" t="inlineStr">
        <x:is>
          <x:t xml:space="preserve">DEFINITIONAL_RFL</x:t>
        </x:is>
      </x:c>
      <x:c r="Q87" s="38" t="inlineStr">
        <x:is>
          <x:t xml:space="preserve">Proves definitional equality by reduction; useful but narrow.</x:t>
        </x:is>
      </x:c>
      <x:c r="R87" s="39" t="inlineStr">
        <x:is>
          <x:t xml:space="preserve">theorem vector_only_product_lacks_coupling_invariant : preservesCouplingInvariant EMSystem.vectorOnly = false</x:t>
        </x:is>
      </x:c>
    </x:row>
    <x:row r="88" ht="15" customHeight="1">
      <x:c r="A88" s="37" t="inlineStr">
        <x:is>
          <x:t xml:space="preserve">\\192.168.2.50\h_hp\Desktop\Master EXCEL\Lean 4.xlsx</x:t>
        </x:is>
      </x:c>
      <x:c r="B88" s="38" t="inlineStr">
        <x:is>
          <x:t xml:space="preserve">LEAN_DERIVATION_CHAIN</x:t>
        </x:is>
      </x:c>
      <x:c r="C88" s="38" t="inlineStr">
        <x:is>
          <x:t xml:space="preserve">97</x:t>
        </x:is>
      </x:c>
      <x:c r="D88" s="38" t="inlineStr">
        <x:is>
          <x:t xml:space="preserve">90</x:t>
        </x:is>
      </x:c>
      <x:c r="E88" s="38" t="inlineStr">
        <x:is>
          <x:t xml:space="preserve">8 — Maxwell</x:t>
        </x:is>
      </x:c>
      <x:c r="F88" s="38" t="inlineStr">
        <x:is>
          <x:t xml:space="preserve">MaxwellTrinity.lean</x:t>
        </x:is>
      </x:c>
      <x:c r="G88" s="38" t="inlineStr">
        <x:is>
          <x:t xml:space="preserve">full_scalar_vector_split_reconstructs_quaternion_product</x:t>
        </x:is>
      </x:c>
      <x:c r="H88" s="38" t="inlineStr">
        <x:is>
          <x:t xml:space="preserve">Split product reconstructs full quaternion product</x:t>
        </x:is>
      </x:c>
      <x:c r="I88" s="38" t="inlineStr">
        <x:is>
          <x:t xml:space="preserve">rfl</x:t>
        </x:is>
      </x:c>
      <x:c r="J88" s="38" t="inlineStr">
        <x:is>
          <x:t xml:space="preserve">PROVED</x:t>
        </x:is>
      </x:c>
      <x:c r="K88" s="38" t="inlineStr">
        <x:is>
          <x:t xml:space="preserve">L7-Q3</x:t>
        </x:is>
      </x:c>
      <x:c r="L88" s="38" t="inlineStr">
        <x:is>
          <x:t xml:space="preserve">4</x:t>
        </x:is>
      </x:c>
      <x:c r="M88" s="38" t="inlineStr">
        <x:is>
          <x:t xml:space="preserve">theophysics-lean-main</x:t>
        </x:is>
      </x:c>
      <x:c r="N88" s="38" t="inlineStr">
        <x:is>
          <x:t xml:space="preserve">theophysics-lean-main\theophysics-lean-main\Theophysics_Core.lean</x:t>
        </x:is>
      </x:c>
      <x:c r="O88" s="38" t="inlineStr">
        <x:is>
          <x:t xml:space="preserve">222</x:t>
        </x:is>
      </x:c>
      <x:c r="P88" s="38" t="inlineStr">
        <x:is>
          <x:t xml:space="preserve">TRIVIAL_TRUE</x:t>
        </x:is>
      </x:c>
      <x:c r="Q88" s="38" t="inlineStr">
        <x:is>
          <x:t xml:space="preserve">Statement is `True`; theorem name may exceed formal content.</x:t>
        </x:is>
      </x:c>
      <x:c r="R88" s="39" t="inlineStr">
        <x:is>
          <x:t xml:space="preserve">theorem full_scalar_vector_split_reconstructs_quaternion_product : True</x:t>
        </x:is>
      </x:c>
    </x:row>
    <x:row r="89" ht="15" customHeight="1">
      <x:c r="A89" s="37" t="inlineStr">
        <x:is>
          <x:t xml:space="preserve">\\192.168.2.50\h_hp\Desktop\Master EXCEL\Lean 4.xlsx</x:t>
        </x:is>
      </x:c>
      <x:c r="B89" s="38" t="inlineStr">
        <x:is>
          <x:t xml:space="preserve">LEAN_DERIVATION_CHAIN</x:t>
        </x:is>
      </x:c>
      <x:c r="C89" s="38" t="inlineStr">
        <x:is>
          <x:t xml:space="preserve">98</x:t>
        </x:is>
      </x:c>
      <x:c r="D89" s="38" t="inlineStr">
        <x:is>
          <x:t xml:space="preserve">91</x:t>
        </x:is>
      </x:c>
      <x:c r="E89" s="38" t="inlineStr">
        <x:is>
          <x:t xml:space="preserve">8 — Maxwell</x:t>
        </x:is>
      </x:c>
      <x:c r="F89" s="38" t="inlineStr">
        <x:is>
          <x:t xml:space="preserve">MaxwellTrinity.lean</x:t>
        </x:is>
      </x:c>
      <x:c r="G89" s="38" t="inlineStr">
        <x:is>
          <x:t xml:space="preserve">same_dot_cross_but_different_quaternion_product</x:t>
        </x:is>
      </x:c>
      <x:c r="H89" s="38" t="inlineStr">
        <x:is>
          <x:t xml:space="preserve">REJECTION: Same dot+cross ≠ same quaternion product. Scalar coupling matters.</x:t>
        </x:is>
      </x:c>
      <x:c r="I89" s="38" t="inlineStr">
        <x:is>
          <x:t xml:space="preserve">decide</x:t>
        </x:is>
      </x:c>
      <x:c r="J89" s="38" t="inlineStr">
        <x:is>
          <x:t xml:space="preserve">REJECTION</x:t>
        </x:is>
      </x:c>
      <x:c r="K89" s="38" t="inlineStr">
        <x:is>
          <x:t xml:space="preserve">L7-Q6</x:t>
        </x:is>
      </x:c>
      <x:c r="L89" s="38" t="inlineStr">
        <x:is>
          <x:t xml:space="preserve">5</x:t>
        </x:is>
      </x:c>
      <x:c r="M89" s="38" t="inlineStr">
        <x:is>
          <x:t xml:space="preserve">theophysics-lean-main</x:t>
        </x:is>
      </x:c>
      <x:c r="N89" s="38" t="inlineStr">
        <x:is>
          <x:t xml:space="preserve">theophysics-lean-main\theophysics-lean-main\Theophysics_MaxwellTrinity.lean</x:t>
        </x:is>
      </x:c>
      <x:c r="O89" s="38" t="inlineStr">
        <x:is>
          <x:t xml:space="preserve">75</x:t>
        </x:is>
      </x:c>
      <x:c r="P89" s="38" t="inlineStr">
        <x:is>
          <x:t xml:space="preserve">DEFINITIONAL_RFL</x:t>
        </x:is>
      </x:c>
      <x:c r="Q89" s="38" t="inlineStr">
        <x:is>
          <x:t xml:space="preserve">Proves definitional equality by reduction; useful but narrow.</x:t>
        </x:is>
      </x:c>
      <x:c r="R89" s="39" t="inlineStr">
        <x:is>
          <x:t xml:space="preserve">theorem same_dot_cross_but_different_quaternion_product : sameDotCrossDeterminesQuaternionProduct = false</x:t>
        </x:is>
      </x:c>
    </x:row>
    <x:row r="90" ht="15" customHeight="1">
      <x:c r="A90" s="37" t="inlineStr">
        <x:is>
          <x:t xml:space="preserve">\\192.168.2.50\h_hp\Desktop\Master EXCEL\Lean 4.xlsx</x:t>
        </x:is>
      </x:c>
      <x:c r="B90" s="38" t="inlineStr">
        <x:is>
          <x:t xml:space="preserve">LEAN_DERIVATION_CHAIN</x:t>
        </x:is>
      </x:c>
      <x:c r="C90" s="38" t="inlineStr">
        <x:is>
          <x:t xml:space="preserve">99</x:t>
        </x:is>
      </x:c>
      <x:c r="D90" s="38" t="inlineStr">
        <x:is>
          <x:t xml:space="preserve">92</x:t>
        </x:is>
      </x:c>
      <x:c r="E90" s="38" t="inlineStr">
        <x:is>
          <x:t xml:space="preserve">8 — Maxwell</x:t>
        </x:is>
      </x:c>
      <x:c r="F90" s="38" t="inlineStr">
        <x:is>
          <x:t xml:space="preserve">MaxwellTrinity.lean</x:t>
        </x:is>
      </x:c>
      <x:c r="G90" s="38" t="inlineStr">
        <x:is>
          <x:t xml:space="preserve">quaternionEM_valid</x:t>
        </x:is>
      </x:c>
      <x:c r="H90" s="38" t="inlineStr">
        <x:is>
          <x:t xml:space="preserve">Quaternion EM model passes all 5 ValidTriadic conditions</x:t>
        </x:is>
      </x:c>
      <x:c r="I90" s="38" t="inlineStr">
        <x:is>
          <x:t xml:space="preserve">decide</x:t>
        </x:is>
      </x:c>
      <x:c r="J90" s="38" t="inlineStr">
        <x:is>
          <x:t xml:space="preserve">PROVED</x:t>
        </x:is>
      </x:c>
      <x:c r="K90" s="38" t="inlineStr">
        <x:is>
          <x:t xml:space="preserve">L7-Q4</x:t>
        </x:is>
      </x:c>
      <x:c r="L90" s="38" t="inlineStr">
        <x:is>
          <x:t xml:space="preserve">5</x:t>
        </x:is>
      </x:c>
      <x:c r="M90" s="38" t="inlineStr">
        <x:is>
          <x:t xml:space="preserve">theophysics-lean-main</x:t>
        </x:is>
      </x:c>
      <x:c r="N90" s="38" t="inlineStr">
        <x:is>
          <x:t xml:space="preserve">theophysics-lean-main\theophysics-lean-main\Theophysics_MaxwellTrinity.lean</x:t>
        </x:is>
      </x:c>
      <x:c r="O90" s="38" t="inlineStr">
        <x:is>
          <x:t xml:space="preserve">54</x:t>
        </x:is>
      </x:c>
      <x:c r="P90" s="38" t="inlineStr">
        <x:is>
          <x:t xml:space="preserve">WRAPPER_OR_IMPORTED</x:t>
        </x:is>
      </x:c>
      <x:c r="Q90" s="38" t="inlineStr">
        <x:is>
          <x:t xml:space="preserve">Likely delegates to another theorem; cite underlying theorem too.</x:t>
        </x:is>
      </x:c>
      <x:c r="R90" s="39" t="inlineStr">
        <x:is>
          <x:t xml:space="preserve">theorem quaternionEM_valid : preservesCouplingInvariant EMSystem.quaternion = true ∧ trinityStructureValid EMSystem.quaternion = true</x:t>
        </x:is>
      </x:c>
    </x:row>
    <x:row r="91" ht="15" customHeight="1">
      <x:c r="A91" s="37" t="inlineStr">
        <x:is>
          <x:t xml:space="preserve">\\192.168.2.50\h_hp\Desktop\Master EXCEL\Lean 4.xlsx</x:t>
        </x:is>
      </x:c>
      <x:c r="B91" s="38" t="inlineStr">
        <x:is>
          <x:t xml:space="preserve">LEAN_DERIVATION_CHAIN</x:t>
        </x:is>
      </x:c>
      <x:c r="C91" s="38" t="inlineStr">
        <x:is>
          <x:t xml:space="preserve">100</x:t>
        </x:is>
      </x:c>
      <x:c r="D91" s="38" t="inlineStr">
        <x:is>
          <x:t xml:space="preserve">93</x:t>
        </x:is>
      </x:c>
      <x:c r="E91" s="38" t="inlineStr">
        <x:is>
          <x:t xml:space="preserve">8 — Maxwell</x:t>
        </x:is>
      </x:c>
      <x:c r="F91" s="38" t="inlineStr">
        <x:is>
          <x:t xml:space="preserve">MaxwellTrinity.lean</x:t>
        </x:is>
      </x:c>
      <x:c r="G91" s="38" t="inlineStr">
        <x:is>
          <x:t xml:space="preserve">trinityRelational_valid</x:t>
        </x:is>
      </x:c>
      <x:c r="H91" s="38" t="inlineStr">
        <x:is>
          <x:t xml:space="preserve">Trinity relational model passes all 5 ValidTriadic conditions</x:t>
        </x:is>
      </x:c>
      <x:c r="I91" s="38" t="inlineStr">
        <x:is>
          <x:t xml:space="preserve">decide</x:t>
        </x:is>
      </x:c>
      <x:c r="J91" s="38" t="inlineStr">
        <x:is>
          <x:t xml:space="preserve">PROVED</x:t>
        </x:is>
      </x:c>
      <x:c r="K91" s="38" t="inlineStr">
        <x:is>
          <x:t xml:space="preserve">L7-Q4</x:t>
        </x:is>
      </x:c>
      <x:c r="L91" s="38" t="inlineStr">
        <x:is>
          <x:t xml:space="preserve">5</x:t>
        </x:is>
      </x:c>
      <x:c r="M91" s="38" t="inlineStr">
        <x:is>
          <x:t xml:space="preserve">theophysics-lean-main</x:t>
        </x:is>
      </x:c>
      <x:c r="N91" s="38" t="inlineStr">
        <x:is>
          <x:t xml:space="preserve">theophysics-lean-main\theophysics-lean-main\Theophysics_Core.lean</x:t>
        </x:is>
      </x:c>
      <x:c r="O91" s="38" t="inlineStr">
        <x:is>
          <x:t xml:space="preserve">231</x:t>
        </x:is>
      </x:c>
      <x:c r="P91" s="38" t="inlineStr">
        <x:is>
          <x:t xml:space="preserve">DECLARATION_OR_UNKNOWN</x:t>
        </x:is>
      </x:c>
      <x:c r="Q91" s="38" t="inlineStr">
        <x:is>
          <x:t xml:space="preserve">Could not classify from first proof lines.</x:t>
        </x:is>
      </x:c>
      <x:c r="R91" s="39" t="inlineStr">
        <x:is>
          <x:t xml:space="preserve">theorem trinityRelational_valid : trinityStructureValid EMSystem.quaternion = true := Theophysics.MaxwellTrinity.trinityRelational_valid</x:t>
        </x:is>
      </x:c>
    </x:row>
    <x:row r="92" ht="15" customHeight="1">
      <x:c r="A92" s="37" t="inlineStr">
        <x:is>
          <x:t xml:space="preserve">\\192.168.2.50\h_hp\Desktop\Master EXCEL\Lean 4.xlsx</x:t>
        </x:is>
      </x:c>
      <x:c r="B92" s="38" t="inlineStr">
        <x:is>
          <x:t xml:space="preserve">LEAN_DERIVATION_CHAIN</x:t>
        </x:is>
      </x:c>
      <x:c r="C92" s="38" t="inlineStr">
        <x:is>
          <x:t xml:space="preserve">101</x:t>
        </x:is>
      </x:c>
      <x:c r="D92" s="38" t="inlineStr">
        <x:is>
          <x:t xml:space="preserve">94</x:t>
        </x:is>
      </x:c>
      <x:c r="E92" s="38" t="inlineStr">
        <x:is>
          <x:t xml:space="preserve">8 — Maxwell</x:t>
        </x:is>
      </x:c>
      <x:c r="F92" s="38" t="inlineStr">
        <x:is>
          <x:t xml:space="preserve">MaxwellTrinity.lean</x:t>
        </x:is>
      </x:c>
      <x:c r="G92" s="38" t="inlineStr">
        <x:is>
          <x:t xml:space="preserve">quaternionTrinityIso</x:t>
        </x:is>
      </x:c>
      <x:c r="H92" s="38" t="inlineStr">
        <x:is>
          <x:t xml:space="preserve">Quaternion EM ≅ Trinity (TriadicIso — full structural isomorphism)</x:t>
        </x:is>
      </x:c>
      <x:c r="I92" s="38" t="inlineStr">
        <x:is>
          <x:t xml:space="preserve">constructor</x:t>
        </x:is>
      </x:c>
      <x:c r="J92" s="38" t="inlineStr">
        <x:is>
          <x:t xml:space="preserve">PROVED</x:t>
        </x:is>
      </x:c>
      <x:c r="K92" s="38" t="inlineStr">
        <x:is>
          <x:t xml:space="preserve">L7-Q4</x:t>
        </x:is>
      </x:c>
      <x:c r="L92" s="38" t="inlineStr">
        <x:is>
          <x:t xml:space="preserve">5</x:t>
        </x:is>
      </x:c>
      <x:c r="M92" s="38" t="inlineStr">
        <x:is>
          <x:t xml:space="preserve">theophysics-lean-main</x:t>
        </x:is>
      </x:c>
      <x:c r="N92" s="38" t="inlineStr">
        <x:is>
          <x:t xml:space="preserve">theophysics-lean-main\theophysics-lean-main\Theophysics_Core.lean</x:t>
        </x:is>
      </x:c>
      <x:c r="O92" s="38" t="inlineStr">
        <x:is>
          <x:t xml:space="preserve">228</x:t>
        </x:is>
      </x:c>
      <x:c r="P92" s="38" t="inlineStr">
        <x:is>
          <x:t xml:space="preserve">DECLARATION_OR_UNKNOWN</x:t>
        </x:is>
      </x:c>
      <x:c r="Q92" s="38" t="inlineStr">
        <x:is>
          <x:t xml:space="preserve">Could not classify from first proof lines.</x:t>
        </x:is>
      </x:c>
      <x:c r="R92" s="39" t="inlineStr">
        <x:is>
          <x:t xml:space="preserve">theorem quaternionTrinityIso : trinityStructureValid EMSystem.quaternion = true := Theophysics.MaxwellTrinity.quaternionTrinityIso</x:t>
        </x:is>
      </x:c>
    </x:row>
    <x:row r="93" ht="15" customHeight="1">
      <x:c r="A93" s="37" t="inlineStr">
        <x:is>
          <x:t xml:space="preserve">\\192.168.2.50\h_hp\Desktop\Master EXCEL\Lean 4.xlsx</x:t>
        </x:is>
      </x:c>
      <x:c r="B93" s="38" t="inlineStr">
        <x:is>
          <x:t xml:space="preserve">LEAN_DERIVATION_CHAIN</x:t>
        </x:is>
      </x:c>
      <x:c r="C93" s="38" t="inlineStr">
        <x:is>
          <x:t xml:space="preserve">102</x:t>
        </x:is>
      </x:c>
      <x:c r="D93" s="38" t="inlineStr">
        <x:is>
          <x:t xml:space="preserve">95</x:t>
        </x:is>
      </x:c>
      <x:c r="E93" s="38" t="inlineStr">
        <x:is>
          <x:t xml:space="preserve">8 — Maxwell</x:t>
        </x:is>
      </x:c>
      <x:c r="F93" s="38" t="inlineStr">
        <x:is>
          <x:t xml:space="preserve">MaxwellTrinity.lean</x:t>
        </x:is>
      </x:c>
      <x:c r="G93" s="38" t="inlineStr">
        <x:is>
          <x:t xml:space="preserve">heavisideVectorEM_invalid</x:t>
        </x:is>
      </x:c>
      <x:c r="H93" s="38" t="inlineStr">
        <x:is>
          <x:t xml:space="preserve">REJECTION: Heaviside EM fails — no coupling invariant</x:t>
        </x:is>
      </x:c>
      <x:c r="I93" s="38" t="inlineStr">
        <x:is>
          <x:t xml:space="preserve">decide</x:t>
        </x:is>
      </x:c>
      <x:c r="J93" s="38" t="inlineStr">
        <x:is>
          <x:t xml:space="preserve">REJECTION</x:t>
        </x:is>
      </x:c>
      <x:c r="K93" s="38" t="inlineStr">
        <x:is>
          <x:t xml:space="preserve">L7-Q6</x:t>
        </x:is>
      </x:c>
      <x:c r="L93" s="38" t="inlineStr">
        <x:is>
          <x:t xml:space="preserve">5</x:t>
        </x:is>
      </x:c>
      <x:c r="M93" s="38" t="inlineStr">
        <x:is>
          <x:t xml:space="preserve">theophysics-lean-main</x:t>
        </x:is>
      </x:c>
      <x:c r="N93" s="38" t="inlineStr">
        <x:is>
          <x:t xml:space="preserve">theophysics-lean-main\theophysics-lean-main\Theophysics_MaxwellTrinity.lean</x:t>
        </x:is>
      </x:c>
      <x:c r="O93" s="38" t="inlineStr">
        <x:is>
          <x:t xml:space="preserve">79</x:t>
        </x:is>
      </x:c>
      <x:c r="P93" s="38" t="inlineStr">
        <x:is>
          <x:t xml:space="preserve">DEFINITIONAL_RFL</x:t>
        </x:is>
      </x:c>
      <x:c r="Q93" s="38" t="inlineStr">
        <x:is>
          <x:t xml:space="preserve">Proves definitional equality by reduction; useful but narrow.</x:t>
        </x:is>
      </x:c>
      <x:c r="R93" s="39" t="inlineStr">
        <x:is>
          <x:t xml:space="preserve">theorem heavisideVectorEM_invalid : trinityStructureValid EMSystem.heavisideVector = false</x:t>
        </x:is>
      </x:c>
    </x:row>
    <x:row r="94" ht="15" customHeight="1">
      <x:c r="A94" s="37" t="inlineStr">
        <x:is>
          <x:t xml:space="preserve">\\192.168.2.50\h_hp\Desktop\Master EXCEL\Lean 4.xlsx</x:t>
        </x:is>
      </x:c>
      <x:c r="B94" s="38" t="inlineStr">
        <x:is>
          <x:t xml:space="preserve">LEAN_DERIVATION_CHAIN</x:t>
        </x:is>
      </x:c>
      <x:c r="C94" s="38" t="inlineStr">
        <x:is>
          <x:t xml:space="preserve">103</x:t>
        </x:is>
      </x:c>
      <x:c r="D94" s="38" t="inlineStr">
        <x:is>
          <x:t xml:space="preserve">96</x:t>
        </x:is>
      </x:c>
      <x:c r="E94" s="38" t="inlineStr">
        <x:is>
          <x:t xml:space="preserve">8 — Maxwell</x:t>
        </x:is>
      </x:c>
      <x:c r="F94" s="38" t="inlineStr">
        <x:is>
          <x:t xml:space="preserve">MaxwellTrinity.lean</x:t>
        </x:is>
      </x:c>
      <x:c r="G94" s="38" t="inlineStr">
        <x:is>
          <x:t xml:space="preserve">modalism_invalid</x:t>
        </x:is>
      </x:c>
      <x:c r="H94" s="38" t="inlineStr">
        <x:is>
          <x:t xml:space="preserve">REJECTION: Modalism fails — no relational distinctness</x:t>
        </x:is>
      </x:c>
      <x:c r="I94" s="38" t="inlineStr">
        <x:is>
          <x:t xml:space="preserve">decide</x:t>
        </x:is>
      </x:c>
      <x:c r="J94" s="38" t="inlineStr">
        <x:is>
          <x:t xml:space="preserve">REJECTION</x:t>
        </x:is>
      </x:c>
      <x:c r="K94" s="38" t="inlineStr">
        <x:is>
          <x:t xml:space="preserve">L7-Q6</x:t>
        </x:is>
      </x:c>
      <x:c r="L94" s="38" t="inlineStr">
        <x:is>
          <x:t xml:space="preserve">5</x:t>
        </x:is>
      </x:c>
      <x:c r="M94" s="38" t="inlineStr">
        <x:is>
          <x:t xml:space="preserve">theophysics-lean-main</x:t>
        </x:is>
      </x:c>
      <x:c r="N94" s="38" t="inlineStr">
        <x:is>
          <x:t xml:space="preserve">theophysics-lean-main\theophysics-lean-main\Theophysics_MaxwellTrinity.lean</x:t>
        </x:is>
      </x:c>
      <x:c r="O94" s="38" t="inlineStr">
        <x:is>
          <x:t xml:space="preserve">83</x:t>
        </x:is>
      </x:c>
      <x:c r="P94" s="38" t="inlineStr">
        <x:is>
          <x:t xml:space="preserve">DEFINITIONAL_RFL</x:t>
        </x:is>
      </x:c>
      <x:c r="Q94" s="38" t="inlineStr">
        <x:is>
          <x:t xml:space="preserve">Proves definitional equality by reduction; useful but narrow.</x:t>
        </x:is>
      </x:c>
      <x:c r="R94" s="39" t="inlineStr">
        <x:is>
          <x:t xml:space="preserve">theorem modalism_invalid : trinityStructureValid EMSystem.modalist = false</x:t>
        </x:is>
      </x:c>
    </x:row>
    <x:row r="95" ht="15" customHeight="1">
      <x:c r="A95" s="37" t="inlineStr">
        <x:is>
          <x:t xml:space="preserve">\\192.168.2.50\h_hp\Desktop\Master EXCEL\Lean 4.xlsx</x:t>
        </x:is>
      </x:c>
      <x:c r="B95" s="38" t="inlineStr">
        <x:is>
          <x:t xml:space="preserve">LEAN_DERIVATION_CHAIN</x:t>
        </x:is>
      </x:c>
      <x:c r="C95" s="38" t="inlineStr">
        <x:is>
          <x:t xml:space="preserve">104</x:t>
        </x:is>
      </x:c>
      <x:c r="D95" s="38" t="inlineStr">
        <x:is>
          <x:t xml:space="preserve">97</x:t>
        </x:is>
      </x:c>
      <x:c r="E95" s="38" t="inlineStr">
        <x:is>
          <x:t xml:space="preserve">8 — Maxwell</x:t>
        </x:is>
      </x:c>
      <x:c r="F95" s="38" t="inlineStr">
        <x:is>
          <x:t xml:space="preserve">MaxwellTrinity.lean</x:t>
        </x:is>
      </x:c>
      <x:c r="G95" s="38" t="inlineStr">
        <x:is>
          <x:t xml:space="preserve">staticSingleFieldEM_invalid</x:t>
        </x:is>
      </x:c>
      <x:c r="H95" s="38" t="inlineStr">
        <x:is>
          <x:t xml:space="preserve">REJECTION: Static single-field EM fails — not full dynamic</x:t>
        </x:is>
      </x:c>
      <x:c r="I95" s="38" t="inlineStr">
        <x:is>
          <x:t xml:space="preserve">decide</x:t>
        </x:is>
      </x:c>
      <x:c r="J95" s="38" t="inlineStr">
        <x:is>
          <x:t xml:space="preserve">REJECTION</x:t>
        </x:is>
      </x:c>
      <x:c r="K95" s="38" t="inlineStr">
        <x:is>
          <x:t xml:space="preserve">L7-Q6</x:t>
        </x:is>
      </x:c>
      <x:c r="L95" s="38" t="inlineStr">
        <x:is>
          <x:t xml:space="preserve">5</x:t>
        </x:is>
      </x:c>
      <x:c r="M95" s="38" t="inlineStr">
        <x:is>
          <x:t xml:space="preserve">theophysics-lean-main</x:t>
        </x:is>
      </x:c>
      <x:c r="N95" s="38" t="inlineStr">
        <x:is>
          <x:t xml:space="preserve">theophysics-lean-main\theophysics-lean-main\Theophysics_MaxwellTrinity.lean</x:t>
        </x:is>
      </x:c>
      <x:c r="O95" s="38" t="inlineStr">
        <x:is>
          <x:t xml:space="preserve">87</x:t>
        </x:is>
      </x:c>
      <x:c r="P95" s="38" t="inlineStr">
        <x:is>
          <x:t xml:space="preserve">DEFINITIONAL_RFL</x:t>
        </x:is>
      </x:c>
      <x:c r="Q95" s="38" t="inlineStr">
        <x:is>
          <x:t xml:space="preserve">Proves definitional equality by reduction; useful but narrow.</x:t>
        </x:is>
      </x:c>
      <x:c r="R95" s="39" t="inlineStr">
        <x:is>
          <x:t xml:space="preserve">theorem staticSingleFieldEM_invalid : trinityStructureValid EMSystem.staticSingleField = false</x:t>
        </x:is>
      </x:c>
    </x:row>
    <x:row r="96" ht="15" customHeight="1">
      <x:c r="A96" s="37" t="inlineStr">
        <x:is>
          <x:t xml:space="preserve">\\192.168.2.50\h_hp\Desktop\Master EXCEL\Lean 4.xlsx</x:t>
        </x:is>
      </x:c>
      <x:c r="B96" s="38" t="inlineStr">
        <x:is>
          <x:t xml:space="preserve">LEAN_DERIVATION_CHAIN</x:t>
        </x:is>
      </x:c>
      <x:c r="C96" s="38" t="inlineStr">
        <x:is>
          <x:t xml:space="preserve">105</x:t>
        </x:is>
      </x:c>
      <x:c r="D96" s="38" t="inlineStr">
        <x:is>
          <x:t xml:space="preserve">98</x:t>
        </x:is>
      </x:c>
      <x:c r="E96" s="38" t="inlineStr">
        <x:is>
          <x:t xml:space="preserve">8 — Maxwell</x:t>
        </x:is>
      </x:c>
      <x:c r="F96" s="38" t="inlineStr">
        <x:is>
          <x:t xml:space="preserve">MaxwellTrinity.lean</x:t>
        </x:is>
      </x:c>
      <x:c r="G96" s="38" t="inlineStr">
        <x:is>
          <x:t xml:space="preserve">arbitraryThreePartSystem_invalid</x:t>
        </x:is>
      </x:c>
      <x:c r="H96" s="38" t="inlineStr">
        <x:is>
          <x:t xml:space="preserve">REJECTION: Generic 3-part system fails — wrong role profiles</x:t>
        </x:is>
      </x:c>
      <x:c r="I96" s="38" t="inlineStr">
        <x:is>
          <x:t xml:space="preserve">decide</x:t>
        </x:is>
      </x:c>
      <x:c r="J96" s="38" t="inlineStr">
        <x:is>
          <x:t xml:space="preserve">REJECTION</x:t>
        </x:is>
      </x:c>
      <x:c r="K96" s="38" t="inlineStr">
        <x:is>
          <x:t xml:space="preserve">L7-Q6</x:t>
        </x:is>
      </x:c>
      <x:c r="L96" s="38" t="inlineStr">
        <x:is>
          <x:t xml:space="preserve">5</x:t>
        </x:is>
      </x:c>
      <x:c r="M96" s="38" t="inlineStr">
        <x:is>
          <x:t xml:space="preserve">theophysics-lean-main</x:t>
        </x:is>
      </x:c>
      <x:c r="N96" s="38" t="inlineStr">
        <x:is>
          <x:t xml:space="preserve">theophysics-lean-main\theophysics-lean-main\Theophysics_MaxwellTrinity.lean</x:t>
        </x:is>
      </x:c>
      <x:c r="O96" s="38" t="inlineStr">
        <x:is>
          <x:t xml:space="preserve">91</x:t>
        </x:is>
      </x:c>
      <x:c r="P96" s="38" t="inlineStr">
        <x:is>
          <x:t xml:space="preserve">DEFINITIONAL_RFL</x:t>
        </x:is>
      </x:c>
      <x:c r="Q96" s="38" t="inlineStr">
        <x:is>
          <x:t xml:space="preserve">Proves definitional equality by reduction; useful but narrow.</x:t>
        </x:is>
      </x:c>
      <x:c r="R96" s="39" t="inlineStr">
        <x:is>
          <x:t xml:space="preserve">theorem arbitraryThreePartSystem_invalid : trinityStructureValid EMSystem.arbitraryThreePart = false</x:t>
        </x:is>
      </x:c>
    </x:row>
    <x:row r="97" ht="15" customHeight="1">
      <x:c r="A97" s="37" t="inlineStr">
        <x:is>
          <x:t xml:space="preserve">\\192.168.2.50\h_hp\Desktop\Master EXCEL\Lean 4.xlsx</x:t>
        </x:is>
      </x:c>
      <x:c r="B97" s="38" t="inlineStr">
        <x:is>
          <x:t xml:space="preserve">LEAN_DERIVATION_CHAIN</x:t>
        </x:is>
      </x:c>
      <x:c r="C97" s="38" t="inlineStr">
        <x:is>
          <x:t xml:space="preserve">106</x:t>
        </x:is>
      </x:c>
      <x:c r="D97" s="38" t="inlineStr">
        <x:is>
          <x:t xml:space="preserve">99</x:t>
        </x:is>
      </x:c>
      <x:c r="E97" s="38" t="inlineStr">
        <x:is>
          <x:t xml:space="preserve">8 — Maxwell</x:t>
        </x:is>
      </x:c>
      <x:c r="F97" s="38" t="inlineStr">
        <x:is>
          <x:t xml:space="preserve">MaxwellTrinity.lean</x:t>
        </x:is>
      </x:c>
      <x:c r="G97" s="38" t="inlineStr">
        <x:is>
          <x:t xml:space="preserve">relabeledRoleSystem_invalid</x:t>
        </x:is>
      </x:c>
      <x:c r="H97" s="38" t="inlineStr">
        <x:is>
          <x:t xml:space="preserve">REJECTION: Relabeled roles fail — labels ≠ profiles</x:t>
        </x:is>
      </x:c>
      <x:c r="I97" s="38" t="inlineStr">
        <x:is>
          <x:t xml:space="preserve">decide</x:t>
        </x:is>
      </x:c>
      <x:c r="J97" s="38" t="inlineStr">
        <x:is>
          <x:t xml:space="preserve">REJECTION</x:t>
        </x:is>
      </x:c>
      <x:c r="K97" s="38" t="inlineStr">
        <x:is>
          <x:t xml:space="preserve">L7-Q6</x:t>
        </x:is>
      </x:c>
      <x:c r="L97" s="38" t="inlineStr">
        <x:is>
          <x:t xml:space="preserve">5</x:t>
        </x:is>
      </x:c>
      <x:c r="M97" s="38" t="inlineStr">
        <x:is>
          <x:t xml:space="preserve">theophysics-lean-main</x:t>
        </x:is>
      </x:c>
      <x:c r="N97" s="38" t="inlineStr">
        <x:is>
          <x:t xml:space="preserve">theophysics-lean-main\theophysics-lean-main\Theophysics_MaxwellTrinity.lean</x:t>
        </x:is>
      </x:c>
      <x:c r="O97" s="38" t="inlineStr">
        <x:is>
          <x:t xml:space="preserve">95</x:t>
        </x:is>
      </x:c>
      <x:c r="P97" s="38" t="inlineStr">
        <x:is>
          <x:t xml:space="preserve">DEFINITIONAL_RFL</x:t>
        </x:is>
      </x:c>
      <x:c r="Q97" s="38" t="inlineStr">
        <x:is>
          <x:t xml:space="preserve">Proves definitional equality by reduction; useful but narrow.</x:t>
        </x:is>
      </x:c>
      <x:c r="R97" s="39" t="inlineStr">
        <x:is>
          <x:t xml:space="preserve">theorem relabeledRoleSystem_invalid : trinityStructureValid EMSystem.relabeledRoles = false</x:t>
        </x:is>
      </x:c>
    </x:row>
    <x:row r="98" ht="15" customHeight="1">
      <x:c r="A98" s="37" t="inlineStr">
        <x:is>
          <x:t xml:space="preserve">\\192.168.2.50\h_hp\Desktop\Master EXCEL\Lean 4.xlsx</x:t>
        </x:is>
      </x:c>
      <x:c r="B98" s="38" t="inlineStr">
        <x:is>
          <x:t xml:space="preserve">LEAN_DERIVATION_CHAIN</x:t>
        </x:is>
      </x:c>
      <x:c r="C98" s="38" t="inlineStr">
        <x:is>
          <x:t xml:space="preserve">107</x:t>
        </x:is>
      </x:c>
      <x:c r="D98" s="38" t="inlineStr">
        <x:is>
          <x:t xml:space="preserve">100–104</x:t>
        </x:is>
      </x:c>
      <x:c r="E98" s="38" t="inlineStr">
        <x:is>
          <x:t xml:space="preserve">8 — Maxwell</x:t>
        </x:is>
      </x:c>
      <x:c r="F98" s="38" t="inlineStr">
        <x:is>
          <x:t xml:space="preserve">MaxwellTrinity.lean</x:t>
        </x:is>
      </x:c>
      <x:c r="G98" s="38" t="inlineStr">
        <x:is>
          <x:t xml:space="preserve">no_iso_from_* (5 theorems)</x:t>
        </x:is>
      </x:c>
      <x:c r="H98" s="38" t="inlineStr">
        <x:is>
          <x:t xml:space="preserve">REJECTION: No TriadicIso to Heaviside, Modalism, static EM, arbitrary 3-part, or relabeled system</x:t>
        </x:is>
      </x:c>
      <x:c r="I98" s="38" t="inlineStr">
        <x:is>
          <x:t xml:space="preserve">decide</x:t>
        </x:is>
      </x:c>
      <x:c r="J98" s="38" t="inlineStr">
        <x:is>
          <x:t xml:space="preserve">REJECTION</x:t>
        </x:is>
      </x:c>
      <x:c r="K98" s="38" t="inlineStr">
        <x:is>
          <x:t xml:space="preserve">L7-Q6</x:t>
        </x:is>
      </x:c>
      <x:c r="L98" s="38" t="inlineStr">
        <x:is>
          <x:t xml:space="preserve">0</x:t>
        </x:is>
      </x:c>
      <x:c r="M98" s="38" t="n"/>
      <x:c r="N98" s="38" t="n"/>
      <x:c r="O98" s="38" t="n"/>
      <x:c r="P98" s="38" t="inlineStr">
        <x:is>
          <x:t xml:space="preserve">NOT_FOUND_IN_HUB</x:t>
        </x:is>
      </x:c>
      <x:c r="Q98" s="38" t="inlineStr">
        <x:is>
          <x:t xml:space="preserve">Workbook theorem name not found in extracted hub Lean files.</x:t>
        </x:is>
      </x:c>
      <x:c r="R98" s="39" t="n"/>
    </x:row>
    <x:row r="99" ht="15" customHeight="1">
      <x:c r="A99" s="37" t="inlineStr">
        <x:is>
          <x:t xml:space="preserve">\\192.168.2.50\h_hp\Desktop\Master EXCEL\Lean 4.xlsx</x:t>
        </x:is>
      </x:c>
      <x:c r="B99" s="38" t="inlineStr">
        <x:is>
          <x:t xml:space="preserve">LEAN_DERIVATION_CHAIN</x:t>
        </x:is>
      </x:c>
      <x:c r="C99" s="38" t="inlineStr">
        <x:is>
          <x:t xml:space="preserve">108</x:t>
        </x:is>
      </x:c>
      <x:c r="D99" s="38" t="inlineStr">
        <x:is>
          <x:t xml:space="preserve">105–106</x:t>
        </x:is>
      </x:c>
      <x:c r="E99" s="38" t="inlineStr">
        <x:is>
          <x:t xml:space="preserve">8 — Maxwell</x:t>
        </x:is>
      </x:c>
      <x:c r="F99" s="38" t="inlineStr">
        <x:is>
          <x:t xml:space="preserve">MaxwellTrinity.lean</x:t>
        </x:is>
      </x:c>
      <x:c r="G99" s="38" t="inlineStr">
        <x:is>
          <x:t xml:space="preserve">cyclicRoleMap_not_source/profile_preserving</x:t>
        </x:is>
      </x:c>
      <x:c r="H99" s="38" t="inlineStr">
        <x:is>
          <x:t xml:space="preserve">REJECTION: Cyclic role swap fails source preservation AND profile preservation</x:t>
        </x:is>
      </x:c>
      <x:c r="I99" s="38" t="inlineStr">
        <x:is>
          <x:t xml:space="preserve">decide</x:t>
        </x:is>
      </x:c>
      <x:c r="J99" s="38" t="inlineStr">
        <x:is>
          <x:t xml:space="preserve">REJECTION</x:t>
        </x:is>
      </x:c>
      <x:c r="K99" s="38" t="inlineStr">
        <x:is>
          <x:t xml:space="preserve">L7-Q6</x:t>
        </x:is>
      </x:c>
      <x:c r="L99" s="38" t="inlineStr">
        <x:is>
          <x:t xml:space="preserve">0</x:t>
        </x:is>
      </x:c>
      <x:c r="M99" s="38" t="n"/>
      <x:c r="N99" s="38" t="n"/>
      <x:c r="O99" s="38" t="n"/>
      <x:c r="P99" s="38" t="inlineStr">
        <x:is>
          <x:t xml:space="preserve">NOT_FOUND_IN_HUB</x:t>
        </x:is>
      </x:c>
      <x:c r="Q99" s="38" t="inlineStr">
        <x:is>
          <x:t xml:space="preserve">Workbook theorem name not found in extracted hub Lean files.</x:t>
        </x:is>
      </x:c>
      <x:c r="R99" s="39" t="n"/>
    </x:row>
    <x:row r="100" ht="15" customHeight="1">
      <x:c r="A100" s="37" t="inlineStr">
        <x:is>
          <x:t xml:space="preserve">\\192.168.2.50\h_hp\Desktop\Master EXCEL\Lean 4.xlsx</x:t>
        </x:is>
      </x:c>
      <x:c r="B100" s="38" t="inlineStr">
        <x:is>
          <x:t xml:space="preserve">LEAN_DERIVATION_CHAIN</x:t>
        </x:is>
      </x:c>
      <x:c r="C100" s="38" t="inlineStr">
        <x:is>
          <x:t xml:space="preserve">109</x:t>
        </x:is>
      </x:c>
      <x:c r="D100" s="38" t="inlineStr">
        <x:is>
          <x:t xml:space="preserve">107–111</x:t>
        </x:is>
      </x:c>
      <x:c r="E100" s="38" t="inlineStr">
        <x:is>
          <x:t xml:space="preserve">8 — Maxwell</x:t>
        </x:is>
      </x:c>
      <x:c r="F100" s="38" t="inlineStr">
        <x:is>
          <x:t xml:space="preserve">MaxwellTrinity.lean</x:t>
        </x:is>
      </x:c>
      <x:c r="G100" s="38" t="inlineStr">
        <x:is>
          <x:t xml:space="preserve">Load-bearing constraint audits (5)</x:t>
        </x:is>
      </x:c>
      <x:c r="H100" s="38" t="inlineStr">
        <x:is>
          <x:t xml:space="preserve">Each guard does real work: removing ANY single guard admits the corresponding false positive</x:t>
        </x:is>
      </x:c>
      <x:c r="I100" s="38" t="inlineStr">
        <x:is>
          <x:t xml:space="preserve">decide</x:t>
        </x:is>
      </x:c>
      <x:c r="J100" s="38" t="inlineStr">
        <x:is>
          <x:t xml:space="preserve">PROVED</x:t>
        </x:is>
      </x:c>
      <x:c r="K100" s="38" t="inlineStr">
        <x:is>
          <x:t xml:space="preserve">L7-Q6</x:t>
        </x:is>
      </x:c>
      <x:c r="L100" s="38" t="inlineStr">
        <x:is>
          <x:t xml:space="preserve">0</x:t>
        </x:is>
      </x:c>
      <x:c r="M100" s="38" t="n"/>
      <x:c r="N100" s="38" t="n"/>
      <x:c r="O100" s="38" t="n"/>
      <x:c r="P100" s="38" t="inlineStr">
        <x:is>
          <x:t xml:space="preserve">NOT_FOUND_IN_HUB</x:t>
        </x:is>
      </x:c>
      <x:c r="Q100" s="38" t="inlineStr">
        <x:is>
          <x:t xml:space="preserve">Workbook theorem name not found in extracted hub Lean files.</x:t>
        </x:is>
      </x:c>
      <x:c r="R100" s="39" t="n"/>
    </x:row>
    <x:row r="101" ht="15" customHeight="1">
      <x:c r="A101" s="37" t="inlineStr">
        <x:is>
          <x:t xml:space="preserve">\\192.168.2.50\h_hp\Desktop\Master EXCEL\Lean 4.xlsx</x:t>
        </x:is>
      </x:c>
      <x:c r="B101" s="38" t="inlineStr">
        <x:is>
          <x:t xml:space="preserve">LEAN_DERIVATION_CHAIN</x:t>
        </x:is>
      </x:c>
      <x:c r="C101" s="38" t="inlineStr">
        <x:is>
          <x:t xml:space="preserve">111</x:t>
        </x:is>
      </x:c>
      <x:c r="D101" s="38" t="inlineStr">
        <x:is>
          <x:t xml:space="preserve">112</x:t>
        </x:is>
      </x:c>
      <x:c r="E101" s="38" t="inlineStr">
        <x:is>
          <x:t xml:space="preserve">9 — J/M</x:t>
        </x:is>
      </x:c>
      <x:c r="F101" s="38" t="inlineStr">
        <x:is>
          <x:t xml:space="preserve">JusticeMercyOperator.lean</x:t>
        </x:is>
      </x:c>
      <x:c r="G101" s="38" t="inlineStr">
        <x:is>
          <x:t xml:space="preserve">justice_and_mercy_share_common_components</x:t>
        </x:is>
      </x:c>
      <x:c r="H101" s="38" t="inlineStr">
        <x:is>
          <x:t xml:space="preserve">Same 4 restoration components shared</x:t>
        </x:is>
      </x:c>
      <x:c r="I101" s="38" t="inlineStr">
        <x:is>
          <x:t xml:space="preserve">rfl</x:t>
        </x:is>
      </x:c>
      <x:c r="J101" s="38" t="inlineStr">
        <x:is>
          <x:t xml:space="preserve">PROVED</x:t>
        </x:is>
      </x:c>
      <x:c r="K101" s="38" t="inlineStr">
        <x:is>
          <x:t xml:space="preserve">L6-Q6</x:t>
        </x:is>
      </x:c>
      <x:c r="L101" s="38" t="inlineStr">
        <x:is>
          <x:t xml:space="preserve">8</x:t>
        </x:is>
      </x:c>
      <x:c r="M101" s="38" t="inlineStr">
        <x:is>
          <x:t xml:space="preserve">theophysics-lean-main</x:t>
        </x:is>
      </x:c>
      <x:c r="N101" s="38" t="inlineStr">
        <x:is>
          <x:t xml:space="preserve">theophysics-lean-main\theophysics-lean-main\Final_Lean4_From_Excel.lean</x:t>
        </x:is>
      </x:c>
      <x:c r="O101" s="38" t="inlineStr">
        <x:is>
          <x:t xml:space="preserve">302</x:t>
        </x:is>
      </x:c>
      <x:c r="P101" s="38" t="inlineStr">
        <x:is>
          <x:t xml:space="preserve">SUBSTANTIVE_OR_CASE_PROOF</x:t>
        </x:is>
      </x:c>
      <x:c r="Q101" s="38" t="inlineStr">
        <x:is>
          <x:t xml:space="preserve">Appears to contain an actual proof body; inspect before public citation.</x:t>
        </x:is>
      </x:c>
      <x:c r="R101" s="39" t="inlineStr">
        <x:is>
          <x:t xml:space="preserve">theorem justice_and_mercy_share_common_components (x y : FactorState) (hx : isCross x) (hy : isCross y) : x.R = y.R</x:t>
        </x:is>
      </x:c>
    </x:row>
    <x:row r="102" ht="15" customHeight="1">
      <x:c r="A102" s="37" t="inlineStr">
        <x:is>
          <x:t xml:space="preserve">\\192.168.2.50\h_hp\Desktop\Master EXCEL\Lean 4.xlsx</x:t>
        </x:is>
      </x:c>
      <x:c r="B102" s="38" t="inlineStr">
        <x:is>
          <x:t xml:space="preserve">LEAN_DERIVATION_CHAIN</x:t>
        </x:is>
      </x:c>
      <x:c r="C102" s="38" t="inlineStr">
        <x:is>
          <x:t xml:space="preserve">112</x:t>
        </x:is>
      </x:c>
      <x:c r="D102" s="38" t="inlineStr">
        <x:is>
          <x:t xml:space="preserve">113</x:t>
        </x:is>
      </x:c>
      <x:c r="E102" s="38" t="inlineStr">
        <x:is>
          <x:t xml:space="preserve">9 — J/M</x:t>
        </x:is>
      </x:c>
      <x:c r="F102" s="38" t="inlineStr">
        <x:is>
          <x:t xml:space="preserve">JusticeMercyOperator.lean</x:t>
        </x:is>
      </x:c>
      <x:c r="G102" s="38" t="inlineStr">
        <x:is>
          <x:t xml:space="preserve">justice_and_mercy_differ_by_cost_bearer</x:t>
        </x:is>
      </x:c>
      <x:c r="H102" s="38" t="inlineStr">
        <x:is>
          <x:t xml:space="preserve">Differ in exactly one coordinate: who pays the cost</x:t>
        </x:is>
      </x:c>
      <x:c r="I102" s="38" t="inlineStr">
        <x:is>
          <x:t xml:space="preserve">decide</x:t>
        </x:is>
      </x:c>
      <x:c r="J102" s="38" t="inlineStr">
        <x:is>
          <x:t xml:space="preserve">PROVED</x:t>
        </x:is>
      </x:c>
      <x:c r="K102" s="38" t="inlineStr">
        <x:is>
          <x:t xml:space="preserve">L6-Q6, P4.3</x:t>
        </x:is>
      </x:c>
      <x:c r="L102" s="38" t="inlineStr">
        <x:is>
          <x:t xml:space="preserve">4</x:t>
        </x:is>
      </x:c>
      <x:c r="M102" s="38" t="inlineStr">
        <x:is>
          <x:t xml:space="preserve">theophysics-lean-main</x:t>
        </x:is>
      </x:c>
      <x:c r="N102" s="38" t="inlineStr">
        <x:is>
          <x:t xml:space="preserve">theophysics-lean-main\theophysics-lean-main\Theophysics_Core.lean</x:t>
        </x:is>
      </x:c>
      <x:c r="O102" s="38" t="inlineStr">
        <x:is>
          <x:t xml:space="preserve">242</x:t>
        </x:is>
      </x:c>
      <x:c r="P102" s="38" t="inlineStr">
        <x:is>
          <x:t xml:space="preserve">TRIVIAL_TRUE</x:t>
        </x:is>
      </x:c>
      <x:c r="Q102" s="38" t="inlineStr">
        <x:is>
          <x:t xml:space="preserve">Statement is `True`; theorem name may exceed formal content.</x:t>
        </x:is>
      </x:c>
      <x:c r="R102" s="39" t="inlineStr">
        <x:is>
          <x:t xml:space="preserve">theorem justice_and_mercy_differ_by_cost_bearer : True</x:t>
        </x:is>
      </x:c>
    </x:row>
    <x:row r="103" ht="15" customHeight="1">
      <x:c r="A103" s="37" t="inlineStr">
        <x:is>
          <x:t xml:space="preserve">\\192.168.2.50\h_hp\Desktop\Master EXCEL\Lean 4.xlsx</x:t>
        </x:is>
      </x:c>
      <x:c r="B103" s="38" t="inlineStr">
        <x:is>
          <x:t xml:space="preserve">LEAN_DERIVATION_CHAIN</x:t>
        </x:is>
      </x:c>
      <x:c r="C103" s="38" t="inlineStr">
        <x:is>
          <x:t xml:space="preserve">113</x:t>
        </x:is>
      </x:c>
      <x:c r="D103" s="38" t="inlineStr">
        <x:is>
          <x:t xml:space="preserve">114–117</x:t>
        </x:is>
      </x:c>
      <x:c r="E103" s="38" t="inlineStr">
        <x:is>
          <x:t xml:space="preserve">9 — J/M</x:t>
        </x:is>
      </x:c>
      <x:c r="F103" s="38" t="inlineStr">
        <x:is>
          <x:t xml:space="preserve">JusticeMercyOperator.lean</x:t>
        </x:is>
      </x:c>
      <x:c r="G103" s="38" t="inlineStr">
        <x:is>
          <x:t xml:space="preserve">Four missing-component rejections</x:t>
        </x:is>
      </x:c>
      <x:c r="H103" s="38" t="inlineStr">
        <x:is>
          <x:t xml:space="preserve">REJECTION: Missing ANY of proportionality/impartiality/truthNaming/victimRestoration breaks perfectCommon</x:t>
        </x:is>
      </x:c>
      <x:c r="I103" s="38" t="inlineStr">
        <x:is>
          <x:t xml:space="preserve">decide</x:t>
        </x:is>
      </x:c>
      <x:c r="J103" s="38" t="inlineStr">
        <x:is>
          <x:t xml:space="preserve">REJECTION</x:t>
        </x:is>
      </x:c>
      <x:c r="K103" s="38" t="inlineStr">
        <x:is>
          <x:t xml:space="preserve">L6-Q6</x:t>
        </x:is>
      </x:c>
      <x:c r="L103" s="38" t="inlineStr">
        <x:is>
          <x:t xml:space="preserve">0</x:t>
        </x:is>
      </x:c>
      <x:c r="M103" s="38" t="n"/>
      <x:c r="N103" s="38" t="n"/>
      <x:c r="O103" s="38" t="n"/>
      <x:c r="P103" s="38" t="inlineStr">
        <x:is>
          <x:t xml:space="preserve">NOT_FOUND_IN_HUB</x:t>
        </x:is>
      </x:c>
      <x:c r="Q103" s="38" t="inlineStr">
        <x:is>
          <x:t xml:space="preserve">Workbook theorem name not found in extracted hub Lean files.</x:t>
        </x:is>
      </x:c>
      <x:c r="R103" s="39" t="n"/>
    </x:row>
    <x:row r="104" ht="15" customHeight="1">
      <x:c r="A104" s="37" t="inlineStr">
        <x:is>
          <x:t xml:space="preserve">\\192.168.2.50\h_hp\Desktop\Master EXCEL\Lean 4.xlsx</x:t>
        </x:is>
      </x:c>
      <x:c r="B104" s="38" t="inlineStr">
        <x:is>
          <x:t xml:space="preserve">LEAN_DERIVATION_CHAIN</x:t>
        </x:is>
      </x:c>
      <x:c r="C104" s="38" t="inlineStr">
        <x:is>
          <x:t xml:space="preserve">114</x:t>
        </x:is>
      </x:c>
      <x:c r="D104" s="38" t="inlineStr">
        <x:is>
          <x:t xml:space="preserve">118</x:t>
        </x:is>
      </x:c>
      <x:c r="E104" s="38" t="inlineStr">
        <x:is>
          <x:t xml:space="preserve">9 — J/M</x:t>
        </x:is>
      </x:c>
      <x:c r="F104" s="38" t="inlineStr">
        <x:is>
          <x:t xml:space="preserve">JusticeMercyOperator.lean</x:t>
        </x:is>
      </x:c>
      <x:c r="G104" s="38" t="inlineStr">
        <x:is>
          <x:t xml:space="preserve">cross_satisfies_convergence</x:t>
        </x:is>
      </x:c>
      <x:c r="H104" s="38" t="inlineStr">
        <x:is>
          <x:t xml:space="preserve">The Cross config meets all 5 convergence conditions simultaneously</x:t>
        </x:is>
      </x:c>
      <x:c r="I104" s="38" t="inlineStr">
        <x:is>
          <x:t xml:space="preserve">decide</x:t>
        </x:is>
      </x:c>
      <x:c r="J104" s="38" t="inlineStr">
        <x:is>
          <x:t xml:space="preserve">PROVED</x:t>
        </x:is>
      </x:c>
      <x:c r="K104" s="38" t="inlineStr">
        <x:is>
          <x:t xml:space="preserve">L6-Q6, L6-CONCL</x:t>
        </x:is>
      </x:c>
      <x:c r="L104" s="38" t="inlineStr">
        <x:is>
          <x:t xml:space="preserve">4</x:t>
        </x:is>
      </x:c>
      <x:c r="M104" s="38" t="inlineStr">
        <x:is>
          <x:t xml:space="preserve">theophysics-lean-main</x:t>
        </x:is>
      </x:c>
      <x:c r="N104" s="38" t="inlineStr">
        <x:is>
          <x:t xml:space="preserve">theophysics-lean-main\theophysics-lean-main\Theophysics_Core.lean</x:t>
        </x:is>
      </x:c>
      <x:c r="O104" s="38" t="inlineStr">
        <x:is>
          <x:t xml:space="preserve">240</x:t>
        </x:is>
      </x:c>
      <x:c r="P104" s="38" t="inlineStr">
        <x:is>
          <x:t xml:space="preserve">TRIVIAL_TRUE</x:t>
        </x:is>
      </x:c>
      <x:c r="Q104" s="38" t="inlineStr">
        <x:is>
          <x:t xml:space="preserve">Statement is `True`; theorem name may exceed formal content.</x:t>
        </x:is>
      </x:c>
      <x:c r="R104" s="39" t="inlineStr">
        <x:is>
          <x:t xml:space="preserve">theorem cross_satisfies_convergence : True</x:t>
        </x:is>
      </x:c>
    </x:row>
    <x:row r="105" ht="15" customHeight="1">
      <x:c r="A105" s="37" t="inlineStr">
        <x:is>
          <x:t xml:space="preserve">\\192.168.2.50\h_hp\Desktop\Master EXCEL\Lean 4.xlsx</x:t>
        </x:is>
      </x:c>
      <x:c r="B105" s="38" t="inlineStr">
        <x:is>
          <x:t xml:space="preserve">LEAN_DERIVATION_CHAIN</x:t>
        </x:is>
      </x:c>
      <x:c r="C105" s="38" t="inlineStr">
        <x:is>
          <x:t xml:space="preserve">115</x:t>
        </x:is>
      </x:c>
      <x:c r="D105" s="38" t="inlineStr">
        <x:is>
          <x:t xml:space="preserve">119</x:t>
        </x:is>
      </x:c>
      <x:c r="E105" s="38" t="inlineStr">
        <x:is>
          <x:t xml:space="preserve">9 — J/M</x:t>
        </x:is>
      </x:c>
      <x:c r="F105" s="38" t="inlineStr">
        <x:is>
          <x:t xml:space="preserve">JusticeMercyOperator.lean</x:t>
        </x:is>
      </x:c>
      <x:c r="G105" s="38" t="inlineStr">
        <x:is>
          <x:t xml:space="preserve">offender_payment_fails_mercy_condition</x:t>
        </x:is>
      </x:c>
      <x:c r="H105" s="38" t="inlineStr">
        <x:is>
          <x:t xml:space="preserve">REJECTION: Offender-pays fails the mercy axis. Self-payment is not mercy.</x:t>
        </x:is>
      </x:c>
      <x:c r="I105" s="38" t="inlineStr">
        <x:is>
          <x:t xml:space="preserve">decide</x:t>
        </x:is>
      </x:c>
      <x:c r="J105" s="38" t="inlineStr">
        <x:is>
          <x:t xml:space="preserve">REJECTION</x:t>
        </x:is>
      </x:c>
      <x:c r="K105" s="38" t="inlineStr">
        <x:is>
          <x:t xml:space="preserve">L6-R1</x:t>
        </x:is>
      </x:c>
      <x:c r="L105" s="38" t="inlineStr">
        <x:is>
          <x:t xml:space="preserve">4</x:t>
        </x:is>
      </x:c>
      <x:c r="M105" s="38" t="inlineStr">
        <x:is>
          <x:t xml:space="preserve">theophysics-lean-main</x:t>
        </x:is>
      </x:c>
      <x:c r="N105" s="38" t="inlineStr">
        <x:is>
          <x:t xml:space="preserve">theophysics-lean-main\theophysics-lean-main\Theophysics_Adversarial.lean</x:t>
        </x:is>
      </x:c>
      <x:c r="O105" s="38" t="inlineStr">
        <x:is>
          <x:t xml:space="preserve">474</x:t>
        </x:is>
      </x:c>
      <x:c r="P105" s="38" t="inlineStr">
        <x:is>
          <x:t xml:space="preserve">DEFINITIONAL_RFL</x:t>
        </x:is>
      </x:c>
      <x:c r="Q105" s="38" t="inlineStr">
        <x:is>
          <x:t xml:space="preserve">Proves definitional equality by reduction; useful but narrow.</x:t>
        </x:is>
      </x:c>
      <x:c r="R105" s="39" t="inlineStr">
        <x:is>
          <x:t xml:space="preserve">theorem offender_payment_fails_mercy_condition : satisfiesMercy { offenderPays := true } = false</x:t>
        </x:is>
      </x:c>
    </x:row>
    <x:row r="106" ht="15" customHeight="1">
      <x:c r="A106" s="37" t="inlineStr">
        <x:is>
          <x:t xml:space="preserve">\\192.168.2.50\h_hp\Desktop\Master EXCEL\Lean 4.xlsx</x:t>
        </x:is>
      </x:c>
      <x:c r="B106" s="38" t="inlineStr">
        <x:is>
          <x:t xml:space="preserve">LEAN_DERIVATION_CHAIN</x:t>
        </x:is>
      </x:c>
      <x:c r="C106" s="38" t="inlineStr">
        <x:is>
          <x:t xml:space="preserve">116</x:t>
        </x:is>
      </x:c>
      <x:c r="D106" s="38" t="inlineStr">
        <x:is>
          <x:t xml:space="preserve">120</x:t>
        </x:is>
      </x:c>
      <x:c r="E106" s="38" t="inlineStr">
        <x:is>
          <x:t xml:space="preserve">9 — J/M</x:t>
        </x:is>
      </x:c>
      <x:c r="F106" s="38" t="inlineStr">
        <x:is>
          <x:t xml:space="preserve">JusticeMercyOperator.lean</x:t>
        </x:is>
      </x:c>
      <x:c r="G106" s="38" t="inlineStr">
        <x:is>
          <x:t xml:space="preserve">human_third_party_fails_authority_and_capacity</x:t>
        </x:is>
      </x:c>
      <x:c r="H106" s="38" t="inlineStr">
        <x:is>
          <x:t xml:space="preserve">REJECTION: Human third party fails authority + universality</x:t>
        </x:is>
      </x:c>
      <x:c r="I106" s="38" t="inlineStr">
        <x:is>
          <x:t xml:space="preserve">decide</x:t>
        </x:is>
      </x:c>
      <x:c r="J106" s="38" t="inlineStr">
        <x:is>
          <x:t xml:space="preserve">REJECTION</x:t>
        </x:is>
      </x:c>
      <x:c r="K106" s="38" t="inlineStr">
        <x:is>
          <x:t xml:space="preserve">L6-R1</x:t>
        </x:is>
      </x:c>
      <x:c r="L106" s="38" t="inlineStr">
        <x:is>
          <x:t xml:space="preserve">4</x:t>
        </x:is>
      </x:c>
      <x:c r="M106" s="38" t="inlineStr">
        <x:is>
          <x:t xml:space="preserve">theophysics-lean-main</x:t>
        </x:is>
      </x:c>
      <x:c r="N106" s="38" t="inlineStr">
        <x:is>
          <x:t xml:space="preserve">theophysics-lean-main\theophysics-lean-main\Theophysics_Adversarial.lean</x:t>
        </x:is>
      </x:c>
      <x:c r="O106" s="38" t="inlineStr">
        <x:is>
          <x:t xml:space="preserve">478</x:t>
        </x:is>
      </x:c>
      <x:c r="P106" s="38" t="inlineStr">
        <x:is>
          <x:t xml:space="preserve">DEFINITIONAL_RFL</x:t>
        </x:is>
      </x:c>
      <x:c r="Q106" s="38" t="inlineStr">
        <x:is>
          <x:t xml:space="preserve">Proves definitional equality by reduction; useful but narrow.</x:t>
        </x:is>
      </x:c>
      <x:c r="R106" s="39" t="inlineStr">
        <x:is>
          <x:t xml:space="preserve">theorem human_third_party_fails_authority_and_capacity : satisfiesMercy { payerAuthorized := false, payerCapable := false } = false</x:t>
        </x:is>
      </x:c>
    </x:row>
    <x:row r="107" ht="15" customHeight="1">
      <x:c r="A107" s="37" t="inlineStr">
        <x:is>
          <x:t xml:space="preserve">\\192.168.2.50\h_hp\Desktop\Master EXCEL\Lean 4.xlsx</x:t>
        </x:is>
      </x:c>
      <x:c r="B107" s="38" t="inlineStr">
        <x:is>
          <x:t xml:space="preserve">LEAN_DERIVATION_CHAIN</x:t>
        </x:is>
      </x:c>
      <x:c r="C107" s="38" t="inlineStr">
        <x:is>
          <x:t xml:space="preserve">117</x:t>
        </x:is>
      </x:c>
      <x:c r="D107" s="38" t="inlineStr">
        <x:is>
          <x:t xml:space="preserve">121</x:t>
        </x:is>
      </x:c>
      <x:c r="E107" s="38" t="inlineStr">
        <x:is>
          <x:t xml:space="preserve">9 — J/M</x:t>
        </x:is>
      </x:c>
      <x:c r="F107" s="38" t="inlineStr">
        <x:is>
          <x:t xml:space="preserve">JusticeMercyOperator.lean</x:t>
        </x:is>
      </x:c>
      <x:c r="G107" s="38" t="inlineStr">
        <x:is>
          <x:t xml:space="preserve">coerced_third_party_fails_voluntariness</x:t>
        </x:is>
      </x:c>
      <x:c r="H107" s="38" t="inlineStr">
        <x:is>
          <x:t xml:space="preserve">REJECTION: Coercion fails voluntariness. Forced repair is not love.</x:t>
        </x:is>
      </x:c>
      <x:c r="I107" s="38" t="inlineStr">
        <x:is>
          <x:t xml:space="preserve">decide</x:t>
        </x:is>
      </x:c>
      <x:c r="J107" s="38" t="inlineStr">
        <x:is>
          <x:t xml:space="preserve">REJECTION</x:t>
        </x:is>
      </x:c>
      <x:c r="K107" s="38" t="inlineStr">
        <x:is>
          <x:t xml:space="preserve">L6-R5, L6-P3</x:t>
        </x:is>
      </x:c>
      <x:c r="L107" s="38" t="inlineStr">
        <x:is>
          <x:t xml:space="preserve">4</x:t>
        </x:is>
      </x:c>
      <x:c r="M107" s="38" t="inlineStr">
        <x:is>
          <x:t xml:space="preserve">theophysics-lean-main</x:t>
        </x:is>
      </x:c>
      <x:c r="N107" s="38" t="inlineStr">
        <x:is>
          <x:t xml:space="preserve">theophysics-lean-main\theophysics-lean-main\Theophysics_Adversarial.lean</x:t>
        </x:is>
      </x:c>
      <x:c r="O107" s="38" t="inlineStr">
        <x:is>
          <x:t xml:space="preserve">482</x:t>
        </x:is>
      </x:c>
      <x:c r="P107" s="38" t="inlineStr">
        <x:is>
          <x:t xml:space="preserve">DEFINITIONAL_RFL</x:t>
        </x:is>
      </x:c>
      <x:c r="Q107" s="38" t="inlineStr">
        <x:is>
          <x:t xml:space="preserve">Proves definitional equality by reduction; useful but narrow.</x:t>
        </x:is>
      </x:c>
      <x:c r="R107" s="39" t="inlineStr">
        <x:is>
          <x:t xml:space="preserve">theorem coerced_third_party_fails_voluntariness : satisfiesMercy { voluntary := false } = false</x:t>
        </x:is>
      </x:c>
    </x:row>
    <x:row r="108" ht="15" customHeight="1">
      <x:c r="A108" s="37" t="inlineStr">
        <x:is>
          <x:t xml:space="preserve">\\192.168.2.50\h_hp\Desktop\Master EXCEL\Lean 4.xlsx</x:t>
        </x:is>
      </x:c>
      <x:c r="B108" s="38" t="inlineStr">
        <x:is>
          <x:t xml:space="preserve">LEAN_DERIVATION_CHAIN</x:t>
        </x:is>
      </x:c>
      <x:c r="C108" s="38" t="inlineStr">
        <x:is>
          <x:t xml:space="preserve">118</x:t>
        </x:is>
      </x:c>
      <x:c r="D108" s="38" t="inlineStr">
        <x:is>
          <x:t xml:space="preserve">122</x:t>
        </x:is>
      </x:c>
      <x:c r="E108" s="38" t="inlineStr">
        <x:is>
          <x:t xml:space="preserve">9 — J/M</x:t>
        </x:is>
      </x:c>
      <x:c r="F108" s="38" t="inlineStr">
        <x:is>
          <x:t xml:space="preserve">JusticeMercyOperator.lean</x:t>
        </x:is>
      </x:c>
      <x:c r="G108" s="38" t="inlineStr">
        <x:is>
          <x:t xml:space="preserve">waived_debt_fails_justice_condition</x:t>
        </x:is>
      </x:c>
      <x:c r="H108" s="38" t="inlineStr">
        <x:is>
          <x:t xml:space="preserve">REJECTION: Waived debt fails justice (debt not paid). Cheap grace.</x:t>
        </x:is>
      </x:c>
      <x:c r="I108" s="38" t="inlineStr">
        <x:is>
          <x:t xml:space="preserve">decide</x:t>
        </x:is>
      </x:c>
      <x:c r="J108" s="38" t="inlineStr">
        <x:is>
          <x:t xml:space="preserve">REJECTION</x:t>
        </x:is>
      </x:c>
      <x:c r="K108" s="38" t="inlineStr">
        <x:is>
          <x:t xml:space="preserve">L6-R4, L6-P2</x:t>
        </x:is>
      </x:c>
      <x:c r="L108" s="38" t="inlineStr">
        <x:is>
          <x:t xml:space="preserve">4</x:t>
        </x:is>
      </x:c>
      <x:c r="M108" s="38" t="inlineStr">
        <x:is>
          <x:t xml:space="preserve">theophysics-lean-main</x:t>
        </x:is>
      </x:c>
      <x:c r="N108" s="38" t="inlineStr">
        <x:is>
          <x:t xml:space="preserve">theophysics-lean-main\theophysics-lean-main\Theophysics_Adversarial.lean</x:t>
        </x:is>
      </x:c>
      <x:c r="O108" s="38" t="inlineStr">
        <x:is>
          <x:t xml:space="preserve">486</x:t>
        </x:is>
      </x:c>
      <x:c r="P108" s="38" t="inlineStr">
        <x:is>
          <x:t xml:space="preserve">DEFINITIONAL_RFL</x:t>
        </x:is>
      </x:c>
      <x:c r="Q108" s="38" t="inlineStr">
        <x:is>
          <x:t xml:space="preserve">Proves definitional equality by reduction; useful but narrow.</x:t>
        </x:is>
      </x:c>
      <x:c r="R108" s="39" t="inlineStr">
        <x:is>
          <x:t xml:space="preserve">theorem waived_debt_fails_justice_condition : satisfiesJustice { debtWaived := true } = false</x:t>
        </x:is>
      </x:c>
    </x:row>
    <x:row r="109" ht="15" customHeight="1">
      <x:c r="A109" s="37" t="inlineStr">
        <x:is>
          <x:t xml:space="preserve">\\192.168.2.50\h_hp\Desktop\Master EXCEL\Lean 4.xlsx</x:t>
        </x:is>
      </x:c>
      <x:c r="B109" s="38" t="inlineStr">
        <x:is>
          <x:t xml:space="preserve">LEAN_DERIVATION_CHAIN</x:t>
        </x:is>
      </x:c>
      <x:c r="C109" s="38" t="inlineStr">
        <x:is>
          <x:t xml:space="preserve">119</x:t>
        </x:is>
      </x:c>
      <x:c r="D109" s="38" t="inlineStr">
        <x:is>
          <x:t xml:space="preserve">123</x:t>
        </x:is>
      </x:c>
      <x:c r="E109" s="38" t="inlineStr">
        <x:is>
          <x:t xml:space="preserve">9 — J/M</x:t>
        </x:is>
      </x:c>
      <x:c r="F109" s="38" t="inlineStr">
        <x:is>
          <x:t xml:space="preserve">JusticeMercyOperator.lean</x:t>
        </x:is>
      </x:c>
      <x:c r="G109" s="38" t="inlineStr">
        <x:is>
          <x:t xml:space="preserve">shared_cost_fails_mercy_condition</x:t>
        </x:is>
      </x:c>
      <x:c r="H109" s="38" t="inlineStr">
        <x:is>
          <x:t xml:space="preserve">REJECTION: Shared cost fails mercy (offender still pays)</x:t>
        </x:is>
      </x:c>
      <x:c r="I109" s="38" t="inlineStr">
        <x:is>
          <x:t xml:space="preserve">decide</x:t>
        </x:is>
      </x:c>
      <x:c r="J109" s="38" t="inlineStr">
        <x:is>
          <x:t xml:space="preserve">REJECTION</x:t>
        </x:is>
      </x:c>
      <x:c r="K109" s="38" t="inlineStr">
        <x:is>
          <x:t xml:space="preserve">L6-R1</x:t>
        </x:is>
      </x:c>
      <x:c r="L109" s="38" t="inlineStr">
        <x:is>
          <x:t xml:space="preserve">4</x:t>
        </x:is>
      </x:c>
      <x:c r="M109" s="38" t="inlineStr">
        <x:is>
          <x:t xml:space="preserve">theophysics-lean-main</x:t>
        </x:is>
      </x:c>
      <x:c r="N109" s="38" t="inlineStr">
        <x:is>
          <x:t xml:space="preserve">theophysics-lean-main\theophysics-lean-main\Theophysics_Adversarial.lean</x:t>
        </x:is>
      </x:c>
      <x:c r="O109" s="38" t="inlineStr">
        <x:is>
          <x:t xml:space="preserve">490</x:t>
        </x:is>
      </x:c>
      <x:c r="P109" s="38" t="inlineStr">
        <x:is>
          <x:t xml:space="preserve">DEFINITIONAL_RFL</x:t>
        </x:is>
      </x:c>
      <x:c r="Q109" s="38" t="inlineStr">
        <x:is>
          <x:t xml:space="preserve">Proves definitional equality by reduction; useful but narrow.</x:t>
        </x:is>
      </x:c>
      <x:c r="R109" s="39" t="inlineStr">
        <x:is>
          <x:t xml:space="preserve">theorem shared_cost_fails_mercy_condition : satisfiesMercy { sharedCost := true } = false</x:t>
        </x:is>
      </x:c>
    </x:row>
    <x:row r="110" ht="15" customHeight="1">
      <x:c r="A110" s="37" t="inlineStr">
        <x:is>
          <x:t xml:space="preserve">\\192.168.2.50\h_hp\Desktop\Master EXCEL\Lean 4.xlsx</x:t>
        </x:is>
      </x:c>
      <x:c r="B110" s="38" t="inlineStr">
        <x:is>
          <x:t xml:space="preserve">LEAN_DERIVATION_CHAIN</x:t>
        </x:is>
      </x:c>
      <x:c r="C110" s="38" t="inlineStr">
        <x:is>
          <x:t xml:space="preserve">120</x:t>
        </x:is>
      </x:c>
      <x:c r="D110" s="38" t="inlineStr">
        <x:is>
          <x:t xml:space="preserve">124</x:t>
        </x:is>
      </x:c>
      <x:c r="E110" s="38" t="inlineStr">
        <x:is>
          <x:t xml:space="preserve">9 — J/M</x:t>
        </x:is>
      </x:c>
      <x:c r="F110" s="38" t="inlineStr">
        <x:is>
          <x:t xml:space="preserve">JusticeMercyOperator.lean</x:t>
        </x:is>
      </x:c>
      <x:c r="G110" s="38" t="inlineStr">
        <x:is>
          <x:t xml:space="preserve">cross_unique_convergence_configuration</x:t>
        </x:is>
      </x:c>
      <x:c r="H110" s="38" t="inlineStr">
        <x:is>
          <x:t xml:space="preserve">∀ c, CrossConvergence(c) → c = cross. Any config satisfying all 5 conditions IS the Cross.</x:t>
        </x:is>
      </x:c>
      <x:c r="I110" s="38" t="inlineStr">
        <x:is>
          <x:t xml:space="preserve">exhaustive cases</x:t>
        </x:is>
      </x:c>
      <x:c r="J110" s="38" t="inlineStr">
        <x:is>
          <x:t xml:space="preserve">PROVED</x:t>
        </x:is>
      </x:c>
      <x:c r="K110" s="38" t="inlineStr">
        <x:is>
          <x:t xml:space="preserve">L6-CONCL</x:t>
        </x:is>
      </x:c>
      <x:c r="L110" s="38" t="inlineStr">
        <x:is>
          <x:t xml:space="preserve">4</x:t>
        </x:is>
      </x:c>
      <x:c r="M110" s="38" t="inlineStr">
        <x:is>
          <x:t xml:space="preserve">theophysics-lean-main</x:t>
        </x:is>
      </x:c>
      <x:c r="N110" s="38" t="inlineStr">
        <x:is>
          <x:t xml:space="preserve">theophysics-lean-main\theophysics-lean-main\Theophysics_Core.lean</x:t>
        </x:is>
      </x:c>
      <x:c r="O110" s="38" t="inlineStr">
        <x:is>
          <x:t xml:space="preserve">241</x:t>
        </x:is>
      </x:c>
      <x:c r="P110" s="38" t="inlineStr">
        <x:is>
          <x:t xml:space="preserve">TRIVIAL_TRUE</x:t>
        </x:is>
      </x:c>
      <x:c r="Q110" s="38" t="inlineStr">
        <x:is>
          <x:t xml:space="preserve">Statement is `True`; theorem name may exceed formal content.</x:t>
        </x:is>
      </x:c>
      <x:c r="R110" s="39" t="inlineStr">
        <x:is>
          <x:t xml:space="preserve">theorem cross_unique_convergence_configuration : True</x:t>
        </x:is>
      </x:c>
    </x:row>
    <x:row r="111" ht="15" customHeight="1">
      <x:c r="A111" s="37" t="inlineStr">
        <x:is>
          <x:t xml:space="preserve">\\192.168.2.50\h_hp\Desktop\Master EXCEL\Lean 4.xlsx</x:t>
        </x:is>
      </x:c>
      <x:c r="B111" s="38" t="inlineStr">
        <x:is>
          <x:t xml:space="preserve">LEAN_DERIVATION_CHAIN</x:t>
        </x:is>
      </x:c>
      <x:c r="C111" s="38" t="inlineStr">
        <x:is>
          <x:t xml:space="preserve">121</x:t>
        </x:is>
      </x:c>
      <x:c r="D111" s="38" t="inlineStr">
        <x:is>
          <x:t xml:space="preserve">125</x:t>
        </x:is>
      </x:c>
      <x:c r="E111" s="38" t="inlineStr">
        <x:is>
          <x:t xml:space="preserve">9 — J/M</x:t>
        </x:is>
      </x:c>
      <x:c r="F111" s="38" t="inlineStr">
        <x:is>
          <x:t xml:space="preserve">JusticeMercyOperator.lean</x:t>
        </x:is>
      </x:c>
      <x:c r="G111" s="38" t="inlineStr">
        <x:is>
          <x:t xml:space="preserve">cross_is_unique_solution</x:t>
        </x:is>
      </x:c>
      <x:c r="H111" s="38" t="inlineStr">
        <x:is>
          <x:t xml:space="preserve">THE CROSS IS THE UNIQUE SOLUTION — existence AND uniqueness. Strongest single result in the package.</x:t>
        </x:is>
      </x:c>
      <x:c r="I111" s="38" t="inlineStr">
        <x:is>
          <x:t xml:space="preserve">exhaustive cases</x:t>
        </x:is>
      </x:c>
      <x:c r="J111" s="38" t="inlineStr">
        <x:is>
          <x:t xml:space="preserve">PROVED</x:t>
        </x:is>
      </x:c>
      <x:c r="K111" s="38" t="inlineStr">
        <x:is>
          <x:t xml:space="preserve">L6-CONCL, P4.3</x:t>
        </x:is>
      </x:c>
      <x:c r="L111" s="38" t="inlineStr">
        <x:is>
          <x:t xml:space="preserve">4</x:t>
        </x:is>
      </x:c>
      <x:c r="M111" s="38" t="inlineStr">
        <x:is>
          <x:t xml:space="preserve">theophysics-lean-main</x:t>
        </x:is>
      </x:c>
      <x:c r="N111" s="38" t="inlineStr">
        <x:is>
          <x:t xml:space="preserve">theophysics-lean-main\theophysics-lean-main\Theophysics_Core.lean</x:t>
        </x:is>
      </x:c>
      <x:c r="O111" s="38" t="inlineStr">
        <x:is>
          <x:t xml:space="preserve">239</x:t>
        </x:is>
      </x:c>
      <x:c r="P111" s="38" t="inlineStr">
        <x:is>
          <x:t xml:space="preserve">TRIVIAL_TRUE</x:t>
        </x:is>
      </x:c>
      <x:c r="Q111" s="38" t="inlineStr">
        <x:is>
          <x:t xml:space="preserve">Statement is `True`; theorem name may exceed formal content.</x:t>
        </x:is>
      </x:c>
      <x:c r="R111" s="39" t="inlineStr">
        <x:is>
          <x:t xml:space="preserve">theorem cross_is_unique_solution : True</x:t>
        </x:is>
      </x:c>
    </x:row>
    <x:row r="112" ht="15" customHeight="1">
      <x:c r="A112" s="37" t="inlineStr">
        <x:is>
          <x:t xml:space="preserve">\\192.168.2.50\h_hp\Desktop\Master EXCEL\Lean 4.xlsx</x:t>
        </x:is>
      </x:c>
      <x:c r="B112" s="38" t="inlineStr">
        <x:is>
          <x:t xml:space="preserve">LEAN_DERIVATION_CHAIN</x:t>
        </x:is>
      </x:c>
      <x:c r="C112" s="38" t="inlineStr">
        <x:is>
          <x:t xml:space="preserve">123</x:t>
        </x:is>
      </x:c>
      <x:c r="D112" s="38" t="inlineStr">
        <x:is>
          <x:t xml:space="preserve">126</x:t>
        </x:is>
      </x:c>
      <x:c r="E112" s="38" t="inlineStr">
        <x:is>
          <x:t xml:space="preserve">10 — Polarity</x:t>
        </x:is>
      </x:c>
      <x:c r="F112" s="38" t="inlineStr">
        <x:is>
          <x:t xml:space="preserve">PolarityDiscipline.lean</x:t>
        </x:is>
      </x:c>
      <x:c r="G112" s="38" t="inlineStr">
        <x:is>
          <x:t xml:space="preserve">two_destructive_signs_have_positive_raw_product</x:t>
        </x:is>
      </x:c>
      <x:c r="H112" s="38" t="inlineStr">
        <x:is>
          <x:t xml:space="preserve">(-1)×(-1) = +1 in raw arithmetic</x:t>
        </x:is>
      </x:c>
      <x:c r="I112" s="38" t="inlineStr">
        <x:is>
          <x:t xml:space="preserve">simp</x:t>
        </x:is>
      </x:c>
      <x:c r="J112" s="38" t="inlineStr">
        <x:is>
          <x:t xml:space="preserve">PROVED</x:t>
        </x:is>
      </x:c>
      <x:c r="K112" s="38" t="inlineStr">
        <x:is>
          <x:t xml:space="preserve">L2-Q5</x:t>
        </x:is>
      </x:c>
      <x:c r="L112" s="38" t="inlineStr">
        <x:is>
          <x:t xml:space="preserve">8</x:t>
        </x:is>
      </x:c>
      <x:c r="M112" s="38" t="inlineStr">
        <x:is>
          <x:t xml:space="preserve">theophysics-lean-main</x:t>
        </x:is>
      </x:c>
      <x:c r="N112" s="38" t="inlineStr">
        <x:is>
          <x:t xml:space="preserve">theophysics-lean-main\theophysics-lean-main\Final_Lean4_From_Excel.lean</x:t>
        </x:is>
      </x:c>
      <x:c r="O112" s="38" t="inlineStr">
        <x:is>
          <x:t xml:space="preserve">332</x:t>
        </x:is>
      </x:c>
      <x:c r="P112" s="38" t="inlineStr">
        <x:is>
          <x:t xml:space="preserve">FINITE_DECIDABLE</x:t>
        </x:is>
      </x:c>
      <x:c r="Q112" s="38" t="inlineStr">
        <x:is>
          <x:t xml:space="preserve">Finite/decidable proof; check candidate-space limits.</x:t>
        </x:is>
      </x:c>
      <x:c r="R112" s="39" t="inlineStr">
        <x:is>
          <x:t xml:space="preserve">theorem two_destructive_signs_have_positive_raw_product : (-1 : Int) * (-1) = 1</x:t>
        </x:is>
      </x:c>
    </x:row>
    <x:row r="113" ht="15" customHeight="1">
      <x:c r="A113" s="37" t="inlineStr">
        <x:is>
          <x:t xml:space="preserve">\\192.168.2.50\h_hp\Desktop\Master EXCEL\Lean 4.xlsx</x:t>
        </x:is>
      </x:c>
      <x:c r="B113" s="38" t="inlineStr">
        <x:is>
          <x:t xml:space="preserve">LEAN_DERIVATION_CHAIN</x:t>
        </x:is>
      </x:c>
      <x:c r="C113" s="38" t="inlineStr">
        <x:is>
          <x:t xml:space="preserve">124</x:t>
        </x:is>
      </x:c>
      <x:c r="D113" s="38" t="inlineStr">
        <x:is>
          <x:t xml:space="preserve">127</x:t>
        </x:is>
      </x:c>
      <x:c r="E113" s="38" t="inlineStr">
        <x:is>
          <x:t xml:space="preserve">10 — Polarity</x:t>
        </x:is>
      </x:c>
      <x:c r="F113" s="38" t="inlineStr">
        <x:is>
          <x:t xml:space="preserve">PolarityDiscipline.lean</x:t>
        </x:is>
      </x:c>
      <x:c r="G113" s="38" t="inlineStr">
        <x:is>
          <x:t xml:space="preserve">two_destructive_signs_do_not_pass_coherence_gate</x:t>
        </x:is>
      </x:c>
      <x:c r="H113" s="38" t="inlineStr">
        <x:is>
          <x:t xml:space="preserve">REJECTION: But the coherence gate rejects them. Arithmetic sign ≠ moral sign.</x:t>
        </x:is>
      </x:c>
      <x:c r="I113" s="38" t="inlineStr">
        <x:is>
          <x:t xml:space="preserve">decide</x:t>
        </x:is>
      </x:c>
      <x:c r="J113" s="38" t="inlineStr">
        <x:is>
          <x:t xml:space="preserve">REJECTION</x:t>
        </x:is>
      </x:c>
      <x:c r="K113" s="38" t="inlineStr">
        <x:is>
          <x:t xml:space="preserve">L2-Q5, L6-Q1</x:t>
        </x:is>
      </x:c>
      <x:c r="L113" s="38" t="inlineStr">
        <x:is>
          <x:t xml:space="preserve">4</x:t>
        </x:is>
      </x:c>
      <x:c r="M113" s="38" t="inlineStr">
        <x:is>
          <x:t xml:space="preserve">theophysics-lean-main</x:t>
        </x:is>
      </x:c>
      <x:c r="N113" s="38" t="inlineStr">
        <x:is>
          <x:t xml:space="preserve">theophysics-lean-main\theophysics-lean-main\Final_Lean4_From_Excel.lean</x:t>
        </x:is>
      </x:c>
      <x:c r="O113" s="38" t="inlineStr">
        <x:is>
          <x:t xml:space="preserve">335</x:t>
        </x:is>
      </x:c>
      <x:c r="P113" s="38" t="inlineStr">
        <x:is>
          <x:t xml:space="preserve">WRAPPER_OR_IMPORTED</x:t>
        </x:is>
      </x:c>
      <x:c r="Q113" s="38" t="inlineStr">
        <x:is>
          <x:t xml:space="preserve">Likely delegates to another theorem; cite underlying theorem too.</x:t>
        </x:is>
      </x:c>
      <x:c r="R113" s="39" t="inlineStr">
        <x:is>
          <x:t xml:space="preserve">theorem two_destructive_signs_do_not_pass_coherence_gate : binaryGate 2 = 1</x:t>
        </x:is>
      </x:c>
    </x:row>
    <x:row r="114" ht="15" customHeight="1">
      <x:c r="A114" s="37" t="inlineStr">
        <x:is>
          <x:t xml:space="preserve">\\192.168.2.50\h_hp\Desktop\Master EXCEL\Lean 4.xlsx</x:t>
        </x:is>
      </x:c>
      <x:c r="B114" s="38" t="inlineStr">
        <x:is>
          <x:t xml:space="preserve">LEAN_DERIVATION_CHAIN</x:t>
        </x:is>
      </x:c>
      <x:c r="C114" s="38" t="inlineStr">
        <x:is>
          <x:t xml:space="preserve">125</x:t>
        </x:is>
      </x:c>
      <x:c r="D114" s="38" t="inlineStr">
        <x:is>
          <x:t xml:space="preserve">128</x:t>
        </x:is>
      </x:c>
      <x:c r="E114" s="38" t="inlineStr">
        <x:is>
          <x:t xml:space="preserve">10 — Polarity</x:t>
        </x:is>
      </x:c>
      <x:c r="F114" s="38" t="inlineStr">
        <x:is>
          <x:t xml:space="preserve">PolarityDiscipline.lean</x:t>
        </x:is>
      </x:c>
      <x:c r="G114" s="38" t="inlineStr">
        <x:is>
          <x:t xml:space="preserve">below_accountability_maps_to_neutral_even_with_bad_signal</x:t>
        </x:is>
      </x:c>
      <x:c r="H114" s="38" t="inlineStr">
        <x:is>
          <x:t xml:space="preserve">Below age of accountability → neutral regardless of observed behavior</x:t>
        </x:is>
      </x:c>
      <x:c r="I114" s="38" t="inlineStr">
        <x:is>
          <x:t xml:space="preserve">simp</x:t>
        </x:is>
      </x:c>
      <x:c r="J114" s="38" t="inlineStr">
        <x:is>
          <x:t xml:space="preserve">PROVED</x:t>
        </x:is>
      </x:c>
      <x:c r="K114" s="38" t="inlineStr">
        <x:is>
          <x:t xml:space="preserve">L4-Q5</x:t>
        </x:is>
      </x:c>
      <x:c r="L114" s="38" t="inlineStr">
        <x:is>
          <x:t xml:space="preserve">4</x:t>
        </x:is>
      </x:c>
      <x:c r="M114" s="38" t="inlineStr">
        <x:is>
          <x:t xml:space="preserve">theophysics-lean-main</x:t>
        </x:is>
      </x:c>
      <x:c r="N114" s="38" t="inlineStr">
        <x:is>
          <x:t xml:space="preserve">theophysics-lean-main\theophysics-lean-main\Theophysics_Core.lean</x:t>
        </x:is>
      </x:c>
      <x:c r="O114" s="38" t="inlineStr">
        <x:is>
          <x:t xml:space="preserve">39</x:t>
        </x:is>
      </x:c>
      <x:c r="P114" s="38" t="inlineStr">
        <x:is>
          <x:t xml:space="preserve">TRIVIAL_TRUE</x:t>
        </x:is>
      </x:c>
      <x:c r="Q114" s="38" t="inlineStr">
        <x:is>
          <x:t xml:space="preserve">Statement is `True`; theorem name may exceed formal content.</x:t>
        </x:is>
      </x:c>
      <x:c r="R114" s="39" t="inlineStr">
        <x:is>
          <x:t xml:space="preserve">theorem below_accountability_maps_to_neutral_even_with_bad_signal : True</x:t>
        </x:is>
      </x:c>
    </x:row>
    <x:row r="115" ht="15" customHeight="1">
      <x:c r="A115" s="37" t="inlineStr">
        <x:is>
          <x:t xml:space="preserve">\\192.168.2.50\h_hp\Desktop\Master EXCEL\Lean 4.xlsx</x:t>
        </x:is>
      </x:c>
      <x:c r="B115" s="38" t="inlineStr">
        <x:is>
          <x:t xml:space="preserve">LEAN_DERIVATION_CHAIN</x:t>
        </x:is>
      </x:c>
      <x:c r="C115" s="38" t="inlineStr">
        <x:is>
          <x:t xml:space="preserve">126</x:t>
        </x:is>
      </x:c>
      <x:c r="D115" s="38" t="inlineStr">
        <x:is>
          <x:t xml:space="preserve">129</x:t>
        </x:is>
      </x:c>
      <x:c r="E115" s="38" t="inlineStr">
        <x:is>
          <x:t xml:space="preserve">10 — Polarity</x:t>
        </x:is>
      </x:c>
      <x:c r="F115" s="38" t="inlineStr">
        <x:is>
          <x:t xml:space="preserve">PolarityDiscipline.lean</x:t>
        </x:is>
      </x:c>
      <x:c r="G115" s="38" t="inlineStr">
        <x:is>
          <x:t xml:space="preserve">below_accountability_has_zero_culpability</x:t>
        </x:is>
      </x:c>
      <x:c r="H115" s="38" t="inlineStr">
        <x:is>
          <x:t xml:space="preserve">Below threshold → 0 culpability</x:t>
        </x:is>
      </x:c>
      <x:c r="I115" s="38" t="inlineStr">
        <x:is>
          <x:t xml:space="preserve">simp</x:t>
        </x:is>
      </x:c>
      <x:c r="J115" s="38" t="inlineStr">
        <x:is>
          <x:t xml:space="preserve">PROVED</x:t>
        </x:is>
      </x:c>
      <x:c r="K115" s="38" t="inlineStr">
        <x:is>
          <x:t xml:space="preserve">L4-Q5</x:t>
        </x:is>
      </x:c>
      <x:c r="L115" s="38" t="inlineStr">
        <x:is>
          <x:t xml:space="preserve">4</x:t>
        </x:is>
      </x:c>
      <x:c r="M115" s="38" t="inlineStr">
        <x:is>
          <x:t xml:space="preserve">theophysics-lean-main</x:t>
        </x:is>
      </x:c>
      <x:c r="N115" s="38" t="inlineStr">
        <x:is>
          <x:t xml:space="preserve">theophysics-lean-main\theophysics-lean-main\Theophysics_Core.lean</x:t>
        </x:is>
      </x:c>
      <x:c r="O115" s="38" t="inlineStr">
        <x:is>
          <x:t xml:space="preserve">38</x:t>
        </x:is>
      </x:c>
      <x:c r="P115" s="38" t="inlineStr">
        <x:is>
          <x:t xml:space="preserve">TRIVIAL_TRUE</x:t>
        </x:is>
      </x:c>
      <x:c r="Q115" s="38" t="inlineStr">
        <x:is>
          <x:t xml:space="preserve">Statement is `True`; theorem name may exceed formal content.</x:t>
        </x:is>
      </x:c>
      <x:c r="R115" s="39" t="inlineStr">
        <x:is>
          <x:t xml:space="preserve">theorem below_accountability_has_zero_culpability : True</x:t>
        </x:is>
      </x:c>
    </x:row>
    <x:row r="116" ht="15" customHeight="1">
      <x:c r="A116" s="37" t="inlineStr">
        <x:is>
          <x:t xml:space="preserve">\\192.168.2.50\h_hp\Desktop\Master EXCEL\Lean 4.xlsx</x:t>
        </x:is>
      </x:c>
      <x:c r="B116" s="38" t="inlineStr">
        <x:is>
          <x:t xml:space="preserve">LEAN_DERIVATION_CHAIN</x:t>
        </x:is>
      </x:c>
      <x:c r="C116" s="38" t="inlineStr">
        <x:is>
          <x:t xml:space="preserve">127</x:t>
        </x:is>
      </x:c>
      <x:c r="D116" s="38" t="inlineStr">
        <x:is>
          <x:t xml:space="preserve">130</x:t>
        </x:is>
      </x:c>
      <x:c r="E116" s="38" t="inlineStr">
        <x:is>
          <x:t xml:space="preserve">10 — Polarity</x:t>
        </x:is>
      </x:c>
      <x:c r="F116" s="38" t="inlineStr">
        <x:is>
          <x:t xml:space="preserve">PolarityDiscipline.lean</x:t>
        </x:is>
      </x:c>
      <x:c r="G116" s="38" t="inlineStr">
        <x:is>
          <x:t xml:space="preserve">destructive_strict_M_collapses_chi</x:t>
        </x:is>
      </x:c>
      <x:c r="H116" s="38" t="inlineStr">
        <x:is>
          <x:t xml:space="preserve">Destructive polarity → M gate = 0 → χ = 0</x:t>
        </x:is>
      </x:c>
      <x:c r="I116" s="38" t="inlineStr">
        <x:is>
          <x:t xml:space="preserve">simp</x:t>
        </x:is>
      </x:c>
      <x:c r="J116" s="38" t="inlineStr">
        <x:is>
          <x:t xml:space="preserve">PROVED</x:t>
        </x:is>
      </x:c>
      <x:c r="K116" s="38" t="inlineStr">
        <x:is>
          <x:t xml:space="preserve">L2-Q3</x:t>
        </x:is>
      </x:c>
      <x:c r="L116" s="38" t="inlineStr">
        <x:is>
          <x:t xml:space="preserve">4</x:t>
        </x:is>
      </x:c>
      <x:c r="M116" s="38" t="inlineStr">
        <x:is>
          <x:t xml:space="preserve">theophysics-lean-main</x:t>
        </x:is>
      </x:c>
      <x:c r="N116" s="38" t="inlineStr">
        <x:is>
          <x:t xml:space="preserve">theophysics-lean-main\theophysics-lean-main\Theophysics_Core.lean</x:t>
        </x:is>
      </x:c>
      <x:c r="O116" s="38" t="inlineStr">
        <x:is>
          <x:t xml:space="preserve">41</x:t>
        </x:is>
      </x:c>
      <x:c r="P116" s="38" t="inlineStr">
        <x:is>
          <x:t xml:space="preserve">TRIVIAL_TRUE</x:t>
        </x:is>
      </x:c>
      <x:c r="Q116" s="38" t="inlineStr">
        <x:is>
          <x:t xml:space="preserve">Statement is `True`; theorem name may exceed formal content.</x:t>
        </x:is>
      </x:c>
      <x:c r="R116" s="39" t="inlineStr">
        <x:is>
          <x:t xml:space="preserve">theorem destructive_strict_M_collapses_chi : True</x:t>
        </x:is>
      </x:c>
    </x:row>
    <x:row r="117" ht="15" customHeight="1">
      <x:c r="A117" s="37" t="inlineStr">
        <x:is>
          <x:t xml:space="preserve">\\192.168.2.50\h_hp\Desktop\Master EXCEL\Lean 4.xlsx</x:t>
        </x:is>
      </x:c>
      <x:c r="B117" s="38" t="inlineStr">
        <x:is>
          <x:t xml:space="preserve">LEAN_DERIVATION_CHAIN</x:t>
        </x:is>
      </x:c>
      <x:c r="C117" s="38" t="inlineStr">
        <x:is>
          <x:t xml:space="preserve">128</x:t>
        </x:is>
      </x:c>
      <x:c r="D117" s="38" t="inlineStr">
        <x:is>
          <x:t xml:space="preserve">131</x:t>
        </x:is>
      </x:c>
      <x:c r="E117" s="38" t="inlineStr">
        <x:is>
          <x:t xml:space="preserve">10 — Polarity</x:t>
        </x:is>
      </x:c>
      <x:c r="F117" s="38" t="inlineStr">
        <x:is>
          <x:t xml:space="preserve">PolarityDiscipline.lean</x:t>
        </x:is>
      </x:c>
      <x:c r="G117" s="38" t="inlineStr">
        <x:is>
          <x:t xml:space="preserve">neutral_accountability_aware_M_does_not_zero_M</x:t>
        </x:is>
      </x:c>
      <x:c r="H117" s="38" t="inlineStr">
        <x:is>
          <x:t xml:space="preserve">Neutral polarity → M = 1 under accountability-aware gate</x:t>
        </x:is>
      </x:c>
      <x:c r="I117" s="38" t="inlineStr">
        <x:is>
          <x:t xml:space="preserve">simp</x:t>
        </x:is>
      </x:c>
      <x:c r="J117" s="38" t="inlineStr">
        <x:is>
          <x:t xml:space="preserve">PROVED</x:t>
        </x:is>
      </x:c>
      <x:c r="K117" s="38" t="inlineStr">
        <x:is>
          <x:t xml:space="preserve">L4-Q5</x:t>
        </x:is>
      </x:c>
      <x:c r="L117" s="38" t="inlineStr">
        <x:is>
          <x:t xml:space="preserve">4</x:t>
        </x:is>
      </x:c>
      <x:c r="M117" s="38" t="inlineStr">
        <x:is>
          <x:t xml:space="preserve">theophysics-lean-main</x:t>
        </x:is>
      </x:c>
      <x:c r="N117" s="38" t="inlineStr">
        <x:is>
          <x:t xml:space="preserve">theophysics-lean-main\theophysics-lean-main\Theophysics_Core.lean</x:t>
        </x:is>
      </x:c>
      <x:c r="O117" s="38" t="inlineStr">
        <x:is>
          <x:t xml:space="preserve">42</x:t>
        </x:is>
      </x:c>
      <x:c r="P117" s="38" t="inlineStr">
        <x:is>
          <x:t xml:space="preserve">TRIVIAL_TRUE</x:t>
        </x:is>
      </x:c>
      <x:c r="Q117" s="38" t="inlineStr">
        <x:is>
          <x:t xml:space="preserve">Statement is `True`; theorem name may exceed formal content.</x:t>
        </x:is>
      </x:c>
      <x:c r="R117" s="39" t="inlineStr">
        <x:is>
          <x:t xml:space="preserve">theorem neutral_accountability_aware_M_does_not_zero_M : True</x:t>
        </x:is>
      </x:c>
    </x:row>
    <x:row r="118" ht="15" customHeight="1">
      <x:c r="A118" s="37" t="inlineStr">
        <x:is>
          <x:t xml:space="preserve">\\192.168.2.50\h_hp\Desktop\Master EXCEL\Lean 4.xlsx</x:t>
        </x:is>
      </x:c>
      <x:c r="B118" s="38" t="inlineStr">
        <x:is>
          <x:t xml:space="preserve">LEAN_DERIVATION_CHAIN</x:t>
        </x:is>
      </x:c>
      <x:c r="C118" s="38" t="inlineStr">
        <x:is>
          <x:t xml:space="preserve">129</x:t>
        </x:is>
      </x:c>
      <x:c r="D118" s="38" t="inlineStr">
        <x:is>
          <x:t xml:space="preserve">132</x:t>
        </x:is>
      </x:c>
      <x:c r="E118" s="38" t="inlineStr">
        <x:is>
          <x:t xml:space="preserve">10 — Polarity</x:t>
        </x:is>
      </x:c>
      <x:c r="F118" s="38" t="inlineStr">
        <x:is>
          <x:t xml:space="preserve">PolarityDiscipline.lean</x:t>
        </x:is>
      </x:c>
      <x:c r="G118" s="38" t="inlineStr">
        <x:is>
          <x:t xml:space="preserve">destructive_accountability_aware_M_collapses_chi</x:t>
        </x:is>
      </x:c>
      <x:c r="H118" s="38" t="inlineStr">
        <x:is>
          <x:t xml:space="preserve">Destructive polarity still kills χ under accountability-aware gate</x:t>
        </x:is>
      </x:c>
      <x:c r="I118" s="38" t="inlineStr">
        <x:is>
          <x:t xml:space="preserve">simp</x:t>
        </x:is>
      </x:c>
      <x:c r="J118" s="38" t="inlineStr">
        <x:is>
          <x:t xml:space="preserve">PROVED</x:t>
        </x:is>
      </x:c>
      <x:c r="K118" s="38" t="inlineStr">
        <x:is>
          <x:t xml:space="preserve">L2-Q3</x:t>
        </x:is>
      </x:c>
      <x:c r="L118" s="38" t="inlineStr">
        <x:is>
          <x:t xml:space="preserve">4</x:t>
        </x:is>
      </x:c>
      <x:c r="M118" s="38" t="inlineStr">
        <x:is>
          <x:t xml:space="preserve">theophysics-lean-main</x:t>
        </x:is>
      </x:c>
      <x:c r="N118" s="38" t="inlineStr">
        <x:is>
          <x:t xml:space="preserve">theophysics-lean-main\theophysics-lean-main\Theophysics_Core.lean</x:t>
        </x:is>
      </x:c>
      <x:c r="O118" s="38" t="inlineStr">
        <x:is>
          <x:t xml:space="preserve">40</x:t>
        </x:is>
      </x:c>
      <x:c r="P118" s="38" t="inlineStr">
        <x:is>
          <x:t xml:space="preserve">TRIVIAL_TRUE</x:t>
        </x:is>
      </x:c>
      <x:c r="Q118" s="38" t="inlineStr">
        <x:is>
          <x:t xml:space="preserve">Statement is `True`; theorem name may exceed formal content.</x:t>
        </x:is>
      </x:c>
      <x:c r="R118" s="39" t="inlineStr">
        <x:is>
          <x:t xml:space="preserve">theorem destructive_accountability_aware_M_collapses_chi : True</x:t>
        </x:is>
      </x:c>
    </x:row>
    <x:row r="119" ht="15" customHeight="1">
      <x:c r="A119" s="37" t="inlineStr">
        <x:is>
          <x:t xml:space="preserve">\\192.168.2.50\h_hp\Desktop\Master EXCEL\Lean 4.xlsx</x:t>
        </x:is>
      </x:c>
      <x:c r="B119" s="38" t="inlineStr">
        <x:is>
          <x:t xml:space="preserve">LEAN_DERIVATION_CHAIN</x:t>
        </x:is>
      </x:c>
      <x:c r="C119" s="38" t="inlineStr">
        <x:is>
          <x:t xml:space="preserve">131</x:t>
        </x:is>
      </x:c>
      <x:c r="D119" s="38" t="inlineStr">
        <x:is>
          <x:t xml:space="preserve">133</x:t>
        </x:is>
      </x:c>
      <x:c r="E119" s="38" t="inlineStr">
        <x:is>
          <x:t xml:space="preserve">11 — Sign</x:t>
        </x:is>
      </x:c>
      <x:c r="F119" s="38" t="inlineStr">
        <x:is>
          <x:t xml:space="preserve">SignConversionDiscipline.lean</x:t>
        </x:is>
      </x:c>
      <x:c r="G119" s="38" t="inlineStr">
        <x:is>
          <x:t xml:space="preserve">raw_two_negatives_multiply_positive</x:t>
        </x:is>
      </x:c>
      <x:c r="H119" s="38" t="inlineStr">
        <x:is>
          <x:t xml:space="preserve">Arithmetic: (-1)×(-1) = 1. Raw math says yes.</x:t>
        </x:is>
      </x:c>
      <x:c r="I119" s="38" t="inlineStr">
        <x:is>
          <x:t xml:space="preserve">simp</x:t>
        </x:is>
      </x:c>
      <x:c r="J119" s="38" t="inlineStr">
        <x:is>
          <x:t xml:space="preserve">PROVED</x:t>
        </x:is>
      </x:c>
      <x:c r="K119" s="38" t="inlineStr">
        <x:is>
          <x:t xml:space="preserve">L2-Q5</x:t>
        </x:is>
      </x:c>
      <x:c r="L119" s="38" t="inlineStr">
        <x:is>
          <x:t xml:space="preserve">4</x:t>
        </x:is>
      </x:c>
      <x:c r="M119" s="38" t="inlineStr">
        <x:is>
          <x:t xml:space="preserve">theophysics-lean-main</x:t>
        </x:is>
      </x:c>
      <x:c r="N119" s="38" t="inlineStr">
        <x:is>
          <x:t xml:space="preserve">theophysics-lean-main\theophysics-lean-main\Theophysics_Core.lean</x:t>
        </x:is>
      </x:c>
      <x:c r="O119" s="38" t="inlineStr">
        <x:is>
          <x:t xml:space="preserve">50</x:t>
        </x:is>
      </x:c>
      <x:c r="P119" s="38" t="inlineStr">
        <x:is>
          <x:t xml:space="preserve">TRIVIAL_TRUE</x:t>
        </x:is>
      </x:c>
      <x:c r="Q119" s="38" t="inlineStr">
        <x:is>
          <x:t xml:space="preserve">Statement is `True`; theorem name may exceed formal content.</x:t>
        </x:is>
      </x:c>
      <x:c r="R119" s="39" t="inlineStr">
        <x:is>
          <x:t xml:space="preserve">theorem raw_two_negatives_multiply_positive : True</x:t>
        </x:is>
      </x:c>
    </x:row>
    <x:row r="120" ht="15" customHeight="1">
      <x:c r="A120" s="37" t="inlineStr">
        <x:is>
          <x:t xml:space="preserve">\\192.168.2.50\h_hp\Desktop\Master EXCEL\Lean 4.xlsx</x:t>
        </x:is>
      </x:c>
      <x:c r="B120" s="38" t="inlineStr">
        <x:is>
          <x:t xml:space="preserve">LEAN_DERIVATION_CHAIN</x:t>
        </x:is>
      </x:c>
      <x:c r="C120" s="38" t="inlineStr">
        <x:is>
          <x:t xml:space="preserve">132</x:t>
        </x:is>
      </x:c>
      <x:c r="D120" s="38" t="inlineStr">
        <x:is>
          <x:t xml:space="preserve">134</x:t>
        </x:is>
      </x:c>
      <x:c r="E120" s="38" t="inlineStr">
        <x:is>
          <x:t xml:space="preserve">11 — Sign</x:t>
        </x:is>
      </x:c>
      <x:c r="F120" s="38" t="inlineStr">
        <x:is>
          <x:t xml:space="preserve">SignConversionDiscipline.lean</x:t>
        </x:is>
      </x:c>
      <x:c r="G120" s="38" t="inlineStr">
        <x:is>
          <x:t xml:space="preserve">burden_two_negatives_stay_negative</x:t>
        </x:is>
      </x:c>
      <x:c r="H120" s="38" t="inlineStr">
        <x:is>
          <x:t xml:space="preserve">REJECTION: Burden coupling: negative + negative = negative. Accumulation does not redeem.</x:t>
        </x:is>
      </x:c>
      <x:c r="I120" s="38" t="inlineStr">
        <x:is>
          <x:t xml:space="preserve">rfl</x:t>
        </x:is>
      </x:c>
      <x:c r="J120" s="38" t="inlineStr">
        <x:is>
          <x:t xml:space="preserve">REJECTION</x:t>
        </x:is>
      </x:c>
      <x:c r="K120" s="38" t="inlineStr">
        <x:is>
          <x:t xml:space="preserve">L6-Q1, L6-R1</x:t>
        </x:is>
      </x:c>
      <x:c r="L120" s="38" t="inlineStr">
        <x:is>
          <x:t xml:space="preserve">4</x:t>
        </x:is>
      </x:c>
      <x:c r="M120" s="38" t="inlineStr">
        <x:is>
          <x:t xml:space="preserve">theophysics-lean-main</x:t>
        </x:is>
      </x:c>
      <x:c r="N120" s="38" t="inlineStr">
        <x:is>
          <x:t xml:space="preserve">theophysics-lean-main\theophysics-lean-main\Final_Lean4_From_Excel.lean</x:t>
        </x:is>
      </x:c>
      <x:c r="O120" s="38" t="inlineStr">
        <x:is>
          <x:t xml:space="preserve">339</x:t>
        </x:is>
      </x:c>
      <x:c r="P120" s="38" t="inlineStr">
        <x:is>
          <x:t xml:space="preserve">FINITE_DECIDABLE</x:t>
        </x:is>
      </x:c>
      <x:c r="Q120" s="38" t="inlineStr">
        <x:is>
          <x:t xml:space="preserve">Finite/decidable proof; check candidate-space limits.</x:t>
        </x:is>
      </x:c>
      <x:c r="R120" s="39" t="inlineStr">
        <x:is>
          <x:t xml:space="preserve">theorem burden_two_negatives_stay_negative : ((-1 : Int) + (-1)) &lt; 0</x:t>
        </x:is>
      </x:c>
    </x:row>
    <x:row r="121" ht="15" customHeight="1">
      <x:c r="A121" s="37" t="inlineStr">
        <x:is>
          <x:t xml:space="preserve">\\192.168.2.50\h_hp\Desktop\Master EXCEL\Lean 4.xlsx</x:t>
        </x:is>
      </x:c>
      <x:c r="B121" s="38" t="inlineStr">
        <x:is>
          <x:t xml:space="preserve">LEAN_DERIVATION_CHAIN</x:t>
        </x:is>
      </x:c>
      <x:c r="C121" s="38" t="inlineStr">
        <x:is>
          <x:t xml:space="preserve">133</x:t>
        </x:is>
      </x:c>
      <x:c r="D121" s="38" t="inlineStr">
        <x:is>
          <x:t xml:space="preserve">135</x:t>
        </x:is>
      </x:c>
      <x:c r="E121" s="38" t="inlineStr">
        <x:is>
          <x:t xml:space="preserve">11 — Sign</x:t>
        </x:is>
      </x:c>
      <x:c r="F121" s="38" t="inlineStr">
        <x:is>
          <x:t xml:space="preserve">SignConversionDiscipline.lean</x:t>
        </x:is>
      </x:c>
      <x:c r="G121" s="38" t="inlineStr">
        <x:is>
          <x:t xml:space="preserve">burden_negative_positive_stays_negative</x:t>
        </x:is>
      </x:c>
      <x:c r="H121" s="38" t="inlineStr">
        <x:is>
          <x:t xml:space="preserve">REJECTION: Any negative in the burden keeps it negative</x:t>
        </x:is>
      </x:c>
      <x:c r="I121" s="38" t="inlineStr">
        <x:is>
          <x:t xml:space="preserve">rfl</x:t>
        </x:is>
      </x:c>
      <x:c r="J121" s="38" t="inlineStr">
        <x:is>
          <x:t xml:space="preserve">REJECTION</x:t>
        </x:is>
      </x:c>
      <x:c r="K121" s="38" t="inlineStr">
        <x:is>
          <x:t xml:space="preserve">L6-Q1</x:t>
        </x:is>
      </x:c>
      <x:c r="L121" s="38" t="inlineStr">
        <x:is>
          <x:t xml:space="preserve">4</x:t>
        </x:is>
      </x:c>
      <x:c r="M121" s="38" t="inlineStr">
        <x:is>
          <x:t xml:space="preserve">theophysics-lean-main</x:t>
        </x:is>
      </x:c>
      <x:c r="N121" s="38" t="inlineStr">
        <x:is>
          <x:t xml:space="preserve">theophysics-lean-main\theophysics-lean-main\Theophysics_Adversarial.lean</x:t>
        </x:is>
      </x:c>
      <x:c r="O121" s="38" t="inlineStr">
        <x:is>
          <x:t xml:space="preserve">495</x:t>
        </x:is>
      </x:c>
      <x:c r="P121" s="38" t="inlineStr">
        <x:is>
          <x:t xml:space="preserve">DEFINITIONAL_RFL</x:t>
        </x:is>
      </x:c>
      <x:c r="Q121" s="38" t="inlineStr">
        <x:is>
          <x:t xml:space="preserve">Proves definitional equality by reduction; useful but narrow.</x:t>
        </x:is>
      </x:c>
      <x:c r="R121" s="39" t="inlineStr">
        <x:is>
          <x:t xml:space="preserve">theorem burden_negative_positive_stays_negative : signAddGate Sign.negative Sign.positive = Sign.negative</x:t>
        </x:is>
      </x:c>
    </x:row>
    <x:row r="122" ht="15" customHeight="1">
      <x:c r="A122" s="37" t="inlineStr">
        <x:is>
          <x:t xml:space="preserve">\\192.168.2.50\h_hp\Desktop\Master EXCEL\Lean 4.xlsx</x:t>
        </x:is>
      </x:c>
      <x:c r="B122" s="38" t="inlineStr">
        <x:is>
          <x:t xml:space="preserve">LEAN_DERIVATION_CHAIN</x:t>
        </x:is>
      </x:c>
      <x:c r="C122" s="38" t="inlineStr">
        <x:is>
          <x:t xml:space="preserve">134</x:t>
        </x:is>
      </x:c>
      <x:c r="D122" s="38" t="inlineStr">
        <x:is>
          <x:t xml:space="preserve">136</x:t>
        </x:is>
      </x:c>
      <x:c r="E122" s="38" t="inlineStr">
        <x:is>
          <x:t xml:space="preserve">11 — Sign</x:t>
        </x:is>
      </x:c>
      <x:c r="F122" s="38" t="inlineStr">
        <x:is>
          <x:t xml:space="preserve">SignConversionDiscipline.lean</x:t>
        </x:is>
      </x:c>
      <x:c r="G122" s="38" t="inlineStr">
        <x:is>
          <x:t xml:space="preserve">christic_conversion_turns_negative_burden_positive</x:t>
        </x:is>
      </x:c>
      <x:c r="H122" s="38" t="inlineStr">
        <x:is>
          <x:t xml:space="preserve">External Christic conversion: negative → positive</x:t>
        </x:is>
      </x:c>
      <x:c r="I122" s="38" t="inlineStr">
        <x:is>
          <x:t xml:space="preserve">rfl</x:t>
        </x:is>
      </x:c>
      <x:c r="J122" s="38" t="inlineStr">
        <x:is>
          <x:t xml:space="preserve">PROVED</x:t>
        </x:is>
      </x:c>
      <x:c r="K122" s="38" t="inlineStr">
        <x:is>
          <x:t xml:space="preserve">L6-Q4, L6-P4</x:t>
        </x:is>
      </x:c>
      <x:c r="L122" s="38" t="inlineStr">
        <x:is>
          <x:t xml:space="preserve">4</x:t>
        </x:is>
      </x:c>
      <x:c r="M122" s="38" t="inlineStr">
        <x:is>
          <x:t xml:space="preserve">theophysics-lean-main</x:t>
        </x:is>
      </x:c>
      <x:c r="N122" s="38" t="inlineStr">
        <x:is>
          <x:t xml:space="preserve">theophysics-lean-main\theophysics-lean-main\Theophysics_Core.lean</x:t>
        </x:is>
      </x:c>
      <x:c r="O122" s="38" t="inlineStr">
        <x:is>
          <x:t xml:space="preserve">46</x:t>
        </x:is>
      </x:c>
      <x:c r="P122" s="38" t="inlineStr">
        <x:is>
          <x:t xml:space="preserve">TRIVIAL_TRUE</x:t>
        </x:is>
      </x:c>
      <x:c r="Q122" s="38" t="inlineStr">
        <x:is>
          <x:t xml:space="preserve">Statement is `True`; theorem name may exceed formal content.</x:t>
        </x:is>
      </x:c>
      <x:c r="R122" s="39" t="inlineStr">
        <x:is>
          <x:t xml:space="preserve">theorem christic_conversion_turns_negative_burden_positive : True</x:t>
        </x:is>
      </x:c>
    </x:row>
    <x:row r="123" ht="15" customHeight="1">
      <x:c r="A123" s="37" t="inlineStr">
        <x:is>
          <x:t xml:space="preserve">\\192.168.2.50\h_hp\Desktop\Master EXCEL\Lean 4.xlsx</x:t>
        </x:is>
      </x:c>
      <x:c r="B123" s="38" t="inlineStr">
        <x:is>
          <x:t xml:space="preserve">LEAN_DERIVATION_CHAIN</x:t>
        </x:is>
      </x:c>
      <x:c r="C123" s="38" t="inlineStr">
        <x:is>
          <x:t xml:space="preserve">135</x:t>
        </x:is>
      </x:c>
      <x:c r="D123" s="38" t="inlineStr">
        <x:is>
          <x:t xml:space="preserve">137</x:t>
        </x:is>
      </x:c>
      <x:c r="E123" s="38" t="inlineStr">
        <x:is>
          <x:t xml:space="preserve">11 — Sign</x:t>
        </x:is>
      </x:c>
      <x:c r="F123" s="38" t="inlineStr">
        <x:is>
          <x:t xml:space="preserve">SignConversionDiscipline.lean</x:t>
        </x:is>
      </x:c>
      <x:c r="G123" s="38" t="inlineStr">
        <x:is>
          <x:t xml:space="preserve">christic_conversion_turns_neutral_burden_positive</x:t>
        </x:is>
      </x:c>
      <x:c r="H123" s="38" t="inlineStr">
        <x:is>
          <x:t xml:space="preserve">Christic conversion: neutral → positive</x:t>
        </x:is>
      </x:c>
      <x:c r="I123" s="38" t="inlineStr">
        <x:is>
          <x:t xml:space="preserve">rfl</x:t>
        </x:is>
      </x:c>
      <x:c r="J123" s="38" t="inlineStr">
        <x:is>
          <x:t xml:space="preserve">PROVED</x:t>
        </x:is>
      </x:c>
      <x:c r="K123" s="38" t="inlineStr">
        <x:is>
          <x:t xml:space="preserve">L6-Q4</x:t>
        </x:is>
      </x:c>
      <x:c r="L123" s="38" t="inlineStr">
        <x:is>
          <x:t xml:space="preserve">4</x:t>
        </x:is>
      </x:c>
      <x:c r="M123" s="38" t="inlineStr">
        <x:is>
          <x:t xml:space="preserve">theophysics-lean-main</x:t>
        </x:is>
      </x:c>
      <x:c r="N123" s="38" t="inlineStr">
        <x:is>
          <x:t xml:space="preserve">theophysics-lean-main\theophysics-lean-main\Theophysics_Core.lean</x:t>
        </x:is>
      </x:c>
      <x:c r="O123" s="38" t="inlineStr">
        <x:is>
          <x:t xml:space="preserve">47</x:t>
        </x:is>
      </x:c>
      <x:c r="P123" s="38" t="inlineStr">
        <x:is>
          <x:t xml:space="preserve">TRIVIAL_TRUE</x:t>
        </x:is>
      </x:c>
      <x:c r="Q123" s="38" t="inlineStr">
        <x:is>
          <x:t xml:space="preserve">Statement is `True`; theorem name may exceed formal content.</x:t>
        </x:is>
      </x:c>
      <x:c r="R123" s="39" t="inlineStr">
        <x:is>
          <x:t xml:space="preserve">theorem christic_conversion_turns_neutral_burden_positive : True</x:t>
        </x:is>
      </x:c>
    </x:row>
    <x:row r="124" ht="15" customHeight="1">
      <x:c r="A124" s="37" t="inlineStr">
        <x:is>
          <x:t xml:space="preserve">\\192.168.2.50\h_hp\Desktop\Master EXCEL\Lean 4.xlsx</x:t>
        </x:is>
      </x:c>
      <x:c r="B124" s="38" t="inlineStr">
        <x:is>
          <x:t xml:space="preserve">LEAN_DERIVATION_CHAIN</x:t>
        </x:is>
      </x:c>
      <x:c r="C124" s="38" t="inlineStr">
        <x:is>
          <x:t xml:space="preserve">136</x:t>
        </x:is>
      </x:c>
      <x:c r="D124" s="38" t="inlineStr">
        <x:is>
          <x:t xml:space="preserve">138</x:t>
        </x:is>
      </x:c>
      <x:c r="E124" s="38" t="inlineStr">
        <x:is>
          <x:t xml:space="preserve">11 — Sign</x:t>
        </x:is>
      </x:c>
      <x:c r="F124" s="38" t="inlineStr">
        <x:is>
          <x:t xml:space="preserve">SignConversionDiscipline.lean</x:t>
        </x:is>
      </x:c>
      <x:c r="G124" s="38" t="inlineStr">
        <x:is>
          <x:t xml:space="preserve">two_negative_burdens_require_conversion_for_positive</x:t>
        </x:is>
      </x:c>
      <x:c r="H124" s="38" t="inlineStr">
        <x:is>
          <x:t xml:space="preserve">REJECTION: Accumulated negative burdens need conversion, not more burdens</x:t>
        </x:is>
      </x:c>
      <x:c r="I124" s="38" t="inlineStr">
        <x:is>
          <x:t xml:space="preserve">rfl</x:t>
        </x:is>
      </x:c>
      <x:c r="J124" s="38" t="inlineStr">
        <x:is>
          <x:t xml:space="preserve">REJECTION</x:t>
        </x:is>
      </x:c>
      <x:c r="K124" s="38" t="inlineStr">
        <x:is>
          <x:t xml:space="preserve">L6-Q1, L6-R1</x:t>
        </x:is>
      </x:c>
      <x:c r="L124" s="38" t="inlineStr">
        <x:is>
          <x:t xml:space="preserve">4</x:t>
        </x:is>
      </x:c>
      <x:c r="M124" s="38" t="inlineStr">
        <x:is>
          <x:t xml:space="preserve">theophysics-lean-main</x:t>
        </x:is>
      </x:c>
      <x:c r="N124" s="38" t="inlineStr">
        <x:is>
          <x:t xml:space="preserve">theophysics-lean-main\theophysics-lean-main\Theophysics_Adversarial.lean</x:t>
        </x:is>
      </x:c>
      <x:c r="O124" s="38" t="inlineStr">
        <x:is>
          <x:t xml:space="preserve">499</x:t>
        </x:is>
      </x:c>
      <x:c r="P124" s="38" t="inlineStr">
        <x:is>
          <x:t xml:space="preserve">DEFINITIONAL_RFL</x:t>
        </x:is>
      </x:c>
      <x:c r="Q124" s="38" t="inlineStr">
        <x:is>
          <x:t xml:space="preserve">Proves definitional equality by reduction; useful but narrow.</x:t>
        </x:is>
      </x:c>
      <x:c r="R124" s="39" t="inlineStr">
        <x:is>
          <x:t xml:space="preserve">theorem two_negative_burdens_require_conversion_for_positive : convertedPositive true Sign.negative Sign.negative = true</x:t>
        </x:is>
      </x:c>
    </x:row>
    <x:row r="125" ht="15" customHeight="1">
      <x:c r="A125" s="37" t="inlineStr">
        <x:is>
          <x:t xml:space="preserve">\\192.168.2.50\h_hp\Desktop\Master EXCEL\Lean 4.xlsx</x:t>
        </x:is>
      </x:c>
      <x:c r="B125" s="38" t="inlineStr">
        <x:is>
          <x:t xml:space="preserve">LEAN_DERIVATION_CHAIN</x:t>
        </x:is>
      </x:c>
      <x:c r="C125" s="38" t="inlineStr">
        <x:is>
          <x:t xml:space="preserve">137</x:t>
        </x:is>
      </x:c>
      <x:c r="D125" s="38" t="inlineStr">
        <x:is>
          <x:t xml:space="preserve">139</x:t>
        </x:is>
      </x:c>
      <x:c r="E125" s="38" t="inlineStr">
        <x:is>
          <x:t xml:space="preserve">11 — Sign</x:t>
        </x:is>
      </x:c>
      <x:c r="F125" s="38" t="inlineStr">
        <x:is>
          <x:t xml:space="preserve">SignConversionDiscipline.lean</x:t>
        </x:is>
      </x:c>
      <x:c r="G125" s="38" t="inlineStr">
        <x:is>
          <x:t xml:space="preserve">two_negative_burdens_without_conversion_not_positive</x:t>
        </x:is>
      </x:c>
      <x:c r="H125" s="38" t="inlineStr">
        <x:is>
          <x:t xml:space="preserve">REJECTION: Without conversion, burdens stay negative</x:t>
        </x:is>
      </x:c>
      <x:c r="I125" s="38" t="inlineStr">
        <x:is>
          <x:t xml:space="preserve">rfl</x:t>
        </x:is>
      </x:c>
      <x:c r="J125" s="38" t="inlineStr">
        <x:is>
          <x:t xml:space="preserve">REJECTION</x:t>
        </x:is>
      </x:c>
      <x:c r="K125" s="38" t="inlineStr">
        <x:is>
          <x:t xml:space="preserve">L6-Q1</x:t>
        </x:is>
      </x:c>
      <x:c r="L125" s="38" t="inlineStr">
        <x:is>
          <x:t xml:space="preserve">4</x:t>
        </x:is>
      </x:c>
      <x:c r="M125" s="38" t="inlineStr">
        <x:is>
          <x:t xml:space="preserve">theophysics-lean-main</x:t>
        </x:is>
      </x:c>
      <x:c r="N125" s="38" t="inlineStr">
        <x:is>
          <x:t xml:space="preserve">theophysics-lean-main\theophysics-lean-main\Theophysics_Adversarial.lean</x:t>
        </x:is>
      </x:c>
      <x:c r="O125" s="38" t="inlineStr">
        <x:is>
          <x:t xml:space="preserve">503</x:t>
        </x:is>
      </x:c>
      <x:c r="P125" s="38" t="inlineStr">
        <x:is>
          <x:t xml:space="preserve">DEFINITIONAL_RFL</x:t>
        </x:is>
      </x:c>
      <x:c r="Q125" s="38" t="inlineStr">
        <x:is>
          <x:t xml:space="preserve">Proves definitional equality by reduction; useful but narrow.</x:t>
        </x:is>
      </x:c>
      <x:c r="R125" s="39" t="inlineStr">
        <x:is>
          <x:t xml:space="preserve">theorem two_negative_burdens_without_conversion_not_positive : convertedPositive false Sign.negative Sign.negative = false</x:t>
        </x:is>
      </x:c>
    </x:row>
    <x:row r="126" ht="15" customHeight="1">
      <x:c r="A126" s="37" t="inlineStr">
        <x:is>
          <x:t xml:space="preserve">\\192.168.2.50\h_hp\Desktop\Master EXCEL\Lean 4.xlsx</x:t>
        </x:is>
      </x:c>
      <x:c r="B126" s="38" t="inlineStr">
        <x:is>
          <x:t xml:space="preserve">LEAN_DERIVATION_CHAIN</x:t>
        </x:is>
      </x:c>
      <x:c r="C126" s="38" t="inlineStr">
        <x:is>
          <x:t xml:space="preserve">138</x:t>
        </x:is>
      </x:c>
      <x:c r="D126" s="38" t="inlineStr">
        <x:is>
          <x:t xml:space="preserve">140</x:t>
        </x:is>
      </x:c>
      <x:c r="E126" s="38" t="inlineStr">
        <x:is>
          <x:t xml:space="preserve">11 — Sign</x:t>
        </x:is>
      </x:c>
      <x:c r="F126" s="38" t="inlineStr">
        <x:is>
          <x:t xml:space="preserve">SignConversionDiscipline.lean</x:t>
        </x:is>
      </x:c>
      <x:c r="G126" s="38" t="inlineStr">
        <x:is>
          <x:t xml:space="preserve">negative_burden_gate_zero</x:t>
        </x:is>
      </x:c>
      <x:c r="H126" s="38" t="inlineStr">
        <x:is>
          <x:t xml:space="preserve">Negative burden → coherence gate = 0</x:t>
        </x:is>
      </x:c>
      <x:c r="I126" s="38" t="inlineStr">
        <x:is>
          <x:t xml:space="preserve">rfl</x:t>
        </x:is>
      </x:c>
      <x:c r="J126" s="38" t="inlineStr">
        <x:is>
          <x:t xml:space="preserve">PROVED</x:t>
        </x:is>
      </x:c>
      <x:c r="K126" s="38" t="inlineStr">
        <x:is>
          <x:t xml:space="preserve">L6-Q1</x:t>
        </x:is>
      </x:c>
      <x:c r="L126" s="38" t="inlineStr">
        <x:is>
          <x:t xml:space="preserve">4</x:t>
        </x:is>
      </x:c>
      <x:c r="M126" s="38" t="inlineStr">
        <x:is>
          <x:t xml:space="preserve">theophysics-lean-main</x:t>
        </x:is>
      </x:c>
      <x:c r="N126" s="38" t="inlineStr">
        <x:is>
          <x:t xml:space="preserve">theophysics-lean-main\theophysics-lean-main\Theophysics_Core.lean</x:t>
        </x:is>
      </x:c>
      <x:c r="O126" s="38" t="inlineStr">
        <x:is>
          <x:t xml:space="preserve">49</x:t>
        </x:is>
      </x:c>
      <x:c r="P126" s="38" t="inlineStr">
        <x:is>
          <x:t xml:space="preserve">TRIVIAL_TRUE</x:t>
        </x:is>
      </x:c>
      <x:c r="Q126" s="38" t="inlineStr">
        <x:is>
          <x:t xml:space="preserve">Statement is `True`; theorem name may exceed formal content.</x:t>
        </x:is>
      </x:c>
      <x:c r="R126" s="39" t="inlineStr">
        <x:is>
          <x:t xml:space="preserve">theorem negative_burden_gate_zero : True</x:t>
        </x:is>
      </x:c>
    </x:row>
    <x:row r="127" ht="15" customHeight="1">
      <x:c r="A127" s="37" t="inlineStr">
        <x:is>
          <x:t xml:space="preserve">\\192.168.2.50\h_hp\Desktop\Master EXCEL\Lean 4.xlsx</x:t>
        </x:is>
      </x:c>
      <x:c r="B127" s="38" t="inlineStr">
        <x:is>
          <x:t xml:space="preserve">LEAN_DERIVATION_CHAIN</x:t>
        </x:is>
      </x:c>
      <x:c r="C127" s="38" t="inlineStr">
        <x:is>
          <x:t xml:space="preserve">139</x:t>
        </x:is>
      </x:c>
      <x:c r="D127" s="38" t="inlineStr">
        <x:is>
          <x:t xml:space="preserve">141</x:t>
        </x:is>
      </x:c>
      <x:c r="E127" s="38" t="inlineStr">
        <x:is>
          <x:t xml:space="preserve">11 — Sign</x:t>
        </x:is>
      </x:c>
      <x:c r="F127" s="38" t="inlineStr">
        <x:is>
          <x:t xml:space="preserve">SignConversionDiscipline.lean</x:t>
        </x:is>
      </x:c>
      <x:c r="G127" s="38" t="inlineStr">
        <x:is>
          <x:t xml:space="preserve">converted_negative_burden_gate_one</x:t>
        </x:is>
      </x:c>
      <x:c r="H127" s="38" t="inlineStr">
        <x:is>
          <x:t xml:space="preserve">Converted burden → coherence gate = 1</x:t>
        </x:is>
      </x:c>
      <x:c r="I127" s="38" t="inlineStr">
        <x:is>
          <x:t xml:space="preserve">rfl</x:t>
        </x:is>
      </x:c>
      <x:c r="J127" s="38" t="inlineStr">
        <x:is>
          <x:t xml:space="preserve">PROVED</x:t>
        </x:is>
      </x:c>
      <x:c r="K127" s="38" t="inlineStr">
        <x:is>
          <x:t xml:space="preserve">L6-Q4</x:t>
        </x:is>
      </x:c>
      <x:c r="L127" s="38" t="inlineStr">
        <x:is>
          <x:t xml:space="preserve">4</x:t>
        </x:is>
      </x:c>
      <x:c r="M127" s="38" t="inlineStr">
        <x:is>
          <x:t xml:space="preserve">theophysics-lean-main</x:t>
        </x:is>
      </x:c>
      <x:c r="N127" s="38" t="inlineStr">
        <x:is>
          <x:t xml:space="preserve">theophysics-lean-main\theophysics-lean-main\Theophysics_Core.lean</x:t>
        </x:is>
      </x:c>
      <x:c r="O127" s="38" t="inlineStr">
        <x:is>
          <x:t xml:space="preserve">48</x:t>
        </x:is>
      </x:c>
      <x:c r="P127" s="38" t="inlineStr">
        <x:is>
          <x:t xml:space="preserve">TRIVIAL_TRUE</x:t>
        </x:is>
      </x:c>
      <x:c r="Q127" s="38" t="inlineStr">
        <x:is>
          <x:t xml:space="preserve">Statement is `True`; theorem name may exceed formal content.</x:t>
        </x:is>
      </x:c>
      <x:c r="R127" s="39" t="inlineStr">
        <x:is>
          <x:t xml:space="preserve">theorem converted_negative_burden_gate_one : True</x:t>
        </x:is>
      </x:c>
    </x:row>
    <x:row r="128" ht="15" customHeight="1">
      <x:c r="A128" s="37" t="inlineStr">
        <x:is>
          <x:t xml:space="preserve">\\192.168.2.50\h_hp\Desktop\Master EXCEL\Lean 4.xlsx</x:t>
        </x:is>
      </x:c>
      <x:c r="B128" s="38" t="inlineStr">
        <x:is>
          <x:t xml:space="preserve">LEAN_DERIVATION_CHAIN</x:t>
        </x:is>
      </x:c>
      <x:c r="C128" s="38" t="inlineStr">
        <x:is>
          <x:t xml:space="preserve">141</x:t>
        </x:is>
      </x:c>
      <x:c r="D128" s="38" t="inlineStr">
        <x:is>
          <x:t xml:space="preserve">142</x:t>
        </x:is>
      </x:c>
      <x:c r="E128" s="38" t="inlineStr">
        <x:is>
          <x:t xml:space="preserve">12 — C_op</x:t>
        </x:is>
      </x:c>
      <x:c r="F128" s="38" t="inlineStr">
        <x:is>
          <x:t xml:space="preserve">ChristOperatorDiscipline.lean</x:t>
        </x:is>
      </x:c>
      <x:c r="G128" s="38" t="inlineStr">
        <x:is>
          <x:t xml:space="preserve">C_op_converts_negative_to_positive</x:t>
        </x:is>
      </x:c>
      <x:c r="H128" s="38" t="inlineStr">
        <x:is>
          <x:t xml:space="preserve">C_op takes negative → positive (visible sign)</x:t>
        </x:is>
      </x:c>
      <x:c r="I128" s="38" t="inlineStr">
        <x:is>
          <x:t xml:space="preserve">rfl</x:t>
        </x:is>
      </x:c>
      <x:c r="J128" s="38" t="inlineStr">
        <x:is>
          <x:t xml:space="preserve">PROVED</x:t>
        </x:is>
      </x:c>
      <x:c r="K128" s="38" t="inlineStr">
        <x:is>
          <x:t xml:space="preserve">L6-Q4</x:t>
        </x:is>
      </x:c>
      <x:c r="L128" s="38" t="inlineStr">
        <x:is>
          <x:t xml:space="preserve">4</x:t>
        </x:is>
      </x:c>
      <x:c r="M128" s="38" t="inlineStr">
        <x:is>
          <x:t xml:space="preserve">theophysics-lean-main</x:t>
        </x:is>
      </x:c>
      <x:c r="N128" s="38" t="inlineStr">
        <x:is>
          <x:t xml:space="preserve">theophysics-lean-main\theophysics-lean-main\Theophysics_Core.lean</x:t>
        </x:is>
      </x:c>
      <x:c r="O128" s="38" t="inlineStr">
        <x:is>
          <x:t xml:space="preserve">51</x:t>
        </x:is>
      </x:c>
      <x:c r="P128" s="38" t="inlineStr">
        <x:is>
          <x:t xml:space="preserve">TRIVIAL_TRUE</x:t>
        </x:is>
      </x:c>
      <x:c r="Q128" s="38" t="inlineStr">
        <x:is>
          <x:t xml:space="preserve">Statement is `True`; theorem name may exceed formal content.</x:t>
        </x:is>
      </x:c>
      <x:c r="R128" s="39" t="inlineStr">
        <x:is>
          <x:t xml:space="preserve">theorem C_op_converts_negative_to_positive : True</x:t>
        </x:is>
      </x:c>
    </x:row>
    <x:row r="129" ht="15" customHeight="1">
      <x:c r="A129" s="37" t="inlineStr">
        <x:is>
          <x:t xml:space="preserve">\\192.168.2.50\h_hp\Desktop\Master EXCEL\Lean 4.xlsx</x:t>
        </x:is>
      </x:c>
      <x:c r="B129" s="38" t="inlineStr">
        <x:is>
          <x:t xml:space="preserve">LEAN_DERIVATION_CHAIN</x:t>
        </x:is>
      </x:c>
      <x:c r="C129" s="38" t="inlineStr">
        <x:is>
          <x:t xml:space="preserve">142</x:t>
        </x:is>
      </x:c>
      <x:c r="D129" s="38" t="inlineStr">
        <x:is>
          <x:t xml:space="preserve">143</x:t>
        </x:is>
      </x:c>
      <x:c r="E129" s="38" t="inlineStr">
        <x:is>
          <x:t xml:space="preserve">12 — C_op</x:t>
        </x:is>
      </x:c>
      <x:c r="F129" s="38" t="inlineStr">
        <x:is>
          <x:t xml:space="preserve">ChristOperatorDiscipline.lean</x:t>
        </x:is>
      </x:c>
      <x:c r="G129" s="38" t="inlineStr">
        <x:is>
          <x:t xml:space="preserve">C_op_converts_neutral_to_positive</x:t>
        </x:is>
      </x:c>
      <x:c r="H129" s="38" t="inlineStr">
        <x:is>
          <x:t xml:space="preserve">C_op takes neutral → positive</x:t>
        </x:is>
      </x:c>
      <x:c r="I129" s="38" t="inlineStr">
        <x:is>
          <x:t xml:space="preserve">rfl</x:t>
        </x:is>
      </x:c>
      <x:c r="J129" s="38" t="inlineStr">
        <x:is>
          <x:t xml:space="preserve">PROVED</x:t>
        </x:is>
      </x:c>
      <x:c r="K129" s="38" t="inlineStr">
        <x:is>
          <x:t xml:space="preserve">L6-Q4</x:t>
        </x:is>
      </x:c>
      <x:c r="L129" s="38" t="inlineStr">
        <x:is>
          <x:t xml:space="preserve">4</x:t>
        </x:is>
      </x:c>
      <x:c r="M129" s="38" t="inlineStr">
        <x:is>
          <x:t xml:space="preserve">theophysics-lean-main</x:t>
        </x:is>
      </x:c>
      <x:c r="N129" s="38" t="inlineStr">
        <x:is>
          <x:t xml:space="preserve">theophysics-lean-main\theophysics-lean-main\Theophysics_Core.lean</x:t>
        </x:is>
      </x:c>
      <x:c r="O129" s="38" t="inlineStr">
        <x:is>
          <x:t xml:space="preserve">52</x:t>
        </x:is>
      </x:c>
      <x:c r="P129" s="38" t="inlineStr">
        <x:is>
          <x:t xml:space="preserve">TRIVIAL_TRUE</x:t>
        </x:is>
      </x:c>
      <x:c r="Q129" s="38" t="inlineStr">
        <x:is>
          <x:t xml:space="preserve">Statement is `True`; theorem name may exceed formal content.</x:t>
        </x:is>
      </x:c>
      <x:c r="R129" s="39" t="inlineStr">
        <x:is>
          <x:t xml:space="preserve">theorem C_op_converts_neutral_to_positive : True</x:t>
        </x:is>
      </x:c>
    </x:row>
    <x:row r="130" ht="15" customHeight="1">
      <x:c r="A130" s="37" t="inlineStr">
        <x:is>
          <x:t xml:space="preserve">\\192.168.2.50\h_hp\Desktop\Master EXCEL\Lean 4.xlsx</x:t>
        </x:is>
      </x:c>
      <x:c r="B130" s="38" t="inlineStr">
        <x:is>
          <x:t xml:space="preserve">LEAN_DERIVATION_CHAIN</x:t>
        </x:is>
      </x:c>
      <x:c r="C130" s="38" t="inlineStr">
        <x:is>
          <x:t xml:space="preserve">143</x:t>
        </x:is>
      </x:c>
      <x:c r="D130" s="38" t="inlineStr">
        <x:is>
          <x:t xml:space="preserve">144</x:t>
        </x:is>
      </x:c>
      <x:c r="E130" s="38" t="inlineStr">
        <x:is>
          <x:t xml:space="preserve">12 — C_op</x:t>
        </x:is>
      </x:c>
      <x:c r="F130" s="38" t="inlineStr">
        <x:is>
          <x:t xml:space="preserve">ChristOperatorDiscipline.lean</x:t>
        </x:is>
      </x:c>
      <x:c r="G130" s="38" t="inlineStr">
        <x:is>
          <x:t xml:space="preserve">C_op_keeps_positive_positive</x:t>
        </x:is>
      </x:c>
      <x:c r="H130" s="38" t="inlineStr">
        <x:is>
          <x:t xml:space="preserve">Already positive stays positive</x:t>
        </x:is>
      </x:c>
      <x:c r="I130" s="38" t="inlineStr">
        <x:is>
          <x:t xml:space="preserve">rfl</x:t>
        </x:is>
      </x:c>
      <x:c r="J130" s="38" t="inlineStr">
        <x:is>
          <x:t xml:space="preserve">PROVED</x:t>
        </x:is>
      </x:c>
      <x:c r="K130" s="38" t="inlineStr">
        <x:is>
          <x:t xml:space="preserve">L6-Q4</x:t>
        </x:is>
      </x:c>
      <x:c r="L130" s="38" t="inlineStr">
        <x:is>
          <x:t xml:space="preserve">4</x:t>
        </x:is>
      </x:c>
      <x:c r="M130" s="38" t="inlineStr">
        <x:is>
          <x:t xml:space="preserve">theophysics-lean-main</x:t>
        </x:is>
      </x:c>
      <x:c r="N130" s="38" t="inlineStr">
        <x:is>
          <x:t xml:space="preserve">theophysics-lean-main\theophysics-lean-main\Theophysics_Core.lean</x:t>
        </x:is>
      </x:c>
      <x:c r="O130" s="38" t="inlineStr">
        <x:is>
          <x:t xml:space="preserve">53</x:t>
        </x:is>
      </x:c>
      <x:c r="P130" s="38" t="inlineStr">
        <x:is>
          <x:t xml:space="preserve">TRIVIAL_TRUE</x:t>
        </x:is>
      </x:c>
      <x:c r="Q130" s="38" t="inlineStr">
        <x:is>
          <x:t xml:space="preserve">Statement is `True`; theorem name may exceed formal content.</x:t>
        </x:is>
      </x:c>
      <x:c r="R130" s="39" t="inlineStr">
        <x:is>
          <x:t xml:space="preserve">theorem C_op_keeps_positive_positive : True</x:t>
        </x:is>
      </x:c>
    </x:row>
    <x:row r="131" ht="15" customHeight="1">
      <x:c r="A131" s="37" t="inlineStr">
        <x:is>
          <x:t xml:space="preserve">\\192.168.2.50\h_hp\Desktop\Master EXCEL\Lean 4.xlsx</x:t>
        </x:is>
      </x:c>
      <x:c r="B131" s="38" t="inlineStr">
        <x:is>
          <x:t xml:space="preserve">LEAN_DERIVATION_CHAIN</x:t>
        </x:is>
      </x:c>
      <x:c r="C131" s="38" t="inlineStr">
        <x:is>
          <x:t xml:space="preserve">144</x:t>
        </x:is>
      </x:c>
      <x:c r="D131" s="38" t="inlineStr">
        <x:is>
          <x:t xml:space="preserve">145</x:t>
        </x:is>
      </x:c>
      <x:c r="E131" s="38" t="inlineStr">
        <x:is>
          <x:t xml:space="preserve">12 — C_op</x:t>
        </x:is>
      </x:c>
      <x:c r="F131" s="38" t="inlineStr">
        <x:is>
          <x:t xml:space="preserve">ChristOperatorDiscipline.lean</x:t>
        </x:is>
      </x:c>
      <x:c r="G131" s="38" t="inlineStr">
        <x:is>
          <x:t xml:space="preserve">C_op_preserves_record_mark</x:t>
        </x:is>
      </x:c>
      <x:c r="H131" s="38" t="inlineStr">
        <x:is>
          <x:t xml:space="preserve">The record of what happened is NOT erased. History survives grace.</x:t>
        </x:is>
      </x:c>
      <x:c r="I131" s="38" t="inlineStr">
        <x:is>
          <x:t xml:space="preserve">rfl</x:t>
        </x:is>
      </x:c>
      <x:c r="J131" s="38" t="inlineStr">
        <x:is>
          <x:t xml:space="preserve">PROVED</x:t>
        </x:is>
      </x:c>
      <x:c r="K131" s="38" t="inlineStr">
        <x:is>
          <x:t xml:space="preserve">L6-P4</x:t>
        </x:is>
      </x:c>
      <x:c r="L131" s="38" t="inlineStr">
        <x:is>
          <x:t xml:space="preserve">4</x:t>
        </x:is>
      </x:c>
      <x:c r="M131" s="38" t="inlineStr">
        <x:is>
          <x:t xml:space="preserve">theophysics-lean-main</x:t>
        </x:is>
      </x:c>
      <x:c r="N131" s="38" t="inlineStr">
        <x:is>
          <x:t xml:space="preserve">theophysics-lean-main\theophysics-lean-main\Theophysics_Core.lean</x:t>
        </x:is>
      </x:c>
      <x:c r="O131" s="38" t="inlineStr">
        <x:is>
          <x:t xml:space="preserve">55</x:t>
        </x:is>
      </x:c>
      <x:c r="P131" s="38" t="inlineStr">
        <x:is>
          <x:t xml:space="preserve">TRIVIAL_TRUE</x:t>
        </x:is>
      </x:c>
      <x:c r="Q131" s="38" t="inlineStr">
        <x:is>
          <x:t xml:space="preserve">Statement is `True`; theorem name may exceed formal content.</x:t>
        </x:is>
      </x:c>
      <x:c r="R131" s="39" t="inlineStr">
        <x:is>
          <x:t xml:space="preserve">theorem C_op_preserves_record_mark : True</x:t>
        </x:is>
      </x:c>
    </x:row>
    <x:row r="132" ht="15" customHeight="1">
      <x:c r="A132" s="37" t="inlineStr">
        <x:is>
          <x:t xml:space="preserve">\\192.168.2.50\h_hp\Desktop\Master EXCEL\Lean 4.xlsx</x:t>
        </x:is>
      </x:c>
      <x:c r="B132" s="38" t="inlineStr">
        <x:is>
          <x:t xml:space="preserve">LEAN_DERIVATION_CHAIN</x:t>
        </x:is>
      </x:c>
      <x:c r="C132" s="38" t="inlineStr">
        <x:is>
          <x:t xml:space="preserve">145</x:t>
        </x:is>
      </x:c>
      <x:c r="D132" s="38" t="inlineStr">
        <x:is>
          <x:t xml:space="preserve">146</x:t>
        </x:is>
      </x:c>
      <x:c r="E132" s="38" t="inlineStr">
        <x:is>
          <x:t xml:space="preserve">12 — C_op</x:t>
        </x:is>
      </x:c>
      <x:c r="F132" s="38" t="inlineStr">
        <x:is>
          <x:t xml:space="preserve">ChristOperatorDiscipline.lean</x:t>
        </x:is>
      </x:c>
      <x:c r="G132" s="38" t="inlineStr">
        <x:is>
          <x:t xml:space="preserve">C_op_preserves_source_state</x:t>
        </x:is>
      </x:c>
      <x:c r="H132" s="38" t="inlineStr">
        <x:is>
          <x:t xml:space="preserve">Entire source state carried forward. Nothing lost.</x:t>
        </x:is>
      </x:c>
      <x:c r="I132" s="38" t="inlineStr">
        <x:is>
          <x:t xml:space="preserve">rfl</x:t>
        </x:is>
      </x:c>
      <x:c r="J132" s="38" t="inlineStr">
        <x:is>
          <x:t xml:space="preserve">PROVED</x:t>
        </x:is>
      </x:c>
      <x:c r="K132" s="38" t="inlineStr">
        <x:is>
          <x:t xml:space="preserve">L6-P1, L6-P4</x:t>
        </x:is>
      </x:c>
      <x:c r="L132" s="38" t="inlineStr">
        <x:is>
          <x:t xml:space="preserve">4</x:t>
        </x:is>
      </x:c>
      <x:c r="M132" s="38" t="inlineStr">
        <x:is>
          <x:t xml:space="preserve">theophysics-lean-main</x:t>
        </x:is>
      </x:c>
      <x:c r="N132" s="38" t="inlineStr">
        <x:is>
          <x:t xml:space="preserve">theophysics-lean-main\theophysics-lean-main\Theophysics_Core.lean</x:t>
        </x:is>
      </x:c>
      <x:c r="O132" s="38" t="inlineStr">
        <x:is>
          <x:t xml:space="preserve">56</x:t>
        </x:is>
      </x:c>
      <x:c r="P132" s="38" t="inlineStr">
        <x:is>
          <x:t xml:space="preserve">TRIVIAL_TRUE</x:t>
        </x:is>
      </x:c>
      <x:c r="Q132" s="38" t="inlineStr">
        <x:is>
          <x:t xml:space="preserve">Statement is `True`; theorem name may exceed formal content.</x:t>
        </x:is>
      </x:c>
      <x:c r="R132" s="39" t="inlineStr">
        <x:is>
          <x:t xml:space="preserve">theorem C_op_preserves_source_state : True</x:t>
        </x:is>
      </x:c>
    </x:row>
    <x:row r="133" ht="15" customHeight="1">
      <x:c r="A133" s="37" t="inlineStr">
        <x:is>
          <x:t xml:space="preserve">\\192.168.2.50\h_hp\Desktop\Master EXCEL\Lean 4.xlsx</x:t>
        </x:is>
      </x:c>
      <x:c r="B133" s="38" t="inlineStr">
        <x:is>
          <x:t xml:space="preserve">LEAN_DERIVATION_CHAIN</x:t>
        </x:is>
      </x:c>
      <x:c r="C133" s="38" t="inlineStr">
        <x:is>
          <x:t xml:space="preserve">146</x:t>
        </x:is>
      </x:c>
      <x:c r="D133" s="38" t="inlineStr">
        <x:is>
          <x:t xml:space="preserve">147</x:t>
        </x:is>
      </x:c>
      <x:c r="E133" s="38" t="inlineStr">
        <x:is>
          <x:t xml:space="preserve">12 — C_op</x:t>
        </x:is>
      </x:c>
      <x:c r="F133" s="38" t="inlineStr">
        <x:is>
          <x:t xml:space="preserve">ChristOperatorDiscipline.lean</x:t>
        </x:is>
      </x:c>
      <x:c r="G133" s="38" t="inlineStr">
        <x:is>
          <x:t xml:space="preserve">C_op_preserves_negative_history_even_after_positive_output</x:t>
        </x:is>
      </x:c>
      <x:c r="H133" s="38" t="inlineStr">
        <x:is>
          <x:t xml:space="preserve">Source = negative, output = positive — simultaneously. Grace does not pretend the past didn't happen.</x:t>
        </x:is>
      </x:c>
      <x:c r="I133" s="38" t="inlineStr">
        <x:is>
          <x:t xml:space="preserve">decide</x:t>
        </x:is>
      </x:c>
      <x:c r="J133" s="38" t="inlineStr">
        <x:is>
          <x:t xml:space="preserve">PROVED</x:t>
        </x:is>
      </x:c>
      <x:c r="K133" s="38" t="inlineStr">
        <x:is>
          <x:t xml:space="preserve">L6-P4, P4.3</x:t>
        </x:is>
      </x:c>
      <x:c r="L133" s="38" t="inlineStr">
        <x:is>
          <x:t xml:space="preserve">4</x:t>
        </x:is>
      </x:c>
      <x:c r="M133" s="38" t="inlineStr">
        <x:is>
          <x:t xml:space="preserve">theophysics-lean-main</x:t>
        </x:is>
      </x:c>
      <x:c r="N133" s="38" t="inlineStr">
        <x:is>
          <x:t xml:space="preserve">theophysics-lean-main\theophysics-lean-main\Theophysics_Core.lean</x:t>
        </x:is>
      </x:c>
      <x:c r="O133" s="38" t="inlineStr">
        <x:is>
          <x:t xml:space="preserve">54</x:t>
        </x:is>
      </x:c>
      <x:c r="P133" s="38" t="inlineStr">
        <x:is>
          <x:t xml:space="preserve">TRIVIAL_TRUE</x:t>
        </x:is>
      </x:c>
      <x:c r="Q133" s="38" t="inlineStr">
        <x:is>
          <x:t xml:space="preserve">Statement is `True`; theorem name may exceed formal content.</x:t>
        </x:is>
      </x:c>
      <x:c r="R133" s="39" t="inlineStr">
        <x:is>
          <x:t xml:space="preserve">theorem C_op_preserves_negative_history_even_after_positive_output : True</x:t>
        </x:is>
      </x:c>
    </x:row>
    <x:row r="134" ht="15" customHeight="1">
      <x:c r="A134" s="37" t="inlineStr">
        <x:is>
          <x:t xml:space="preserve">\\192.168.2.50\h_hp\Desktop\Master EXCEL\Lean 4.xlsx</x:t>
        </x:is>
      </x:c>
      <x:c r="B134" s="38" t="inlineStr">
        <x:is>
          <x:t xml:space="preserve">LEAN_DERIVATION_CHAIN</x:t>
        </x:is>
      </x:c>
      <x:c r="C134" s="38" t="inlineStr">
        <x:is>
          <x:t xml:space="preserve">147</x:t>
        </x:is>
      </x:c>
      <x:c r="D134" s="38" t="inlineStr">
        <x:is>
          <x:t xml:space="preserve">148</x:t>
        </x:is>
      </x:c>
      <x:c r="E134" s="38" t="inlineStr">
        <x:is>
          <x:t xml:space="preserve">12 — C_op</x:t>
        </x:is>
      </x:c>
      <x:c r="F134" s="38" t="inlineStr">
        <x:is>
          <x:t xml:space="preserve">ChristOperatorDiscipline.lean</x:t>
        </x:is>
      </x:c>
      <x:c r="G134" s="38" t="inlineStr">
        <x:is>
          <x:t xml:space="preserve">visible_projection_conflates_negative_and_neutral_conversion</x:t>
        </x:is>
      </x:c>
      <x:c r="H134" s="38" t="inlineStr">
        <x:is>
          <x:t xml:space="preserve">BOUNDARY: Visible output same for both — non-injective. You can't tell FROM THE OUTSIDE which path someone took.</x:t>
        </x:is>
      </x:c>
      <x:c r="I134" s="38" t="inlineStr">
        <x:is>
          <x:t xml:space="preserve">decide</x:t>
        </x:is>
      </x:c>
      <x:c r="J134" s="38" t="inlineStr">
        <x:is>
          <x:t xml:space="preserve">BOUNDARY</x:t>
        </x:is>
      </x:c>
      <x:c r="K134" s="38" t="inlineStr">
        <x:is>
          <x:t xml:space="preserve">L6-Q7</x:t>
        </x:is>
      </x:c>
      <x:c r="L134" s="38" t="inlineStr">
        <x:is>
          <x:t xml:space="preserve">4</x:t>
        </x:is>
      </x:c>
      <x:c r="M134" s="38" t="inlineStr">
        <x:is>
          <x:t xml:space="preserve">theophysics-lean-main</x:t>
        </x:is>
      </x:c>
      <x:c r="N134" s="38" t="inlineStr">
        <x:is>
          <x:t xml:space="preserve">theophysics-lean-main\theophysics-lean-main\Theophysics_Adversarial.lean</x:t>
        </x:is>
      </x:c>
      <x:c r="O134" s="38" t="inlineStr">
        <x:is>
          <x:t xml:space="preserve">507</x:t>
        </x:is>
      </x:c>
      <x:c r="P134" s="38" t="inlineStr">
        <x:is>
          <x:t xml:space="preserve">DEFINITIONAL_RFL</x:t>
        </x:is>
      </x:c>
      <x:c r="Q134" s="38" t="inlineStr">
        <x:is>
          <x:t xml:space="preserve">Proves definitional equality by reduction; useful but narrow.</x:t>
        </x:is>
      </x:c>
      <x:c r="R134" s="39" t="inlineStr">
        <x:is>
          <x:t xml:space="preserve">theorem visible_projection_conflates_negative_and_neutral_conversion : visibleProjectionConflatesNegativeAndNeutral = true</x:t>
        </x:is>
      </x:c>
    </x:row>
    <x:row r="135" ht="15" customHeight="1">
      <x:c r="A135" s="37" t="inlineStr">
        <x:is>
          <x:t xml:space="preserve">\\192.168.2.50\h_hp\Desktop\Master EXCEL\Lean 4.xlsx</x:t>
        </x:is>
      </x:c>
      <x:c r="B135" s="38" t="inlineStr">
        <x:is>
          <x:t xml:space="preserve">LEAN_DERIVATION_CHAIN</x:t>
        </x:is>
      </x:c>
      <x:c r="C135" s="38" t="inlineStr">
        <x:is>
          <x:t xml:space="preserve">148</x:t>
        </x:is>
      </x:c>
      <x:c r="D135" s="38" t="inlineStr">
        <x:is>
          <x:t xml:space="preserve">149</x:t>
        </x:is>
      </x:c>
      <x:c r="E135" s="38" t="inlineStr">
        <x:is>
          <x:t xml:space="preserve">12 — C_op</x:t>
        </x:is>
      </x:c>
      <x:c r="F135" s="38" t="inlineStr">
        <x:is>
          <x:t xml:space="preserve">ChristOperatorDiscipline.lean</x:t>
        </x:is>
      </x:c>
      <x:c r="G135" s="38" t="inlineStr">
        <x:is>
          <x:t xml:space="preserve">lifted_outputs_preserve_distinct_source_signs</x:t>
        </x:is>
      </x:c>
      <x:c r="H135" s="38" t="inlineStr">
        <x:is>
          <x:t xml:space="preserve">But lifted output preserves the distinction. God sees the full record.</x:t>
        </x:is>
      </x:c>
      <x:c r="I135" s="38" t="inlineStr">
        <x:is>
          <x:t xml:space="preserve">decide</x:t>
        </x:is>
      </x:c>
      <x:c r="J135" s="38" t="inlineStr">
        <x:is>
          <x:t xml:space="preserve">PROVED</x:t>
        </x:is>
      </x:c>
      <x:c r="K135" s="38" t="inlineStr">
        <x:is>
          <x:t xml:space="preserve">L6-P4</x:t>
        </x:is>
      </x:c>
      <x:c r="L135" s="38" t="inlineStr">
        <x:is>
          <x:t xml:space="preserve">4</x:t>
        </x:is>
      </x:c>
      <x:c r="M135" s="38" t="inlineStr">
        <x:is>
          <x:t xml:space="preserve">theophysics-lean-main</x:t>
        </x:is>
      </x:c>
      <x:c r="N135" s="38" t="inlineStr">
        <x:is>
          <x:t xml:space="preserve">theophysics-lean-main\theophysics-lean-main\Theophysics_Core.lean</x:t>
        </x:is>
      </x:c>
      <x:c r="O135" s="38" t="inlineStr">
        <x:is>
          <x:t xml:space="preserve">58</x:t>
        </x:is>
      </x:c>
      <x:c r="P135" s="38" t="inlineStr">
        <x:is>
          <x:t xml:space="preserve">TRIVIAL_TRUE</x:t>
        </x:is>
      </x:c>
      <x:c r="Q135" s="38" t="inlineStr">
        <x:is>
          <x:t xml:space="preserve">Statement is `True`; theorem name may exceed formal content.</x:t>
        </x:is>
      </x:c>
      <x:c r="R135" s="39" t="inlineStr">
        <x:is>
          <x:t xml:space="preserve">theorem lifted_outputs_preserve_distinct_source_signs : True</x:t>
        </x:is>
      </x:c>
    </x:row>
    <x:row r="136" ht="15" customHeight="1">
      <x:c r="A136" s="37" t="inlineStr">
        <x:is>
          <x:t xml:space="preserve">\\192.168.2.50\h_hp\Desktop\Master EXCEL\Lean 4.xlsx</x:t>
        </x:is>
      </x:c>
      <x:c r="B136" s="38" t="inlineStr">
        <x:is>
          <x:t xml:space="preserve">LEAN_DERIVATION_CHAIN</x:t>
        </x:is>
      </x:c>
      <x:c r="C136" s="38" t="inlineStr">
        <x:is>
          <x:t xml:space="preserve">149</x:t>
        </x:is>
      </x:c>
      <x:c r="D136" s="38" t="inlineStr">
        <x:is>
          <x:t xml:space="preserve">150</x:t>
        </x:is>
      </x:c>
      <x:c r="E136" s="38" t="inlineStr">
        <x:is>
          <x:t xml:space="preserve">12 — C_op</x:t>
        </x:is>
      </x:c>
      <x:c r="F136" s="38" t="inlineStr">
        <x:is>
          <x:t xml:space="preserve">ChristOperatorDiscipline.lean</x:t>
        </x:is>
      </x:c>
      <x:c r="G136" s="38" t="inlineStr">
        <x:is>
          <x:t xml:space="preserve">visible_restoration_does_not_imply_erasure</x:t>
        </x:is>
      </x:c>
      <x:c r="H136" s="38" t="inlineStr">
        <x:is>
          <x:t xml:space="preserve">REJECTION: Restoration ≠ erasure — formally. Looking forgiven ≠ past erased.</x:t>
        </x:is>
      </x:c>
      <x:c r="I136" s="38" t="inlineStr">
        <x:is>
          <x:t xml:space="preserve">decide</x:t>
        </x:is>
      </x:c>
      <x:c r="J136" s="38" t="inlineStr">
        <x:is>
          <x:t xml:space="preserve">REJECTION</x:t>
        </x:is>
      </x:c>
      <x:c r="K136" s="38" t="inlineStr">
        <x:is>
          <x:t xml:space="preserve">L6-P4, L6-R4</x:t>
        </x:is>
      </x:c>
      <x:c r="L136" s="38" t="inlineStr">
        <x:is>
          <x:t xml:space="preserve">4</x:t>
        </x:is>
      </x:c>
      <x:c r="M136" s="38" t="inlineStr">
        <x:is>
          <x:t xml:space="preserve">theophysics-lean-main</x:t>
        </x:is>
      </x:c>
      <x:c r="N136" s="38" t="inlineStr">
        <x:is>
          <x:t xml:space="preserve">theophysics-lean-main\theophysics-lean-main\Theophysics_Adversarial.lean</x:t>
        </x:is>
      </x:c>
      <x:c r="O136" s="38" t="inlineStr">
        <x:is>
          <x:t xml:space="preserve">511</x:t>
        </x:is>
      </x:c>
      <x:c r="P136" s="38" t="inlineStr">
        <x:is>
          <x:t xml:space="preserve">DEFINITIONAL_RFL</x:t>
        </x:is>
      </x:c>
      <x:c r="Q136" s="38" t="inlineStr">
        <x:is>
          <x:t xml:space="preserve">Proves definitional equality by reduction; useful but narrow.</x:t>
        </x:is>
      </x:c>
      <x:c r="R136" s="39" t="inlineStr">
        <x:is>
          <x:t xml:space="preserve">theorem visible_restoration_does_not_imply_erasure : visibleRestorationErasesHistory = false</x:t>
        </x:is>
      </x:c>
    </x:row>
    <x:row r="137" ht="15" customHeight="1">
      <x:c r="A137" s="37" t="inlineStr">
        <x:is>
          <x:t xml:space="preserve">\\192.168.2.50\h_hp\Desktop\Master EXCEL\Lean 4.xlsx</x:t>
        </x:is>
      </x:c>
      <x:c r="B137" s="38" t="inlineStr">
        <x:is>
          <x:t xml:space="preserve">LEAN_DERIVATION_CHAIN</x:t>
        </x:is>
      </x:c>
      <x:c r="C137" s="38" t="inlineStr">
        <x:is>
          <x:t xml:space="preserve">150</x:t>
        </x:is>
      </x:c>
      <x:c r="D137" s="38" t="inlineStr">
        <x:is>
          <x:t xml:space="preserve">151</x:t>
        </x:is>
      </x:c>
      <x:c r="E137" s="38" t="inlineStr">
        <x:is>
          <x:t xml:space="preserve">12 — C_op</x:t>
        </x:is>
      </x:c>
      <x:c r="F137" s="38" t="inlineStr">
        <x:is>
          <x:t xml:space="preserve">ChristOperatorDiscipline.lean</x:t>
        </x:is>
      </x:c>
      <x:c r="G137" s="38" t="inlineStr">
        <x:is>
          <x:t xml:space="preserve">chi_via_COp_converts_two_negative_burdens</x:t>
        </x:is>
      </x:c>
      <x:c r="H137" s="38" t="inlineStr">
        <x:is>
          <x:t xml:space="preserve">C_op converts accumulated negative burdens into positive coherence</x:t>
        </x:is>
      </x:c>
      <x:c r="I137" s="38" t="inlineStr">
        <x:is>
          <x:t xml:space="preserve">simp</x:t>
        </x:is>
      </x:c>
      <x:c r="J137" s="38" t="inlineStr">
        <x:is>
          <x:t xml:space="preserve">PROVED</x:t>
        </x:is>
      </x:c>
      <x:c r="K137" s="38" t="inlineStr">
        <x:is>
          <x:t xml:space="preserve">L6-Q4</x:t>
        </x:is>
      </x:c>
      <x:c r="L137" s="38" t="inlineStr">
        <x:is>
          <x:t xml:space="preserve">4</x:t>
        </x:is>
      </x:c>
      <x:c r="M137" s="38" t="inlineStr">
        <x:is>
          <x:t xml:space="preserve">theophysics-lean-main</x:t>
        </x:is>
      </x:c>
      <x:c r="N137" s="38" t="inlineStr">
        <x:is>
          <x:t xml:space="preserve">theophysics-lean-main\theophysics-lean-main\Theophysics_Core.lean</x:t>
        </x:is>
      </x:c>
      <x:c r="O137" s="38" t="inlineStr">
        <x:is>
          <x:t xml:space="preserve">57</x:t>
        </x:is>
      </x:c>
      <x:c r="P137" s="38" t="inlineStr">
        <x:is>
          <x:t xml:space="preserve">TRIVIAL_TRUE</x:t>
        </x:is>
      </x:c>
      <x:c r="Q137" s="38" t="inlineStr">
        <x:is>
          <x:t xml:space="preserve">Statement is `True`; theorem name may exceed formal content.</x:t>
        </x:is>
      </x:c>
      <x:c r="R137" s="39" t="inlineStr">
        <x:is>
          <x:t xml:space="preserve">theorem chi_via_COp_converts_two_negative_burdens : True</x:t>
        </x:is>
      </x:c>
    </x:row>
    <x:row r="138" ht="15" customHeight="1">
      <x:c r="A138" s="37" t="inlineStr">
        <x:is>
          <x:t xml:space="preserve">\\192.168.2.50\h_hp\Desktop\Master EXCEL\Lean 4.xlsx</x:t>
        </x:is>
      </x:c>
      <x:c r="B138" s="38" t="inlineStr">
        <x:is>
          <x:t xml:space="preserve">LEAN_DERIVATION_CHAIN</x:t>
        </x:is>
      </x:c>
      <x:c r="C138" s="38" t="inlineStr">
        <x:is>
          <x:t xml:space="preserve">151</x:t>
        </x:is>
      </x:c>
      <x:c r="D138" s="38" t="inlineStr">
        <x:is>
          <x:t xml:space="preserve">152</x:t>
        </x:is>
      </x:c>
      <x:c r="E138" s="38" t="inlineStr">
        <x:is>
          <x:t xml:space="preserve">12 — C_op</x:t>
        </x:is>
      </x:c>
      <x:c r="F138" s="38" t="inlineStr">
        <x:is>
          <x:t xml:space="preserve">ChristOperatorDiscipline.lean</x:t>
        </x:is>
      </x:c>
      <x:c r="G138" s="38" t="inlineStr">
        <x:is>
          <x:t xml:space="preserve">chi_via_COp_is_not_plain_scalar_self_multiplication</x:t>
        </x:is>
      </x:c>
      <x:c r="H138" s="38" t="inlineStr">
        <x:is>
          <x:t xml:space="preserve">REJECTION: C is NOT just another factor in the product. External integration, not scalar.</x:t>
        </x:is>
      </x:c>
      <x:c r="I138" s="38" t="inlineStr">
        <x:is>
          <x:t xml:space="preserve">decide</x:t>
        </x:is>
      </x:c>
      <x:c r="J138" s="38" t="inlineStr">
        <x:is>
          <x:t xml:space="preserve">REJECTION</x:t>
        </x:is>
      </x:c>
      <x:c r="K138" s="38" t="inlineStr">
        <x:is>
          <x:t xml:space="preserve">L6-Q4</x:t>
        </x:is>
      </x:c>
      <x:c r="L138" s="38" t="inlineStr">
        <x:is>
          <x:t xml:space="preserve">4</x:t>
        </x:is>
      </x:c>
      <x:c r="M138" s="38" t="inlineStr">
        <x:is>
          <x:t xml:space="preserve">theophysics-lean-main</x:t>
        </x:is>
      </x:c>
      <x:c r="N138" s="38" t="inlineStr">
        <x:is>
          <x:t xml:space="preserve">theophysics-lean-main\theophysics-lean-main\Theophysics_Adversarial.lean</x:t>
        </x:is>
      </x:c>
      <x:c r="O138" s="38" t="inlineStr">
        <x:is>
          <x:t xml:space="preserve">515</x:t>
        </x:is>
      </x:c>
      <x:c r="P138" s="38" t="inlineStr">
        <x:is>
          <x:t xml:space="preserve">DEFINITIONAL_RFL</x:t>
        </x:is>
      </x:c>
      <x:c r="Q138" s="38" t="inlineStr">
        <x:is>
          <x:t xml:space="preserve">Proves definitional equality by reduction; useful but narrow.</x:t>
        </x:is>
      </x:c>
      <x:c r="R138" s="39" t="inlineStr">
        <x:is>
          <x:t xml:space="preserve">theorem chi_via_COp_is_not_plain_scalar_self_multiplication : chiViaCOpIsPlainScalarSelfMultiplication = false</x:t>
        </x:is>
      </x:c>
    </x:row>
    <x:row r="139" ht="15" customHeight="1">
      <x:c r="A139" s="37" t="inlineStr">
        <x:is>
          <x:t xml:space="preserve">\\192.168.2.50\h_hp\Desktop\Master EXCEL\Lean 4.xlsx</x:t>
        </x:is>
      </x:c>
      <x:c r="B139" s="38" t="inlineStr">
        <x:is>
          <x:t xml:space="preserve">LEAN_DERIVATION_CHAIN</x:t>
        </x:is>
      </x:c>
      <x:c r="C139" s="38" t="inlineStr">
        <x:is>
          <x:t xml:space="preserve">153</x:t>
        </x:is>
      </x:c>
      <x:c r="D139" s="38" t="inlineStr">
        <x:is>
          <x:t xml:space="preserve">153</x:t>
        </x:is>
      </x:c>
      <x:c r="E139" s="38" t="inlineStr">
        <x:is>
          <x:t xml:space="preserve">13 — Mission</x:t>
        </x:is>
      </x:c>
      <x:c r="F139" s="38" t="inlineStr">
        <x:is>
          <x:t xml:space="preserve">MissionReturnOperator.lean</x:t>
        </x:is>
      </x:c>
      <x:c r="G139" s="38" t="inlineStr">
        <x:is>
          <x:t xml:space="preserve">incarnation_preserves_substrate_identity</x:t>
        </x:is>
      </x:c>
      <x:c r="H139" s="38" t="inlineStr">
        <x:is>
          <x:t xml:space="preserve">Substrate ID unchanged through incarnation</x:t>
        </x:is>
      </x:c>
      <x:c r="I139" s="38" t="inlineStr">
        <x:is>
          <x:t xml:space="preserve">rfl</x:t>
        </x:is>
      </x:c>
      <x:c r="J139" s="38" t="inlineStr">
        <x:is>
          <x:t xml:space="preserve">PROVED</x:t>
        </x:is>
      </x:c>
      <x:c r="K139" s="38" t="inlineStr">
        <x:is>
          <x:t xml:space="preserve">L6-Q5</x:t>
        </x:is>
      </x:c>
      <x:c r="L139" s="38" t="inlineStr">
        <x:is>
          <x:t xml:space="preserve">4</x:t>
        </x:is>
      </x:c>
      <x:c r="M139" s="38" t="inlineStr">
        <x:is>
          <x:t xml:space="preserve">theophysics-lean-main</x:t>
        </x:is>
      </x:c>
      <x:c r="N139" s="38" t="inlineStr">
        <x:is>
          <x:t xml:space="preserve">theophysics-lean-main\theophysics-lean-main\Theophysics_Core.lean</x:t>
        </x:is>
      </x:c>
      <x:c r="O139" s="38" t="inlineStr">
        <x:is>
          <x:t xml:space="preserve">143</x:t>
        </x:is>
      </x:c>
      <x:c r="P139" s="38" t="inlineStr">
        <x:is>
          <x:t xml:space="preserve">TRIVIAL_TRUE</x:t>
        </x:is>
      </x:c>
      <x:c r="Q139" s="38" t="inlineStr">
        <x:is>
          <x:t xml:space="preserve">Statement is `True`; theorem name may exceed formal content.</x:t>
        </x:is>
      </x:c>
      <x:c r="R139" s="39" t="inlineStr">
        <x:is>
          <x:t xml:space="preserve">theorem incarnation_preserves_substrate_identity : True</x:t>
        </x:is>
      </x:c>
    </x:row>
    <x:row r="140" ht="15" customHeight="1">
      <x:c r="A140" s="37" t="inlineStr">
        <x:is>
          <x:t xml:space="preserve">\\192.168.2.50\h_hp\Desktop\Master EXCEL\Lean 4.xlsx</x:t>
        </x:is>
      </x:c>
      <x:c r="B140" s="38" t="inlineStr">
        <x:is>
          <x:t xml:space="preserve">LEAN_DERIVATION_CHAIN</x:t>
        </x:is>
      </x:c>
      <x:c r="C140" s="38" t="inlineStr">
        <x:is>
          <x:t xml:space="preserve">154</x:t>
        </x:is>
      </x:c>
      <x:c r="D140" s="38" t="inlineStr">
        <x:is>
          <x:t xml:space="preserve">154</x:t>
        </x:is>
      </x:c>
      <x:c r="E140" s="38" t="inlineStr">
        <x:is>
          <x:t xml:space="preserve">13 — Mission</x:t>
        </x:is>
      </x:c>
      <x:c r="F140" s="38" t="inlineStr">
        <x:is>
          <x:t xml:space="preserve">MissionReturnOperator.lean</x:t>
        </x:is>
      </x:c>
      <x:c r="G140" s="38" t="inlineStr">
        <x:is>
          <x:t xml:space="preserve">cross_preserves_substrate_identity</x:t>
        </x:is>
      </x:c>
      <x:c r="H140" s="38" t="inlineStr">
        <x:is>
          <x:t xml:space="preserve">Substrate ID unchanged through crucifixion</x:t>
        </x:is>
      </x:c>
      <x:c r="I140" s="38" t="inlineStr">
        <x:is>
          <x:t xml:space="preserve">rfl</x:t>
        </x:is>
      </x:c>
      <x:c r="J140" s="38" t="inlineStr">
        <x:is>
          <x:t xml:space="preserve">PROVED</x:t>
        </x:is>
      </x:c>
      <x:c r="K140" s="38" t="inlineStr">
        <x:is>
          <x:t xml:space="preserve">L6-Q5</x:t>
        </x:is>
      </x:c>
      <x:c r="L140" s="38" t="inlineStr">
        <x:is>
          <x:t xml:space="preserve">4</x:t>
        </x:is>
      </x:c>
      <x:c r="M140" s="38" t="inlineStr">
        <x:is>
          <x:t xml:space="preserve">theophysics-lean-main</x:t>
        </x:is>
      </x:c>
      <x:c r="N140" s="38" t="inlineStr">
        <x:is>
          <x:t xml:space="preserve">theophysics-lean-main\theophysics-lean-main\Theophysics_Core.lean</x:t>
        </x:is>
      </x:c>
      <x:c r="O140" s="38" t="inlineStr">
        <x:is>
          <x:t xml:space="preserve">141</x:t>
        </x:is>
      </x:c>
      <x:c r="P140" s="38" t="inlineStr">
        <x:is>
          <x:t xml:space="preserve">TRIVIAL_TRUE</x:t>
        </x:is>
      </x:c>
      <x:c r="Q140" s="38" t="inlineStr">
        <x:is>
          <x:t xml:space="preserve">Statement is `True`; theorem name may exceed formal content.</x:t>
        </x:is>
      </x:c>
      <x:c r="R140" s="39" t="inlineStr">
        <x:is>
          <x:t xml:space="preserve">theorem cross_preserves_substrate_identity : True</x:t>
        </x:is>
      </x:c>
    </x:row>
    <x:row r="141" ht="15" customHeight="1">
      <x:c r="A141" s="37" t="inlineStr">
        <x:is>
          <x:t xml:space="preserve">\\192.168.2.50\h_hp\Desktop\Master EXCEL\Lean 4.xlsx</x:t>
        </x:is>
      </x:c>
      <x:c r="B141" s="38" t="inlineStr">
        <x:is>
          <x:t xml:space="preserve">LEAN_DERIVATION_CHAIN</x:t>
        </x:is>
      </x:c>
      <x:c r="C141" s="38" t="inlineStr">
        <x:is>
          <x:t xml:space="preserve">155</x:t>
        </x:is>
      </x:c>
      <x:c r="D141" s="38" t="inlineStr">
        <x:is>
          <x:t xml:space="preserve">155</x:t>
        </x:is>
      </x:c>
      <x:c r="E141" s="38" t="inlineStr">
        <x:is>
          <x:t xml:space="preserve">13 — Mission</x:t>
        </x:is>
      </x:c>
      <x:c r="F141" s="38" t="inlineStr">
        <x:is>
          <x:t xml:space="preserve">MissionReturnOperator.lean</x:t>
        </x:is>
      </x:c>
      <x:c r="G141" s="38" t="inlineStr">
        <x:is>
          <x:t xml:space="preserve">resurrection_preserves_substrate_identity</x:t>
        </x:is>
      </x:c>
      <x:c r="H141" s="38" t="inlineStr">
        <x:is>
          <x:t xml:space="preserve">Substrate ID unchanged through resurrection</x:t>
        </x:is>
      </x:c>
      <x:c r="I141" s="38" t="inlineStr">
        <x:is>
          <x:t xml:space="preserve">rfl</x:t>
        </x:is>
      </x:c>
      <x:c r="J141" s="38" t="inlineStr">
        <x:is>
          <x:t xml:space="preserve">PROVED</x:t>
        </x:is>
      </x:c>
      <x:c r="K141" s="38" t="inlineStr">
        <x:is>
          <x:t xml:space="preserve">L6-Q5</x:t>
        </x:is>
      </x:c>
      <x:c r="L141" s="38" t="inlineStr">
        <x:is>
          <x:t xml:space="preserve">4</x:t>
        </x:is>
      </x:c>
      <x:c r="M141" s="38" t="inlineStr">
        <x:is>
          <x:t xml:space="preserve">theophysics-lean-main</x:t>
        </x:is>
      </x:c>
      <x:c r="N141" s="38" t="inlineStr">
        <x:is>
          <x:t xml:space="preserve">theophysics-lean-main\theophysics-lean-main\Theophysics_Core.lean</x:t>
        </x:is>
      </x:c>
      <x:c r="O141" s="38" t="inlineStr">
        <x:is>
          <x:t xml:space="preserve">144</x:t>
        </x:is>
      </x:c>
      <x:c r="P141" s="38" t="inlineStr">
        <x:is>
          <x:t xml:space="preserve">TRIVIAL_TRUE</x:t>
        </x:is>
      </x:c>
      <x:c r="Q141" s="38" t="inlineStr">
        <x:is>
          <x:t xml:space="preserve">Statement is `True`; theorem name may exceed formal content.</x:t>
        </x:is>
      </x:c>
      <x:c r="R141" s="39" t="inlineStr">
        <x:is>
          <x:t xml:space="preserve">theorem resurrection_preserves_substrate_identity : True</x:t>
        </x:is>
      </x:c>
    </x:row>
    <x:row r="142" ht="15" customHeight="1">
      <x:c r="A142" s="37" t="inlineStr">
        <x:is>
          <x:t xml:space="preserve">\\192.168.2.50\h_hp\Desktop\Master EXCEL\Lean 4.xlsx</x:t>
        </x:is>
      </x:c>
      <x:c r="B142" s="38" t="inlineStr">
        <x:is>
          <x:t xml:space="preserve">LEAN_DERIVATION_CHAIN</x:t>
        </x:is>
      </x:c>
      <x:c r="C142" s="38" t="inlineStr">
        <x:is>
          <x:t xml:space="preserve">156</x:t>
        </x:is>
      </x:c>
      <x:c r="D142" s="38" t="inlineStr">
        <x:is>
          <x:t xml:space="preserve">156</x:t>
        </x:is>
      </x:c>
      <x:c r="E142" s="38" t="inlineStr">
        <x:is>
          <x:t xml:space="preserve">13 — Mission</x:t>
        </x:is>
      </x:c>
      <x:c r="F142" s="38" t="inlineStr">
        <x:is>
          <x:t xml:space="preserve">MissionReturnOperator.lean</x:t>
        </x:is>
      </x:c>
      <x:c r="G142" s="38" t="inlineStr">
        <x:is>
          <x:t xml:space="preserve">incarnation_is_finite_compression</x:t>
        </x:is>
      </x:c>
      <x:c r="H142" s="38" t="inlineStr">
        <x:is>
          <x:t xml:space="preserve">Incarnation = resolution drops from infinite to finite</x:t>
        </x:is>
      </x:c>
      <x:c r="I142" s="38" t="inlineStr">
        <x:is>
          <x:t xml:space="preserve">rfl</x:t>
        </x:is>
      </x:c>
      <x:c r="J142" s="38" t="inlineStr">
        <x:is>
          <x:t xml:space="preserve">PROVED</x:t>
        </x:is>
      </x:c>
      <x:c r="K142" s="38" t="inlineStr">
        <x:is>
          <x:t xml:space="preserve">L6-Q5</x:t>
        </x:is>
      </x:c>
      <x:c r="L142" s="38" t="inlineStr">
        <x:is>
          <x:t xml:space="preserve">4</x:t>
        </x:is>
      </x:c>
      <x:c r="M142" s="38" t="inlineStr">
        <x:is>
          <x:t xml:space="preserve">theophysics-lean-main</x:t>
        </x:is>
      </x:c>
      <x:c r="N142" s="38" t="inlineStr">
        <x:is>
          <x:t xml:space="preserve">theophysics-lean-main\theophysics-lean-main\Theophysics_Core.lean</x:t>
        </x:is>
      </x:c>
      <x:c r="O142" s="38" t="inlineStr">
        <x:is>
          <x:t xml:space="preserve">142</x:t>
        </x:is>
      </x:c>
      <x:c r="P142" s="38" t="inlineStr">
        <x:is>
          <x:t xml:space="preserve">TRIVIAL_TRUE</x:t>
        </x:is>
      </x:c>
      <x:c r="Q142" s="38" t="inlineStr">
        <x:is>
          <x:t xml:space="preserve">Statement is `True`; theorem name may exceed formal content.</x:t>
        </x:is>
      </x:c>
      <x:c r="R142" s="39" t="inlineStr">
        <x:is>
          <x:t xml:space="preserve">theorem incarnation_is_finite_compression : True</x:t>
        </x:is>
      </x:c>
    </x:row>
    <x:row r="143" ht="15" customHeight="1">
      <x:c r="A143" s="37" t="inlineStr">
        <x:is>
          <x:t xml:space="preserve">\\192.168.2.50\h_hp\Desktop\Master EXCEL\Lean 4.xlsx</x:t>
        </x:is>
      </x:c>
      <x:c r="B143" s="38" t="inlineStr">
        <x:is>
          <x:t xml:space="preserve">LEAN_DERIVATION_CHAIN</x:t>
        </x:is>
      </x:c>
      <x:c r="C143" s="38" t="inlineStr">
        <x:is>
          <x:t xml:space="preserve">157</x:t>
        </x:is>
      </x:c>
      <x:c r="D143" s="38" t="inlineStr">
        <x:is>
          <x:t xml:space="preserve">157</x:t>
        </x:is>
      </x:c>
      <x:c r="E143" s="38" t="inlineStr">
        <x:is>
          <x:t xml:space="preserve">13 — Mission</x:t>
        </x:is>
      </x:c>
      <x:c r="F143" s="38" t="inlineStr">
        <x:is>
          <x:t xml:space="preserve">MissionReturnOperator.lean</x:t>
        </x:is>
      </x:c>
      <x:c r="G143" s="38" t="inlineStr">
        <x:is>
          <x:t xml:space="preserve">resurrection_returns_to_infinite_resolution</x:t>
        </x:is>
      </x:c>
      <x:c r="H143" s="38" t="inlineStr">
        <x:is>
          <x:t xml:space="preserve">Resurrection = resolution returns to infinite</x:t>
        </x:is>
      </x:c>
      <x:c r="I143" s="38" t="inlineStr">
        <x:is>
          <x:t xml:space="preserve">rfl</x:t>
        </x:is>
      </x:c>
      <x:c r="J143" s="38" t="inlineStr">
        <x:is>
          <x:t xml:space="preserve">PROVED</x:t>
        </x:is>
      </x:c>
      <x:c r="K143" s="38" t="inlineStr">
        <x:is>
          <x:t xml:space="preserve">L6-Q5, P4.7</x:t>
        </x:is>
      </x:c>
      <x:c r="L143" s="38" t="inlineStr">
        <x:is>
          <x:t xml:space="preserve">4</x:t>
        </x:is>
      </x:c>
      <x:c r="M143" s="38" t="inlineStr">
        <x:is>
          <x:t xml:space="preserve">theophysics-lean-main</x:t>
        </x:is>
      </x:c>
      <x:c r="N143" s="38" t="inlineStr">
        <x:is>
          <x:t xml:space="preserve">theophysics-lean-main\theophysics-lean-main\Theophysics_Core.lean</x:t>
        </x:is>
      </x:c>
      <x:c r="O143" s="38" t="inlineStr">
        <x:is>
          <x:t xml:space="preserve">145</x:t>
        </x:is>
      </x:c>
      <x:c r="P143" s="38" t="inlineStr">
        <x:is>
          <x:t xml:space="preserve">TRIVIAL_TRUE</x:t>
        </x:is>
      </x:c>
      <x:c r="Q143" s="38" t="inlineStr">
        <x:is>
          <x:t xml:space="preserve">Statement is `True`; theorem name may exceed formal content.</x:t>
        </x:is>
      </x:c>
      <x:c r="R143" s="39" t="inlineStr">
        <x:is>
          <x:t xml:space="preserve">theorem resurrection_returns_to_infinite_resolution : True</x:t>
        </x:is>
      </x:c>
    </x:row>
    <x:row r="144" ht="15" customHeight="1">
      <x:c r="A144" s="37" t="inlineStr">
        <x:is>
          <x:t xml:space="preserve">\\192.168.2.50\h_hp\Desktop\Master EXCEL\Lean 4.xlsx</x:t>
        </x:is>
      </x:c>
      <x:c r="B144" s="38" t="inlineStr">
        <x:is>
          <x:t xml:space="preserve">LEAN_DERIVATION_CHAIN</x:t>
        </x:is>
      </x:c>
      <x:c r="C144" s="38" t="inlineStr">
        <x:is>
          <x:t xml:space="preserve">158</x:t>
        </x:is>
      </x:c>
      <x:c r="D144" s="38" t="inlineStr">
        <x:is>
          <x:t xml:space="preserve">158</x:t>
        </x:is>
      </x:c>
      <x:c r="E144" s="38" t="inlineStr">
        <x:is>
          <x:t xml:space="preserve">13 — Mission</x:t>
        </x:is>
      </x:c>
      <x:c r="F144" s="38" t="inlineStr">
        <x:is>
          <x:t xml:space="preserve">MissionReturnOperator.lean</x:t>
        </x:is>
      </x:c>
      <x:c r="G144" s="38" t="inlineStr">
        <x:is>
          <x:t xml:space="preserve">cross_has_entropy_and_death_contact</x:t>
        </x:is>
      </x:c>
      <x:c r="H144" s="38" t="inlineStr">
        <x:is>
          <x:t xml:space="preserve">Cross records entropy contact AND death contact</x:t>
        </x:is>
      </x:c>
      <x:c r="I144" s="38" t="inlineStr">
        <x:is>
          <x:t xml:space="preserve">rfl</x:t>
        </x:is>
      </x:c>
      <x:c r="J144" s="38" t="inlineStr">
        <x:is>
          <x:t xml:space="preserve">PROVED</x:t>
        </x:is>
      </x:c>
      <x:c r="K144" s="38" t="inlineStr">
        <x:is>
          <x:t xml:space="preserve">L6-Q5, P4.4</x:t>
        </x:is>
      </x:c>
      <x:c r="L144" s="38" t="inlineStr">
        <x:is>
          <x:t xml:space="preserve">4</x:t>
        </x:is>
      </x:c>
      <x:c r="M144" s="38" t="inlineStr">
        <x:is>
          <x:t xml:space="preserve">theophysics-lean-main</x:t>
        </x:is>
      </x:c>
      <x:c r="N144" s="38" t="inlineStr">
        <x:is>
          <x:t xml:space="preserve">theophysics-lean-main\theophysics-lean-main\Theophysics_Core.lean</x:t>
        </x:is>
      </x:c>
      <x:c r="O144" s="38" t="inlineStr">
        <x:is>
          <x:t xml:space="preserve">59</x:t>
        </x:is>
      </x:c>
      <x:c r="P144" s="38" t="inlineStr">
        <x:is>
          <x:t xml:space="preserve">TRIVIAL_TRUE</x:t>
        </x:is>
      </x:c>
      <x:c r="Q144" s="38" t="inlineStr">
        <x:is>
          <x:t xml:space="preserve">Statement is `True`; theorem name may exceed formal content.</x:t>
        </x:is>
      </x:c>
      <x:c r="R144" s="39" t="inlineStr">
        <x:is>
          <x:t xml:space="preserve">theorem cross_has_entropy_and_death_contact : True</x:t>
        </x:is>
      </x:c>
    </x:row>
    <x:row r="145" ht="15" customHeight="1">
      <x:c r="A145" s="37" t="inlineStr">
        <x:is>
          <x:t xml:space="preserve">\\192.168.2.50\h_hp\Desktop\Master EXCEL\Lean 4.xlsx</x:t>
        </x:is>
      </x:c>
      <x:c r="B145" s="38" t="inlineStr">
        <x:is>
          <x:t xml:space="preserve">LEAN_DERIVATION_CHAIN</x:t>
        </x:is>
      </x:c>
      <x:c r="C145" s="38" t="inlineStr">
        <x:is>
          <x:t xml:space="preserve">159</x:t>
        </x:is>
      </x:c>
      <x:c r="D145" s="38" t="inlineStr">
        <x:is>
          <x:t xml:space="preserve">159–160</x:t>
        </x:is>
      </x:c>
      <x:c r="E145" s="38" t="inlineStr">
        <x:is>
          <x:t xml:space="preserve">13 — Mission</x:t>
        </x:is>
      </x:c>
      <x:c r="F145" s="38" t="inlineStr">
        <x:is>
          <x:t xml:space="preserve">MissionReturnOperator.lean</x:t>
        </x:is>
      </x:c>
      <x:c r="G145" s="38" t="inlineStr">
        <x:is>
          <x:t xml:space="preserve">resurrection_carries_entropy/death_contact_record</x:t>
        </x:is>
      </x:c>
      <x:c r="H145" s="38" t="inlineStr">
        <x:is>
          <x:t xml:space="preserve">Resurrection preserves entropy AND death contact records</x:t>
        </x:is>
      </x:c>
      <x:c r="I145" s="38" t="inlineStr">
        <x:is>
          <x:t xml:space="preserve">rfl</x:t>
        </x:is>
      </x:c>
      <x:c r="J145" s="38" t="inlineStr">
        <x:is>
          <x:t xml:space="preserve">PROVED</x:t>
        </x:is>
      </x:c>
      <x:c r="K145" s="38" t="inlineStr">
        <x:is>
          <x:t xml:space="preserve">L6-Q5, P4.7</x:t>
        </x:is>
      </x:c>
      <x:c r="L145" s="38" t="inlineStr">
        <x:is>
          <x:t xml:space="preserve">0</x:t>
        </x:is>
      </x:c>
      <x:c r="M145" s="38" t="n"/>
      <x:c r="N145" s="38" t="n"/>
      <x:c r="O145" s="38" t="n"/>
      <x:c r="P145" s="38" t="inlineStr">
        <x:is>
          <x:t xml:space="preserve">NOT_FOUND_IN_HUB</x:t>
        </x:is>
      </x:c>
      <x:c r="Q145" s="38" t="inlineStr">
        <x:is>
          <x:t xml:space="preserve">Workbook theorem name not found in extracted hub Lean files.</x:t>
        </x:is>
      </x:c>
      <x:c r="R145" s="39" t="n"/>
    </x:row>
    <x:row r="146" ht="15" customHeight="1">
      <x:c r="A146" s="37" t="inlineStr">
        <x:is>
          <x:t xml:space="preserve">\\192.168.2.50\h_hp\Desktop\Master EXCEL\Lean 4.xlsx</x:t>
        </x:is>
      </x:c>
      <x:c r="B146" s="38" t="inlineStr">
        <x:is>
          <x:t xml:space="preserve">LEAN_DERIVATION_CHAIN</x:t>
        </x:is>
      </x:c>
      <x:c r="C146" s="38" t="inlineStr">
        <x:is>
          <x:t xml:space="preserve">160</x:t>
        </x:is>
      </x:c>
      <x:c r="D146" s="38" t="inlineStr">
        <x:is>
          <x:t xml:space="preserve">161</x:t>
        </x:is>
      </x:c>
      <x:c r="E146" s="38" t="inlineStr">
        <x:is>
          <x:t xml:space="preserve">13 — Mission</x:t>
        </x:is>
      </x:c>
      <x:c r="F146" s="38" t="inlineStr">
        <x:is>
          <x:t xml:space="preserve">MissionReturnOperator.lean</x:t>
        </x:is>
      </x:c>
      <x:c r="G146" s="38" t="inlineStr">
        <x:is>
          <x:t xml:space="preserve">resurrection_is_not_identical_to_preincarnate_visible_record</x:t>
        </x:is>
      </x:c>
      <x:c r="H146" s="38" t="inlineStr">
        <x:is>
          <x:t xml:space="preserve">REJECTION: Post-resurrection ≠ pre-incarnate. It is RICHER — not a reset.</x:t>
        </x:is>
      </x:c>
      <x:c r="I146" s="38" t="inlineStr">
        <x:is>
          <x:t xml:space="preserve">decide</x:t>
        </x:is>
      </x:c>
      <x:c r="J146" s="38" t="inlineStr">
        <x:is>
          <x:t xml:space="preserve">REJECTION</x:t>
        </x:is>
      </x:c>
      <x:c r="K146" s="38" t="inlineStr">
        <x:is>
          <x:t xml:space="preserve">P4.7</x:t>
        </x:is>
      </x:c>
      <x:c r="L146" s="38" t="inlineStr">
        <x:is>
          <x:t xml:space="preserve">4</x:t>
        </x:is>
      </x:c>
      <x:c r="M146" s="38" t="inlineStr">
        <x:is>
          <x:t xml:space="preserve">theophysics-lean-main</x:t>
        </x:is>
      </x:c>
      <x:c r="N146" s="38" t="inlineStr">
        <x:is>
          <x:t xml:space="preserve">theophysics-lean-main\theophysics-lean-main\Theophysics_Adversarial.lean</x:t>
        </x:is>
      </x:c>
      <x:c r="O146" s="38" t="inlineStr">
        <x:is>
          <x:t xml:space="preserve">520</x:t>
        </x:is>
      </x:c>
      <x:c r="P146" s="38" t="inlineStr">
        <x:is>
          <x:t xml:space="preserve">DEFINITIONAL_RFL</x:t>
        </x:is>
      </x:c>
      <x:c r="Q146" s="38" t="inlineStr">
        <x:is>
          <x:t xml:space="preserve">Proves definitional equality by reduction; useful but narrow.</x:t>
        </x:is>
      </x:c>
      <x:c r="R146" s="39" t="inlineStr">
        <x:is>
          <x:t xml:space="preserve">theorem resurrection_is_not_identical_to_preincarnate_visible_record : resurrectionIdenticalToPreincarnateVisibleRecord = false</x:t>
        </x:is>
      </x:c>
    </x:row>
    <x:row r="147" ht="15" customHeight="1">
      <x:c r="A147" s="37" t="inlineStr">
        <x:is>
          <x:t xml:space="preserve">\\192.168.2.50\h_hp\Desktop\Master EXCEL\Lean 4.xlsx</x:t>
        </x:is>
      </x:c>
      <x:c r="B147" s="38" t="inlineStr">
        <x:is>
          <x:t xml:space="preserve">LEAN_DERIVATION_CHAIN</x:t>
        </x:is>
      </x:c>
      <x:c r="C147" s="38" t="inlineStr">
        <x:is>
          <x:t xml:space="preserve">161</x:t>
        </x:is>
      </x:c>
      <x:c r="D147" s="38" t="inlineStr">
        <x:is>
          <x:t xml:space="preserve">162</x:t>
        </x:is>
      </x:c>
      <x:c r="E147" s="38" t="inlineStr">
        <x:is>
          <x:t xml:space="preserve">13 — Mission</x:t>
        </x:is>
      </x:c>
      <x:c r="F147" s="38" t="inlineStr">
        <x:is>
          <x:t xml:space="preserve">MissionReturnOperator.lean</x:t>
        </x:is>
      </x:c>
      <x:c r="G147" s="38" t="inlineStr">
        <x:is>
          <x:t xml:space="preserve">resurrection_same_substrate_richer_expression</x:t>
        </x:is>
      </x:c>
      <x:c r="H147" s="38" t="inlineStr">
        <x:is>
          <x:t xml:space="preserve">Same substrate + finite record carried = richer than before</x:t>
        </x:is>
      </x:c>
      <x:c r="I147" s="38" t="inlineStr">
        <x:is>
          <x:t xml:space="preserve">decide</x:t>
        </x:is>
      </x:c>
      <x:c r="J147" s="38" t="inlineStr">
        <x:is>
          <x:t xml:space="preserve">PROVED</x:t>
        </x:is>
      </x:c>
      <x:c r="K147" s="38" t="inlineStr">
        <x:is>
          <x:t xml:space="preserve">P4.7</x:t>
        </x:is>
      </x:c>
      <x:c r="L147" s="38" t="inlineStr">
        <x:is>
          <x:t xml:space="preserve">4</x:t>
        </x:is>
      </x:c>
      <x:c r="M147" s="38" t="inlineStr">
        <x:is>
          <x:t xml:space="preserve">theophysics-lean-main</x:t>
        </x:is>
      </x:c>
      <x:c r="N147" s="38" t="inlineStr">
        <x:is>
          <x:t xml:space="preserve">theophysics-lean-main\theophysics-lean-main\Theophysics_Core.lean</x:t>
        </x:is>
      </x:c>
      <x:c r="O147" s="38" t="inlineStr">
        <x:is>
          <x:t xml:space="preserve">146</x:t>
        </x:is>
      </x:c>
      <x:c r="P147" s="38" t="inlineStr">
        <x:is>
          <x:t xml:space="preserve">TRIVIAL_TRUE</x:t>
        </x:is>
      </x:c>
      <x:c r="Q147" s="38" t="inlineStr">
        <x:is>
          <x:t xml:space="preserve">Statement is `True`; theorem name may exceed formal content.</x:t>
        </x:is>
      </x:c>
      <x:c r="R147" s="39" t="inlineStr">
        <x:is>
          <x:t xml:space="preserve">theorem resurrection_same_substrate_richer_expression : True</x:t>
        </x:is>
      </x:c>
    </x:row>
    <x:row r="148" ht="15" customHeight="1">
      <x:c r="A148" s="37" t="inlineStr">
        <x:is>
          <x:t xml:space="preserve">\\192.168.2.50\h_hp\Desktop\Master EXCEL\Lean 4.xlsx</x:t>
        </x:is>
      </x:c>
      <x:c r="B148" s="38" t="inlineStr">
        <x:is>
          <x:t xml:space="preserve">LEAN_DERIVATION_CHAIN</x:t>
        </x:is>
      </x:c>
      <x:c r="C148" s="38" t="inlineStr">
        <x:is>
          <x:t xml:space="preserve">162</x:t>
        </x:is>
      </x:c>
      <x:c r="D148" s="38" t="inlineStr">
        <x:is>
          <x:t xml:space="preserve">163–164</x:t>
        </x:is>
      </x:c>
      <x:c r="E148" s="38" t="inlineStr">
        <x:is>
          <x:t xml:space="preserve">13 — Mission</x:t>
        </x:is>
      </x:c>
      <x:c r="F148" s="38" t="inlineStr">
        <x:is>
          <x:t xml:space="preserve">MissionReturnOperator.lean</x:t>
        </x:is>
      </x:c>
      <x:c r="G148" s="38" t="inlineStr">
        <x:is>
          <x:t xml:space="preserve">mission_COp_restores/preserves</x:t>
        </x:is>
      </x:c>
      <x:c r="H148" s="38" t="inlineStr">
        <x:is>
          <x:t xml:space="preserve">Combined mission+C_op restores negative burden AND preserves source history</x:t>
        </x:is>
      </x:c>
      <x:c r="I148" s="38" t="inlineStr">
        <x:is>
          <x:t xml:space="preserve">simp</x:t>
        </x:is>
      </x:c>
      <x:c r="J148" s="38" t="inlineStr">
        <x:is>
          <x:t xml:space="preserve">PROVED</x:t>
        </x:is>
      </x:c>
      <x:c r="K148" s="38" t="inlineStr">
        <x:is>
          <x:t xml:space="preserve">L6-Q4, L6-P4</x:t>
        </x:is>
      </x:c>
      <x:c r="L148" s="38" t="inlineStr">
        <x:is>
          <x:t xml:space="preserve">0</x:t>
        </x:is>
      </x:c>
      <x:c r="M148" s="38" t="n"/>
      <x:c r="N148" s="38" t="n"/>
      <x:c r="O148" s="38" t="n"/>
      <x:c r="P148" s="38" t="inlineStr">
        <x:is>
          <x:t xml:space="preserve">NOT_FOUND_IN_HUB</x:t>
        </x:is>
      </x:c>
      <x:c r="Q148" s="38" t="inlineStr">
        <x:is>
          <x:t xml:space="preserve">Workbook theorem name not found in extracted hub Lean files.</x:t>
        </x:is>
      </x:c>
      <x:c r="R148" s="39" t="n"/>
    </x:row>
    <x:row r="149" ht="15" customHeight="1">
      <x:c r="A149" s="37" t="inlineStr">
        <x:is>
          <x:t xml:space="preserve">\\192.168.2.50\h_hp\Desktop\Master EXCEL\Lean 4.xlsx</x:t>
        </x:is>
      </x:c>
      <x:c r="B149" s="38" t="inlineStr">
        <x:is>
          <x:t xml:space="preserve">LEAN_DERIVATION_CHAIN</x:t>
        </x:is>
      </x:c>
      <x:c r="C149" s="38" t="inlineStr">
        <x:is>
          <x:t xml:space="preserve">163</x:t>
        </x:is>
      </x:c>
      <x:c r="D149" s="38" t="inlineStr">
        <x:is>
          <x:t xml:space="preserve">165</x:t>
        </x:is>
      </x:c>
      <x:c r="E149" s="38" t="inlineStr">
        <x:is>
          <x:t xml:space="preserve">13 — Mission</x:t>
        </x:is>
      </x:c>
      <x:c r="F149" s="38" t="inlineStr">
        <x:is>
          <x:t xml:space="preserve">MissionReturnOperator.lean</x:t>
        </x:is>
      </x:c>
      <x:c r="G149" s="38" t="inlineStr">
        <x:is>
          <x:t xml:space="preserve">mission_COp_is_not_repair_only</x:t>
        </x:is>
      </x:c>
      <x:c r="H149" s="38" t="inlineStr">
        <x:is>
          <x:t xml:space="preserve">REJECTION: Phase = resurrection + source preserved. This is mission return, NOT repair-only.</x:t>
        </x:is>
      </x:c>
      <x:c r="I149" s="38" t="inlineStr">
        <x:is>
          <x:t xml:space="preserve">decide</x:t>
        </x:is>
      </x:c>
      <x:c r="J149" s="38" t="inlineStr">
        <x:is>
          <x:t xml:space="preserve">REJECTION</x:t>
        </x:is>
      </x:c>
      <x:c r="K149" s="38" t="inlineStr">
        <x:is>
          <x:t xml:space="preserve">P4.7</x:t>
        </x:is>
      </x:c>
      <x:c r="L149" s="38" t="inlineStr">
        <x:is>
          <x:t xml:space="preserve">4</x:t>
        </x:is>
      </x:c>
      <x:c r="M149" s="38" t="inlineStr">
        <x:is>
          <x:t xml:space="preserve">theophysics-lean-main</x:t>
        </x:is>
      </x:c>
      <x:c r="N149" s="38" t="inlineStr">
        <x:is>
          <x:t xml:space="preserve">theophysics-lean-main\theophysics-lean-main\Theophysics_Adversarial.lean</x:t>
        </x:is>
      </x:c>
      <x:c r="O149" s="38" t="inlineStr">
        <x:is>
          <x:t xml:space="preserve">524</x:t>
        </x:is>
      </x:c>
      <x:c r="P149" s="38" t="inlineStr">
        <x:is>
          <x:t xml:space="preserve">DEFINITIONAL_RFL</x:t>
        </x:is>
      </x:c>
      <x:c r="Q149" s="38" t="inlineStr">
        <x:is>
          <x:t xml:space="preserve">Proves definitional equality by reduction; useful but narrow.</x:t>
        </x:is>
      </x:c>
      <x:c r="R149" s="39" t="inlineStr">
        <x:is>
          <x:t xml:space="preserve">theorem mission_COp_is_not_repair_only : missionCOpIsRepairOnly = false</x:t>
        </x:is>
      </x:c>
    </x:row>
    <x:row r="150" ht="15" customHeight="1">
      <x:c r="A150" s="37" t="inlineStr">
        <x:is>
          <x:t xml:space="preserve">\\192.168.2.50\h_hp\Desktop\Master EXCEL\Lean 4.xlsx</x:t>
        </x:is>
      </x:c>
      <x:c r="B150" s="38" t="inlineStr">
        <x:is>
          <x:t xml:space="preserve">LEAN_DERIVATION_CHAIN</x:t>
        </x:is>
      </x:c>
      <x:c r="C150" s="38" t="inlineStr">
        <x:is>
          <x:t xml:space="preserve">165</x:t>
        </x:is>
      </x:c>
      <x:c r="D150" s="38" t="inlineStr">
        <x:is>
          <x:t xml:space="preserve">166</x:t>
        </x:is>
      </x:c>
      <x:c r="E150" s="38" t="inlineStr">
        <x:is>
          <x:t xml:space="preserve">14 — Memory</x:t>
        </x:is>
      </x:c>
      <x:c r="F150" s="38" t="inlineStr">
        <x:is>
          <x:t xml:space="preserve">MemoryPersistenceDiscipline.lean</x:t>
        </x:is>
      </x:c>
      <x:c r="G150" s="38" t="inlineStr">
        <x:is>
          <x:t xml:space="preserve">christ_coherent_memory_retained</x:t>
        </x:is>
      </x:c>
      <x:c r="H150" s="38" t="inlineStr">
        <x:is>
          <x:t xml:space="preserve">Recorded + Christ-coherent → retention bit = 1</x:t>
        </x:is>
      </x:c>
      <x:c r="I150" s="38" t="inlineStr">
        <x:is>
          <x:t xml:space="preserve">simp</x:t>
        </x:is>
      </x:c>
      <x:c r="J150" s="38" t="inlineStr">
        <x:is>
          <x:t xml:space="preserve">PROVED</x:t>
        </x:is>
      </x:c>
      <x:c r="K150" s="38" t="inlineStr">
        <x:is>
          <x:t xml:space="preserve">L6-P4</x:t>
        </x:is>
      </x:c>
      <x:c r="L150" s="38" t="inlineStr">
        <x:is>
          <x:t xml:space="preserve">4</x:t>
        </x:is>
      </x:c>
      <x:c r="M150" s="38" t="inlineStr">
        <x:is>
          <x:t xml:space="preserve">theophysics-lean-main</x:t>
        </x:is>
      </x:c>
      <x:c r="N150" s="38" t="inlineStr">
        <x:is>
          <x:t xml:space="preserve">theophysics-lean-main\theophysics-lean-main\Theophysics_Core.lean</x:t>
        </x:is>
      </x:c>
      <x:c r="O150" s="38" t="inlineStr">
        <x:is>
          <x:t xml:space="preserve">147</x:t>
        </x:is>
      </x:c>
      <x:c r="P150" s="38" t="inlineStr">
        <x:is>
          <x:t xml:space="preserve">TRIVIAL_TRUE</x:t>
        </x:is>
      </x:c>
      <x:c r="Q150" s="38" t="inlineStr">
        <x:is>
          <x:t xml:space="preserve">Statement is `True`; theorem name may exceed formal content.</x:t>
        </x:is>
      </x:c>
      <x:c r="R150" s="39" t="inlineStr">
        <x:is>
          <x:t xml:space="preserve">theorem christ_coherent_memory_retained : True</x:t>
        </x:is>
      </x:c>
    </x:row>
    <x:row r="151" ht="15" customHeight="1">
      <x:c r="A151" s="37" t="inlineStr">
        <x:is>
          <x:t xml:space="preserve">\\192.168.2.50\h_hp\Desktop\Master EXCEL\Lean 4.xlsx</x:t>
        </x:is>
      </x:c>
      <x:c r="B151" s="38" t="inlineStr">
        <x:is>
          <x:t xml:space="preserve">LEAN_DERIVATION_CHAIN</x:t>
        </x:is>
      </x:c>
      <x:c r="C151" s="38" t="inlineStr">
        <x:is>
          <x:t xml:space="preserve">166</x:t>
        </x:is>
      </x:c>
      <x:c r="D151" s="38" t="inlineStr">
        <x:is>
          <x:t xml:space="preserve">167</x:t>
        </x:is>
      </x:c>
      <x:c r="E151" s="38" t="inlineStr">
        <x:is>
          <x:t xml:space="preserve">14 — Memory</x:t>
        </x:is>
      </x:c>
      <x:c r="F151" s="38" t="inlineStr">
        <x:is>
          <x:t xml:space="preserve">MemoryPersistenceDiscipline.lean</x:t>
        </x:is>
      </x:c>
      <x:c r="G151" s="38" t="inlineStr">
        <x:is>
          <x:t xml:space="preserve">incoherent_recorded_memory_not_retained</x:t>
        </x:is>
      </x:c>
      <x:c r="H151" s="38" t="inlineStr">
        <x:is>
          <x:t xml:space="preserve">REJECTION: Recorded but incoherent → retention bit = 0. Record alone is insufficient.</x:t>
        </x:is>
      </x:c>
      <x:c r="I151" s="38" t="inlineStr">
        <x:is>
          <x:t xml:space="preserve">simp</x:t>
        </x:is>
      </x:c>
      <x:c r="J151" s="38" t="inlineStr">
        <x:is>
          <x:t xml:space="preserve">REJECTION</x:t>
        </x:is>
      </x:c>
      <x:c r="K151" s="38" t="inlineStr">
        <x:is>
          <x:t xml:space="preserve">L6-P4</x:t>
        </x:is>
      </x:c>
      <x:c r="L151" s="38" t="inlineStr">
        <x:is>
          <x:t xml:space="preserve">4</x:t>
        </x:is>
      </x:c>
      <x:c r="M151" s="38" t="inlineStr">
        <x:is>
          <x:t xml:space="preserve">theophysics-lean-main</x:t>
        </x:is>
      </x:c>
      <x:c r="N151" s="38" t="inlineStr">
        <x:is>
          <x:t xml:space="preserve">theophysics-lean-main\theophysics-lean-main\Theophysics_Adversarial.lean</x:t>
        </x:is>
      </x:c>
      <x:c r="O151" s="38" t="inlineStr">
        <x:is>
          <x:t xml:space="preserve">528</x:t>
        </x:is>
      </x:c>
      <x:c r="P151" s="38" t="inlineStr">
        <x:is>
          <x:t xml:space="preserve">DEFINITIONAL_RFL</x:t>
        </x:is>
      </x:c>
      <x:c r="Q151" s="38" t="inlineStr">
        <x:is>
          <x:t xml:space="preserve">Proves definitional equality by reduction; useful but narrow.</x:t>
        </x:is>
      </x:c>
      <x:c r="R151" s="39" t="inlineStr">
        <x:is>
          <x:t xml:space="preserve">theorem incoherent_recorded_memory_not_retained : retainedMemory { recorded := true, christCoherent := false } = false</x:t>
        </x:is>
      </x:c>
    </x:row>
    <x:row r="152" ht="15" customHeight="1">
      <x:c r="A152" s="37" t="inlineStr">
        <x:is>
          <x:t xml:space="preserve">\\192.168.2.50\h_hp\Desktop\Master EXCEL\Lean 4.xlsx</x:t>
        </x:is>
      </x:c>
      <x:c r="B152" s="38" t="inlineStr">
        <x:is>
          <x:t xml:space="preserve">LEAN_DERIVATION_CHAIN</x:t>
        </x:is>
      </x:c>
      <x:c r="C152" s="38" t="inlineStr">
        <x:is>
          <x:t xml:space="preserve">167</x:t>
        </x:is>
      </x:c>
      <x:c r="D152" s="38" t="inlineStr">
        <x:is>
          <x:t xml:space="preserve">168–169</x:t>
        </x:is>
      </x:c>
      <x:c r="E152" s="38" t="inlineStr">
        <x:is>
          <x:t xml:space="preserve">14 — Memory</x:t>
        </x:is>
      </x:c>
      <x:c r="F152" s="38" t="inlineStr">
        <x:is>
          <x:t xml:space="preserve">MemoryPersistenceDiscipline.lean</x:t>
        </x:is>
      </x:c>
      <x:c r="G152" s="38" t="inlineStr">
        <x:is>
          <x:t xml:space="preserve">unrecorded/incoherent_forces_no_retention</x:t>
        </x:is>
      </x:c>
      <x:c r="H152" s="38" t="inlineStr">
        <x:is>
          <x:t xml:space="preserve">REJECTION: ∀ m, unrecorded → retention = 0. ∀ m, incoherent → retention = 0.</x:t>
        </x:is>
      </x:c>
      <x:c r="I152" s="38" t="inlineStr">
        <x:is>
          <x:t xml:space="preserve">simp</x:t>
        </x:is>
      </x:c>
      <x:c r="J152" s="38" t="inlineStr">
        <x:is>
          <x:t xml:space="preserve">REJECTION</x:t>
        </x:is>
      </x:c>
      <x:c r="K152" s="38" t="inlineStr">
        <x:is>
          <x:t xml:space="preserve">L6-P4</x:t>
        </x:is>
      </x:c>
      <x:c r="L152" s="38" t="inlineStr">
        <x:is>
          <x:t xml:space="preserve">0</x:t>
        </x:is>
      </x:c>
      <x:c r="M152" s="38" t="n"/>
      <x:c r="N152" s="38" t="n"/>
      <x:c r="O152" s="38" t="n"/>
      <x:c r="P152" s="38" t="inlineStr">
        <x:is>
          <x:t xml:space="preserve">NOT_FOUND_IN_HUB</x:t>
        </x:is>
      </x:c>
      <x:c r="Q152" s="38" t="inlineStr">
        <x:is>
          <x:t xml:space="preserve">Workbook theorem name not found in extracted hub Lean files.</x:t>
        </x:is>
      </x:c>
      <x:c r="R152" s="39" t="n"/>
    </x:row>
    <x:row r="153" ht="15" customHeight="1">
      <x:c r="A153" s="37" t="inlineStr">
        <x:is>
          <x:t xml:space="preserve">\\192.168.2.50\h_hp\Desktop\Master EXCEL\Lean 4.xlsx</x:t>
        </x:is>
      </x:c>
      <x:c r="B153" s="38" t="inlineStr">
        <x:is>
          <x:t xml:space="preserve">LEAN_DERIVATION_CHAIN</x:t>
        </x:is>
      </x:c>
      <x:c r="C153" s="38" t="inlineStr">
        <x:is>
          <x:t xml:space="preserve">168</x:t>
        </x:is>
      </x:c>
      <x:c r="D153" s="38" t="inlineStr">
        <x:is>
          <x:t xml:space="preserve">170</x:t>
        </x:is>
      </x:c>
      <x:c r="E153" s="38" t="inlineStr">
        <x:is>
          <x:t xml:space="preserve">14 — Memory</x:t>
        </x:is>
      </x:c>
      <x:c r="F153" s="38" t="inlineStr">
        <x:is>
          <x:t xml:space="preserve">MemoryPersistenceDiscipline.lean</x:t>
        </x:is>
      </x:c>
      <x:c r="G153" s="38" t="inlineStr">
        <x:is>
          <x:t xml:space="preserve">recorded_and_christ_coherent_forces_retention</x:t>
        </x:is>
      </x:c>
      <x:c r="H153" s="38" t="inlineStr">
        <x:is>
          <x:t xml:space="preserve">∀ m, recorded ∧ coherent → retention = 1</x:t>
        </x:is>
      </x:c>
      <x:c r="I153" s="38" t="inlineStr">
        <x:is>
          <x:t xml:space="preserve">simp</x:t>
        </x:is>
      </x:c>
      <x:c r="J153" s="38" t="inlineStr">
        <x:is>
          <x:t xml:space="preserve">PROVED</x:t>
        </x:is>
      </x:c>
      <x:c r="K153" s="38" t="inlineStr">
        <x:is>
          <x:t xml:space="preserve">L6-P4</x:t>
        </x:is>
      </x:c>
      <x:c r="L153" s="38" t="inlineStr">
        <x:is>
          <x:t xml:space="preserve">4</x:t>
        </x:is>
      </x:c>
      <x:c r="M153" s="38" t="inlineStr">
        <x:is>
          <x:t xml:space="preserve">theophysics-lean-main</x:t>
        </x:is>
      </x:c>
      <x:c r="N153" s="38" t="inlineStr">
        <x:is>
          <x:t xml:space="preserve">theophysics-lean-main\theophysics-lean-main\Theophysics_Core.lean</x:t>
        </x:is>
      </x:c>
      <x:c r="O153" s="38" t="inlineStr">
        <x:is>
          <x:t xml:space="preserve">150</x:t>
        </x:is>
      </x:c>
      <x:c r="P153" s="38" t="inlineStr">
        <x:is>
          <x:t xml:space="preserve">TRIVIAL_TRUE</x:t>
        </x:is>
      </x:c>
      <x:c r="Q153" s="38" t="inlineStr">
        <x:is>
          <x:t xml:space="preserve">Statement is `True`; theorem name may exceed formal content.</x:t>
        </x:is>
      </x:c>
      <x:c r="R153" s="39" t="inlineStr">
        <x:is>
          <x:t xml:space="preserve">theorem recorded_and_christ_coherent_forces_retention : True</x:t>
        </x:is>
      </x:c>
    </x:row>
    <x:row r="154" ht="15" customHeight="1">
      <x:c r="A154" s="37" t="inlineStr">
        <x:is>
          <x:t xml:space="preserve">\\192.168.2.50\h_hp\Desktop\Master EXCEL\Lean 4.xlsx</x:t>
        </x:is>
      </x:c>
      <x:c r="B154" s="38" t="inlineStr">
        <x:is>
          <x:t xml:space="preserve">LEAN_DERIVATION_CHAIN</x:t>
        </x:is>
      </x:c>
      <x:c r="C154" s="38" t="inlineStr">
        <x:is>
          <x:t xml:space="preserve">169</x:t>
        </x:is>
      </x:c>
      <x:c r="D154" s="38" t="inlineStr">
        <x:is>
          <x:t xml:space="preserve">171</x:t>
        </x:is>
      </x:c>
      <x:c r="E154" s="38" t="inlineStr">
        <x:is>
          <x:t xml:space="preserve">14 — Memory</x:t>
        </x:is>
      </x:c>
      <x:c r="F154" s="38" t="inlineStr">
        <x:is>
          <x:t xml:space="preserve">MemoryPersistenceDiscipline.lean</x:t>
        </x:is>
      </x:c>
      <x:c r="G154" s="38" t="inlineStr">
        <x:is>
          <x:t xml:space="preserve">incoherent_recorded_memory_fails_only_final_retention</x:t>
        </x:is>
      </x:c>
      <x:c r="H154" s="38" t="inlineStr">
        <x:is>
          <x:t xml:space="preserve">Accessible during life but filtered at death. Living memory ≠ final identity.</x:t>
        </x:is>
      </x:c>
      <x:c r="I154" s="38" t="inlineStr">
        <x:is>
          <x:t xml:space="preserve">decide</x:t>
        </x:is>
      </x:c>
      <x:c r="J154" s="38" t="inlineStr">
        <x:is>
          <x:t xml:space="preserve">PROVED</x:t>
        </x:is>
      </x:c>
      <x:c r="K154" s="38" t="inlineStr">
        <x:is>
          <x:t xml:space="preserve">L6-P4</x:t>
        </x:is>
      </x:c>
      <x:c r="L154" s="38" t="inlineStr">
        <x:is>
          <x:t xml:space="preserve">4</x:t>
        </x:is>
      </x:c>
      <x:c r="M154" s="38" t="inlineStr">
        <x:is>
          <x:t xml:space="preserve">theophysics-lean-main</x:t>
        </x:is>
      </x:c>
      <x:c r="N154" s="38" t="inlineStr">
        <x:is>
          <x:t xml:space="preserve">theophysics-lean-main\theophysics-lean-main\Theophysics_Core.lean</x:t>
        </x:is>
      </x:c>
      <x:c r="O154" s="38" t="inlineStr">
        <x:is>
          <x:t xml:space="preserve">149</x:t>
        </x:is>
      </x:c>
      <x:c r="P154" s="38" t="inlineStr">
        <x:is>
          <x:t xml:space="preserve">TRIVIAL_TRUE</x:t>
        </x:is>
      </x:c>
      <x:c r="Q154" s="38" t="inlineStr">
        <x:is>
          <x:t xml:space="preserve">Statement is `True`; theorem name may exceed formal content.</x:t>
        </x:is>
      </x:c>
      <x:c r="R154" s="39" t="inlineStr">
        <x:is>
          <x:t xml:space="preserve">theorem incoherent_recorded_memory_fails_only_final_retention : True</x:t>
        </x:is>
      </x:c>
    </x:row>
    <x:row r="155" ht="15" customHeight="1">
      <x:c r="A155" s="37" t="inlineStr">
        <x:is>
          <x:t xml:space="preserve">\\192.168.2.50\h_hp\Desktop\Master EXCEL\Lean 4.xlsx</x:t>
        </x:is>
      </x:c>
      <x:c r="B155" s="38" t="inlineStr">
        <x:is>
          <x:t xml:space="preserve">LEAN_DERIVATION_CHAIN</x:t>
        </x:is>
      </x:c>
      <x:c r="C155" s="38" t="inlineStr">
        <x:is>
          <x:t xml:space="preserve">170</x:t>
        </x:is>
      </x:c>
      <x:c r="D155" s="38" t="inlineStr">
        <x:is>
          <x:t xml:space="preserve">172</x:t>
        </x:is>
      </x:c>
      <x:c r="E155" s="38" t="inlineStr">
        <x:is>
          <x:t xml:space="preserve">14 — Memory</x:t>
        </x:is>
      </x:c>
      <x:c r="F155" s="38" t="inlineStr">
        <x:is>
          <x:t xml:space="preserve">MemoryPersistenceDiscipline.lean</x:t>
        </x:is>
      </x:c>
      <x:c r="G155" s="38" t="inlineStr">
        <x:is>
          <x:t xml:space="preserve">living_memory_is_not_final_identity_memory</x:t>
        </x:is>
      </x:c>
      <x:c r="H155" s="38" t="inlineStr">
        <x:is>
          <x:t xml:space="preserve">REJECTION: Life memory ≠ final identity memory. What you carry ≠ who you become.</x:t>
        </x:is>
      </x:c>
      <x:c r="I155" s="38" t="inlineStr">
        <x:is>
          <x:t xml:space="preserve">decide</x:t>
        </x:is>
      </x:c>
      <x:c r="J155" s="38" t="inlineStr">
        <x:is>
          <x:t xml:space="preserve">REJECTION</x:t>
        </x:is>
      </x:c>
      <x:c r="K155" s="38" t="inlineStr">
        <x:is>
          <x:t xml:space="preserve">L6-P4</x:t>
        </x:is>
      </x:c>
      <x:c r="L155" s="38" t="inlineStr">
        <x:is>
          <x:t xml:space="preserve">4</x:t>
        </x:is>
      </x:c>
      <x:c r="M155" s="38" t="inlineStr">
        <x:is>
          <x:t xml:space="preserve">theophysics-lean-main</x:t>
        </x:is>
      </x:c>
      <x:c r="N155" s="38" t="inlineStr">
        <x:is>
          <x:t xml:space="preserve">theophysics-lean-main\theophysics-lean-main\Theophysics_Adversarial.lean</x:t>
        </x:is>
      </x:c>
      <x:c r="O155" s="38" t="inlineStr">
        <x:is>
          <x:t xml:space="preserve">532</x:t>
        </x:is>
      </x:c>
      <x:c r="P155" s="38" t="inlineStr">
        <x:is>
          <x:t xml:space="preserve">DEFINITIONAL_RFL</x:t>
        </x:is>
      </x:c>
      <x:c r="Q155" s="38" t="inlineStr">
        <x:is>
          <x:t xml:space="preserve">Proves definitional equality by reduction; useful but narrow.</x:t>
        </x:is>
      </x:c>
      <x:c r="R155" s="39" t="inlineStr">
        <x:is>
          <x:t xml:space="preserve">theorem living_memory_is_not_final_identity_memory : retainedMemory { finalIdentityMemory := false } = false</x:t>
        </x:is>
      </x:c>
    </x:row>
    <x:row r="156" ht="15" customHeight="1">
      <x:c r="A156" s="37" t="inlineStr">
        <x:is>
          <x:t xml:space="preserve">\\192.168.2.50\h_hp\Desktop\Master EXCEL\Lean 4.xlsx</x:t>
        </x:is>
      </x:c>
      <x:c r="B156" s="38" t="inlineStr">
        <x:is>
          <x:t xml:space="preserve">LEAN_DERIVATION_CHAIN</x:t>
        </x:is>
      </x:c>
      <x:c r="C156" s="38" t="inlineStr">
        <x:is>
          <x:t xml:space="preserve">171</x:t>
        </x:is>
      </x:c>
      <x:c r="D156" s="38" t="inlineStr">
        <x:is>
          <x:t xml:space="preserve">173</x:t>
        </x:is>
      </x:c>
      <x:c r="E156" s="38" t="inlineStr">
        <x:is>
          <x:t xml:space="preserve">14 — Memory</x:t>
        </x:is>
      </x:c>
      <x:c r="F156" s="38" t="inlineStr">
        <x:is>
          <x:t xml:space="preserve">MemoryPersistenceDiscipline.lean</x:t>
        </x:is>
      </x:c>
      <x:c r="G156" s="38" t="inlineStr">
        <x:is>
          <x:t xml:space="preserve">reoriented_incoherent_memory_becomes_retained</x:t>
        </x:is>
      </x:c>
      <x:c r="H156" s="38" t="inlineStr">
        <x:is>
          <x:t xml:space="preserve">Reorientation to Christ → retention restored. Conversion works.</x:t>
        </x:is>
      </x:c>
      <x:c r="I156" s="38" t="inlineStr">
        <x:is>
          <x:t xml:space="preserve">simp</x:t>
        </x:is>
      </x:c>
      <x:c r="J156" s="38" t="inlineStr">
        <x:is>
          <x:t xml:space="preserve">PROVED</x:t>
        </x:is>
      </x:c>
      <x:c r="K156" s="38" t="inlineStr">
        <x:is>
          <x:t xml:space="preserve">L6-Q4</x:t>
        </x:is>
      </x:c>
      <x:c r="L156" s="38" t="inlineStr">
        <x:is>
          <x:t xml:space="preserve">4</x:t>
        </x:is>
      </x:c>
      <x:c r="M156" s="38" t="inlineStr">
        <x:is>
          <x:t xml:space="preserve">theophysics-lean-main</x:t>
        </x:is>
      </x:c>
      <x:c r="N156" s="38" t="inlineStr">
        <x:is>
          <x:t xml:space="preserve">theophysics-lean-main\theophysics-lean-main\Theophysics_Core.lean</x:t>
        </x:is>
      </x:c>
      <x:c r="O156" s="38" t="inlineStr">
        <x:is>
          <x:t xml:space="preserve">151</x:t>
        </x:is>
      </x:c>
      <x:c r="P156" s="38" t="inlineStr">
        <x:is>
          <x:t xml:space="preserve">TRIVIAL_TRUE</x:t>
        </x:is>
      </x:c>
      <x:c r="Q156" s="38" t="inlineStr">
        <x:is>
          <x:t xml:space="preserve">Statement is `True`; theorem name may exceed formal content.</x:t>
        </x:is>
      </x:c>
      <x:c r="R156" s="39" t="inlineStr">
        <x:is>
          <x:t xml:space="preserve">theorem reoriented_incoherent_memory_becomes_retained : True</x:t>
        </x:is>
      </x:c>
    </x:row>
    <x:row r="157" ht="15" customHeight="1">
      <x:c r="A157" s="37" t="inlineStr">
        <x:is>
          <x:t xml:space="preserve">\\192.168.2.50\h_hp\Desktop\Master EXCEL\Lean 4.xlsx</x:t>
        </x:is>
      </x:c>
      <x:c r="B157" s="38" t="inlineStr">
        <x:is>
          <x:t xml:space="preserve">LEAN_DERIVATION_CHAIN</x:t>
        </x:is>
      </x:c>
      <x:c r="C157" s="38" t="inlineStr">
        <x:is>
          <x:t xml:space="preserve">172</x:t>
        </x:is>
      </x:c>
      <x:c r="D157" s="38" t="inlineStr">
        <x:is>
          <x:t xml:space="preserve">174–176</x:t>
        </x:is>
      </x:c>
      <x:c r="E157" s="38" t="inlineStr">
        <x:is>
          <x:t xml:space="preserve">14 — Memory</x:t>
        </x:is>
      </x:c>
      <x:c r="F157" s="38" t="inlineStr">
        <x:is>
          <x:t xml:space="preserve">MemoryPersistenceDiscipline.lean</x:t>
        </x:is>
      </x:c>
      <x:c r="G157" s="38" t="inlineStr">
        <x:is>
          <x:t xml:space="preserve">final_identity conditions (3 theorems)</x:t>
        </x:is>
      </x:c>
      <x:c r="H157" s="38" t="inlineStr">
        <x:is>
          <x:t xml:space="preserve">Coherent + integrated = final identity. Discoherent = no final identity. Coherent but not integrated = no final identity.</x:t>
        </x:is>
      </x:c>
      <x:c r="I157" s="38" t="inlineStr">
        <x:is>
          <x:t xml:space="preserve">simp/decide</x:t>
        </x:is>
      </x:c>
      <x:c r="J157" s="38" t="inlineStr">
        <x:is>
          <x:t xml:space="preserve">PROVED</x:t>
        </x:is>
      </x:c>
      <x:c r="K157" s="38" t="inlineStr">
        <x:is>
          <x:t xml:space="preserve">L6-P4</x:t>
        </x:is>
      </x:c>
      <x:c r="L157" s="38" t="inlineStr">
        <x:is>
          <x:t xml:space="preserve">0</x:t>
        </x:is>
      </x:c>
      <x:c r="M157" s="38" t="n"/>
      <x:c r="N157" s="38" t="n"/>
      <x:c r="O157" s="38" t="n"/>
      <x:c r="P157" s="38" t="inlineStr">
        <x:is>
          <x:t xml:space="preserve">NOT_FOUND_IN_HUB</x:t>
        </x:is>
      </x:c>
      <x:c r="Q157" s="38" t="inlineStr">
        <x:is>
          <x:t xml:space="preserve">Workbook theorem name not found in extracted hub Lean files.</x:t>
        </x:is>
      </x:c>
      <x:c r="R157" s="39" t="n"/>
    </x:row>
    <x:row r="158" ht="15" customHeight="1">
      <x:c r="A158" s="37" t="inlineStr">
        <x:is>
          <x:t xml:space="preserve">\\192.168.2.50\h_hp\Desktop\Master EXCEL\Lean 4.xlsx</x:t>
        </x:is>
      </x:c>
      <x:c r="B158" s="38" t="inlineStr">
        <x:is>
          <x:t xml:space="preserve">LEAN_DERIVATION_CHAIN</x:t>
        </x:is>
      </x:c>
      <x:c r="C158" s="38" t="inlineStr">
        <x:is>
          <x:t xml:space="preserve">173</x:t>
        </x:is>
      </x:c>
      <x:c r="D158" s="38" t="inlineStr">
        <x:is>
          <x:t xml:space="preserve">177</x:t>
        </x:is>
      </x:c>
      <x:c r="E158" s="38" t="inlineStr">
        <x:is>
          <x:t xml:space="preserve">14 — Memory</x:t>
        </x:is>
      </x:c>
      <x:c r="F158" s="38" t="inlineStr">
        <x:is>
          <x:t xml:space="preserve">MemoryPersistenceDiscipline.lean</x:t>
        </x:is>
      </x:c>
      <x:c r="G158" s="38" t="inlineStr">
        <x:is>
          <x:t xml:space="preserve">heaven_is_coherent_and_eternal</x:t>
        </x:is>
      </x:c>
      <x:c r="H158" s="38" t="inlineStr">
        <x:is>
          <x:t xml:space="preserve">Heaven = coherent + eternal domain. Unique characterization.</x:t>
        </x:is>
      </x:c>
      <x:c r="I158" s="38" t="inlineStr">
        <x:is>
          <x:t xml:space="preserve">rfl</x:t>
        </x:is>
      </x:c>
      <x:c r="J158" s="38" t="inlineStr">
        <x:is>
          <x:t xml:space="preserve">PROVED</x:t>
        </x:is>
      </x:c>
      <x:c r="K158" s="38" t="inlineStr">
        <x:is>
          <x:t xml:space="preserve">L6-P1</x:t>
        </x:is>
      </x:c>
      <x:c r="L158" s="38" t="inlineStr">
        <x:is>
          <x:t xml:space="preserve">4</x:t>
        </x:is>
      </x:c>
      <x:c r="M158" s="38" t="inlineStr">
        <x:is>
          <x:t xml:space="preserve">theophysics-lean-main</x:t>
        </x:is>
      </x:c>
      <x:c r="N158" s="38" t="inlineStr">
        <x:is>
          <x:t xml:space="preserve">theophysics-lean-main\theophysics-lean-main\Theophysics_Core.lean</x:t>
        </x:is>
      </x:c>
      <x:c r="O158" s="38" t="inlineStr">
        <x:is>
          <x:t xml:space="preserve">148</x:t>
        </x:is>
      </x:c>
      <x:c r="P158" s="38" t="inlineStr">
        <x:is>
          <x:t xml:space="preserve">TRIVIAL_TRUE</x:t>
        </x:is>
      </x:c>
      <x:c r="Q158" s="38" t="inlineStr">
        <x:is>
          <x:t xml:space="preserve">Statement is `True`; theorem name may exceed formal content.</x:t>
        </x:is>
      </x:c>
      <x:c r="R158" s="39" t="inlineStr">
        <x:is>
          <x:t xml:space="preserve">theorem heaven_is_coherent_and_eternal : True</x:t>
        </x:is>
      </x:c>
    </x:row>
    <x:row r="159" ht="15" customHeight="1">
      <x:c r="A159" s="37" t="inlineStr">
        <x:is>
          <x:t xml:space="preserve">\\192.168.2.50\h_hp\Desktop\Master EXCEL\Lean 4.xlsx</x:t>
        </x:is>
      </x:c>
      <x:c r="B159" s="38" t="inlineStr">
        <x:is>
          <x:t xml:space="preserve">LEAN_DERIVATION_CHAIN</x:t>
        </x:is>
      </x:c>
      <x:c r="C159" s="38" t="inlineStr">
        <x:is>
          <x:t xml:space="preserve">174</x:t>
        </x:is>
      </x:c>
      <x:c r="D159" s="38" t="inlineStr">
        <x:is>
          <x:t xml:space="preserve">178–179</x:t>
        </x:is>
      </x:c>
      <x:c r="E159" s="38" t="inlineStr">
        <x:is>
          <x:t xml:space="preserve">14 — Memory</x:t>
        </x:is>
      </x:c>
      <x:c r="F159" s="38" t="inlineStr">
        <x:is>
          <x:t xml:space="preserve">MemoryPersistenceDiscipline.lean</x:t>
        </x:is>
      </x:c>
      <x:c r="G159" s="38" t="inlineStr">
        <x:is>
          <x:t xml:space="preserve">merely_temporal/eternal_insufficient</x:t>
        </x:is>
      </x:c>
      <x:c r="H159" s="38" t="inlineStr">
        <x:is>
          <x:t xml:space="preserve">REJECTION: Temporal coherence insufficient. Eternal instability insufficient. Both needed.</x:t>
        </x:is>
      </x:c>
      <x:c r="I159" s="38" t="inlineStr">
        <x:is>
          <x:t xml:space="preserve">decide</x:t>
        </x:is>
      </x:c>
      <x:c r="J159" s="38" t="inlineStr">
        <x:is>
          <x:t xml:space="preserve">REJECTION</x:t>
        </x:is>
      </x:c>
      <x:c r="K159" s="38" t="inlineStr">
        <x:is>
          <x:t xml:space="preserve">L6-P1</x:t>
        </x:is>
      </x:c>
      <x:c r="L159" s="38" t="inlineStr">
        <x:is>
          <x:t xml:space="preserve">0</x:t>
        </x:is>
      </x:c>
      <x:c r="M159" s="38" t="n"/>
      <x:c r="N159" s="38" t="n"/>
      <x:c r="O159" s="38" t="n"/>
      <x:c r="P159" s="38" t="inlineStr">
        <x:is>
          <x:t xml:space="preserve">NOT_FOUND_IN_HUB</x:t>
        </x:is>
      </x:c>
      <x:c r="Q159" s="38" t="inlineStr">
        <x:is>
          <x:t xml:space="preserve">Workbook theorem name not found in extracted hub Lean files.</x:t>
        </x:is>
      </x:c>
      <x:c r="R159" s="39" t="n"/>
    </x:row>
    <x:row r="160" ht="15" customHeight="1">
      <x:c r="A160" s="37" t="inlineStr">
        <x:is>
          <x:t xml:space="preserve">\\192.168.2.50\h_hp\Desktop\Master EXCEL\Lean 4.xlsx</x:t>
        </x:is>
      </x:c>
      <x:c r="B160" s="38" t="inlineStr">
        <x:is>
          <x:t xml:space="preserve">LEAN_DERIVATION_CHAIN</x:t>
        </x:is>
      </x:c>
      <x:c r="C160" s="38" t="inlineStr">
        <x:is>
          <x:t xml:space="preserve">175</x:t>
        </x:is>
      </x:c>
      <x:c r="D160" s="38" t="inlineStr">
        <x:is>
          <x:t xml:space="preserve">180</x:t>
        </x:is>
      </x:c>
      <x:c r="E160" s="38" t="inlineStr">
        <x:is>
          <x:t xml:space="preserve">14 — Memory</x:t>
        </x:is>
      </x:c>
      <x:c r="F160" s="38" t="inlineStr">
        <x:is>
          <x:t xml:space="preserve">MemoryPersistenceDiscipline.lean</x:t>
        </x:is>
      </x:c>
      <x:c r="G160" s="38" t="inlineStr">
        <x:is>
          <x:t xml:space="preserve">direct_discoherent_christ_entry_into_heaven_fails</x:t>
        </x:is>
      </x:c>
      <x:c r="H160" s="38" t="inlineStr">
        <x:is>
          <x:t xml:space="preserve">REJECTION: Discoherent memory cannot directly enter heaven</x:t>
        </x:is>
      </x:c>
      <x:c r="I160" s="38" t="inlineStr">
        <x:is>
          <x:t xml:space="preserve">decide</x:t>
        </x:is>
      </x:c>
      <x:c r="J160" s="38" t="inlineStr">
        <x:is>
          <x:t xml:space="preserve">REJECTION</x:t>
        </x:is>
      </x:c>
      <x:c r="K160" s="38" t="inlineStr">
        <x:is>
          <x:t xml:space="preserve">L6-P4</x:t>
        </x:is>
      </x:c>
      <x:c r="L160" s="38" t="inlineStr">
        <x:is>
          <x:t xml:space="preserve">4</x:t>
        </x:is>
      </x:c>
      <x:c r="M160" s="38" t="inlineStr">
        <x:is>
          <x:t xml:space="preserve">theophysics-lean-main</x:t>
        </x:is>
      </x:c>
      <x:c r="N160" s="38" t="inlineStr">
        <x:is>
          <x:t xml:space="preserve">theophysics-lean-main\theophysics-lean-main\Theophysics_Adversarial.lean</x:t>
        </x:is>
      </x:c>
      <x:c r="O160" s="38" t="inlineStr">
        <x:is>
          <x:t xml:space="preserve">536</x:t>
        </x:is>
      </x:c>
      <x:c r="P160" s="38" t="inlineStr">
        <x:is>
          <x:t xml:space="preserve">DEFINITIONAL_RFL</x:t>
        </x:is>
      </x:c>
      <x:c r="Q160" s="38" t="inlineStr">
        <x:is>
          <x:t xml:space="preserve">Proves definitional equality by reduction; useful but narrow.</x:t>
        </x:is>
      </x:c>
      <x:c r="R160" s="39" t="inlineStr">
        <x:is>
          <x:t xml:space="preserve">theorem direct_discoherent_christ_entry_into_heaven_fails : heavenEntryAllowed { christCoherent := false } = false</x:t>
        </x:is>
      </x:c>
    </x:row>
    <x:row r="161" ht="15" customHeight="1">
      <x:c r="A161" s="37" t="inlineStr">
        <x:is>
          <x:t xml:space="preserve">\\192.168.2.50\h_hp\Desktop\Master EXCEL\Lean 4.xlsx</x:t>
        </x:is>
      </x:c>
      <x:c r="B161" s="38" t="inlineStr">
        <x:is>
          <x:t xml:space="preserve">LEAN_DERIVATION_CHAIN</x:t>
        </x:is>
      </x:c>
      <x:c r="C161" s="38" t="inlineStr">
        <x:is>
          <x:t xml:space="preserve">176</x:t>
        </x:is>
      </x:c>
      <x:c r="D161" s="38" t="inlineStr">
        <x:is>
          <x:t xml:space="preserve">181</x:t>
        </x:is>
      </x:c>
      <x:c r="E161" s="38" t="inlineStr">
        <x:is>
          <x:t xml:space="preserve">14 — Memory</x:t>
        </x:is>
      </x:c>
      <x:c r="F161" s="38" t="inlineStr">
        <x:is>
          <x:t xml:space="preserve">MemoryPersistenceDiscipline.lean</x:t>
        </x:is>
      </x:c>
      <x:c r="G161" s="38" t="inlineStr">
        <x:is>
          <x:t xml:space="preserve">transformed_discoherent_christ_entry_into_heaven_passes</x:t>
        </x:is>
      </x:c>
      <x:c r="H161" s="38" t="inlineStr">
        <x:is>
          <x:t xml:space="preserve">Reintegrated memory CAN enter heaven. Conversion opens the gate.</x:t>
        </x:is>
      </x:c>
      <x:c r="I161" s="38" t="inlineStr">
        <x:is>
          <x:t xml:space="preserve">decide</x:t>
        </x:is>
      </x:c>
      <x:c r="J161" s="38" t="inlineStr">
        <x:is>
          <x:t xml:space="preserve">PROVED</x:t>
        </x:is>
      </x:c>
      <x:c r="K161" s="38" t="inlineStr">
        <x:is>
          <x:t xml:space="preserve">L6-Q4</x:t>
        </x:is>
      </x:c>
      <x:c r="L161" s="38" t="inlineStr">
        <x:is>
          <x:t xml:space="preserve">4</x:t>
        </x:is>
      </x:c>
      <x:c r="M161" s="38" t="inlineStr">
        <x:is>
          <x:t xml:space="preserve">theophysics-lean-main</x:t>
        </x:is>
      </x:c>
      <x:c r="N161" s="38" t="inlineStr">
        <x:is>
          <x:t xml:space="preserve">theophysics-lean-main\theophysics-lean-main\Theophysics_Core.lean</x:t>
        </x:is>
      </x:c>
      <x:c r="O161" s="38" t="inlineStr">
        <x:is>
          <x:t xml:space="preserve">152</x:t>
        </x:is>
      </x:c>
      <x:c r="P161" s="38" t="inlineStr">
        <x:is>
          <x:t xml:space="preserve">TRIVIAL_TRUE</x:t>
        </x:is>
      </x:c>
      <x:c r="Q161" s="38" t="inlineStr">
        <x:is>
          <x:t xml:space="preserve">Statement is `True`; theorem name may exceed formal content.</x:t>
        </x:is>
      </x:c>
      <x:c r="R161" s="39" t="inlineStr">
        <x:is>
          <x:t xml:space="preserve">theorem transformed_discoherent_christ_entry_into_heaven_passes : True</x:t>
        </x:is>
      </x:c>
    </x:row>
    <x:row r="162" ht="15" customHeight="1">
      <x:c r="A162" s="37" t="inlineStr">
        <x:is>
          <x:t xml:space="preserve">\\192.168.2.50\h_hp\Desktop\Master EXCEL\Lean 4.xlsx</x:t>
        </x:is>
      </x:c>
      <x:c r="B162" s="38" t="inlineStr">
        <x:is>
          <x:t xml:space="preserve">LEAN_DERIVATION_CHAIN</x:t>
        </x:is>
      </x:c>
      <x:c r="C162" s="38" t="inlineStr">
        <x:is>
          <x:t xml:space="preserve">177</x:t>
        </x:is>
      </x:c>
      <x:c r="D162" s="38" t="inlineStr">
        <x:is>
          <x:t xml:space="preserve">182</x:t>
        </x:is>
      </x:c>
      <x:c r="E162" s="38" t="inlineStr">
        <x:is>
          <x:t xml:space="preserve">14 — Memory</x:t>
        </x:is>
      </x:c>
      <x:c r="F162" s="38" t="inlineStr">
        <x:is>
          <x:t xml:space="preserve">MemoryPersistenceDiscipline.lean</x:t>
        </x:is>
      </x:c>
      <x:c r="G162" s="38" t="inlineStr">
        <x:is>
          <x:t xml:space="preserve">transformed_unrecorded_discoherent_entry_still_fails</x:t>
        </x:is>
      </x:c>
      <x:c r="H162" s="38" t="inlineStr">
        <x:is>
          <x:t xml:space="preserve">REJECTION: But unrecorded events cannot be rescued. You cannot convert what was never recorded.</x:t>
        </x:is>
      </x:c>
      <x:c r="I162" s="38" t="inlineStr">
        <x:is>
          <x:t xml:space="preserve">decide</x:t>
        </x:is>
      </x:c>
      <x:c r="J162" s="38" t="inlineStr">
        <x:is>
          <x:t xml:space="preserve">REJECTION</x:t>
        </x:is>
      </x:c>
      <x:c r="K162" s="38" t="inlineStr">
        <x:is>
          <x:t xml:space="preserve">L6-P4</x:t>
        </x:is>
      </x:c>
      <x:c r="L162" s="38" t="inlineStr">
        <x:is>
          <x:t xml:space="preserve">4</x:t>
        </x:is>
      </x:c>
      <x:c r="M162" s="38" t="inlineStr">
        <x:is>
          <x:t xml:space="preserve">theophysics-lean-main</x:t>
        </x:is>
      </x:c>
      <x:c r="N162" s="38" t="inlineStr">
        <x:is>
          <x:t xml:space="preserve">theophysics-lean-main\theophysics-lean-main\Theophysics_Adversarial.lean</x:t>
        </x:is>
      </x:c>
      <x:c r="O162" s="38" t="inlineStr">
        <x:is>
          <x:t xml:space="preserve">540</x:t>
        </x:is>
      </x:c>
      <x:c r="P162" s="38" t="inlineStr">
        <x:is>
          <x:t xml:space="preserve">DEFINITIONAL_RFL</x:t>
        </x:is>
      </x:c>
      <x:c r="Q162" s="38" t="inlineStr">
        <x:is>
          <x:t xml:space="preserve">Proves definitional equality by reduction; useful but narrow.</x:t>
        </x:is>
      </x:c>
      <x:c r="R162" s="39" t="inlineStr">
        <x:is>
          <x:t xml:space="preserve">theorem transformed_unrecorded_discoherent_entry_still_fails : heavenEntryAllowed { recorded := false, christCoherent := false, transformed := true } = false</x:t>
        </x:is>
      </x:c>
    </x:row>
    <x:row r="163" ht="15" customHeight="1">
      <x:c r="A163" s="37" t="inlineStr">
        <x:is>
          <x:t xml:space="preserve">\\192.168.2.50\h_hp\Desktop\Master EXCEL\Lean 4.xlsx</x:t>
        </x:is>
      </x:c>
      <x:c r="B163" s="38" t="inlineStr">
        <x:is>
          <x:t xml:space="preserve">LEAN_DERIVATION_CHAIN</x:t>
        </x:is>
      </x:c>
      <x:c r="C163" s="38" t="inlineStr">
        <x:is>
          <x:t xml:space="preserve">178</x:t>
        </x:is>
      </x:c>
      <x:c r="D163" s="38" t="inlineStr">
        <x:is>
          <x:t xml:space="preserve">183</x:t>
        </x:is>
      </x:c>
      <x:c r="E163" s="38" t="inlineStr">
        <x:is>
          <x:t xml:space="preserve">14 — Memory</x:t>
        </x:is>
      </x:c>
      <x:c r="F163" s="38" t="inlineStr">
        <x:is>
          <x:t xml:space="preserve">MemoryPersistenceDiscipline.lean</x:t>
        </x:is>
      </x:c>
      <x:c r="G163" s="38" t="inlineStr">
        <x:is>
          <x:t xml:space="preserve">valid_giving_life_to_christ</x:t>
        </x:is>
      </x:c>
      <x:c r="H163" s="38" t="inlineStr">
        <x:is>
          <x:t xml:space="preserve">Surrender + external grace = valid conversion</x:t>
        </x:is>
      </x:c>
      <x:c r="I163" s="38" t="inlineStr">
        <x:is>
          <x:t xml:space="preserve">simp</x:t>
        </x:is>
      </x:c>
      <x:c r="J163" s="38" t="inlineStr">
        <x:is>
          <x:t xml:space="preserve">PROVED</x:t>
        </x:is>
      </x:c>
      <x:c r="K163" s="38" t="inlineStr">
        <x:is>
          <x:t xml:space="preserve">L6-Q4, L6-P3</x:t>
        </x:is>
      </x:c>
      <x:c r="L163" s="38" t="inlineStr">
        <x:is>
          <x:t xml:space="preserve">4</x:t>
        </x:is>
      </x:c>
      <x:c r="M163" s="38" t="inlineStr">
        <x:is>
          <x:t xml:space="preserve">theophysics-lean-main</x:t>
        </x:is>
      </x:c>
      <x:c r="N163" s="38" t="inlineStr">
        <x:is>
          <x:t xml:space="preserve">theophysics-lean-main\theophysics-lean-main\Theophysics_Core.lean</x:t>
        </x:is>
      </x:c>
      <x:c r="O163" s="38" t="inlineStr">
        <x:is>
          <x:t xml:space="preserve">153</x:t>
        </x:is>
      </x:c>
      <x:c r="P163" s="38" t="inlineStr">
        <x:is>
          <x:t xml:space="preserve">TRIVIAL_TRUE</x:t>
        </x:is>
      </x:c>
      <x:c r="Q163" s="38" t="inlineStr">
        <x:is>
          <x:t xml:space="preserve">Statement is `True`; theorem name may exceed formal content.</x:t>
        </x:is>
      </x:c>
      <x:c r="R163" s="39" t="inlineStr">
        <x:is>
          <x:t xml:space="preserve">theorem valid_giving_life_to_christ : True</x:t>
        </x:is>
      </x:c>
    </x:row>
    <x:row r="164" ht="15" customHeight="1">
      <x:c r="A164" s="37" t="inlineStr">
        <x:is>
          <x:t xml:space="preserve">\\192.168.2.50\h_hp\Desktop\Master EXCEL\Lean 4.xlsx</x:t>
        </x:is>
      </x:c>
      <x:c r="B164" s="38" t="inlineStr">
        <x:is>
          <x:t xml:space="preserve">LEAN_DERIVATION_CHAIN</x:t>
        </x:is>
      </x:c>
      <x:c r="C164" s="38" t="inlineStr">
        <x:is>
          <x:t xml:space="preserve">179</x:t>
        </x:is>
      </x:c>
      <x:c r="D164" s="38" t="inlineStr">
        <x:is>
          <x:t xml:space="preserve">184</x:t>
        </x:is>
      </x:c>
      <x:c r="E164" s="38" t="inlineStr">
        <x:is>
          <x:t xml:space="preserve">14 — Memory</x:t>
        </x:is>
      </x:c>
      <x:c r="F164" s="38" t="inlineStr">
        <x:is>
          <x:t xml:space="preserve">MemoryPersistenceDiscipline.lean</x:t>
        </x:is>
      </x:c>
      <x:c r="G164" s="38" t="inlineStr">
        <x:is>
          <x:t xml:space="preserve">resisting_without_grace_not_valid_conversion</x:t>
        </x:is>
      </x:c>
      <x:c r="H164" s="38" t="inlineStr">
        <x:is>
          <x:t xml:space="preserve">REJECTION: Resisting without grace = invalid. Will alone is not enough.</x:t>
        </x:is>
      </x:c>
      <x:c r="I164" s="38" t="inlineStr">
        <x:is>
          <x:t xml:space="preserve">decide</x:t>
        </x:is>
      </x:c>
      <x:c r="J164" s="38" t="inlineStr">
        <x:is>
          <x:t xml:space="preserve">REJECTION</x:t>
        </x:is>
      </x:c>
      <x:c r="K164" s="38" t="inlineStr">
        <x:is>
          <x:t xml:space="preserve">L6-R1</x:t>
        </x:is>
      </x:c>
      <x:c r="L164" s="38" t="inlineStr">
        <x:is>
          <x:t xml:space="preserve">4</x:t>
        </x:is>
      </x:c>
      <x:c r="M164" s="38" t="inlineStr">
        <x:is>
          <x:t xml:space="preserve">theophysics-lean-main</x:t>
        </x:is>
      </x:c>
      <x:c r="N164" s="38" t="inlineStr">
        <x:is>
          <x:t xml:space="preserve">theophysics-lean-main\theophysics-lean-main\Theophysics_Adversarial.lean</x:t>
        </x:is>
      </x:c>
      <x:c r="O164" s="38" t="inlineStr">
        <x:is>
          <x:t xml:space="preserve">544</x:t>
        </x:is>
      </x:c>
      <x:c r="P164" s="38" t="inlineStr">
        <x:is>
          <x:t xml:space="preserve">DEFINITIONAL_RFL</x:t>
        </x:is>
      </x:c>
      <x:c r="Q164" s="38" t="inlineStr">
        <x:is>
          <x:t xml:space="preserve">Proves definitional equality by reduction; useful but narrow.</x:t>
        </x:is>
      </x:c>
      <x:c r="R164" s="39" t="inlineStr">
        <x:is>
          <x:t xml:space="preserve">theorem resisting_without_grace_not_valid_conversion : validConversion { grace := false, transformed := true } = false</x:t>
        </x:is>
      </x:c>
    </x:row>
    <x:row r="165" ht="15" customHeight="1">
      <x:c r="A165" s="37" t="inlineStr">
        <x:is>
          <x:t xml:space="preserve">\\192.168.2.50\h_hp\Desktop\Master EXCEL\Lean 4.xlsx</x:t>
        </x:is>
      </x:c>
      <x:c r="B165" s="38" t="inlineStr">
        <x:is>
          <x:t xml:space="preserve">LEAN_DERIVATION_CHAIN</x:t>
        </x:is>
      </x:c>
      <x:c r="C165" s="38" t="inlineStr">
        <x:is>
          <x:t xml:space="preserve">180</x:t>
        </x:is>
      </x:c>
      <x:c r="D165" s="38" t="inlineStr">
        <x:is>
          <x:t xml:space="preserve">185–186</x:t>
        </x:is>
      </x:c>
      <x:c r="E165" s="38" t="inlineStr">
        <x:is>
          <x:t xml:space="preserve">14 — Memory</x:t>
        </x:is>
      </x:c>
      <x:c r="F165" s="38" t="inlineStr">
        <x:is>
          <x:t xml:space="preserve">MemoryPersistenceDiscipline.lean</x:t>
        </x:is>
      </x:c>
      <x:c r="G165" s="38" t="inlineStr">
        <x:is>
          <x:t xml:space="preserve">accountable_conversion + record_preservation</x:t>
        </x:is>
      </x:c>
      <x:c r="H165" s="38" t="inlineStr">
        <x:is>
          <x:t xml:space="preserve">Conversion: negative → final identity. Record persists through conversion.</x:t>
        </x:is>
      </x:c>
      <x:c r="I165" s="38" t="inlineStr">
        <x:is>
          <x:t xml:space="preserve">simp</x:t>
        </x:is>
      </x:c>
      <x:c r="J165" s="38" t="inlineStr">
        <x:is>
          <x:t xml:space="preserve">PROVED</x:t>
        </x:is>
      </x:c>
      <x:c r="K165" s="38" t="inlineStr">
        <x:is>
          <x:t xml:space="preserve">L6-Q4, L6-P4</x:t>
        </x:is>
      </x:c>
      <x:c r="L165" s="38" t="inlineStr">
        <x:is>
          <x:t xml:space="preserve">0</x:t>
        </x:is>
      </x:c>
      <x:c r="M165" s="38" t="n"/>
      <x:c r="N165" s="38" t="n"/>
      <x:c r="O165" s="38" t="n"/>
      <x:c r="P165" s="38" t="inlineStr">
        <x:is>
          <x:t xml:space="preserve">NOT_FOUND_IN_HUB</x:t>
        </x:is>
      </x:c>
      <x:c r="Q165" s="38" t="inlineStr">
        <x:is>
          <x:t xml:space="preserve">Workbook theorem name not found in extracted hub Lean files.</x:t>
        </x:is>
      </x:c>
      <x:c r="R165" s="39" t="n"/>
    </x:row>
    <x:row r="166" ht="15" customHeight="1">
      <x:c r="A166" s="37" t="inlineStr">
        <x:is>
          <x:t xml:space="preserve">\\192.168.2.50\h_hp\Desktop\Master EXCEL\Lean 4.xlsx</x:t>
        </x:is>
      </x:c>
      <x:c r="B166" s="38" t="inlineStr">
        <x:is>
          <x:t xml:space="preserve">LEAN_DERIVATION_CHAIN</x:t>
        </x:is>
      </x:c>
      <x:c r="C166" s="38" t="inlineStr">
        <x:is>
          <x:t xml:space="preserve">181</x:t>
        </x:is>
      </x:c>
      <x:c r="D166" s="38" t="inlineStr">
        <x:is>
          <x:t xml:space="preserve">187</x:t>
        </x:is>
      </x:c>
      <x:c r="E166" s="38" t="inlineStr">
        <x:is>
          <x:t xml:space="preserve">14 — Memory</x:t>
        </x:is>
      </x:c>
      <x:c r="F166" s="38" t="inlineStr">
        <x:is>
          <x:t xml:space="preserve">MemoryPersistenceDiscipline.lean</x:t>
        </x:is>
      </x:c>
      <x:c r="G166" s="38" t="inlineStr">
        <x:is>
          <x:t xml:space="preserve">unrecorded_negative_conversion_still_has_no_identity_trace</x:t>
        </x:is>
      </x:c>
      <x:c r="H166" s="38" t="inlineStr">
        <x:is>
          <x:t xml:space="preserve">REJECTION: Cannot create record from nothing. Grace restores, but doesn't fabricate.</x:t>
        </x:is>
      </x:c>
      <x:c r="I166" s="38" t="inlineStr">
        <x:is>
          <x:t xml:space="preserve">decide</x:t>
        </x:is>
      </x:c>
      <x:c r="J166" s="38" t="inlineStr">
        <x:is>
          <x:t xml:space="preserve">REJECTION</x:t>
        </x:is>
      </x:c>
      <x:c r="K166" s="38" t="inlineStr">
        <x:is>
          <x:t xml:space="preserve">L6-P4</x:t>
        </x:is>
      </x:c>
      <x:c r="L166" s="38" t="inlineStr">
        <x:is>
          <x:t xml:space="preserve">4</x:t>
        </x:is>
      </x:c>
      <x:c r="M166" s="38" t="inlineStr">
        <x:is>
          <x:t xml:space="preserve">theophysics-lean-main</x:t>
        </x:is>
      </x:c>
      <x:c r="N166" s="38" t="inlineStr">
        <x:is>
          <x:t xml:space="preserve">theophysics-lean-main\theophysics-lean-main\Theophysics_Adversarial.lean</x:t>
        </x:is>
      </x:c>
      <x:c r="O166" s="38" t="inlineStr">
        <x:is>
          <x:t xml:space="preserve">548</x:t>
        </x:is>
      </x:c>
      <x:c r="P166" s="38" t="inlineStr">
        <x:is>
          <x:t xml:space="preserve">DEFINITIONAL_RFL</x:t>
        </x:is>
      </x:c>
      <x:c r="Q166" s="38" t="inlineStr">
        <x:is>
          <x:t xml:space="preserve">Proves definitional equality by reduction; useful but narrow.</x:t>
        </x:is>
      </x:c>
      <x:c r="R166" s="39" t="inlineStr">
        <x:is>
          <x:t xml:space="preserve">theorem unrecorded_negative_conversion_still_has_no_identity_trace : retainedMemory { recorded := false, christCoherent := true } = false</x:t>
        </x:is>
      </x:c>
    </x:row>
    <x:row r="167" ht="15" customHeight="1">
      <x:c r="A167" s="37" t="inlineStr">
        <x:is>
          <x:t xml:space="preserve">\\192.168.2.50\h_hp\Desktop\Master EXCEL\Lean 4.xlsx</x:t>
        </x:is>
      </x:c>
      <x:c r="B167" s="38" t="inlineStr">
        <x:is>
          <x:t xml:space="preserve">LEAN_DERIVATION_CHAIN</x:t>
        </x:is>
      </x:c>
      <x:c r="C167" s="38" t="inlineStr">
        <x:is>
          <x:t xml:space="preserve">183</x:t>
        </x:is>
      </x:c>
      <x:c r="D167" s="38" t="inlineStr">
        <x:is>
          <x:t xml:space="preserve">188</x:t>
        </x:is>
      </x:c>
      <x:c r="E167" s="38" t="inlineStr">
        <x:is>
          <x:t xml:space="preserve">15 — Lattice</x:t>
        </x:is>
      </x:c>
      <x:c r="F167" s="38" t="inlineStr">
        <x:is>
          <x:t xml:space="preserve">DependencyLattice.lean</x:t>
        </x:is>
      </x:c>
      <x:c r="G167" s="38" t="inlineStr">
        <x:is>
          <x:t xml:space="preserve">fall_has_parallel_death_and_judgment</x:t>
        </x:is>
      </x:c>
      <x:c r="H167" s="38" t="inlineStr">
        <x:is>
          <x:t xml:space="preserve">Death and judgment are parallel consequences of the Fall</x:t>
        </x:is>
      </x:c>
      <x:c r="I167" s="38" t="inlineStr">
        <x:is>
          <x:t xml:space="preserve">constructor</x:t>
        </x:is>
      </x:c>
      <x:c r="J167" s="38" t="inlineStr">
        <x:is>
          <x:t xml:space="preserve">PROVED</x:t>
        </x:is>
      </x:c>
      <x:c r="K167" s="38" t="inlineStr">
        <x:is>
          <x:t xml:space="preserve">LAT-01</x:t>
        </x:is>
      </x:c>
      <x:c r="L167" s="38" t="inlineStr">
        <x:is>
          <x:t xml:space="preserve">4</x:t>
        </x:is>
      </x:c>
      <x:c r="M167" s="38" t="inlineStr">
        <x:is>
          <x:t xml:space="preserve">theophysics-lean-main</x:t>
        </x:is>
      </x:c>
      <x:c r="N167" s="38" t="inlineStr">
        <x:is>
          <x:t xml:space="preserve">theophysics-lean-main\theophysics-lean-main\Theophysics_Core.lean</x:t>
        </x:is>
      </x:c>
      <x:c r="O167" s="38" t="inlineStr">
        <x:is>
          <x:t xml:space="preserve">157</x:t>
        </x:is>
      </x:c>
      <x:c r="P167" s="38" t="inlineStr">
        <x:is>
          <x:t xml:space="preserve">TRIVIAL_TRUE</x:t>
        </x:is>
      </x:c>
      <x:c r="Q167" s="38" t="inlineStr">
        <x:is>
          <x:t xml:space="preserve">Statement is `True`; theorem name may exceed formal content.</x:t>
        </x:is>
      </x:c>
      <x:c r="R167" s="39" t="inlineStr">
        <x:is>
          <x:t xml:space="preserve">theorem fall_has_parallel_death_and_judgment : True</x:t>
        </x:is>
      </x:c>
    </x:row>
    <x:row r="168" ht="15" customHeight="1">
      <x:c r="A168" s="37" t="inlineStr">
        <x:is>
          <x:t xml:space="preserve">\\192.168.2.50\h_hp\Desktop\Master EXCEL\Lean 4.xlsx</x:t>
        </x:is>
      </x:c>
      <x:c r="B168" s="38" t="inlineStr">
        <x:is>
          <x:t xml:space="preserve">LEAN_DERIVATION_CHAIN</x:t>
        </x:is>
      </x:c>
      <x:c r="C168" s="38" t="inlineStr">
        <x:is>
          <x:t xml:space="preserve">184</x:t>
        </x:is>
      </x:c>
      <x:c r="D168" s="38" t="inlineStr">
        <x:is>
          <x:t xml:space="preserve">189</x:t>
        </x:is>
      </x:c>
      <x:c r="E168" s="38" t="inlineStr">
        <x:is>
          <x:t xml:space="preserve">15 — Lattice</x:t>
        </x:is>
      </x:c>
      <x:c r="F168" s="38" t="inlineStr">
        <x:is>
          <x:t xml:space="preserve">DependencyLattice.lean</x:t>
        </x:is>
      </x:c>
      <x:c r="G168" s="38" t="inlineStr">
        <x:is>
          <x:t xml:space="preserve">fall_has_parallel_promise_not_death_then_promise</x:t>
        </x:is>
      </x:c>
      <x:c r="H168" s="38" t="inlineStr">
        <x:is>
          <x:t xml:space="preserve">REJECTION: Promise is parallel from Fall, NOT sequential from Death</x:t>
        </x:is>
      </x:c>
      <x:c r="I168" s="38" t="inlineStr">
        <x:is>
          <x:t xml:space="preserve">constructor</x:t>
        </x:is>
      </x:c>
      <x:c r="J168" s="38" t="inlineStr">
        <x:is>
          <x:t xml:space="preserve">REJECTION</x:t>
        </x:is>
      </x:c>
      <x:c r="K168" s="38" t="inlineStr">
        <x:is>
          <x:t xml:space="preserve">LAT-02</x:t>
        </x:is>
      </x:c>
      <x:c r="L168" s="38" t="inlineStr">
        <x:is>
          <x:t xml:space="preserve">4</x:t>
        </x:is>
      </x:c>
      <x:c r="M168" s="38" t="inlineStr">
        <x:is>
          <x:t xml:space="preserve">theophysics-lean-main</x:t>
        </x:is>
      </x:c>
      <x:c r="N168" s="38" t="inlineStr">
        <x:is>
          <x:t xml:space="preserve">theophysics-lean-main\theophysics-lean-main\Theophysics_Adversarial.lean</x:t>
        </x:is>
      </x:c>
      <x:c r="O168" s="38" t="inlineStr">
        <x:is>
          <x:t xml:space="preserve">552</x:t>
        </x:is>
      </x:c>
      <x:c r="P168" s="38" t="inlineStr">
        <x:is>
          <x:t xml:space="preserve">DEFINITIONAL_RFL</x:t>
        </x:is>
      </x:c>
      <x:c r="Q168" s="38" t="inlineStr">
        <x:is>
          <x:t xml:space="preserve">Proves definitional equality by reduction; useful but narrow.</x:t>
        </x:is>
      </x:c>
      <x:c r="R168" s="39" t="inlineStr">
        <x:is>
          <x:t xml:space="preserve">theorem fall_has_parallel_promise_not_death_then_promise : promiseParallelWithDeathAndJudgment = true</x:t>
        </x:is>
      </x:c>
    </x:row>
    <x:row r="169" ht="15" customHeight="1">
      <x:c r="A169" s="37" t="inlineStr">
        <x:is>
          <x:t xml:space="preserve">\\192.168.2.50\h_hp\Desktop\Master EXCEL\Lean 4.xlsx</x:t>
        </x:is>
      </x:c>
      <x:c r="B169" s="38" t="inlineStr">
        <x:is>
          <x:t xml:space="preserve">LEAN_DERIVATION_CHAIN</x:t>
        </x:is>
      </x:c>
      <x:c r="C169" s="38" t="inlineStr">
        <x:is>
          <x:t xml:space="preserve">185</x:t>
        </x:is>
      </x:c>
      <x:c r="D169" s="38" t="inlineStr">
        <x:is>
          <x:t xml:space="preserve">190</x:t>
        </x:is>
      </x:c>
      <x:c r="E169" s="38" t="inlineStr">
        <x:is>
          <x:t xml:space="preserve">15 — Lattice</x:t>
        </x:is>
      </x:c>
      <x:c r="F169" s="38" t="inlineStr">
        <x:is>
          <x:t xml:space="preserve">DependencyLattice.lean</x:t>
        </x:is>
      </x:c>
      <x:c r="G169" s="38" t="inlineStr">
        <x:is>
          <x:t xml:space="preserve">no_death_strictly_before_judgment</x:t>
        </x:is>
      </x:c>
      <x:c r="H169" s="38" t="inlineStr">
        <x:is>
          <x:t xml:space="preserve">REJECTION: Death is NOT a prerequisite for judgment</x:t>
        </x:is>
      </x:c>
      <x:c r="I169" s="38" t="inlineStr">
        <x:is>
          <x:t xml:space="preserve">cases</x:t>
        </x:is>
      </x:c>
      <x:c r="J169" s="38" t="inlineStr">
        <x:is>
          <x:t xml:space="preserve">REJECTION</x:t>
        </x:is>
      </x:c>
      <x:c r="K169" s="38" t="inlineStr">
        <x:is>
          <x:t xml:space="preserve">LAT-01</x:t>
        </x:is>
      </x:c>
      <x:c r="L169" s="38" t="inlineStr">
        <x:is>
          <x:t xml:space="preserve">4</x:t>
        </x:is>
      </x:c>
      <x:c r="M169" s="38" t="inlineStr">
        <x:is>
          <x:t xml:space="preserve">theophysics-lean-main</x:t>
        </x:is>
      </x:c>
      <x:c r="N169" s="38" t="inlineStr">
        <x:is>
          <x:t xml:space="preserve">theophysics-lean-main\theophysics-lean-main\Theophysics_Adversarial.lean</x:t>
        </x:is>
      </x:c>
      <x:c r="O169" s="38" t="inlineStr">
        <x:is>
          <x:t xml:space="preserve">556</x:t>
        </x:is>
      </x:c>
      <x:c r="P169" s="38" t="inlineStr">
        <x:is>
          <x:t xml:space="preserve">DEFINITIONAL_RFL</x:t>
        </x:is>
      </x:c>
      <x:c r="Q169" s="38" t="inlineStr">
        <x:is>
          <x:t xml:space="preserve">Proves definitional equality by reduction; useful but narrow.</x:t>
        </x:is>
      </x:c>
      <x:c r="R169" s="39" t="inlineStr">
        <x:is>
          <x:t xml:space="preserve">theorem no_death_strictly_before_judgment : deathStrictlyBeforeJudgment = false</x:t>
        </x:is>
      </x:c>
    </x:row>
    <x:row r="170" ht="15" customHeight="1">
      <x:c r="A170" s="37" t="inlineStr">
        <x:is>
          <x:t xml:space="preserve">\\192.168.2.50\h_hp\Desktop\Master EXCEL\Lean 4.xlsx</x:t>
        </x:is>
      </x:c>
      <x:c r="B170" s="38" t="inlineStr">
        <x:is>
          <x:t xml:space="preserve">LEAN_DERIVATION_CHAIN</x:t>
        </x:is>
      </x:c>
      <x:c r="C170" s="38" t="inlineStr">
        <x:is>
          <x:t xml:space="preserve">186</x:t>
        </x:is>
      </x:c>
      <x:c r="D170" s="38" t="inlineStr">
        <x:is>
          <x:t xml:space="preserve">191</x:t>
        </x:is>
      </x:c>
      <x:c r="E170" s="38" t="inlineStr">
        <x:is>
          <x:t xml:space="preserve">15 — Lattice</x:t>
        </x:is>
      </x:c>
      <x:c r="F170" s="38" t="inlineStr">
        <x:is>
          <x:t xml:space="preserve">DependencyLattice.lean</x:t>
        </x:is>
      </x:c>
      <x:c r="G170" s="38" t="inlineStr">
        <x:is>
          <x:t xml:space="preserve">fall_as_covenant_rupture_requires_image_and_covenant</x:t>
        </x:is>
      </x:c>
      <x:c r="H170" s="38" t="inlineStr">
        <x:is>
          <x:t xml:space="preserve">Fall requires BOTH Image and Covenant (multi-parent). Cannot fall from a covenant you never had.</x:t>
        </x:is>
      </x:c>
      <x:c r="I170" s="38" t="inlineStr">
        <x:is>
          <x:t xml:space="preserve">constructor</x:t>
        </x:is>
      </x:c>
      <x:c r="J170" s="38" t="inlineStr">
        <x:is>
          <x:t xml:space="preserve">PROVED</x:t>
        </x:is>
      </x:c>
      <x:c r="K170" s="38" t="inlineStr">
        <x:is>
          <x:t xml:space="preserve">LAT-03</x:t>
        </x:is>
      </x:c>
      <x:c r="L170" s="38" t="inlineStr">
        <x:is>
          <x:t xml:space="preserve">4</x:t>
        </x:is>
      </x:c>
      <x:c r="M170" s="38" t="inlineStr">
        <x:is>
          <x:t xml:space="preserve">theophysics-lean-main</x:t>
        </x:is>
      </x:c>
      <x:c r="N170" s="38" t="inlineStr">
        <x:is>
          <x:t xml:space="preserve">theophysics-lean-main\theophysics-lean-main\Theophysics_Core.lean</x:t>
        </x:is>
      </x:c>
      <x:c r="O170" s="38" t="inlineStr">
        <x:is>
          <x:t xml:space="preserve">156</x:t>
        </x:is>
      </x:c>
      <x:c r="P170" s="38" t="inlineStr">
        <x:is>
          <x:t xml:space="preserve">TRIVIAL_TRUE</x:t>
        </x:is>
      </x:c>
      <x:c r="Q170" s="38" t="inlineStr">
        <x:is>
          <x:t xml:space="preserve">Statement is `True`; theorem name may exceed formal content.</x:t>
        </x:is>
      </x:c>
      <x:c r="R170" s="39" t="inlineStr">
        <x:is>
          <x:t xml:space="preserve">theorem fall_as_covenant_rupture_requires_image_and_covenant : True</x:t>
        </x:is>
      </x:c>
    </x:row>
    <x:row r="171" ht="15" customHeight="1">
      <x:c r="A171" s="37" t="inlineStr">
        <x:is>
          <x:t xml:space="preserve">\\192.168.2.50\h_hp\Desktop\Master EXCEL\Lean 4.xlsx</x:t>
        </x:is>
      </x:c>
      <x:c r="B171" s="38" t="inlineStr">
        <x:is>
          <x:t xml:space="preserve">LEAN_DERIVATION_CHAIN</x:t>
        </x:is>
      </x:c>
      <x:c r="C171" s="38" t="inlineStr">
        <x:is>
          <x:t xml:space="preserve">187</x:t>
        </x:is>
      </x:c>
      <x:c r="D171" s="38" t="inlineStr">
        <x:is>
          <x:t xml:space="preserve">192</x:t>
        </x:is>
      </x:c>
      <x:c r="E171" s="38" t="inlineStr">
        <x:is>
          <x:t xml:space="preserve">15 — Lattice</x:t>
        </x:is>
      </x:c>
      <x:c r="F171" s="38" t="inlineStr">
        <x:is>
          <x:t xml:space="preserve">DependencyLattice.lean</x:t>
        </x:is>
      </x:c>
      <x:c r="G171" s="38" t="inlineStr">
        <x:is>
          <x:t xml:space="preserve">energy_and_momentum_are_noether_siblings</x:t>
        </x:is>
      </x:c>
      <x:c r="H171" s="38" t="inlineStr">
        <x:is>
          <x:t xml:space="preserve">Energy and momentum are parallel from symmetry (Noether). Neither parents the other.</x:t>
        </x:is>
      </x:c>
      <x:c r="I171" s="38" t="inlineStr">
        <x:is>
          <x:t xml:space="preserve">constructor</x:t>
        </x:is>
      </x:c>
      <x:c r="J171" s="38" t="inlineStr">
        <x:is>
          <x:t xml:space="preserve">PROVED</x:t>
        </x:is>
      </x:c>
      <x:c r="K171" s="38" t="inlineStr">
        <x:is>
          <x:t xml:space="preserve">LAT-04</x:t>
        </x:is>
      </x:c>
      <x:c r="L171" s="38" t="inlineStr">
        <x:is>
          <x:t xml:space="preserve">4</x:t>
        </x:is>
      </x:c>
      <x:c r="M171" s="38" t="inlineStr">
        <x:is>
          <x:t xml:space="preserve">theophysics-lean-main</x:t>
        </x:is>
      </x:c>
      <x:c r="N171" s="38" t="inlineStr">
        <x:is>
          <x:t xml:space="preserve">theophysics-lean-main\theophysics-lean-main\Theophysics_Core.lean</x:t>
        </x:is>
      </x:c>
      <x:c r="O171" s="38" t="inlineStr">
        <x:is>
          <x:t xml:space="preserve">155</x:t>
        </x:is>
      </x:c>
      <x:c r="P171" s="38" t="inlineStr">
        <x:is>
          <x:t xml:space="preserve">TRIVIAL_TRUE</x:t>
        </x:is>
      </x:c>
      <x:c r="Q171" s="38" t="inlineStr">
        <x:is>
          <x:t xml:space="preserve">Statement is `True`; theorem name may exceed formal content.</x:t>
        </x:is>
      </x:c>
      <x:c r="R171" s="39" t="inlineStr">
        <x:is>
          <x:t xml:space="preserve">theorem energy_and_momentum_are_noether_siblings : True</x:t>
        </x:is>
      </x:c>
    </x:row>
    <x:row r="172" ht="15" customHeight="1">
      <x:c r="A172" s="37" t="inlineStr">
        <x:is>
          <x:t xml:space="preserve">\\192.168.2.50\h_hp\Desktop\Master EXCEL\Lean 4.xlsx</x:t>
        </x:is>
      </x:c>
      <x:c r="B172" s="38" t="inlineStr">
        <x:is>
          <x:t xml:space="preserve">LEAN_DERIVATION_CHAIN</x:t>
        </x:is>
      </x:c>
      <x:c r="C172" s="38" t="inlineStr">
        <x:is>
          <x:t xml:space="preserve">188</x:t>
        </x:is>
      </x:c>
      <x:c r="D172" s="38" t="inlineStr">
        <x:is>
          <x:t xml:space="preserve">193</x:t>
        </x:is>
      </x:c>
      <x:c r="E172" s="38" t="inlineStr">
        <x:is>
          <x:t xml:space="preserve">15 — Lattice</x:t>
        </x:is>
      </x:c>
      <x:c r="F172" s="38" t="inlineStr">
        <x:is>
          <x:t xml:space="preserve">DependencyLattice.lean</x:t>
        </x:is>
      </x:c>
      <x:c r="G172" s="38" t="inlineStr">
        <x:is>
          <x:t xml:space="preserve">no_energy_parent_of_momentum</x:t>
        </x:is>
      </x:c>
      <x:c r="H172" s="38" t="inlineStr">
        <x:is>
          <x:t xml:space="preserve">REJECTION: Energy does NOT parent momentum</x:t>
        </x:is>
      </x:c>
      <x:c r="I172" s="38" t="inlineStr">
        <x:is>
          <x:t xml:space="preserve">cases</x:t>
        </x:is>
      </x:c>
      <x:c r="J172" s="38" t="inlineStr">
        <x:is>
          <x:t xml:space="preserve">REJECTION</x:t>
        </x:is>
      </x:c>
      <x:c r="K172" s="38" t="inlineStr">
        <x:is>
          <x:t xml:space="preserve">LAT-04</x:t>
        </x:is>
      </x:c>
      <x:c r="L172" s="38" t="inlineStr">
        <x:is>
          <x:t xml:space="preserve">4</x:t>
        </x:is>
      </x:c>
      <x:c r="M172" s="38" t="inlineStr">
        <x:is>
          <x:t xml:space="preserve">theophysics-lean-main</x:t>
        </x:is>
      </x:c>
      <x:c r="N172" s="38" t="inlineStr">
        <x:is>
          <x:t xml:space="preserve">theophysics-lean-main\theophysics-lean-main\Theophysics_Adversarial.lean</x:t>
        </x:is>
      </x:c>
      <x:c r="O172" s="38" t="inlineStr">
        <x:is>
          <x:t xml:space="preserve">560</x:t>
        </x:is>
      </x:c>
      <x:c r="P172" s="38" t="inlineStr">
        <x:is>
          <x:t xml:space="preserve">DEFINITIONAL_RFL</x:t>
        </x:is>
      </x:c>
      <x:c r="Q172" s="38" t="inlineStr">
        <x:is>
          <x:t xml:space="preserve">Proves definitional equality by reduction; useful but narrow.</x:t>
        </x:is>
      </x:c>
      <x:c r="R172" s="39" t="inlineStr">
        <x:is>
          <x:t xml:space="preserve">theorem no_energy_parent_of_momentum : energyParentOfMomentum = false</x:t>
        </x:is>
      </x:c>
    </x:row>
    <x:row r="173" ht="15" customHeight="1">
      <x:c r="A173" s="37" t="inlineStr">
        <x:is>
          <x:t xml:space="preserve">\\192.168.2.50\h_hp\Desktop\Master EXCEL\Lean 4.xlsx</x:t>
        </x:is>
      </x:c>
      <x:c r="B173" s="38" t="inlineStr">
        <x:is>
          <x:t xml:space="preserve">LEAN_DERIVATION_CHAIN</x:t>
        </x:is>
      </x:c>
      <x:c r="C173" s="38" t="inlineStr">
        <x:is>
          <x:t xml:space="preserve">189</x:t>
        </x:is>
      </x:c>
      <x:c r="D173" s="38" t="inlineStr">
        <x:is>
          <x:t xml:space="preserve">194</x:t>
        </x:is>
      </x:c>
      <x:c r="E173" s="38" t="inlineStr">
        <x:is>
          <x:t xml:space="preserve">15 — Lattice</x:t>
        </x:is>
      </x:c>
      <x:c r="F173" s="38" t="inlineStr">
        <x:is>
          <x:t xml:space="preserve">DependencyLattice.lean</x:t>
        </x:is>
      </x:c>
      <x:c r="G173" s="38" t="inlineStr">
        <x:is>
          <x:t xml:space="preserve">bound_state_requires_excitation_and_coupling</x:t>
        </x:is>
      </x:c>
      <x:c r="H173" s="38" t="inlineStr">
        <x:is>
          <x:t xml:space="preserve">Bound state requires both excitation AND coupling (multi-parent)</x:t>
        </x:is>
      </x:c>
      <x:c r="I173" s="38" t="inlineStr">
        <x:is>
          <x:t xml:space="preserve">constructor</x:t>
        </x:is>
      </x:c>
      <x:c r="J173" s="38" t="inlineStr">
        <x:is>
          <x:t xml:space="preserve">PROVED</x:t>
        </x:is>
      </x:c>
      <x:c r="K173" s="38" t="inlineStr">
        <x:is>
          <x:t xml:space="preserve">LAT-05</x:t>
        </x:is>
      </x:c>
      <x:c r="L173" s="38" t="inlineStr">
        <x:is>
          <x:t xml:space="preserve">4</x:t>
        </x:is>
      </x:c>
      <x:c r="M173" s="38" t="inlineStr">
        <x:is>
          <x:t xml:space="preserve">theophysics-lean-main</x:t>
        </x:is>
      </x:c>
      <x:c r="N173" s="38" t="inlineStr">
        <x:is>
          <x:t xml:space="preserve">theophysics-lean-main\theophysics-lean-main\Theophysics_Core.lean</x:t>
        </x:is>
      </x:c>
      <x:c r="O173" s="38" t="inlineStr">
        <x:is>
          <x:t xml:space="preserve">154</x:t>
        </x:is>
      </x:c>
      <x:c r="P173" s="38" t="inlineStr">
        <x:is>
          <x:t xml:space="preserve">TRIVIAL_TRUE</x:t>
        </x:is>
      </x:c>
      <x:c r="Q173" s="38" t="inlineStr">
        <x:is>
          <x:t xml:space="preserve">Statement is `True`; theorem name may exceed formal content.</x:t>
        </x:is>
      </x:c>
      <x:c r="R173" s="39" t="inlineStr">
        <x:is>
          <x:t xml:space="preserve">theorem bound_state_requires_excitation_and_coupling : True</x:t>
        </x:is>
      </x:c>
    </x:row>
    <x:row r="174" ht="15" customHeight="1">
      <x:c r="A174" s="37" t="inlineStr">
        <x:is>
          <x:t xml:space="preserve">\\192.168.2.50\h_hp\Desktop\Master EXCEL\Lean 4.xlsx</x:t>
        </x:is>
      </x:c>
      <x:c r="B174" s="38" t="inlineStr">
        <x:is>
          <x:t xml:space="preserve">LEAN_DERIVATION_CHAIN</x:t>
        </x:is>
      </x:c>
      <x:c r="C174" s="38" t="inlineStr">
        <x:is>
          <x:t xml:space="preserve">190</x:t>
        </x:is>
      </x:c>
      <x:c r="D174" s="38" t="inlineStr">
        <x:is>
          <x:t xml:space="preserve">195–197</x:t>
        </x:is>
      </x:c>
      <x:c r="E174" s="38" t="inlineStr">
        <x:is>
          <x:t xml:space="preserve">15 — Lattice</x:t>
        </x:is>
      </x:c>
      <x:c r="F174" s="38" t="inlineStr">
        <x:is>
          <x:t xml:space="preserve">DependencyLattice.lean</x:t>
        </x:is>
      </x:c>
      <x:c r="G174" s="38" t="inlineStr">
        <x:is>
          <x:t xml:space="preserve">union_branches + no_before_union (3 theorems)</x:t>
        </x:is>
      </x:c>
      <x:c r="H174" s="38" t="inlineStr">
        <x:is>
          <x:t xml:space="preserve">Union → justification AND sanctification (parallel). REJECTION: Neither before Union.</x:t>
        </x:is>
      </x:c>
      <x:c r="I174" s="38" t="inlineStr">
        <x:is>
          <x:t xml:space="preserve">constructor/cases</x:t>
        </x:is>
      </x:c>
      <x:c r="J174" s="38" t="inlineStr">
        <x:is>
          <x:t xml:space="preserve">PROVED+REJ</x:t>
        </x:is>
      </x:c>
      <x:c r="K174" s="38" t="inlineStr">
        <x:is>
          <x:t xml:space="preserve">LAT-06</x:t>
        </x:is>
      </x:c>
      <x:c r="L174" s="38" t="inlineStr">
        <x:is>
          <x:t xml:space="preserve">0</x:t>
        </x:is>
      </x:c>
      <x:c r="M174" s="38" t="n"/>
      <x:c r="N174" s="38" t="n"/>
      <x:c r="O174" s="38" t="n"/>
      <x:c r="P174" s="38" t="inlineStr">
        <x:is>
          <x:t xml:space="preserve">NOT_FOUND_IN_HUB</x:t>
        </x:is>
      </x:c>
      <x:c r="Q174" s="38" t="inlineStr">
        <x:is>
          <x:t xml:space="preserve">Workbook theorem name not found in extracted hub Lean files.</x:t>
        </x:is>
      </x:c>
      <x:c r="R174" s="39" t="n"/>
    </x:row>
    <x:row r="175" ht="15" customHeight="1">
      <x:c r="A175" s="37" t="inlineStr">
        <x:is>
          <x:t xml:space="preserve">\\192.168.2.50\h_hp\Desktop\Master EXCEL\Lean 4.xlsx</x:t>
        </x:is>
      </x:c>
      <x:c r="B175" s="38" t="inlineStr">
        <x:is>
          <x:t xml:space="preserve">LEAN_DERIVATION_CHAIN</x:t>
        </x:is>
      </x:c>
      <x:c r="C175" s="38" t="inlineStr">
        <x:is>
          <x:t xml:space="preserve">191</x:t>
        </x:is>
      </x:c>
      <x:c r="D175" s="38" t="inlineStr">
        <x:is>
          <x:t xml:space="preserve">198</x:t>
        </x:is>
      </x:c>
      <x:c r="E175" s="38" t="inlineStr">
        <x:is>
          <x:t xml:space="preserve">15 — Lattice</x:t>
        </x:is>
      </x:c>
      <x:c r="F175" s="38" t="inlineStr">
        <x:is>
          <x:t xml:space="preserve">DependencyLattice.lean</x:t>
        </x:is>
      </x:c>
      <x:c r="G175" s="38" t="inlineStr">
        <x:is>
          <x:t xml:space="preserve">glorification_requires_both_for_this_lattice</x:t>
        </x:is>
      </x:c>
      <x:c r="H175" s="38" t="inlineStr">
        <x:is>
          <x:t xml:space="preserve">Glorification requires both justification and sanctification</x:t>
        </x:is>
      </x:c>
      <x:c r="I175" s="38" t="inlineStr">
        <x:is>
          <x:t xml:space="preserve">constructor</x:t>
        </x:is>
      </x:c>
      <x:c r="J175" s="38" t="inlineStr">
        <x:is>
          <x:t xml:space="preserve">PROVED</x:t>
        </x:is>
      </x:c>
      <x:c r="K175" s="38" t="inlineStr">
        <x:is>
          <x:t xml:space="preserve">LAT-07</x:t>
        </x:is>
      </x:c>
      <x:c r="L175" s="38" t="inlineStr">
        <x:is>
          <x:t xml:space="preserve">4</x:t>
        </x:is>
      </x:c>
      <x:c r="M175" s="38" t="inlineStr">
        <x:is>
          <x:t xml:space="preserve">theophysics-lean-main</x:t>
        </x:is>
      </x:c>
      <x:c r="N175" s="38" t="inlineStr">
        <x:is>
          <x:t xml:space="preserve">theophysics-lean-main\theophysics-lean-main\Theophysics_Core.lean</x:t>
        </x:is>
      </x:c>
      <x:c r="O175" s="38" t="inlineStr">
        <x:is>
          <x:t xml:space="preserve">158</x:t>
        </x:is>
      </x:c>
      <x:c r="P175" s="38" t="inlineStr">
        <x:is>
          <x:t xml:space="preserve">TRIVIAL_TRUE</x:t>
        </x:is>
      </x:c>
      <x:c r="Q175" s="38" t="inlineStr">
        <x:is>
          <x:t xml:space="preserve">Statement is `True`; theorem name may exceed formal content.</x:t>
        </x:is>
      </x:c>
      <x:c r="R175" s="39" t="inlineStr">
        <x:is>
          <x:t xml:space="preserve">theorem glorification_requires_both_for_this_lattice : True</x:t>
        </x:is>
      </x:c>
    </x:row>
    <x:row r="176" ht="15" customHeight="1">
      <x:c r="A176" s="37" t="inlineStr">
        <x:is>
          <x:t xml:space="preserve">\\192.168.2.50\h_hp\Desktop\Master EXCEL\Lean 4.xlsx</x:t>
        </x:is>
      </x:c>
      <x:c r="B176" s="38" t="inlineStr">
        <x:is>
          <x:t xml:space="preserve">LEAN_DERIVATION_CHAIN</x:t>
        </x:is>
      </x:c>
      <x:c r="C176" s="38" t="inlineStr">
        <x:is>
          <x:t xml:space="preserve">192</x:t>
        </x:is>
      </x:c>
      <x:c r="D176" s="38" t="inlineStr">
        <x:is>
          <x:t xml:space="preserve">199</x:t>
        </x:is>
      </x:c>
      <x:c r="E176" s="38" t="inlineStr">
        <x:is>
          <x:t xml:space="preserve">15 — Lattice</x:t>
        </x:is>
      </x:c>
      <x:c r="F176" s="38" t="inlineStr">
        <x:is>
          <x:t xml:space="preserve">DependencyLattice.lean</x:t>
        </x:is>
      </x:c>
      <x:c r="G176" s="38" t="inlineStr">
        <x:is>
          <x:t xml:space="preserve">narrative_and_dependency_orders_diverge_at_justification_union</x:t>
        </x:is>
      </x:c>
      <x:c r="H176" s="38" t="inlineStr">
        <x:is>
          <x:t xml:space="preserve">Teaching order and dependency order diverge at exactly this point. The line is not the lattice.</x:t>
        </x:is>
      </x:c>
      <x:c r="I176" s="38" t="inlineStr">
        <x:is>
          <x:t xml:space="preserve">decide</x:t>
        </x:is>
      </x:c>
      <x:c r="J176" s="38" t="inlineStr">
        <x:is>
          <x:t xml:space="preserve">PROVED</x:t>
        </x:is>
      </x:c>
      <x:c r="K176" s="38" t="inlineStr">
        <x:is>
          <x:t xml:space="preserve">LAT-07</x:t>
        </x:is>
      </x:c>
      <x:c r="L176" s="38" t="inlineStr">
        <x:is>
          <x:t xml:space="preserve">4</x:t>
        </x:is>
      </x:c>
      <x:c r="M176" s="38" t="inlineStr">
        <x:is>
          <x:t xml:space="preserve">theophysics-lean-main</x:t>
        </x:is>
      </x:c>
      <x:c r="N176" s="38" t="inlineStr">
        <x:is>
          <x:t xml:space="preserve">theophysics-lean-main\theophysics-lean-main\Theophysics_Core.lean</x:t>
        </x:is>
      </x:c>
      <x:c r="O176" s="38" t="inlineStr">
        <x:is>
          <x:t xml:space="preserve">159</x:t>
        </x:is>
      </x:c>
      <x:c r="P176" s="38" t="inlineStr">
        <x:is>
          <x:t xml:space="preserve">TRIVIAL_TRUE</x:t>
        </x:is>
      </x:c>
      <x:c r="Q176" s="38" t="inlineStr">
        <x:is>
          <x:t xml:space="preserve">Statement is `True`; theorem name may exceed formal content.</x:t>
        </x:is>
      </x:c>
      <x:c r="R176" s="39" t="inlineStr">
        <x:is>
          <x:t xml:space="preserve">theorem narrative_and_dependency_orders_diverge_at_justification_union : True</x:t>
        </x:is>
      </x:c>
    </x:row>
    <x:row r="177" ht="15" customHeight="1">
      <x:c r="A177" s="37" t="inlineStr">
        <x:is>
          <x:t xml:space="preserve">\\192.168.2.50\h_hp\Desktop\Master EXCEL\Lean 4.xlsx</x:t>
        </x:is>
      </x:c>
      <x:c r="B177" s="38" t="inlineStr">
        <x:is>
          <x:t xml:space="preserve">LEAN_DERIVATION_CHAIN</x:t>
        </x:is>
      </x:c>
      <x:c r="C177" s="38" t="inlineStr">
        <x:is>
          <x:t xml:space="preserve">193</x:t>
        </x:is>
      </x:c>
      <x:c r="D177" s="38" t="inlineStr">
        <x:is>
          <x:t xml:space="preserve">200–202</x:t>
        </x:is>
      </x:c>
      <x:c r="E177" s="38" t="inlineStr">
        <x:is>
          <x:t xml:space="preserve">15 — Lattice</x:t>
        </x:is>
      </x:c>
      <x:c r="F177" s="38" t="inlineStr">
        <x:is>
          <x:t xml:space="preserve">DependencyLattice.lean</x:t>
        </x:is>
      </x:c>
      <x:c r="G177" s="38" t="inlineStr">
        <x:is>
          <x:t xml:space="preserve">Cross-domain edge witnesses (3 theorems)</x:t>
        </x:is>
      </x:c>
      <x:c r="H177" s="38" t="inlineStr">
        <x:is>
          <x:t xml:space="preserve">faith→union ↔ excitation+coupling→bound_state. union→justification ↔ bound_state→reclassification. union→sanctification ↔ bound_state+energy→annealing.</x:t>
        </x:is>
      </x:c>
      <x:c r="I177" s="38" t="inlineStr">
        <x:is>
          <x:t xml:space="preserve">constructor</x:t>
        </x:is>
      </x:c>
      <x:c r="J177" s="38" t="inlineStr">
        <x:is>
          <x:t xml:space="preserve">PROVED</x:t>
        </x:is>
      </x:c>
      <x:c r="K177" s="38" t="inlineStr">
        <x:is>
          <x:t xml:space="preserve">LAT-05, L7-Q3</x:t>
        </x:is>
      </x:c>
      <x:c r="L177" s="38" t="inlineStr">
        <x:is>
          <x:t xml:space="preserve">0</x:t>
        </x:is>
      </x:c>
      <x:c r="M177" s="38" t="n"/>
      <x:c r="N177" s="38" t="n"/>
      <x:c r="O177" s="38" t="n"/>
      <x:c r="P177" s="38" t="inlineStr">
        <x:is>
          <x:t xml:space="preserve">NOT_FOUND_IN_HUB</x:t>
        </x:is>
      </x:c>
      <x:c r="Q177" s="38" t="inlineStr">
        <x:is>
          <x:t xml:space="preserve">Workbook theorem name not found in extracted hub Lean files.</x:t>
        </x:is>
      </x:c>
      <x:c r="R177" s="39" t="n"/>
    </x:row>
    <x:row r="178" ht="15" customHeight="1">
      <x:c r="A178" s="37" t="inlineStr">
        <x:is>
          <x:t xml:space="preserve">\\192.168.2.50\h_hp\Desktop\Master EXCEL\Lean 4.xlsx</x:t>
        </x:is>
      </x:c>
      <x:c r="B178" s="38" t="inlineStr">
        <x:is>
          <x:t xml:space="preserve">LEAN_DERIVATION_CHAIN</x:t>
        </x:is>
      </x:c>
      <x:c r="C178" s="38" t="inlineStr">
        <x:is>
          <x:t xml:space="preserve">195</x:t>
        </x:is>
      </x:c>
      <x:c r="D178" s="38" t="inlineStr">
        <x:is>
          <x:t xml:space="preserve">203</x:t>
        </x:is>
      </x:c>
      <x:c r="E178" s="38" t="inlineStr">
        <x:is>
          <x:t xml:space="preserve">16 — HitRate</x:t>
        </x:is>
      </x:c>
      <x:c r="F178" s="38" t="inlineStr">
        <x:is>
          <x:t xml:space="preserve">HitRateDiscipline.lean</x:t>
        </x:is>
      </x:c>
      <x:c r="G178" s="38" t="inlineStr">
        <x:is>
          <x:t xml:space="preserve">closedEightOfTen_attempt_count</x:t>
        </x:is>
      </x:c>
      <x:c r="H178" s="38" t="inlineStr">
        <x:is>
          <x:t xml:space="preserve">10 attempts logged</x:t>
        </x:is>
      </x:c>
      <x:c r="I178" s="38" t="inlineStr">
        <x:is>
          <x:t xml:space="preserve">rfl</x:t>
        </x:is>
      </x:c>
      <x:c r="J178" s="38" t="inlineStr">
        <x:is>
          <x:t xml:space="preserve">PROVED</x:t>
        </x:is>
      </x:c>
      <x:c r="K178" s="38" t="inlineStr">
        <x:is>
          <x:t xml:space="preserve">L7-Q5</x:t>
        </x:is>
      </x:c>
      <x:c r="L178" s="38" t="inlineStr">
        <x:is>
          <x:t xml:space="preserve">4</x:t>
        </x:is>
      </x:c>
      <x:c r="M178" s="38" t="inlineStr">
        <x:is>
          <x:t xml:space="preserve">theophysics-lean-main</x:t>
        </x:is>
      </x:c>
      <x:c r="N178" s="38" t="inlineStr">
        <x:is>
          <x:t xml:space="preserve">theophysics-lean-main\theophysics-lean-main\Theophysics_Core.lean</x:t>
        </x:is>
      </x:c>
      <x:c r="O178" s="38" t="inlineStr">
        <x:is>
          <x:t xml:space="preserve">160</x:t>
        </x:is>
      </x:c>
      <x:c r="P178" s="38" t="inlineStr">
        <x:is>
          <x:t xml:space="preserve">TRIVIAL_TRUE</x:t>
        </x:is>
      </x:c>
      <x:c r="Q178" s="38" t="inlineStr">
        <x:is>
          <x:t xml:space="preserve">Statement is `True`; theorem name may exceed formal content.</x:t>
        </x:is>
      </x:c>
      <x:c r="R178" s="39" t="inlineStr">
        <x:is>
          <x:t xml:space="preserve">theorem closedEightOfTen_attempt_count : True</x:t>
        </x:is>
      </x:c>
    </x:row>
    <x:row r="179" ht="15" customHeight="1">
      <x:c r="A179" s="37" t="inlineStr">
        <x:is>
          <x:t xml:space="preserve">\\192.168.2.50\h_hp\Desktop\Master EXCEL\Lean 4.xlsx</x:t>
        </x:is>
      </x:c>
      <x:c r="B179" s="38" t="inlineStr">
        <x:is>
          <x:t xml:space="preserve">LEAN_DERIVATION_CHAIN</x:t>
        </x:is>
      </x:c>
      <x:c r="C179" s="38" t="inlineStr">
        <x:is>
          <x:t xml:space="preserve">196</x:t>
        </x:is>
      </x:c>
      <x:c r="D179" s="38" t="inlineStr">
        <x:is>
          <x:t xml:space="preserve">204</x:t>
        </x:is>
      </x:c>
      <x:c r="E179" s="38" t="inlineStr">
        <x:is>
          <x:t xml:space="preserve">16 — HitRate</x:t>
        </x:is>
      </x:c>
      <x:c r="F179" s="38" t="inlineStr">
        <x:is>
          <x:t xml:space="preserve">HitRateDiscipline.lean</x:t>
        </x:is>
      </x:c>
      <x:c r="G179" s="38" t="inlineStr">
        <x:is>
          <x:t xml:space="preserve">closedEightOfTen_hit_count</x:t>
        </x:is>
      </x:c>
      <x:c r="H179" s="38" t="inlineStr">
        <x:is>
          <x:t xml:space="preserve">8 hits (compiled bridges)</x:t>
        </x:is>
      </x:c>
      <x:c r="I179" s="38" t="inlineStr">
        <x:is>
          <x:t xml:space="preserve">rfl</x:t>
        </x:is>
      </x:c>
      <x:c r="J179" s="38" t="inlineStr">
        <x:is>
          <x:t xml:space="preserve">PROVED</x:t>
        </x:is>
      </x:c>
      <x:c r="K179" s="38" t="inlineStr">
        <x:is>
          <x:t xml:space="preserve">L7-Q5</x:t>
        </x:is>
      </x:c>
      <x:c r="L179" s="38" t="inlineStr">
        <x:is>
          <x:t xml:space="preserve">4</x:t>
        </x:is>
      </x:c>
      <x:c r="M179" s="38" t="inlineStr">
        <x:is>
          <x:t xml:space="preserve">theophysics-lean-main</x:t>
        </x:is>
      </x:c>
      <x:c r="N179" s="38" t="inlineStr">
        <x:is>
          <x:t xml:space="preserve">theophysics-lean-main\theophysics-lean-main\Theophysics_Core.lean</x:t>
        </x:is>
      </x:c>
      <x:c r="O179" s="38" t="inlineStr">
        <x:is>
          <x:t xml:space="preserve">163</x:t>
        </x:is>
      </x:c>
      <x:c r="P179" s="38" t="inlineStr">
        <x:is>
          <x:t xml:space="preserve">TRIVIAL_TRUE</x:t>
        </x:is>
      </x:c>
      <x:c r="Q179" s="38" t="inlineStr">
        <x:is>
          <x:t xml:space="preserve">Statement is `True`; theorem name may exceed formal content.</x:t>
        </x:is>
      </x:c>
      <x:c r="R179" s="39" t="inlineStr">
        <x:is>
          <x:t xml:space="preserve">theorem closedEightOfTen_hit_count : True</x:t>
        </x:is>
      </x:c>
    </x:row>
    <x:row r="180" ht="15" customHeight="1">
      <x:c r="A180" s="37" t="inlineStr">
        <x:is>
          <x:t xml:space="preserve">\\192.168.2.50\h_hp\Desktop\Master EXCEL\Lean 4.xlsx</x:t>
        </x:is>
      </x:c>
      <x:c r="B180" s="38" t="inlineStr">
        <x:is>
          <x:t xml:space="preserve">LEAN_DERIVATION_CHAIN</x:t>
        </x:is>
      </x:c>
      <x:c r="C180" s="38" t="inlineStr">
        <x:is>
          <x:t xml:space="preserve">197</x:t>
        </x:is>
      </x:c>
      <x:c r="D180" s="38" t="inlineStr">
        <x:is>
          <x:t xml:space="preserve">205</x:t>
        </x:is>
      </x:c>
      <x:c r="E180" s="38" t="inlineStr">
        <x:is>
          <x:t xml:space="preserve">16 — HitRate</x:t>
        </x:is>
      </x:c>
      <x:c r="F180" s="38" t="inlineStr">
        <x:is>
          <x:t xml:space="preserve">HitRateDiscipline.lean</x:t>
        </x:is>
      </x:c>
      <x:c r="G180" s="38" t="inlineStr">
        <x:is>
          <x:t xml:space="preserve">closedEightOfTen_denominator_closed</x:t>
        </x:is>
      </x:c>
      <x:c r="H180" s="38" t="inlineStr">
        <x:is>
          <x:t xml:space="preserve">All attempts logged before publication. No hidden failures.</x:t>
        </x:is>
      </x:c>
      <x:c r="I180" s="38" t="inlineStr">
        <x:is>
          <x:t xml:space="preserve">rfl</x:t>
        </x:is>
      </x:c>
      <x:c r="J180" s="38" t="inlineStr">
        <x:is>
          <x:t xml:space="preserve">PROVED</x:t>
        </x:is>
      </x:c>
      <x:c r="K180" s="38" t="inlineStr">
        <x:is>
          <x:t xml:space="preserve">L7-Q5</x:t>
        </x:is>
      </x:c>
      <x:c r="L180" s="38" t="inlineStr">
        <x:is>
          <x:t xml:space="preserve">4</x:t>
        </x:is>
      </x:c>
      <x:c r="M180" s="38" t="inlineStr">
        <x:is>
          <x:t xml:space="preserve">theophysics-lean-main</x:t>
        </x:is>
      </x:c>
      <x:c r="N180" s="38" t="inlineStr">
        <x:is>
          <x:t xml:space="preserve">theophysics-lean-main\theophysics-lean-main\Theophysics_Core.lean</x:t>
        </x:is>
      </x:c>
      <x:c r="O180" s="38" t="inlineStr">
        <x:is>
          <x:t xml:space="preserve">162</x:t>
        </x:is>
      </x:c>
      <x:c r="P180" s="38" t="inlineStr">
        <x:is>
          <x:t xml:space="preserve">TRIVIAL_TRUE</x:t>
        </x:is>
      </x:c>
      <x:c r="Q180" s="38" t="inlineStr">
        <x:is>
          <x:t xml:space="preserve">Statement is `True`; theorem name may exceed formal content.</x:t>
        </x:is>
      </x:c>
      <x:c r="R180" s="39" t="inlineStr">
        <x:is>
          <x:t xml:space="preserve">theorem closedEightOfTen_denominator_closed : True</x:t>
        </x:is>
      </x:c>
    </x:row>
    <x:row r="181" ht="15" customHeight="1">
      <x:c r="A181" s="37" t="inlineStr">
        <x:is>
          <x:t xml:space="preserve">\\192.168.2.50\h_hp\Desktop\Master EXCEL\Lean 4.xlsx</x:t>
        </x:is>
      </x:c>
      <x:c r="B181" s="38" t="inlineStr">
        <x:is>
          <x:t xml:space="preserve">LEAN_DERIVATION_CHAIN</x:t>
        </x:is>
      </x:c>
      <x:c r="C181" s="38" t="inlineStr">
        <x:is>
          <x:t xml:space="preserve">198</x:t>
        </x:is>
      </x:c>
      <x:c r="D181" s="38" t="inlineStr">
        <x:is>
          <x:t xml:space="preserve">206</x:t>
        </x:is>
      </x:c>
      <x:c r="E181" s="38" t="inlineStr">
        <x:is>
          <x:t xml:space="preserve">16 — HitRate</x:t>
        </x:is>
      </x:c>
      <x:c r="F181" s="38" t="inlineStr">
        <x:is>
          <x:t xml:space="preserve">HitRateDiscipline.lean</x:t>
        </x:is>
      </x:c>
      <x:c r="G181" s="38" t="inlineStr">
        <x:is>
          <x:t xml:space="preserve">closedEightOfTen_can_claim_80_percent</x:t>
        </x:is>
      </x:c>
      <x:c r="H181" s="38" t="inlineStr">
        <x:is>
          <x:t xml:space="preserve">80% hit rate claim is valid</x:t>
        </x:is>
      </x:c>
      <x:c r="I181" s="38" t="inlineStr">
        <x:is>
          <x:t xml:space="preserve">decide</x:t>
        </x:is>
      </x:c>
      <x:c r="J181" s="38" t="inlineStr">
        <x:is>
          <x:t xml:space="preserve">PROVED</x:t>
        </x:is>
      </x:c>
      <x:c r="K181" s="38" t="inlineStr">
        <x:is>
          <x:t xml:space="preserve">L7-Q5</x:t>
        </x:is>
      </x:c>
      <x:c r="L181" s="38" t="inlineStr">
        <x:is>
          <x:t xml:space="preserve">4</x:t>
        </x:is>
      </x:c>
      <x:c r="M181" s="38" t="inlineStr">
        <x:is>
          <x:t xml:space="preserve">theophysics-lean-main</x:t>
        </x:is>
      </x:c>
      <x:c r="N181" s="38" t="inlineStr">
        <x:is>
          <x:t xml:space="preserve">theophysics-lean-main\theophysics-lean-main\Theophysics_Core.lean</x:t>
        </x:is>
      </x:c>
      <x:c r="O181" s="38" t="inlineStr">
        <x:is>
          <x:t xml:space="preserve">161</x:t>
        </x:is>
      </x:c>
      <x:c r="P181" s="38" t="inlineStr">
        <x:is>
          <x:t xml:space="preserve">TRIVIAL_TRUE</x:t>
        </x:is>
      </x:c>
      <x:c r="Q181" s="38" t="inlineStr">
        <x:is>
          <x:t xml:space="preserve">Statement is `True`; theorem name may exceed formal content.</x:t>
        </x:is>
      </x:c>
      <x:c r="R181" s="39" t="inlineStr">
        <x:is>
          <x:t xml:space="preserve">theorem closedEightOfTen_can_claim_80_percent : True</x:t>
        </x:is>
      </x:c>
    </x:row>
    <x:row r="182" ht="15" customHeight="1">
      <x:c r="A182" s="37" t="inlineStr">
        <x:is>
          <x:t xml:space="preserve">\\192.168.2.50\h_hp\Desktop\Master EXCEL\Lean 4.xlsx</x:t>
        </x:is>
      </x:c>
      <x:c r="B182" s="38" t="inlineStr">
        <x:is>
          <x:t xml:space="preserve">LEAN_DERIVATION_CHAIN</x:t>
        </x:is>
      </x:c>
      <x:c r="C182" s="38" t="inlineStr">
        <x:is>
          <x:t xml:space="preserve">199</x:t>
        </x:is>
      </x:c>
      <x:c r="D182" s="38" t="inlineStr">
        <x:is>
          <x:t xml:space="preserve">207</x:t>
        </x:is>
      </x:c>
      <x:c r="E182" s="38" t="inlineStr">
        <x:is>
          <x:t xml:space="preserve">16 — HitRate</x:t>
        </x:is>
      </x:c>
      <x:c r="F182" s="38" t="inlineStr">
        <x:is>
          <x:t xml:space="preserve">HitRateDiscipline.lean</x:t>
        </x:is>
      </x:c>
      <x:c r="G182" s="38" t="inlineStr">
        <x:is>
          <x:t xml:space="preserve">closedEightOfTen_cannot_claim_90_percent</x:t>
        </x:is>
      </x:c>
      <x:c r="H182" s="38" t="inlineStr">
        <x:is>
          <x:t xml:space="preserve">REJECTION: 90% claim is blocked. Can't claim what you haven't earned.</x:t>
        </x:is>
      </x:c>
      <x:c r="I182" s="38" t="inlineStr">
        <x:is>
          <x:t xml:space="preserve">decide</x:t>
        </x:is>
      </x:c>
      <x:c r="J182" s="38" t="inlineStr">
        <x:is>
          <x:t xml:space="preserve">REJECTION</x:t>
        </x:is>
      </x:c>
      <x:c r="K182" s="38" t="inlineStr">
        <x:is>
          <x:t xml:space="preserve">L7-Q5</x:t>
        </x:is>
      </x:c>
      <x:c r="L182" s="38" t="inlineStr">
        <x:is>
          <x:t xml:space="preserve">4</x:t>
        </x:is>
      </x:c>
      <x:c r="M182" s="38" t="inlineStr">
        <x:is>
          <x:t xml:space="preserve">theophysics-lean-main</x:t>
        </x:is>
      </x:c>
      <x:c r="N182" s="38" t="inlineStr">
        <x:is>
          <x:t xml:space="preserve">theophysics-lean-main\theophysics-lean-main\Theophysics_Adversarial.lean</x:t>
        </x:is>
      </x:c>
      <x:c r="O182" s="38" t="inlineStr">
        <x:is>
          <x:t xml:space="preserve">565</x:t>
        </x:is>
      </x:c>
      <x:c r="P182" s="38" t="inlineStr">
        <x:is>
          <x:t xml:space="preserve">DEFINITIONAL_RFL</x:t>
        </x:is>
      </x:c>
      <x:c r="Q182" s="38" t="inlineStr">
        <x:is>
          <x:t xml:space="preserve">Proves definitional equality by reduction; useful but narrow.</x:t>
        </x:is>
      </x:c>
      <x:c r="R182" s="39" t="inlineStr">
        <x:is>
          <x:t xml:space="preserve">theorem closedEightOfTen_cannot_claim_90_percent : canClaimPercent closedEightOfTen 90 = false</x:t>
        </x:is>
      </x:c>
    </x:row>
    <x:row r="183" ht="15" customHeight="1">
      <x:c r="A183" s="37" t="inlineStr">
        <x:is>
          <x:t xml:space="preserve">\\192.168.2.50\h_hp\Desktop\Master EXCEL\Lean 4.xlsx</x:t>
        </x:is>
      </x:c>
      <x:c r="B183" s="38" t="inlineStr">
        <x:is>
          <x:t xml:space="preserve">LEAN_DERIVATION_CHAIN</x:t>
        </x:is>
      </x:c>
      <x:c r="C183" s="38" t="inlineStr">
        <x:is>
          <x:t xml:space="preserve">200</x:t>
        </x:is>
      </x:c>
      <x:c r="D183" s="38" t="inlineStr">
        <x:is>
          <x:t xml:space="preserve">208</x:t>
        </x:is>
      </x:c>
      <x:c r="E183" s="38" t="inlineStr">
        <x:is>
          <x:t xml:space="preserve">16 — HitRate</x:t>
        </x:is>
      </x:c>
      <x:c r="F183" s="38" t="inlineStr">
        <x:is>
          <x:t xml:space="preserve">HitRateDiscipline.lean</x:t>
        </x:is>
      </x:c>
      <x:c r="G183" s="38" t="inlineStr">
        <x:is>
          <x:t xml:space="preserve">hiddenDenominator_blocks_anomaly_claim</x:t>
        </x:is>
      </x:c>
      <x:c r="H183" s="38" t="inlineStr">
        <x:is>
          <x:t xml:space="preserve">REJECTION: Hidden failures block ANY anomaly claim. Integrity is non-negotiable.</x:t>
        </x:is>
      </x:c>
      <x:c r="I183" s="38" t="inlineStr">
        <x:is>
          <x:t xml:space="preserve">decide</x:t>
        </x:is>
      </x:c>
      <x:c r="J183" s="38" t="inlineStr">
        <x:is>
          <x:t xml:space="preserve">REJECTION</x:t>
        </x:is>
      </x:c>
      <x:c r="K183" s="38" t="inlineStr">
        <x:is>
          <x:t xml:space="preserve">L7-Q5</x:t>
        </x:is>
      </x:c>
      <x:c r="L183" s="38" t="inlineStr">
        <x:is>
          <x:t xml:space="preserve">4</x:t>
        </x:is>
      </x:c>
      <x:c r="M183" s="38" t="inlineStr">
        <x:is>
          <x:t xml:space="preserve">theophysics-lean-main</x:t>
        </x:is>
      </x:c>
      <x:c r="N183" s="38" t="inlineStr">
        <x:is>
          <x:t xml:space="preserve">theophysics-lean-main\theophysics-lean-main\Theophysics_Adversarial.lean</x:t>
        </x:is>
      </x:c>
      <x:c r="O183" s="38" t="inlineStr">
        <x:is>
          <x:t xml:space="preserve">569</x:t>
        </x:is>
      </x:c>
      <x:c r="P183" s="38" t="inlineStr">
        <x:is>
          <x:t xml:space="preserve">DEFINITIONAL_RFL</x:t>
        </x:is>
      </x:c>
      <x:c r="Q183" s="38" t="inlineStr">
        <x:is>
          <x:t xml:space="preserve">Proves definitional equality by reduction; useful but narrow.</x:t>
        </x:is>
      </x:c>
      <x:c r="R183" s="39" t="inlineStr">
        <x:is>
          <x:t xml:space="preserve">theorem hiddenDenominator_blocks_anomaly_claim : canClaimPercent { closedEightOfTen with hiddenDenominator := true } 80 = false</x:t>
        </x:is>
      </x:c>
    </x:row>
    <x:row r="184" ht="15" customHeight="1">
      <x:c r="A184" s="37" t="inlineStr">
        <x:is>
          <x:t xml:space="preserve">\\192.168.2.50\h_hp\Desktop\Master EXCEL\Lean 4.xlsx</x:t>
        </x:is>
      </x:c>
      <x:c r="B184" s="38" t="inlineStr">
        <x:is>
          <x:t xml:space="preserve">LEAN_DERIVATION_CHAIN</x:t>
        </x:is>
      </x:c>
      <x:c r="C184" s="38" t="inlineStr">
        <x:is>
          <x:t xml:space="preserve">201</x:t>
        </x:is>
      </x:c>
      <x:c r="D184" s="38" t="inlineStr">
        <x:is>
          <x:t xml:space="preserve">209</x:t>
        </x:is>
      </x:c>
      <x:c r="E184" s="38" t="inlineStr">
        <x:is>
          <x:t xml:space="preserve">16 — HitRate</x:t>
        </x:is>
      </x:c>
      <x:c r="F184" s="38" t="inlineStr">
        <x:is>
          <x:t xml:space="preserve">HitRateDiscipline.lean</x:t>
        </x:is>
      </x:c>
      <x:c r="G184" s="38" t="inlineStr">
        <x:is>
          <x:t xml:space="preserve">failed_attempt_counts_in_denominator</x:t>
        </x:is>
      </x:c>
      <x:c r="H184" s="38" t="inlineStr">
        <x:is>
          <x:t xml:space="preserve">REJECTION: Failures count against you. No cherry-picking.</x:t>
        </x:is>
      </x:c>
      <x:c r="I184" s="38" t="inlineStr">
        <x:is>
          <x:t xml:space="preserve">decide</x:t>
        </x:is>
      </x:c>
      <x:c r="J184" s="38" t="inlineStr">
        <x:is>
          <x:t xml:space="preserve">REJECTION</x:t>
        </x:is>
      </x:c>
      <x:c r="K184" s="38" t="inlineStr">
        <x:is>
          <x:t xml:space="preserve">L7-Q5</x:t>
        </x:is>
      </x:c>
      <x:c r="L184" s="38" t="inlineStr">
        <x:is>
          <x:t xml:space="preserve">4</x:t>
        </x:is>
      </x:c>
      <x:c r="M184" s="38" t="inlineStr">
        <x:is>
          <x:t xml:space="preserve">theophysics-lean-main</x:t>
        </x:is>
      </x:c>
      <x:c r="N184" s="38" t="inlineStr">
        <x:is>
          <x:t xml:space="preserve">theophysics-lean-main\theophysics-lean-main\Theophysics_Adversarial.lean</x:t>
        </x:is>
      </x:c>
      <x:c r="O184" s="38" t="inlineStr">
        <x:is>
          <x:t xml:space="preserve">573</x:t>
        </x:is>
      </x:c>
      <x:c r="P184" s="38" t="inlineStr">
        <x:is>
          <x:t xml:space="preserve">DEFINITIONAL_RFL</x:t>
        </x:is>
      </x:c>
      <x:c r="Q184" s="38" t="inlineStr">
        <x:is>
          <x:t xml:space="preserve">Proves definitional equality by reduction; useful but narrow.</x:t>
        </x:is>
      </x:c>
      <x:c r="R184" s="39" t="inlineStr">
        <x:is>
          <x:t xml:space="preserve">theorem failed_attempt_counts_in_denominator : canClaimPercent { closedEightOfTen with failedAttemptsIncluded := false } 80 = false</x:t>
        </x:is>
      </x:c>
    </x:row>
    <x:row r="185" ht="15" customHeight="1">
      <x:c r="A185" s="37" t="inlineStr">
        <x:is>
          <x:t xml:space="preserve">\\192.168.2.50\h_hp\Desktop\Master EXCEL\Lean 4.xlsx</x:t>
        </x:is>
      </x:c>
      <x:c r="B185" s="38" t="inlineStr">
        <x:is>
          <x:t xml:space="preserve">LEAN_DERIVATION_CHAIN</x:t>
        </x:is>
      </x:c>
      <x:c r="C185" s="38" t="inlineStr">
        <x:is>
          <x:t xml:space="preserve">202</x:t>
        </x:is>
      </x:c>
      <x:c r="D185" s="38" t="inlineStr">
        <x:is>
          <x:t xml:space="preserve">210</x:t>
        </x:is>
      </x:c>
      <x:c r="E185" s="38" t="inlineStr">
        <x:is>
          <x:t xml:space="preserve">16 — HitRate</x:t>
        </x:is>
      </x:c>
      <x:c r="F185" s="38" t="inlineStr">
        <x:is>
          <x:t xml:space="preserve">HitRateDiscipline.lean</x:t>
        </x:is>
      </x:c>
      <x:c r="G185" s="38" t="inlineStr">
        <x:is>
          <x:t xml:space="preserve">partial_attempt_does_not_count_as_hit</x:t>
        </x:is>
      </x:c>
      <x:c r="H185" s="38" t="inlineStr">
        <x:is>
          <x:t xml:space="preserve">REJECTION: Partials are not hits. Close enough is not enough.</x:t>
        </x:is>
      </x:c>
      <x:c r="I185" s="38" t="inlineStr">
        <x:is>
          <x:t xml:space="preserve">decide</x:t>
        </x:is>
      </x:c>
      <x:c r="J185" s="38" t="inlineStr">
        <x:is>
          <x:t xml:space="preserve">REJECTION</x:t>
        </x:is>
      </x:c>
      <x:c r="K185" s="38" t="inlineStr">
        <x:is>
          <x:t xml:space="preserve">L7-Q5</x:t>
        </x:is>
      </x:c>
      <x:c r="L185" s="38" t="inlineStr">
        <x:is>
          <x:t xml:space="preserve">4</x:t>
        </x:is>
      </x:c>
      <x:c r="M185" s="38" t="inlineStr">
        <x:is>
          <x:t xml:space="preserve">theophysics-lean-main</x:t>
        </x:is>
      </x:c>
      <x:c r="N185" s="38" t="inlineStr">
        <x:is>
          <x:t xml:space="preserve">theophysics-lean-main\theophysics-lean-main\Theophysics_Adversarial.lean</x:t>
        </x:is>
      </x:c>
      <x:c r="O185" s="38" t="inlineStr">
        <x:is>
          <x:t xml:space="preserve">577</x:t>
        </x:is>
      </x:c>
      <x:c r="P185" s="38" t="inlineStr">
        <x:is>
          <x:t xml:space="preserve">DEFINITIONAL_RFL</x:t>
        </x:is>
      </x:c>
      <x:c r="Q185" s="38" t="inlineStr">
        <x:is>
          <x:t xml:space="preserve">Proves definitional equality by reduction; useful but narrow.</x:t>
        </x:is>
      </x:c>
      <x:c r="R185" s="39" t="inlineStr">
        <x:is>
          <x:t xml:space="preserve">theorem partial_attempt_does_not_count_as_hit : canClaimPercent { closedEightOfTen with partialAttempt := true } 80 = false</x:t>
        </x:is>
      </x:c>
    </x:row>
    <x:row r="186" ht="15" customHeight="1">
      <x:c r="A186" s="37" t="inlineStr">
        <x:is>
          <x:t xml:space="preserve">\\192.168.2.50\h_hp\Desktop\Master EXCEL\Lean 4.xlsx</x:t>
        </x:is>
      </x:c>
      <x:c r="B186" s="38" t="inlineStr">
        <x:is>
          <x:t xml:space="preserve">LEAN_DERIVATION_CHAIN</x:t>
        </x:is>
      </x:c>
      <x:c r="C186" s="38" t="inlineStr">
        <x:is>
          <x:t xml:space="preserve">203</x:t>
        </x:is>
      </x:c>
      <x:c r="D186" s="38" t="inlineStr">
        <x:is>
          <x:t xml:space="preserve">GAPS</x:t>
        </x:is>
      </x:c>
      <x:c r="E186" s="38" t="inlineStr">
        <x:is>
          <x:t xml:space="preserve">FORMAL GAP INVENTORY — Could Be Addressed With More Lean</x:t>
        </x:is>
      </x:c>
      <x:c r="F186" s="38" t="n"/>
      <x:c r="G186" s="38" t="n"/>
      <x:c r="H186" s="38" t="inlineStr">
        <x:is>
          <x:t xml:space="preserve">Every gap here is an honest admission. The system does not claim what it has not proven.</x:t>
        </x:is>
      </x:c>
      <x:c r="I186" s="38" t="n"/>
      <x:c r="J186" s="38" t="n"/>
      <x:c r="K186" s="38" t="n"/>
      <x:c r="L186" s="38" t="inlineStr">
        <x:is>
          <x:t xml:space="preserve">0</x:t>
        </x:is>
      </x:c>
      <x:c r="M186" s="38" t="n"/>
      <x:c r="N186" s="38" t="n"/>
      <x:c r="O186" s="38" t="n"/>
      <x:c r="P186" s="38" t="inlineStr">
        <x:is>
          <x:t xml:space="preserve">NOT_FOUND_IN_HUB</x:t>
        </x:is>
      </x:c>
      <x:c r="Q186" s="38" t="inlineStr">
        <x:is>
          <x:t xml:space="preserve">Workbook theorem name not found in extracted hub Lean files.</x:t>
        </x:is>
      </x:c>
      <x:c r="R186" s="39" t="n"/>
    </x:row>
    <x:row r="187" ht="15" customHeight="1">
      <x:c r="A187" s="37" t="inlineStr">
        <x:is>
          <x:t xml:space="preserve">\\192.168.2.50\h_hp\Desktop\Master EXCEL\Lean 4.xlsx</x:t>
        </x:is>
      </x:c>
      <x:c r="B187" s="38" t="inlineStr">
        <x:is>
          <x:t xml:space="preserve">LEAN_DERIVATION_CHAIN</x:t>
        </x:is>
      </x:c>
      <x:c r="C187" s="38" t="inlineStr">
        <x:is>
          <x:t xml:space="preserve">204</x:t>
        </x:is>
      </x:c>
      <x:c r="D187" s="38" t="inlineStr">
        <x:is>
          <x:t xml:space="preserve">GAP-01</x:t>
        </x:is>
      </x:c>
      <x:c r="E187" s="38" t="inlineStr">
        <x:is>
          <x:t xml:space="preserve">Formal Gap</x:t>
        </x:is>
      </x:c>
      <x:c r="F187" s="38" t="inlineStr">
        <x:is>
          <x:t xml:space="preserve">FieldBridgeControls.lean</x:t>
        </x:is>
      </x:c>
      <x:c r="G187" s="38" t="inlineStr">
        <x:is>
          <x:t xml:space="preserve">Laws 1, 2, 9, 10 — No domain-specific collapse conditions</x:t>
        </x:is>
      </x:c>
      <x:c r="H187" s="38" t="inlineStr">
        <x:is>
          <x:t xml:space="preserve">Law 1 (Gravity/Grace → G), Law 2 (Motion/Will → M as force), Law 9 (Weak/Moral Conservation), Law 10 (Coherence/Christ as factor). Generic zero-collapse is proven but physical mechanism that drives each to zero is NOT encoded.</x:t>
        </x:is>
      </x:c>
      <x:c r="I187" s="38" t="inlineStr">
        <x:is>
          <x:t xml:space="preserve">—</x:t>
        </x:is>
      </x:c>
      <x:c r="J187" s="38" t="inlineStr">
        <x:is>
          <x:t xml:space="preserve">GAP</x:t>
        </x:is>
      </x:c>
      <x:c r="K187" s="38" t="inlineStr">
        <x:is>
          <x:t xml:space="preserve">PRESS-1, PRESS-3</x:t>
        </x:is>
      </x:c>
      <x:c r="L187" s="38" t="inlineStr">
        <x:is>
          <x:t xml:space="preserve">0</x:t>
        </x:is>
      </x:c>
      <x:c r="M187" s="38" t="n"/>
      <x:c r="N187" s="38" t="n"/>
      <x:c r="O187" s="38" t="n"/>
      <x:c r="P187" s="38" t="inlineStr">
        <x:is>
          <x:t xml:space="preserve">NOT_FOUND_IN_HUB</x:t>
        </x:is>
      </x:c>
      <x:c r="Q187" s="38" t="inlineStr">
        <x:is>
          <x:t xml:space="preserve">Workbook theorem name not found in extracted hub Lean files.</x:t>
        </x:is>
      </x:c>
      <x:c r="R187" s="39" t="n"/>
    </x:row>
    <x:row r="188" ht="15" customHeight="1">
      <x:c r="A188" s="37" t="inlineStr">
        <x:is>
          <x:t xml:space="preserve">\\192.168.2.50\h_hp\Desktop\Master EXCEL\Lean 4.xlsx</x:t>
        </x:is>
      </x:c>
      <x:c r="B188" s="38" t="inlineStr">
        <x:is>
          <x:t xml:space="preserve">LEAN_DERIVATION_CHAIN</x:t>
        </x:is>
      </x:c>
      <x:c r="C188" s="38" t="inlineStr">
        <x:is>
          <x:t xml:space="preserve">205</x:t>
        </x:is>
      </x:c>
      <x:c r="D188" s="38" t="inlineStr">
        <x:is>
          <x:t xml:space="preserve">GAP-02</x:t>
        </x:is>
      </x:c>
      <x:c r="E188" s="38" t="inlineStr">
        <x:is>
          <x:t xml:space="preserve">Formal Gap</x:t>
        </x:is>
      </x:c>
      <x:c r="F188" s="38" t="inlineStr">
        <x:is>
          <x:t xml:space="preserve">FieldBridgeControls.lean</x:t>
        </x:is>
      </x:c>
      <x:c r="G188" s="38" t="inlineStr">
        <x:is>
          <x:t xml:space="preserve">Law 4 factor-level bridge wiring</x:t>
        </x:is>
      </x:c>
      <x:c r="H188" s="38" t="inlineStr">
        <x:is>
          <x:t xml:space="preserve">The isomorphism StrongForce ≅ Love is proven at the model level, but there is NO FieldBridgeControls-style gate wiring Factor.S into the χ product.</x:t>
        </x:is>
      </x:c>
      <x:c r="I188" s="38" t="inlineStr">
        <x:is>
          <x:t xml:space="preserve">—</x:t>
        </x:is>
      </x:c>
      <x:c r="J188" s="38" t="inlineStr">
        <x:is>
          <x:t xml:space="preserve">GAP</x:t>
        </x:is>
      </x:c>
      <x:c r="K188" s="38" t="inlineStr">
        <x:is>
          <x:t xml:space="preserve">LEAN-07</x:t>
        </x:is>
      </x:c>
      <x:c r="L188" s="38" t="inlineStr">
        <x:is>
          <x:t xml:space="preserve">0</x:t>
        </x:is>
      </x:c>
      <x:c r="M188" s="38" t="n"/>
      <x:c r="N188" s="38" t="n"/>
      <x:c r="O188" s="38" t="n"/>
      <x:c r="P188" s="38" t="inlineStr">
        <x:is>
          <x:t xml:space="preserve">NOT_FOUND_IN_HUB</x:t>
        </x:is>
      </x:c>
      <x:c r="Q188" s="38" t="inlineStr">
        <x:is>
          <x:t xml:space="preserve">Workbook theorem name not found in extracted hub Lean files.</x:t>
        </x:is>
      </x:c>
      <x:c r="R188" s="39" t="n"/>
    </x:row>
    <x:row r="189" ht="15" customHeight="1">
      <x:c r="A189" s="37" t="inlineStr">
        <x:is>
          <x:t xml:space="preserve">\\192.168.2.50\h_hp\Desktop\Master EXCEL\Lean 4.xlsx</x:t>
        </x:is>
      </x:c>
      <x:c r="B189" s="38" t="inlineStr">
        <x:is>
          <x:t xml:space="preserve">LEAN_DERIVATION_CHAIN</x:t>
        </x:is>
      </x:c>
      <x:c r="C189" s="38" t="inlineStr">
        <x:is>
          <x:t xml:space="preserve">206</x:t>
        </x:is>
      </x:c>
      <x:c r="D189" s="38" t="inlineStr">
        <x:is>
          <x:t xml:space="preserve">GAP-03</x:t>
        </x:is>
      </x:c>
      <x:c r="E189" s="38" t="inlineStr">
        <x:is>
          <x:t xml:space="preserve">Formal Gap</x:t>
        </x:is>
      </x:c>
      <x:c r="F189" s="38" t="inlineStr">
        <x:is>
          <x:t xml:space="preserve">FieldBridgeControls.lean</x:t>
        </x:is>
      </x:c>
      <x:c r="G189" s="38" t="inlineStr">
        <x:is>
          <x:t xml:space="preserve">Law 5 factor-level bridge wiring</x:t>
        </x:is>
      </x:c>
      <x:c r="H189" s="38" t="inlineStr">
        <x:is>
          <x:t xml:space="preserve">Justice/Mercy operator is proven independently, but no formal wiring shows how R(offense, α) maps into the Factor.S product slot.</x:t>
        </x:is>
      </x:c>
      <x:c r="I189" s="38" t="inlineStr">
        <x:is>
          <x:t xml:space="preserve">—</x:t>
        </x:is>
      </x:c>
      <x:c r="J189" s="38" t="inlineStr">
        <x:is>
          <x:t xml:space="preserve">GAP</x:t>
        </x:is>
      </x:c>
      <x:c r="K189" s="38" t="inlineStr">
        <x:is>
          <x:t xml:space="preserve">LEAN-13</x:t>
        </x:is>
      </x:c>
      <x:c r="L189" s="38" t="inlineStr">
        <x:is>
          <x:t xml:space="preserve">0</x:t>
        </x:is>
      </x:c>
      <x:c r="M189" s="38" t="n"/>
      <x:c r="N189" s="38" t="n"/>
      <x:c r="O189" s="38" t="n"/>
      <x:c r="P189" s="38" t="inlineStr">
        <x:is>
          <x:t xml:space="preserve">NOT_FOUND_IN_HUB</x:t>
        </x:is>
      </x:c>
      <x:c r="Q189" s="38" t="inlineStr">
        <x:is>
          <x:t xml:space="preserve">Workbook theorem name not found in extracted hub Lean files.</x:t>
        </x:is>
      </x:c>
      <x:c r="R189" s="39" t="n"/>
    </x:row>
    <x:row r="190" ht="15" customHeight="1">
      <x:c r="A190" s="37" t="inlineStr">
        <x:is>
          <x:t xml:space="preserve">\\192.168.2.50\h_hp\Desktop\Master EXCEL\Lean 4.xlsx</x:t>
        </x:is>
      </x:c>
      <x:c r="B190" s="38" t="inlineStr">
        <x:is>
          <x:t xml:space="preserve">LEAN_DERIVATION_CHAIN</x:t>
        </x:is>
      </x:c>
      <x:c r="C190" s="38" t="inlineStr">
        <x:is>
          <x:t xml:space="preserve">207</x:t>
        </x:is>
      </x:c>
      <x:c r="D190" s="38" t="inlineStr">
        <x:is>
          <x:t xml:space="preserve">GAP-04</x:t>
        </x:is>
      </x:c>
      <x:c r="E190" s="38" t="inlineStr">
        <x:is>
          <x:t xml:space="preserve">Formal Gap</x:t>
        </x:is>
      </x:c>
      <x:c r="F190" s="38" t="inlineStr">
        <x:is>
          <x:t xml:space="preserve">Mapping.lean</x:t>
        </x:is>
      </x:c>
      <x:c r="G190" s="38" t="inlineStr">
        <x:is>
          <x:t xml:space="preserve">Category-theoretic upgrade of Mapping.lean</x:t>
        </x:is>
      </x:c>
      <x:c r="H190" s="38" t="inlineStr">
        <x:is>
          <x:t xml:space="preserve">Currently a list-map equality. A proper functor between categories of operations would be stronger. Currently DEMOTED to teaching layer.</x:t>
        </x:is>
      </x:c>
      <x:c r="I190" s="38" t="inlineStr">
        <x:is>
          <x:t xml:space="preserve">—</x:t>
        </x:is>
      </x:c>
      <x:c r="J190" s="38" t="inlineStr">
        <x:is>
          <x:t xml:space="preserve">GAP</x:t>
        </x:is>
      </x:c>
      <x:c r="K190" s="38" t="inlineStr">
        <x:is>
          <x:t xml:space="preserve">LEAN-02</x:t>
        </x:is>
      </x:c>
      <x:c r="L190" s="38" t="inlineStr">
        <x:is>
          <x:t xml:space="preserve">0</x:t>
        </x:is>
      </x:c>
      <x:c r="M190" s="38" t="n"/>
      <x:c r="N190" s="38" t="n"/>
      <x:c r="O190" s="38" t="n"/>
      <x:c r="P190" s="38" t="inlineStr">
        <x:is>
          <x:t xml:space="preserve">NOT_FOUND_IN_HUB</x:t>
        </x:is>
      </x:c>
      <x:c r="Q190" s="38" t="inlineStr">
        <x:is>
          <x:t xml:space="preserve">Workbook theorem name not found in extracted hub Lean files.</x:t>
        </x:is>
      </x:c>
      <x:c r="R190" s="39" t="n"/>
    </x:row>
    <x:row r="191" ht="15" customHeight="1">
      <x:c r="A191" s="37" t="inlineStr">
        <x:is>
          <x:t xml:space="preserve">\\192.168.2.50\h_hp\Desktop\Master EXCEL\Lean 4.xlsx</x:t>
        </x:is>
      </x:c>
      <x:c r="B191" s="38" t="inlineStr">
        <x:is>
          <x:t xml:space="preserve">LEAN_DERIVATION_CHAIN</x:t>
        </x:is>
      </x:c>
      <x:c r="C191" s="38" t="inlineStr">
        <x:is>
          <x:t xml:space="preserve">208</x:t>
        </x:is>
      </x:c>
      <x:c r="D191" s="38" t="inlineStr">
        <x:is>
          <x:t xml:space="preserve">GAP-05</x:t>
        </x:is>
      </x:c>
      <x:c r="E191" s="38" t="inlineStr">
        <x:is>
          <x:t xml:space="preserve">Formal Gap</x:t>
        </x:is>
      </x:c>
      <x:c r="F191" s="38" t="inlineStr">
        <x:is>
          <x:t xml:space="preserve">DependencyLattice.lean</x:t>
        </x:is>
      </x:c>
      <x:c r="G191" s="38" t="inlineStr">
        <x:is>
          <x:t xml:space="preserve">Cross-domain lattice coverage</x:t>
        </x:is>
      </x:c>
      <x:c r="H191" s="38" t="inlineStr">
        <x:is>
          <x:t xml:space="preserve">Only 3 of ~20 theology edges have explicit physics edge witnesses. The rest are structurally provable but not yet formalized.</x:t>
        </x:is>
      </x:c>
      <x:c r="I191" s="38" t="inlineStr">
        <x:is>
          <x:t xml:space="preserve">—</x:t>
        </x:is>
      </x:c>
      <x:c r="J191" s="38" t="inlineStr">
        <x:is>
          <x:t xml:space="preserve">GAP</x:t>
        </x:is>
      </x:c>
      <x:c r="K191" s="38" t="inlineStr">
        <x:is>
          <x:t xml:space="preserve">LAT-05</x:t>
        </x:is>
      </x:c>
      <x:c r="L191" s="38" t="inlineStr">
        <x:is>
          <x:t xml:space="preserve">0</x:t>
        </x:is>
      </x:c>
      <x:c r="M191" s="38" t="n"/>
      <x:c r="N191" s="38" t="n"/>
      <x:c r="O191" s="38" t="n"/>
      <x:c r="P191" s="38" t="inlineStr">
        <x:is>
          <x:t xml:space="preserve">NOT_FOUND_IN_HUB</x:t>
        </x:is>
      </x:c>
      <x:c r="Q191" s="38" t="inlineStr">
        <x:is>
          <x:t xml:space="preserve">Workbook theorem name not found in extracted hub Lean files.</x:t>
        </x:is>
      </x:c>
      <x:c r="R191" s="39" t="n"/>
    </x:row>
    <x:row r="192" ht="15" customHeight="1">
      <x:c r="A192" s="37" t="inlineStr">
        <x:is>
          <x:t xml:space="preserve">\\192.168.2.50\h_hp\Desktop\Master EXCEL\Lean 4.xlsx</x:t>
        </x:is>
      </x:c>
      <x:c r="B192" s="38" t="inlineStr">
        <x:is>
          <x:t xml:space="preserve">LEAN_DERIVATION_CHAIN</x:t>
        </x:is>
      </x:c>
      <x:c r="C192" s="38" t="inlineStr">
        <x:is>
          <x:t xml:space="preserve">209</x:t>
        </x:is>
      </x:c>
      <x:c r="D192" s="38" t="inlineStr">
        <x:is>
          <x:t xml:space="preserve">SPEC</x:t>
        </x:is>
      </x:c>
      <x:c r="E192" s="38" t="inlineStr">
        <x:is>
          <x:t xml:space="preserve">SPECIFICATION-REVIEW GAPS — Outside Lean's Scope</x:t>
        </x:is>
      </x:c>
      <x:c r="F192" s="38" t="n"/>
      <x:c r="G192" s="38" t="n"/>
      <x:c r="H192" s="38" t="inlineStr">
        <x:is>
          <x:t xml:space="preserve">These gaps cannot be closed by more Lean. They require domain judgment, empirical data, or philosophical argument.</x:t>
        </x:is>
      </x:c>
      <x:c r="I192" s="38" t="n"/>
      <x:c r="J192" s="38" t="n"/>
      <x:c r="K192" s="38" t="n"/>
      <x:c r="L192" s="38" t="inlineStr">
        <x:is>
          <x:t xml:space="preserve">0</x:t>
        </x:is>
      </x:c>
      <x:c r="M192" s="38" t="n"/>
      <x:c r="N192" s="38" t="n"/>
      <x:c r="O192" s="38" t="n"/>
      <x:c r="P192" s="38" t="inlineStr">
        <x:is>
          <x:t xml:space="preserve">NOT_FOUND_IN_HUB</x:t>
        </x:is>
      </x:c>
      <x:c r="Q192" s="38" t="inlineStr">
        <x:is>
          <x:t xml:space="preserve">Workbook theorem name not found in extracted hub Lean files.</x:t>
        </x:is>
      </x:c>
      <x:c r="R192" s="39" t="n"/>
    </x:row>
    <x:row r="193" ht="15" customHeight="1">
      <x:c r="A193" s="37" t="inlineStr">
        <x:is>
          <x:t xml:space="preserve">\\192.168.2.50\h_hp\Desktop\Master EXCEL\Lean 4.xlsx</x:t>
        </x:is>
      </x:c>
      <x:c r="B193" s="38" t="inlineStr">
        <x:is>
          <x:t xml:space="preserve">LEAN_DERIVATION_CHAIN</x:t>
        </x:is>
      </x:c>
      <x:c r="C193" s="38" t="inlineStr">
        <x:is>
          <x:t xml:space="preserve">210</x:t>
        </x:is>
      </x:c>
      <x:c r="D193" s="38" t="inlineStr">
        <x:is>
          <x:t xml:space="preserve">SPEC-01</x:t>
        </x:is>
      </x:c>
      <x:c r="E193" s="38" t="inlineStr">
        <x:is>
          <x:t xml:space="preserve">Spec Gap</x:t>
        </x:is>
      </x:c>
      <x:c r="F193" s="38" t="inlineStr">
        <x:is>
          <x:t xml:space="preserve">All isomorphism modules</x:t>
        </x:is>
      </x:c>
      <x:c r="G193" s="38" t="inlineStr">
        <x:is>
          <x:t xml:space="preserve">Faithful abstraction</x:t>
        </x:is>
      </x:c>
      <x:c r="H193" s="38" t="inlineStr">
        <x:is>
          <x:t xml:space="preserve">Does quaternionEM faithfully represent historical Maxwell quaternion EM? Does loveModel faithfully represent the theological concept of love? These are domain judgment calls, not formal proof targets.</x:t>
        </x:is>
      </x:c>
      <x:c r="I193" s="38" t="inlineStr">
        <x:is>
          <x:t xml:space="preserve">—</x:t>
        </x:is>
      </x:c>
      <x:c r="J193" s="38" t="inlineStr">
        <x:is>
          <x:t xml:space="preserve">SPEC GAP</x:t>
        </x:is>
      </x:c>
      <x:c r="K193" s="38" t="inlineStr">
        <x:is>
          <x:t xml:space="preserve">COMPRESS-4</x:t>
        </x:is>
      </x:c>
      <x:c r="L193" s="38" t="inlineStr">
        <x:is>
          <x:t xml:space="preserve">0</x:t>
        </x:is>
      </x:c>
      <x:c r="M193" s="38" t="n"/>
      <x:c r="N193" s="38" t="n"/>
      <x:c r="O193" s="38" t="n"/>
      <x:c r="P193" s="38" t="inlineStr">
        <x:is>
          <x:t xml:space="preserve">NOT_FOUND_IN_HUB</x:t>
        </x:is>
      </x:c>
      <x:c r="Q193" s="38" t="inlineStr">
        <x:is>
          <x:t xml:space="preserve">Workbook theorem name not found in extracted hub Lean files.</x:t>
        </x:is>
      </x:c>
      <x:c r="R193" s="39" t="n"/>
    </x:row>
    <x:row r="194" ht="15" customHeight="1">
      <x:c r="A194" s="37" t="inlineStr">
        <x:is>
          <x:t xml:space="preserve">\\192.168.2.50\h_hp\Desktop\Master EXCEL\Lean 4.xlsx</x:t>
        </x:is>
      </x:c>
      <x:c r="B194" s="38" t="inlineStr">
        <x:is>
          <x:t xml:space="preserve">LEAN_DERIVATION_CHAIN</x:t>
        </x:is>
      </x:c>
      <x:c r="C194" s="38" t="inlineStr">
        <x:is>
          <x:t xml:space="preserve">211</x:t>
        </x:is>
      </x:c>
      <x:c r="D194" s="38" t="inlineStr">
        <x:is>
          <x:t xml:space="preserve">SPEC-02</x:t>
        </x:is>
      </x:c>
      <x:c r="E194" s="38" t="inlineStr">
        <x:is>
          <x:t xml:space="preserve">Spec Gap</x:t>
        </x:is>
      </x:c>
      <x:c r="F194" s="38" t="inlineStr">
        <x:is>
          <x:t xml:space="preserve">BridgeMatrix, IsomorphismTest</x:t>
        </x:is>
      </x:c>
      <x:c r="G194" s="38" t="inlineStr">
        <x:is>
          <x:t xml:space="preserve">Label honesty</x:t>
        </x:is>
      </x:c>
      <x:c r="H194" s="38" t="inlineStr">
        <x:is>
          <x:t xml:space="preserve">The relabeled-coin adversarial result proves Lean CAN be gamed by relabeling. The guard is domain review, not formal proof. This is an inherent limit of any formal system.</x:t>
        </x:is>
      </x:c>
      <x:c r="I194" s="38" t="inlineStr">
        <x:is>
          <x:t xml:space="preserve">—</x:t>
        </x:is>
      </x:c>
      <x:c r="J194" s="38" t="inlineStr">
        <x:is>
          <x:t xml:space="preserve">SPEC GAP</x:t>
        </x:is>
      </x:c>
      <x:c r="K194" s="38" t="inlineStr">
        <x:is>
          <x:t xml:space="preserve">COMPRESS-4</x:t>
        </x:is>
      </x:c>
      <x:c r="L194" s="38" t="inlineStr">
        <x:is>
          <x:t xml:space="preserve">0</x:t>
        </x:is>
      </x:c>
      <x:c r="M194" s="38" t="n"/>
      <x:c r="N194" s="38" t="n"/>
      <x:c r="O194" s="38" t="n"/>
      <x:c r="P194" s="38" t="inlineStr">
        <x:is>
          <x:t xml:space="preserve">NOT_FOUND_IN_HUB</x:t>
        </x:is>
      </x:c>
      <x:c r="Q194" s="38" t="inlineStr">
        <x:is>
          <x:t xml:space="preserve">Workbook theorem name not found in extracted hub Lean files.</x:t>
        </x:is>
      </x:c>
      <x:c r="R194" s="39" t="n"/>
    </x:row>
    <x:row r="195" ht="15" customHeight="1">
      <x:c r="A195" s="37" t="inlineStr">
        <x:is>
          <x:t xml:space="preserve">\\192.168.2.50\h_hp\Desktop\Master EXCEL\Lean 4.xlsx</x:t>
        </x:is>
      </x:c>
      <x:c r="B195" s="38" t="inlineStr">
        <x:is>
          <x:t xml:space="preserve">LEAN_DERIVATION_CHAIN</x:t>
        </x:is>
      </x:c>
      <x:c r="C195" s="38" t="inlineStr">
        <x:is>
          <x:t xml:space="preserve">212</x:t>
        </x:is>
      </x:c>
      <x:c r="D195" s="38" t="inlineStr">
        <x:is>
          <x:t xml:space="preserve">SPEC-03</x:t>
        </x:is>
      </x:c>
      <x:c r="E195" s="38" t="inlineStr">
        <x:is>
          <x:t xml:space="preserve">Spec Gap</x:t>
        </x:is>
      </x:c>
      <x:c r="F195" s="38" t="inlineStr">
        <x:is>
          <x:t xml:space="preserve">—</x:t>
        </x:is>
      </x:c>
      <x:c r="G195" s="38" t="inlineStr">
        <x:is>
          <x:t xml:space="preserve">Empirical validation</x:t>
        </x:is>
      </x:c>
      <x:c r="H195" s="38" t="inlineStr">
        <x:is>
          <x:t xml:space="preserve">The 5.7–6.35σ experimental correlations are NOT formalized in Lean. Statistical claims reference external data not encoded in the proof system.</x:t>
        </x:is>
      </x:c>
      <x:c r="I195" s="38" t="inlineStr">
        <x:is>
          <x:t xml:space="preserve">—</x:t>
        </x:is>
      </x:c>
      <x:c r="J195" s="38" t="inlineStr">
        <x:is>
          <x:t xml:space="preserve">SPEC GAP</x:t>
        </x:is>
      </x:c>
      <x:c r="K195" s="38" t="inlineStr">
        <x:is>
          <x:t xml:space="preserve">L7-Q4</x:t>
        </x:is>
      </x:c>
      <x:c r="L195" s="38" t="inlineStr">
        <x:is>
          <x:t xml:space="preserve">0</x:t>
        </x:is>
      </x:c>
      <x:c r="M195" s="38" t="n"/>
      <x:c r="N195" s="38" t="n"/>
      <x:c r="O195" s="38" t="n"/>
      <x:c r="P195" s="38" t="inlineStr">
        <x:is>
          <x:t xml:space="preserve">NOT_FOUND_IN_HUB</x:t>
        </x:is>
      </x:c>
      <x:c r="Q195" s="38" t="inlineStr">
        <x:is>
          <x:t xml:space="preserve">Workbook theorem name not found in extracted hub Lean files.</x:t>
        </x:is>
      </x:c>
      <x:c r="R195" s="39" t="n"/>
    </x:row>
    <x:row r="196" ht="15" customHeight="1">
      <x:c r="A196" s="37" t="inlineStr">
        <x:is>
          <x:t xml:space="preserve">\\192.168.2.50\h_hp\Desktop\Master EXCEL\Lean 4.xlsx</x:t>
        </x:is>
      </x:c>
      <x:c r="B196" s="38" t="inlineStr">
        <x:is>
          <x:t xml:space="preserve">LEAN_DERIVATION_CHAIN</x:t>
        </x:is>
      </x:c>
      <x:c r="C196" s="38" t="inlineStr">
        <x:is>
          <x:t xml:space="preserve">213</x:t>
        </x:is>
      </x:c>
      <x:c r="D196" s="38" t="inlineStr">
        <x:is>
          <x:t xml:space="preserve">SPEC-04</x:t>
        </x:is>
      </x:c>
      <x:c r="E196" s="38" t="inlineStr">
        <x:is>
          <x:t xml:space="preserve">Spec Gap</x:t>
        </x:is>
      </x:c>
      <x:c r="F196" s="38" t="inlineStr">
        <x:is>
          <x:t xml:space="preserve">—</x:t>
        </x:is>
      </x:c>
      <x:c r="G196" s="38" t="inlineStr">
        <x:is>
          <x:t xml:space="preserve">Continuous mathematics</x:t>
        </x:is>
      </x:c>
      <x:c r="H196" s="38" t="inlineStr">
        <x:is>
          <x:t xml:space="preserve">All models use Nat/Int/Bool. Continuous-domain physics (real-valued fields, differential equations, Lagrangians) would require Mathlib. Not attempted.</x:t>
        </x:is>
      </x:c>
      <x:c r="I196" s="38" t="inlineStr">
        <x:is>
          <x:t xml:space="preserve">—</x:t>
        </x:is>
      </x:c>
      <x:c r="J196" s="38" t="inlineStr">
        <x:is>
          <x:t xml:space="preserve">SPEC GAP</x:t>
        </x:is>
      </x:c>
      <x:c r="K196" s="38" t="inlineStr">
        <x:is>
          <x:t xml:space="preserve">—</x:t>
        </x:is>
      </x:c>
      <x:c r="L196" s="38" t="inlineStr">
        <x:is>
          <x:t xml:space="preserve">0</x:t>
        </x:is>
      </x:c>
      <x:c r="M196" s="38" t="n"/>
      <x:c r="N196" s="38" t="n"/>
      <x:c r="O196" s="38" t="n"/>
      <x:c r="P196" s="38" t="inlineStr">
        <x:is>
          <x:t xml:space="preserve">NOT_FOUND_IN_HUB</x:t>
        </x:is>
      </x:c>
      <x:c r="Q196" s="38" t="inlineStr">
        <x:is>
          <x:t xml:space="preserve">Workbook theorem name not found in extracted hub Lean files.</x:t>
        </x:is>
      </x:c>
      <x:c r="R196" s="39" t="n"/>
    </x:row>
    <x:row r="197" ht="15" customHeight="1">
      <x:c r="A197" s="37" t="inlineStr">
        <x:is>
          <x:t xml:space="preserve">\\192.168.2.50\h_hp\Desktop\Master EXCEL\Lean 4.xlsx</x:t>
        </x:is>
      </x:c>
      <x:c r="B197" s="38" t="inlineStr">
        <x:is>
          <x:t xml:space="preserve">LEAN_DERIVATION_CHAIN</x:t>
        </x:is>
      </x:c>
      <x:c r="C197" s="38" t="inlineStr">
        <x:is>
          <x:t xml:space="preserve">214</x:t>
        </x:is>
      </x:c>
      <x:c r="D197" s="38" t="inlineStr">
        <x:is>
          <x:t xml:space="preserve">SPEC-05</x:t>
        </x:is>
      </x:c>
      <x:c r="E197" s="38" t="inlineStr">
        <x:is>
          <x:t xml:space="preserve">Spec Gap</x:t>
        </x:is>
      </x:c>
      <x:c r="F197" s="38" t="inlineStr">
        <x:is>
          <x:t xml:space="preserve">—</x:t>
        </x:is>
      </x:c>
      <x:c r="G197" s="38" t="inlineStr">
        <x:is>
          <x:t xml:space="preserve">Historical claims</x:t>
        </x:is>
      </x:c>
      <x:c r="H197" s="38" t="inlineStr">
        <x:is>
          <x:t xml:space="preserve">Lean proves the repair STRUCTURE is unique. Whether Jesus of Nazareth is that structure requires historical evidence, not formal proof. History must be tested separately.</x:t>
        </x:is>
      </x:c>
      <x:c r="I197" s="38" t="inlineStr">
        <x:is>
          <x:t xml:space="preserve">—</x:t>
        </x:is>
      </x:c>
      <x:c r="J197" s="38" t="inlineStr">
        <x:is>
          <x:t xml:space="preserve">SPEC GAP</x:t>
        </x:is>
      </x:c>
      <x:c r="K197" s="38" t="inlineStr">
        <x:is>
          <x:t xml:space="preserve">L6-Q7, COMPRESS-4</x:t>
        </x:is>
      </x:c>
      <x:c r="L197" s="38" t="inlineStr">
        <x:is>
          <x:t xml:space="preserve">0</x:t>
        </x:is>
      </x:c>
      <x:c r="M197" s="38" t="n"/>
      <x:c r="N197" s="38" t="n"/>
      <x:c r="O197" s="38" t="n"/>
      <x:c r="P197" s="38" t="inlineStr">
        <x:is>
          <x:t xml:space="preserve">NOT_FOUND_IN_HUB</x:t>
        </x:is>
      </x:c>
      <x:c r="Q197" s="38" t="inlineStr">
        <x:is>
          <x:t xml:space="preserve">Workbook theorem name not found in extracted hub Lean files.</x:t>
        </x:is>
      </x:c>
      <x:c r="R197" s="39" t="n"/>
    </x:row>
    <x:row r="198" ht="15" customHeight="1">
      <x:c r="A198" s="37" t="inlineStr">
        <x:is>
          <x:t xml:space="preserve">\\192.168.2.50\h_hp\Desktop\Master EXCEL\Lean 4.xlsx</x:t>
        </x:is>
      </x:c>
      <x:c r="B198" s="38" t="inlineStr">
        <x:is>
          <x:t xml:space="preserve">LEAN_DERIVATION_CHAIN</x:t>
        </x:is>
      </x:c>
      <x:c r="C198" s="38" t="inlineStr">
        <x:is>
          <x:t xml:space="preserve">216</x:t>
        </x:is>
      </x:c>
      <x:c r="D198" s="38" t="inlineStr">
        <x:is>
          <x:t xml:space="preserve">211</x:t>
        </x:is>
      </x:c>
      <x:c r="E198" s="38" t="inlineStr">
        <x:is>
          <x:t xml:space="preserve">N - NegInventory</x:t>
        </x:is>
      </x:c>
      <x:c r="F198" s="38" t="inlineStr">
        <x:is>
          <x:t xml:space="preserve">Theophysics_NegativeInventory.lean</x:t>
        </x:is>
      </x:c>
      <x:c r="G198" s="38" t="inlineStr">
        <x:is>
          <x:t xml:space="preserve">strong_Q_with_zero_R_gate_fails</x:t>
        </x:is>
      </x:c>
      <x:c r="H198" s="38" t="inlineStr">
        <x:is>
          <x:t xml:space="preserve">Strong Q with closed R gate still collapses - strength is not sufficiency</x:t>
        </x:is>
      </x:c>
      <x:c r="I198" s="38" t="inlineStr">
        <x:is>
          <x:t xml:space="preserve">exact/collapse</x:t>
        </x:is>
      </x:c>
      <x:c r="J198" s="38" t="inlineStr">
        <x:is>
          <x:t xml:space="preserve">REJECTION</x:t>
        </x:is>
      </x:c>
      <x:c r="K198" s="38" t="inlineStr">
        <x:is>
          <x:t xml:space="preserve">06_Lean_Negative_Inventory Part III</x:t>
        </x:is>
      </x:c>
      <x:c r="L198" s="38" t="inlineStr">
        <x:is>
          <x:t xml:space="preserve">1</x:t>
        </x:is>
      </x:c>
      <x:c r="M198" s="38" t="inlineStr">
        <x:is>
          <x:t xml:space="preserve">Faith-Thru-Physics-Lean-4--main</x:t>
        </x:is>
      </x:c>
      <x:c r="N198" s="38" t="inlineStr">
        <x:is>
          <x:t xml:space="preserve">Faith-Thru-Physics-Lean-4--main\Faith-Thru-Physics-Lean-4--main\Theophysics_NegativeInventory.lean</x:t>
        </x:is>
      </x:c>
      <x:c r="O198" s="38" t="inlineStr">
        <x:is>
          <x:t xml:space="preserve">35</x:t>
        </x:is>
      </x:c>
      <x:c r="P198" s="38" t="inlineStr">
        <x:is>
          <x:t xml:space="preserve">DECLARATION_OR_UNKNOWN</x:t>
        </x:is>
      </x:c>
      <x:c r="Q198" s="38" t="inlineStr">
        <x:is>
          <x:t xml:space="preserve">Could not classify from first proof lines.</x:t>
        </x:is>
      </x:c>
      <x:c r="R198" s="39" t="inlineStr">
        <x:is>
          <x:t xml:space="preserve">theorem strong_Q_with_zero_R_gate_fails (x : FactorState) (_hQ : x.Q &gt; 0) (hR : x.R = 0) : chi x = 0 := R_zero_collapses_chi x hR /-- Strong R (relational gate open) without source-backing (G = 0) still collapses. -/</x:t>
        </x:is>
      </x:c>
    </x:row>
    <x:row r="199" ht="15" customHeight="1">
      <x:c r="A199" s="37" t="inlineStr">
        <x:is>
          <x:t xml:space="preserve">\\192.168.2.50\h_hp\Desktop\Master EXCEL\Lean 4.xlsx</x:t>
        </x:is>
      </x:c>
      <x:c r="B199" s="38" t="inlineStr">
        <x:is>
          <x:t xml:space="preserve">LEAN_DERIVATION_CHAIN</x:t>
        </x:is>
      </x:c>
      <x:c r="C199" s="38" t="inlineStr">
        <x:is>
          <x:t xml:space="preserve">217</x:t>
        </x:is>
      </x:c>
      <x:c r="D199" s="38" t="inlineStr">
        <x:is>
          <x:t xml:space="preserve">212</x:t>
        </x:is>
      </x:c>
      <x:c r="E199" s="38" t="inlineStr">
        <x:is>
          <x:t xml:space="preserve">N - NegInventory</x:t>
        </x:is>
      </x:c>
      <x:c r="F199" s="38" t="inlineStr">
        <x:is>
          <x:t xml:space="preserve">Theophysics_NegativeInventory.lean</x:t>
        </x:is>
      </x:c>
      <x:c r="G199" s="38" t="inlineStr">
        <x:is>
          <x:t xml:space="preserve">strong_R_without_source_backing_fails</x:t>
        </x:is>
      </x:c>
      <x:c r="H199" s="38" t="inlineStr">
        <x:is>
          <x:t xml:space="preserve">Open R gate without source-backing (G=0) still collapses</x:t>
        </x:is>
      </x:c>
      <x:c r="I199" s="38" t="inlineStr">
        <x:is>
          <x:t xml:space="preserve">exact/collapse</x:t>
        </x:is>
      </x:c>
      <x:c r="J199" s="38" t="inlineStr">
        <x:is>
          <x:t xml:space="preserve">REJECTION</x:t>
        </x:is>
      </x:c>
      <x:c r="K199" s="38" t="inlineStr">
        <x:is>
          <x:t xml:space="preserve">06_Lean_Negative_Inventory Part III</x:t>
        </x:is>
      </x:c>
      <x:c r="L199" s="38" t="inlineStr">
        <x:is>
          <x:t xml:space="preserve">1</x:t>
        </x:is>
      </x:c>
      <x:c r="M199" s="38" t="inlineStr">
        <x:is>
          <x:t xml:space="preserve">Faith-Thru-Physics-Lean-4--main</x:t>
        </x:is>
      </x:c>
      <x:c r="N199" s="38" t="inlineStr">
        <x:is>
          <x:t xml:space="preserve">Faith-Thru-Physics-Lean-4--main\Faith-Thru-Physics-Lean-4--main\Theophysics_NegativeInventory.lean</x:t>
        </x:is>
      </x:c>
      <x:c r="O199" s="38" t="inlineStr">
        <x:is>
          <x:t xml:space="preserve">40</x:t>
        </x:is>
      </x:c>
      <x:c r="P199" s="38" t="inlineStr">
        <x:is>
          <x:t xml:space="preserve">DECLARATION_OR_UNKNOWN</x:t>
        </x:is>
      </x:c>
      <x:c r="Q199" s="38" t="inlineStr">
        <x:is>
          <x:t xml:space="preserve">Could not classify from first proof lines.</x:t>
        </x:is>
      </x:c>
      <x:c r="R199" s="39" t="inlineStr">
        <x:is>
          <x:t xml:space="preserve">theorem strong_R_without_source_backing_fails (x : FactorState) (_hR : x.R &gt; 0) (hG : x.G = 0) : chi x = 0 := G_zero_collapses_chi x hG /-- Nine factors maxed, one prerequisite missing: still zero. High local positivity does not compensate for a missing global prerequisite. -/</x:t>
        </x:is>
      </x:c>
    </x:row>
    <x:row r="200" ht="15" customHeight="1">
      <x:c r="A200" s="37" t="inlineStr">
        <x:is>
          <x:t xml:space="preserve">\\192.168.2.50\h_hp\Desktop\Master EXCEL\Lean 4.xlsx</x:t>
        </x:is>
      </x:c>
      <x:c r="B200" s="38" t="inlineStr">
        <x:is>
          <x:t xml:space="preserve">LEAN_DERIVATION_CHAIN</x:t>
        </x:is>
      </x:c>
      <x:c r="C200" s="38" t="inlineStr">
        <x:is>
          <x:t xml:space="preserve">218</x:t>
        </x:is>
      </x:c>
      <x:c r="D200" s="38" t="inlineStr">
        <x:is>
          <x:t xml:space="preserve">213</x:t>
        </x:is>
      </x:c>
      <x:c r="E200" s="38" t="inlineStr">
        <x:is>
          <x:t xml:space="preserve">N - NegInventory</x:t>
        </x:is>
      </x:c>
      <x:c r="F200" s="38" t="inlineStr">
        <x:is>
          <x:t xml:space="preserve">Theophysics_NegativeInventory.lean</x:t>
        </x:is>
      </x:c>
      <x:c r="G200" s="38" t="inlineStr">
        <x:is>
          <x:t xml:space="preserve">nine_maxed_one_zero_fails</x:t>
        </x:is>
      </x:c>
      <x:c r="H200" s="38" t="inlineStr">
        <x:is>
          <x:t xml:space="preserve">Nine factors at 9, one at 0 gives chi=0; local positivity cannot compensate</x:t>
        </x:is>
      </x:c>
      <x:c r="I200" s="38" t="inlineStr">
        <x:is>
          <x:t xml:space="preserve">decide</x:t>
        </x:is>
      </x:c>
      <x:c r="J200" s="38" t="inlineStr">
        <x:is>
          <x:t xml:space="preserve">REJECTION</x:t>
        </x:is>
      </x:c>
      <x:c r="K200" s="38" t="inlineStr">
        <x:is>
          <x:t xml:space="preserve">06_Lean_Negative_Inventory Part III</x:t>
        </x:is>
      </x:c>
      <x:c r="L200" s="38" t="inlineStr">
        <x:is>
          <x:t xml:space="preserve">1</x:t>
        </x:is>
      </x:c>
      <x:c r="M200" s="38" t="inlineStr">
        <x:is>
          <x:t xml:space="preserve">Faith-Thru-Physics-Lean-4--main</x:t>
        </x:is>
      </x:c>
      <x:c r="N200" s="38" t="inlineStr">
        <x:is>
          <x:t xml:space="preserve">Faith-Thru-Physics-Lean-4--main\Faith-Thru-Physics-Lean-4--main\Theophysics_NegativeInventory.lean</x:t>
        </x:is>
      </x:c>
      <x:c r="O200" s="38" t="inlineStr">
        <x:is>
          <x:t xml:space="preserve">46</x:t>
        </x:is>
      </x:c>
      <x:c r="P200" s="38" t="inlineStr">
        <x:is>
          <x:t xml:space="preserve">FINITE_DECIDABLE</x:t>
        </x:is>
      </x:c>
      <x:c r="Q200" s="38" t="inlineStr">
        <x:is>
          <x:t xml:space="preserve">Finite/decidable proof; check candidate-space limits.</x:t>
        </x:is>
      </x:c>
      <x:c r="R200" s="39" t="inlineStr">
        <x:is>
          <x:t xml:space="preserve">theorem nine_maxed_one_zero_fails : chi ⟨9, 9, 9, 9, 9, 9, 9, 0, 9, 9⟩ = 0</x:t>
        </x:is>
      </x:c>
    </x:row>
    <x:row r="201" ht="15" customHeight="1">
      <x:c r="A201" s="37" t="inlineStr">
        <x:is>
          <x:t xml:space="preserve">\\192.168.2.50\h_hp\Desktop\Master EXCEL\Lean 4.xlsx</x:t>
        </x:is>
      </x:c>
      <x:c r="B201" s="38" t="inlineStr">
        <x:is>
          <x:t xml:space="preserve">LEAN_DERIVATION_CHAIN</x:t>
        </x:is>
      </x:c>
      <x:c r="C201" s="38" t="inlineStr">
        <x:is>
          <x:t xml:space="preserve">219</x:t>
        </x:is>
      </x:c>
      <x:c r="D201" s="38" t="inlineStr">
        <x:is>
          <x:t xml:space="preserve">214</x:t>
        </x:is>
      </x:c>
      <x:c r="E201" s="38" t="inlineStr">
        <x:is>
          <x:t xml:space="preserve">N - NegInventory</x:t>
        </x:is>
      </x:c>
      <x:c r="F201" s="38" t="inlineStr">
        <x:is>
          <x:t xml:space="preserve">Theophysics_NegativeInventory.lean</x:t>
        </x:is>
      </x:c>
      <x:c r="G201" s="38" t="inlineStr">
        <x:is>
          <x:t xml:space="preserve">no_factor_strength_rescues_any_zero</x:t>
        </x:is>
      </x:c>
      <x:c r="H201" s="38" t="inlineStr">
        <x:is>
          <x:t xml:space="preserve">General schema: no factor strength rescues any other factor zero (all 10)</x:t>
        </x:is>
      </x:c>
      <x:c r="I201" s="38" t="inlineStr">
        <x:is>
          <x:t xml:space="preserve">cases+simp</x:t>
        </x:is>
      </x:c>
      <x:c r="J201" s="38" t="inlineStr">
        <x:is>
          <x:t xml:space="preserve">REJECTION</x:t>
        </x:is>
      </x:c>
      <x:c r="K201" s="38" t="inlineStr">
        <x:is>
          <x:t xml:space="preserve">06_Lean_Negative_Inventory Part III</x:t>
        </x:is>
      </x:c>
      <x:c r="L201" s="38" t="inlineStr">
        <x:is>
          <x:t xml:space="preserve">1</x:t>
        </x:is>
      </x:c>
      <x:c r="M201" s="38" t="inlineStr">
        <x:is>
          <x:t xml:space="preserve">Faith-Thru-Physics-Lean-4--main</x:t>
        </x:is>
      </x:c>
      <x:c r="N201" s="38" t="inlineStr">
        <x:is>
          <x:t xml:space="preserve">Faith-Thru-Physics-Lean-4--main\Faith-Thru-Physics-Lean-4--main\Theophysics_NegativeInventory.lean</x:t>
        </x:is>
      </x:c>
      <x:c r="O201" s="38" t="inlineStr">
        <x:is>
          <x:t xml:space="preserve">51</x:t>
        </x:is>
      </x:c>
      <x:c r="P201" s="38" t="inlineStr">
        <x:is>
          <x:t xml:space="preserve">WRAPPER_OR_IMPORTED</x:t>
        </x:is>
      </x:c>
      <x:c r="Q201" s="38" t="inlineStr">
        <x:is>
          <x:t xml:space="preserve">Likely delegates to another theorem; cite underlying theorem too.</x:t>
        </x:is>
      </x:c>
      <x:c r="R201" s="39" t="inlineStr">
        <x:is>
          <x:t xml:space="preserve">theorem no_factor_strength_rescues_any_zero (x : FactorState) (f : Factor) (hzero : Theophysics.Experiment.get f x = 0) : chi x = 0</x:t>
        </x:is>
      </x:c>
    </x:row>
    <x:row r="202" ht="15" customHeight="1">
      <x:c r="A202" s="37" t="inlineStr">
        <x:is>
          <x:t xml:space="preserve">\\192.168.2.50\h_hp\Desktop\Master EXCEL\Lean 4.xlsx</x:t>
        </x:is>
      </x:c>
      <x:c r="B202" s="38" t="inlineStr">
        <x:is>
          <x:t xml:space="preserve">LEAN_DERIVATION_CHAIN</x:t>
        </x:is>
      </x:c>
      <x:c r="C202" s="38" t="inlineStr">
        <x:is>
          <x:t xml:space="preserve">220</x:t>
        </x:is>
      </x:c>
      <x:c r="D202" s="38" t="inlineStr">
        <x:is>
          <x:t xml:space="preserve">215</x:t>
        </x:is>
      </x:c>
      <x:c r="E202" s="38" t="inlineStr">
        <x:is>
          <x:t xml:space="preserve">N - NegInventory</x:t>
        </x:is>
      </x:c>
      <x:c r="F202" s="38" t="inlineStr">
        <x:is>
          <x:t xml:space="preserve">Theophysics_NegativeInventory.lean</x:t>
        </x:is>
      </x:c>
      <x:c r="G202" s="38" t="inlineStr">
        <x:is>
          <x:t xml:space="preserve">partial_restoration_without_mediation_fails</x:t>
        </x:is>
      </x:c>
      <x:c r="H202" s="38" t="inlineStr">
        <x:is>
          <x:t xml:space="preserve">Effort with mediation channel K closed leaves chi=0</x:t>
        </x:is>
      </x:c>
      <x:c r="I202" s="38" t="inlineStr">
        <x:is>
          <x:t xml:space="preserve">exact/collapse</x:t>
        </x:is>
      </x:c>
      <x:c r="J202" s="38" t="inlineStr">
        <x:is>
          <x:t xml:space="preserve">REJECTION</x:t>
        </x:is>
      </x:c>
      <x:c r="K202" s="38" t="inlineStr">
        <x:is>
          <x:t xml:space="preserve">06_Lean_Negative_Inventory Part III</x:t>
        </x:is>
      </x:c>
      <x:c r="L202" s="38" t="inlineStr">
        <x:is>
          <x:t xml:space="preserve">1</x:t>
        </x:is>
      </x:c>
      <x:c r="M202" s="38" t="inlineStr">
        <x:is>
          <x:t xml:space="preserve">Faith-Thru-Physics-Lean-4--main</x:t>
        </x:is>
      </x:c>
      <x:c r="N202" s="38" t="inlineStr">
        <x:is>
          <x:t xml:space="preserve">Faith-Thru-Physics-Lean-4--main\Faith-Thru-Physics-Lean-4--main\Theophysics_NegativeInventory.lean</x:t>
        </x:is>
      </x:c>
      <x:c r="O202" s="38" t="inlineStr">
        <x:is>
          <x:t xml:space="preserve">58</x:t>
        </x:is>
      </x:c>
      <x:c r="P202" s="38" t="inlineStr">
        <x:is>
          <x:t xml:space="preserve">DECLARATION_OR_UNKNOWN</x:t>
        </x:is>
      </x:c>
      <x:c r="Q202" s="38" t="inlineStr">
        <x:is>
          <x:t xml:space="preserve">Could not classify from first proof lines.</x:t>
        </x:is>
      </x:c>
      <x:c r="R202" s="39" t="inlineStr">
        <x:is>
          <x:t xml:space="preserve">theorem partial_restoration_without_mediation_fails (x : FactorState) (hK : x.K = 0) : chi x = 0 := K_zero_collapses_chi x hK ------------------------------------------------------------------------ -- III.2 — dependency-lattice rejection family -- -- Downstream claims are invalid when upstream supports are absent. /-- The four layers of the claim lattice, upstream to downstream. -/ inductive ClaimLayer where | structuralFit -- the mapping fits at all | naming -- the mapping may carry its theological name | bridgeCoverage -- the mapping extends across domains | universality -- the mapping is claimed as universal deriving DecidableEq, Repr /-- Which layer feeds which: naming needs fit, coverage needs naming, universality needs coverage. -/ def upstream : ClaimLayer → Option ClaimLayer | ClaimLayer.structuralFit =&gt; none | ClaimLayer.na</x:t>
        </x:is>
      </x:c>
    </x:row>
    <x:row r="203" ht="15" customHeight="1">
      <x:c r="A203" s="37" t="inlineStr">
        <x:is>
          <x:t xml:space="preserve">\\192.168.2.50\h_hp\Desktop\Master EXCEL\Lean 4.xlsx</x:t>
        </x:is>
      </x:c>
      <x:c r="B203" s="38" t="inlineStr">
        <x:is>
          <x:t xml:space="preserve">LEAN_DERIVATION_CHAIN</x:t>
        </x:is>
      </x:c>
      <x:c r="C203" s="38" t="inlineStr">
        <x:is>
          <x:t xml:space="preserve">221</x:t>
        </x:is>
      </x:c>
      <x:c r="D203" s="38" t="inlineStr">
        <x:is>
          <x:t xml:space="preserve">216</x:t>
        </x:is>
      </x:c>
      <x:c r="E203" s="38" t="inlineStr">
        <x:is>
          <x:t xml:space="preserve">N - NegInventory</x:t>
        </x:is>
      </x:c>
      <x:c r="F203" s="38" t="inlineStr">
        <x:is>
          <x:t xml:space="preserve">Theophysics_NegativeInventory.lean</x:t>
        </x:is>
      </x:c>
      <x:c r="G203" s="38" t="inlineStr">
        <x:is>
          <x:t xml:space="preserve">naming_invalid_without_structural_fit</x:t>
        </x:is>
      </x:c>
      <x:c r="H203" s="38" t="inlineStr">
        <x:is>
          <x:t xml:space="preserve">Claim lattice: naming layer invalid when structural fit absent</x:t>
        </x:is>
      </x:c>
      <x:c r="I203" s="38" t="inlineStr">
        <x:is>
          <x:t xml:space="preserve">simp</x:t>
        </x:is>
      </x:c>
      <x:c r="J203" s="38" t="inlineStr">
        <x:is>
          <x:t xml:space="preserve">REJECTION</x:t>
        </x:is>
      </x:c>
      <x:c r="K203" s="38" t="inlineStr">
        <x:is>
          <x:t xml:space="preserve">06_Lean_Negative_Inventory Part III</x:t>
        </x:is>
      </x:c>
      <x:c r="L203" s="38" t="inlineStr">
        <x:is>
          <x:t xml:space="preserve">1</x:t>
        </x:is>
      </x:c>
      <x:c r="M203" s="38" t="inlineStr">
        <x:is>
          <x:t xml:space="preserve">Faith-Thru-Physics-Lean-4--main</x:t>
        </x:is>
      </x:c>
      <x:c r="N203" s="38" t="inlineStr">
        <x:is>
          <x:t xml:space="preserve">Faith-Thru-Physics-Lean-4--main\Faith-Thru-Physics-Lean-4--main\Theophysics_NegativeInventory.lean</x:t>
        </x:is>
      </x:c>
      <x:c r="O203" s="38" t="inlineStr">
        <x:is>
          <x:t xml:space="preserve">106</x:t>
        </x:is>
      </x:c>
      <x:c r="P203" s="38" t="inlineStr">
        <x:is>
          <x:t xml:space="preserve">SIMPLIFICATION</x:t>
        </x:is>
      </x:c>
      <x:c r="Q203" s="38" t="inlineStr">
        <x:is>
          <x:t xml:space="preserve">Follows by simplification under definitions; check definition strength.</x:t>
        </x:is>
      </x:c>
      <x:c r="R203" s="39" t="inlineStr">
        <x:is>
          <x:t xml:space="preserve">theorem naming_invalid_without_structural_fit (s : ClaimState) (hfit : s.structuralFit = false) : validClaim s ClaimLayer.naming = false</x:t>
        </x:is>
      </x:c>
    </x:row>
    <x:row r="204" ht="15" customHeight="1">
      <x:c r="A204" s="37" t="inlineStr">
        <x:is>
          <x:t xml:space="preserve">\\192.168.2.50\h_hp\Desktop\Master EXCEL\Lean 4.xlsx</x:t>
        </x:is>
      </x:c>
      <x:c r="B204" s="38" t="inlineStr">
        <x:is>
          <x:t xml:space="preserve">LEAN_DERIVATION_CHAIN</x:t>
        </x:is>
      </x:c>
      <x:c r="C204" s="38" t="inlineStr">
        <x:is>
          <x:t xml:space="preserve">222</x:t>
        </x:is>
      </x:c>
      <x:c r="D204" s="38" t="inlineStr">
        <x:is>
          <x:t xml:space="preserve">217</x:t>
        </x:is>
      </x:c>
      <x:c r="E204" s="38" t="inlineStr">
        <x:is>
          <x:t xml:space="preserve">N - NegInventory</x:t>
        </x:is>
      </x:c>
      <x:c r="F204" s="38" t="inlineStr">
        <x:is>
          <x:t xml:space="preserve">Theophysics_NegativeInventory.lean</x:t>
        </x:is>
      </x:c>
      <x:c r="G204" s="38" t="inlineStr">
        <x:is>
          <x:t xml:space="preserve">universality_invalid_without_bridge_coverage</x:t>
        </x:is>
      </x:c>
      <x:c r="H204" s="38" t="inlineStr">
        <x:is>
          <x:t xml:space="preserve">Claim lattice: universality invalid without bridge coverage</x:t>
        </x:is>
      </x:c>
      <x:c r="I204" s="38" t="inlineStr">
        <x:is>
          <x:t xml:space="preserve">simp</x:t>
        </x:is>
      </x:c>
      <x:c r="J204" s="38" t="inlineStr">
        <x:is>
          <x:t xml:space="preserve">REJECTION</x:t>
        </x:is>
      </x:c>
      <x:c r="K204" s="38" t="inlineStr">
        <x:is>
          <x:t xml:space="preserve">06_Lean_Negative_Inventory Part III</x:t>
        </x:is>
      </x:c>
      <x:c r="L204" s="38" t="inlineStr">
        <x:is>
          <x:t xml:space="preserve">1</x:t>
        </x:is>
      </x:c>
      <x:c r="M204" s="38" t="inlineStr">
        <x:is>
          <x:t xml:space="preserve">Faith-Thru-Physics-Lean-4--main</x:t>
        </x:is>
      </x:c>
      <x:c r="N204" s="38" t="inlineStr">
        <x:is>
          <x:t xml:space="preserve">Faith-Thru-Physics-Lean-4--main\Faith-Thru-Physics-Lean-4--main\Theophysics_NegativeInventory.lean</x:t>
        </x:is>
      </x:c>
      <x:c r="O204" s="38" t="inlineStr">
        <x:is>
          <x:t xml:space="preserve">112</x:t>
        </x:is>
      </x:c>
      <x:c r="P204" s="38" t="inlineStr">
        <x:is>
          <x:t xml:space="preserve">SIMPLIFICATION</x:t>
        </x:is>
      </x:c>
      <x:c r="Q204" s="38" t="inlineStr">
        <x:is>
          <x:t xml:space="preserve">Follows by simplification under definitions; check definition strength.</x:t>
        </x:is>
      </x:c>
      <x:c r="R204" s="39" t="inlineStr">
        <x:is>
          <x:t xml:space="preserve">theorem universality_invalid_without_bridge_coverage (s : ClaimState) (hcov : s.bridgeCoverage = false) : validClaim s ClaimLayer.universality = false</x:t>
        </x:is>
      </x:c>
    </x:row>
    <x:row r="205" ht="15" customHeight="1">
      <x:c r="A205" s="37" t="inlineStr">
        <x:is>
          <x:t xml:space="preserve">\\192.168.2.50\h_hp\Desktop\Master EXCEL\Lean 4.xlsx</x:t>
        </x:is>
      </x:c>
      <x:c r="B205" s="38" t="inlineStr">
        <x:is>
          <x:t xml:space="preserve">LEAN_DERIVATION_CHAIN</x:t>
        </x:is>
      </x:c>
      <x:c r="C205" s="38" t="inlineStr">
        <x:is>
          <x:t xml:space="preserve">223</x:t>
        </x:is>
      </x:c>
      <x:c r="D205" s="38" t="inlineStr">
        <x:is>
          <x:t xml:space="preserve">218</x:t>
        </x:is>
      </x:c>
      <x:c r="E205" s="38" t="inlineStr">
        <x:is>
          <x:t xml:space="preserve">N - NegInventory</x:t>
        </x:is>
      </x:c>
      <x:c r="F205" s="38" t="inlineStr">
        <x:is>
          <x:t xml:space="preserve">Theophysics_NegativeInventory.lean</x:t>
        </x:is>
      </x:c>
      <x:c r="G205" s="38" t="inlineStr">
        <x:is>
          <x:t xml:space="preserve">downstream_invalid_when_upstream_invalid</x:t>
        </x:is>
      </x:c>
      <x:c r="H205" s="38" t="inlineStr">
        <x:is>
          <x:t xml:space="preserve">General lattice law: downstream claim invalid when upstream invalid</x:t>
        </x:is>
      </x:c>
      <x:c r="I205" s="38" t="inlineStr">
        <x:is>
          <x:t xml:space="preserve">cases (all states)</x:t>
        </x:is>
      </x:c>
      <x:c r="J205" s="38" t="inlineStr">
        <x:is>
          <x:t xml:space="preserve">REJECTION</x:t>
        </x:is>
      </x:c>
      <x:c r="K205" s="38" t="inlineStr">
        <x:is>
          <x:t xml:space="preserve">06_Lean_Negative_Inventory Part III</x:t>
        </x:is>
      </x:c>
      <x:c r="L205" s="38" t="inlineStr">
        <x:is>
          <x:t xml:space="preserve">1</x:t>
        </x:is>
      </x:c>
      <x:c r="M205" s="38" t="inlineStr">
        <x:is>
          <x:t xml:space="preserve">Faith-Thru-Physics-Lean-4--main</x:t>
        </x:is>
      </x:c>
      <x:c r="N205" s="38" t="inlineStr">
        <x:is>
          <x:t xml:space="preserve">Faith-Thru-Physics-Lean-4--main\Faith-Thru-Physics-Lean-4--main\Theophysics_NegativeInventory.lean</x:t>
        </x:is>
      </x:c>
      <x:c r="O205" s="38" t="inlineStr">
        <x:is>
          <x:t xml:space="preserve">119</x:t>
        </x:is>
      </x:c>
      <x:c r="P205" s="38" t="inlineStr">
        <x:is>
          <x:t xml:space="preserve">SIMPLIFICATION</x:t>
        </x:is>
      </x:c>
      <x:c r="Q205" s="38" t="inlineStr">
        <x:is>
          <x:t xml:space="preserve">Follows by simplification under definitions; check definition strength.</x:t>
        </x:is>
      </x:c>
      <x:c r="R205" s="39" t="inlineStr">
        <x:is>
          <x:t xml:space="preserve">theorem downstream_invalid_when_upstream_invalid (s : ClaimState) (l u : ClaimLayer) (hup : upstream l = some u) (hinvalid : validClaim s u = false) : validClaim s l = false</x:t>
        </x:is>
      </x:c>
    </x:row>
    <x:row r="206" ht="15" customHeight="1">
      <x:c r="A206" s="37" t="inlineStr">
        <x:is>
          <x:t xml:space="preserve">\\192.168.2.50\h_hp\Desktop\Master EXCEL\Lean 4.xlsx</x:t>
        </x:is>
      </x:c>
      <x:c r="B206" s="38" t="inlineStr">
        <x:is>
          <x:t xml:space="preserve">LEAN_DERIVATION_CHAIN</x:t>
        </x:is>
      </x:c>
      <x:c r="C206" s="38" t="inlineStr">
        <x:is>
          <x:t xml:space="preserve">224</x:t>
        </x:is>
      </x:c>
      <x:c r="D206" s="38" t="inlineStr">
        <x:is>
          <x:t xml:space="preserve">219</x:t>
        </x:is>
      </x:c>
      <x:c r="E206" s="38" t="inlineStr">
        <x:is>
          <x:t xml:space="preserve">N - NegInventory</x:t>
        </x:is>
      </x:c>
      <x:c r="F206" s="38" t="inlineStr">
        <x:is>
          <x:t xml:space="preserve">Theophysics_NegativeInventory.lean</x:t>
        </x:is>
      </x:c>
      <x:c r="G206" s="38" t="inlineStr">
        <x:is>
          <x:t xml:space="preserve">asserted_everything_fitted_nothing_all_fail</x:t>
        </x:is>
      </x:c>
      <x:c r="H206" s="38" t="inlineStr">
        <x:is>
          <x:t xml:space="preserve">Concrete false positive: all flags asserted, nothing fitted, all fail</x:t>
        </x:is>
      </x:c>
      <x:c r="I206" s="38" t="inlineStr">
        <x:is>
          <x:t xml:space="preserve">decide</x:t>
        </x:is>
      </x:c>
      <x:c r="J206" s="38" t="inlineStr">
        <x:is>
          <x:t xml:space="preserve">REJECTION</x:t>
        </x:is>
      </x:c>
      <x:c r="K206" s="38" t="inlineStr">
        <x:is>
          <x:t xml:space="preserve">06_Lean_Negative_Inventory Part III</x:t>
        </x:is>
      </x:c>
      <x:c r="L206" s="38" t="inlineStr">
        <x:is>
          <x:t xml:space="preserve">1</x:t>
        </x:is>
      </x:c>
      <x:c r="M206" s="38" t="inlineStr">
        <x:is>
          <x:t xml:space="preserve">Faith-Thru-Physics-Lean-4--main</x:t>
        </x:is>
      </x:c>
      <x:c r="N206" s="38" t="inlineStr">
        <x:is>
          <x:t xml:space="preserve">Faith-Thru-Physics-Lean-4--main\Faith-Thru-Physics-Lean-4--main\Theophysics_NegativeInventory.lean</x:t>
        </x:is>
      </x:c>
      <x:c r="O206" s="38" t="inlineStr">
        <x:is>
          <x:t xml:space="preserve">128</x:t>
        </x:is>
      </x:c>
      <x:c r="P206" s="38" t="inlineStr">
        <x:is>
          <x:t xml:space="preserve">WRAPPER_OR_IMPORTED</x:t>
        </x:is>
      </x:c>
      <x:c r="Q206" s="38" t="inlineStr">
        <x:is>
          <x:t xml:space="preserve">Likely delegates to another theorem; cite underlying theorem too.</x:t>
        </x:is>
      </x:c>
      <x:c r="R206" s="39" t="inlineStr">
        <x:is>
          <x:t xml:space="preserve">theorem asserted_everything_fitted_nothing_all_fail : validClaim ⟨false, true, true, true⟩ ClaimLayer.universality = false</x:t>
        </x:is>
      </x:c>
    </x:row>
    <x:row r="207" ht="15" customHeight="1">
      <x:c r="A207" s="37" t="inlineStr">
        <x:is>
          <x:t xml:space="preserve">\\192.168.2.50\h_hp\Desktop\Master EXCEL\Lean 4.xlsx</x:t>
        </x:is>
      </x:c>
      <x:c r="B207" s="38" t="inlineStr">
        <x:is>
          <x:t xml:space="preserve">LEAN_DERIVATION_CHAIN</x:t>
        </x:is>
      </x:c>
      <x:c r="C207" s="38" t="inlineStr">
        <x:is>
          <x:t xml:space="preserve">225</x:t>
        </x:is>
      </x:c>
      <x:c r="D207" s="38" t="inlineStr">
        <x:is>
          <x:t xml:space="preserve">220</x:t>
        </x:is>
      </x:c>
      <x:c r="E207" s="38" t="inlineStr">
        <x:is>
          <x:t xml:space="preserve">N - NegInventory</x:t>
        </x:is>
      </x:c>
      <x:c r="F207" s="38" t="inlineStr">
        <x:is>
          <x:t xml:space="preserve">Theophysics_NegativeInventory.lean</x:t>
        </x:is>
      </x:c>
      <x:c r="G207" s="38" t="inlineStr">
        <x:is>
          <x:t xml:space="preserve">neg_plus_neg_not_redeemed</x:t>
        </x:is>
      </x:c>
      <x:c r="H207" s="38" t="inlineStr">
        <x:is>
          <x:t xml:space="preserve">Negative + negative is not redeemed positive; accumulation is not conversion</x:t>
        </x:is>
      </x:c>
      <x:c r="I207" s="38" t="inlineStr">
        <x:is>
          <x:t xml:space="preserve">decide</x:t>
        </x:is>
      </x:c>
      <x:c r="J207" s="38" t="inlineStr">
        <x:is>
          <x:t xml:space="preserve">REJECTION</x:t>
        </x:is>
      </x:c>
      <x:c r="K207" s="38" t="inlineStr">
        <x:is>
          <x:t xml:space="preserve">06_Lean_Negative_Inventory Part III</x:t>
        </x:is>
      </x:c>
      <x:c r="L207" s="38" t="inlineStr">
        <x:is>
          <x:t xml:space="preserve">1</x:t>
        </x:is>
      </x:c>
      <x:c r="M207" s="38" t="inlineStr">
        <x:is>
          <x:t xml:space="preserve">Faith-Thru-Physics-Lean-4--main</x:t>
        </x:is>
      </x:c>
      <x:c r="N207" s="38" t="inlineStr">
        <x:is>
          <x:t xml:space="preserve">Faith-Thru-Physics-Lean-4--main\Faith-Thru-Physics-Lean-4--main\Theophysics_NegativeInventory.lean</x:t>
        </x:is>
      </x:c>
      <x:c r="O207" s="38" t="inlineStr">
        <x:is>
          <x:t xml:space="preserve">153</x:t>
        </x:is>
      </x:c>
      <x:c r="P207" s="38" t="inlineStr">
        <x:is>
          <x:t xml:space="preserve">FINITE_DECIDABLE</x:t>
        </x:is>
      </x:c>
      <x:c r="Q207" s="38" t="inlineStr">
        <x:is>
          <x:t xml:space="preserve">Finite/decidable proof; check candidate-space limits.</x:t>
        </x:is>
      </x:c>
      <x:c r="R207" s="39" t="inlineStr">
        <x:is>
          <x:t xml:space="preserve">theorem neg_plus_neg_not_redeemed : compose MoralSign.negative MoralSign.negative ≠ MoralSign.redeemedPositive</x:t>
        </x:is>
      </x:c>
    </x:row>
    <x:row r="208" ht="15" customHeight="1">
      <x:c r="A208" s="37" t="inlineStr">
        <x:is>
          <x:t xml:space="preserve">\\192.168.2.50\h_hp\Desktop\Master EXCEL\Lean 4.xlsx</x:t>
        </x:is>
      </x:c>
      <x:c r="B208" s="38" t="inlineStr">
        <x:is>
          <x:t xml:space="preserve">LEAN_DERIVATION_CHAIN</x:t>
        </x:is>
      </x:c>
      <x:c r="C208" s="38" t="inlineStr">
        <x:is>
          <x:t xml:space="preserve">226</x:t>
        </x:is>
      </x:c>
      <x:c r="D208" s="38" t="inlineStr">
        <x:is>
          <x:t xml:space="preserve">221</x:t>
        </x:is>
      </x:c>
      <x:c r="E208" s="38" t="inlineStr">
        <x:is>
          <x:t xml:space="preserve">N - NegInventory</x:t>
        </x:is>
      </x:c>
      <x:c r="F208" s="38" t="inlineStr">
        <x:is>
          <x:t xml:space="preserve">Theophysics_NegativeInventory.lean</x:t>
        </x:is>
      </x:c>
      <x:c r="G208" s="38" t="inlineStr">
        <x:is>
          <x:t xml:space="preserve">no_redemption_without_operator</x:t>
        </x:is>
      </x:c>
      <x:c r="H208" s="38" t="inlineStr">
        <x:is>
          <x:t xml:space="preserve">No operator-free composition of non-redeemed inputs yields redeemed output</x:t>
        </x:is>
      </x:c>
      <x:c r="I208" s="38" t="inlineStr">
        <x:is>
          <x:t xml:space="preserve">cases+simp</x:t>
        </x:is>
      </x:c>
      <x:c r="J208" s="38" t="inlineStr">
        <x:is>
          <x:t xml:space="preserve">REJECTION</x:t>
        </x:is>
      </x:c>
      <x:c r="K208" s="38" t="inlineStr">
        <x:is>
          <x:t xml:space="preserve">06_Lean_Negative_Inventory Part III</x:t>
        </x:is>
      </x:c>
      <x:c r="L208" s="38" t="inlineStr">
        <x:is>
          <x:t xml:space="preserve">1</x:t>
        </x:is>
      </x:c>
      <x:c r="M208" s="38" t="inlineStr">
        <x:is>
          <x:t xml:space="preserve">Faith-Thru-Physics-Lean-4--main</x:t>
        </x:is>
      </x:c>
      <x:c r="N208" s="38" t="inlineStr">
        <x:is>
          <x:t xml:space="preserve">Faith-Thru-Physics-Lean-4--main\Faith-Thru-Physics-Lean-4--main\Theophysics_NegativeInventory.lean</x:t>
        </x:is>
      </x:c>
      <x:c r="O208" s="38" t="inlineStr">
        <x:is>
          <x:t xml:space="preserve">158</x:t>
        </x:is>
      </x:c>
      <x:c r="P208" s="38" t="inlineStr">
        <x:is>
          <x:t xml:space="preserve">WRAPPER_OR_IMPORTED</x:t>
        </x:is>
      </x:c>
      <x:c r="Q208" s="38" t="inlineStr">
        <x:is>
          <x:t xml:space="preserve">Likely delegates to another theorem; cite underlying theorem too.</x:t>
        </x:is>
      </x:c>
      <x:c r="R208" s="39" t="inlineStr">
        <x:is>
          <x:t xml:space="preserve">theorem no_redemption_without_operator (a b : MoralSign) (ha : a ≠ MoralSign.redeemedPositive) (hb : b ≠ MoralSign.redeemedPositive) : compose a b ≠ MoralSign.redeemedPositive</x:t>
        </x:is>
      </x:c>
    </x:row>
    <x:row r="209" ht="15" customHeight="1">
      <x:c r="A209" s="37" t="inlineStr">
        <x:is>
          <x:t xml:space="preserve">\\192.168.2.50\h_hp\Desktop\Master EXCEL\Lean 4.xlsx</x:t>
        </x:is>
      </x:c>
      <x:c r="B209" s="38" t="inlineStr">
        <x:is>
          <x:t xml:space="preserve">LEAN_DERIVATION_CHAIN</x:t>
        </x:is>
      </x:c>
      <x:c r="C209" s="38" t="inlineStr">
        <x:is>
          <x:t xml:space="preserve">227</x:t>
        </x:is>
      </x:c>
      <x:c r="D209" s="38" t="inlineStr">
        <x:is>
          <x:t xml:space="preserve">222</x:t>
        </x:is>
      </x:c>
      <x:c r="E209" s="38" t="inlineStr">
        <x:is>
          <x:t xml:space="preserve">N - NegInventory</x:t>
        </x:is>
      </x:c>
      <x:c r="F209" s="38" t="inlineStr">
        <x:is>
          <x:t xml:space="preserve">Theophysics_NegativeInventory.lean</x:t>
        </x:is>
      </x:c>
      <x:c r="G209" s="38" t="inlineStr">
        <x:is>
          <x:t xml:space="preserve">self_sourced_conversion_fails</x:t>
        </x:is>
      </x:c>
      <x:c r="H209" s="38" t="inlineStr">
        <x:is>
          <x:t xml:space="preserve">Self-sourced conversion changes nothing - negative stays negative</x:t>
        </x:is>
      </x:c>
      <x:c r="I209" s="38" t="inlineStr">
        <x:is>
          <x:t xml:space="preserve">simp</x:t>
        </x:is>
      </x:c>
      <x:c r="J209" s="38" t="inlineStr">
        <x:is>
          <x:t xml:space="preserve">REJECTION</x:t>
        </x:is>
      </x:c>
      <x:c r="K209" s="38" t="inlineStr">
        <x:is>
          <x:t xml:space="preserve">06_Lean_Negative_Inventory Part III</x:t>
        </x:is>
      </x:c>
      <x:c r="L209" s="38" t="inlineStr">
        <x:is>
          <x:t xml:space="preserve">1</x:t>
        </x:is>
      </x:c>
      <x:c r="M209" s="38" t="inlineStr">
        <x:is>
          <x:t xml:space="preserve">Faith-Thru-Physics-Lean-4--main</x:t>
        </x:is>
      </x:c>
      <x:c r="N209" s="38" t="inlineStr">
        <x:is>
          <x:t xml:space="preserve">Faith-Thru-Physics-Lean-4--main\Faith-Thru-Physics-Lean-4--main\Theophysics_NegativeInventory.lean</x:t>
        </x:is>
      </x:c>
      <x:c r="O209" s="38" t="inlineStr">
        <x:is>
          <x:t xml:space="preserve">177</x:t>
        </x:is>
      </x:c>
      <x:c r="P209" s="38" t="inlineStr">
        <x:is>
          <x:t xml:space="preserve">SIMPLIFICATION</x:t>
        </x:is>
      </x:c>
      <x:c r="Q209" s="38" t="inlineStr">
        <x:is>
          <x:t xml:space="preserve">Follows by simplification under definitions; check definition strength.</x:t>
        </x:is>
      </x:c>
      <x:c r="R209" s="39" t="inlineStr">
        <x:is>
          <x:t xml:space="preserve">theorem self_sourced_conversion_fails (op : ConversionOp) (h : op.externallySourced = false) : applyConversion op MoralSign.negative = MoralSign.negative</x:t>
        </x:is>
      </x:c>
    </x:row>
    <x:row r="210" ht="15" customHeight="1">
      <x:c r="A210" s="37" t="inlineStr">
        <x:is>
          <x:t xml:space="preserve">\\192.168.2.50\h_hp\Desktop\Master EXCEL\Lean 4.xlsx</x:t>
        </x:is>
      </x:c>
      <x:c r="B210" s="38" t="inlineStr">
        <x:is>
          <x:t xml:space="preserve">LEAN_DERIVATION_CHAIN</x:t>
        </x:is>
      </x:c>
      <x:c r="C210" s="38" t="inlineStr">
        <x:is>
          <x:t xml:space="preserve">228</x:t>
        </x:is>
      </x:c>
      <x:c r="D210" s="38" t="inlineStr">
        <x:is>
          <x:t xml:space="preserve">223</x:t>
        </x:is>
      </x:c>
      <x:c r="E210" s="38" t="inlineStr">
        <x:is>
          <x:t xml:space="preserve">N - NegInventory</x:t>
        </x:is>
      </x:c>
      <x:c r="F210" s="38" t="inlineStr">
        <x:is>
          <x:t xml:space="preserve">Theophysics_NegativeInventory.lean</x:t>
        </x:is>
      </x:c>
      <x:c r="G210" s="38" t="inlineStr">
        <x:is>
          <x:t xml:space="preserve">costless_conversion_fails</x:t>
        </x:is>
      </x:c>
      <x:c r="H210" s="38" t="inlineStr">
        <x:is>
          <x:t xml:space="preserve">Costless conversion changes nothing - mercy without cost is not conversion</x:t>
        </x:is>
      </x:c>
      <x:c r="I210" s="38" t="inlineStr">
        <x:is>
          <x:t xml:space="preserve">simp</x:t>
        </x:is>
      </x:c>
      <x:c r="J210" s="38" t="inlineStr">
        <x:is>
          <x:t xml:space="preserve">REJECTION</x:t>
        </x:is>
      </x:c>
      <x:c r="K210" s="38" t="inlineStr">
        <x:is>
          <x:t xml:space="preserve">06_Lean_Negative_Inventory Part III</x:t>
        </x:is>
      </x:c>
      <x:c r="L210" s="38" t="inlineStr">
        <x:is>
          <x:t xml:space="preserve">1</x:t>
        </x:is>
      </x:c>
      <x:c r="M210" s="38" t="inlineStr">
        <x:is>
          <x:t xml:space="preserve">Faith-Thru-Physics-Lean-4--main</x:t>
        </x:is>
      </x:c>
      <x:c r="N210" s="38" t="inlineStr">
        <x:is>
          <x:t xml:space="preserve">Faith-Thru-Physics-Lean-4--main\Faith-Thru-Physics-Lean-4--main\Theophysics_NegativeInventory.lean</x:t>
        </x:is>
      </x:c>
      <x:c r="O210" s="38" t="inlineStr">
        <x:is>
          <x:t xml:space="preserve">183</x:t>
        </x:is>
      </x:c>
      <x:c r="P210" s="38" t="inlineStr">
        <x:is>
          <x:t xml:space="preserve">SIMPLIFICATION</x:t>
        </x:is>
      </x:c>
      <x:c r="Q210" s="38" t="inlineStr">
        <x:is>
          <x:t xml:space="preserve">Follows by simplification under definitions; check definition strength.</x:t>
        </x:is>
      </x:c>
      <x:c r="R210" s="39" t="inlineStr">
        <x:is>
          <x:t xml:space="preserve">theorem costless_conversion_fails (op : ConversionOp) (h : op.bearsCost = false) : applyConversion op MoralSign.negative = MoralSign.negative</x:t>
        </x:is>
      </x:c>
    </x:row>
    <x:row r="211" ht="15" customHeight="1">
      <x:c r="A211" s="37" t="inlineStr">
        <x:is>
          <x:t xml:space="preserve">\\192.168.2.50\h_hp\Desktop\Master EXCEL\Lean 4.xlsx</x:t>
        </x:is>
      </x:c>
      <x:c r="B211" s="38" t="inlineStr">
        <x:is>
          <x:t xml:space="preserve">LEAN_DERIVATION_CHAIN</x:t>
        </x:is>
      </x:c>
      <x:c r="C211" s="38" t="inlineStr">
        <x:is>
          <x:t xml:space="preserve">229</x:t>
        </x:is>
      </x:c>
      <x:c r="D211" s="38" t="inlineStr">
        <x:is>
          <x:t xml:space="preserve">224</x:t>
        </x:is>
      </x:c>
      <x:c r="E211" s="38" t="inlineStr">
        <x:is>
          <x:t xml:space="preserve">N - NegInventory</x:t>
        </x:is>
      </x:c>
      <x:c r="F211" s="38" t="inlineStr">
        <x:is>
          <x:t xml:space="preserve">Theophysics_NegativeInventory.lean</x:t>
        </x:is>
      </x:c>
      <x:c r="G211" s="38" t="inlineStr">
        <x:is>
          <x:t xml:space="preserve">visibility_does_not_convert</x:t>
        </x:is>
      </x:c>
      <x:c r="H211" s="38" t="inlineStr">
        <x:is>
          <x:t xml:space="preserve">Making a negative record visible does not collapse moral distinction</x:t>
        </x:is>
      </x:c>
      <x:c r="I211" s="38" t="inlineStr">
        <x:is>
          <x:t xml:space="preserve">decide</x:t>
        </x:is>
      </x:c>
      <x:c r="J211" s="38" t="inlineStr">
        <x:is>
          <x:t xml:space="preserve">REJECTION</x:t>
        </x:is>
      </x:c>
      <x:c r="K211" s="38" t="inlineStr">
        <x:is>
          <x:t xml:space="preserve">06_Lean_Negative_Inventory Part III</x:t>
        </x:is>
      </x:c>
      <x:c r="L211" s="38" t="inlineStr">
        <x:is>
          <x:t xml:space="preserve">1</x:t>
        </x:is>
      </x:c>
      <x:c r="M211" s="38" t="inlineStr">
        <x:is>
          <x:t xml:space="preserve">Faith-Thru-Physics-Lean-4--main</x:t>
        </x:is>
      </x:c>
      <x:c r="N211" s="38" t="inlineStr">
        <x:is>
          <x:t xml:space="preserve">Faith-Thru-Physics-Lean-4--main\Faith-Thru-Physics-Lean-4--main\Theophysics_NegativeInventory.lean</x:t>
        </x:is>
      </x:c>
      <x:c r="O211" s="38" t="inlineStr">
        <x:is>
          <x:t xml:space="preserve">190</x:t>
        </x:is>
      </x:c>
      <x:c r="P211" s="38" t="inlineStr">
        <x:is>
          <x:t xml:space="preserve">WRAPPER_OR_IMPORTED</x:t>
        </x:is>
      </x:c>
      <x:c r="Q211" s="38" t="inlineStr">
        <x:is>
          <x:t xml:space="preserve">Likely delegates to another theorem; cite underlying theorem too.</x:t>
        </x:is>
      </x:c>
      <x:c r="R211" s="39" t="inlineStr">
        <x:is>
          <x:t xml:space="preserve">theorem visibility_does_not_convert (s : MoralSign) (h : s = MoralSign.negative) : s ≠ MoralSign.redeemedPositive</x:t>
        </x:is>
      </x:c>
    </x:row>
    <x:row r="212" ht="15" customHeight="1">
      <x:c r="A212" s="37" t="inlineStr">
        <x:is>
          <x:t xml:space="preserve">\\192.168.2.50\h_hp\Desktop\Master EXCEL\Lean 4.xlsx</x:t>
        </x:is>
      </x:c>
      <x:c r="B212" s="38" t="inlineStr">
        <x:is>
          <x:t xml:space="preserve">LEAN_DERIVATION_CHAIN</x:t>
        </x:is>
      </x:c>
      <x:c r="C212" s="38" t="inlineStr">
        <x:is>
          <x:t xml:space="preserve">230</x:t>
        </x:is>
      </x:c>
      <x:c r="D212" s="38" t="inlineStr">
        <x:is>
          <x:t xml:space="preserve">225</x:t>
        </x:is>
      </x:c>
      <x:c r="E212" s="38" t="inlineStr">
        <x:is>
          <x:t xml:space="preserve">N - NegInventory</x:t>
        </x:is>
      </x:c>
      <x:c r="F212" s="38" t="inlineStr">
        <x:is>
          <x:t xml:space="preserve">Theophysics_NegativeInventory.lean</x:t>
        </x:is>
      </x:c>
      <x:c r="G212" s="38" t="inlineStr">
        <x:is>
          <x:t xml:space="preserve">reanimation_only_rejected</x:t>
        </x:is>
      </x:c>
      <x:c r="H212" s="38" t="inlineStr">
        <x:is>
          <x:t xml:space="preserve">Reanimation without mission structure is not resurrection</x:t>
        </x:is>
      </x:c>
      <x:c r="I212" s="38" t="inlineStr">
        <x:is>
          <x:t xml:space="preserve">decide</x:t>
        </x:is>
      </x:c>
      <x:c r="J212" s="38" t="inlineStr">
        <x:is>
          <x:t xml:space="preserve">REJECTION</x:t>
        </x:is>
      </x:c>
      <x:c r="K212" s="38" t="inlineStr">
        <x:is>
          <x:t xml:space="preserve">06_Lean_Negative_Inventory Part III</x:t>
        </x:is>
      </x:c>
      <x:c r="L212" s="38" t="inlineStr">
        <x:is>
          <x:t xml:space="preserve">1</x:t>
        </x:is>
      </x:c>
      <x:c r="M212" s="38" t="inlineStr">
        <x:is>
          <x:t xml:space="preserve">Faith-Thru-Physics-Lean-4--main</x:t>
        </x:is>
      </x:c>
      <x:c r="N212" s="38" t="inlineStr">
        <x:is>
          <x:t xml:space="preserve">Faith-Thru-Physics-Lean-4--main\Faith-Thru-Physics-Lean-4--main\Theophysics_NegativeInventory.lean</x:t>
        </x:is>
      </x:c>
      <x:c r="O212" s="38" t="inlineStr">
        <x:is>
          <x:t xml:space="preserve">229</x:t>
        </x:is>
      </x:c>
      <x:c r="P212" s="38" t="inlineStr">
        <x:is>
          <x:t xml:space="preserve">FINITE_DECIDABLE</x:t>
        </x:is>
      </x:c>
      <x:c r="Q212" s="38" t="inlineStr">
        <x:is>
          <x:t xml:space="preserve">Finite/decidable proof; check candidate-space limits.</x:t>
        </x:is>
      </x:c>
      <x:c r="R212" s="39" t="inlineStr">
        <x:is>
          <x:t xml:space="preserve">theorem reanimation_only_rejected : validMissionReturn reanimationOnly = false</x:t>
        </x:is>
      </x:c>
    </x:row>
    <x:row r="213" ht="15" customHeight="1">
      <x:c r="A213" s="37" t="inlineStr">
        <x:is>
          <x:t xml:space="preserve">\\192.168.2.50\h_hp\Desktop\Master EXCEL\Lean 4.xlsx</x:t>
        </x:is>
      </x:c>
      <x:c r="B213" s="38" t="inlineStr">
        <x:is>
          <x:t xml:space="preserve">LEAN_DERIVATION_CHAIN</x:t>
        </x:is>
      </x:c>
      <x:c r="C213" s="38" t="inlineStr">
        <x:is>
          <x:t xml:space="preserve">231</x:t>
        </x:is>
      </x:c>
      <x:c r="D213" s="38" t="inlineStr">
        <x:is>
          <x:t xml:space="preserve">226</x:t>
        </x:is>
      </x:c>
      <x:c r="E213" s="38" t="inlineStr">
        <x:is>
          <x:t xml:space="preserve">N - NegInventory</x:t>
        </x:is>
      </x:c>
      <x:c r="F213" s="38" t="inlineStr">
        <x:is>
          <x:t xml:space="preserve">Theophysics_NegativeInventory.lean</x:t>
        </x:is>
      </x:c>
      <x:c r="G213" s="38" t="inlineStr">
        <x:is>
          <x:t xml:space="preserve">memory_erasure_rejected</x:t>
        </x:is>
      </x:c>
      <x:c r="H213" s="38" t="inlineStr">
        <x:is>
          <x:t xml:space="preserve">Return with wiped record is not resurrection</x:t>
        </x:is>
      </x:c>
      <x:c r="I213" s="38" t="inlineStr">
        <x:is>
          <x:t xml:space="preserve">decide</x:t>
        </x:is>
      </x:c>
      <x:c r="J213" s="38" t="inlineStr">
        <x:is>
          <x:t xml:space="preserve">REJECTION</x:t>
        </x:is>
      </x:c>
      <x:c r="K213" s="38" t="inlineStr">
        <x:is>
          <x:t xml:space="preserve">06_Lean_Negative_Inventory Part III</x:t>
        </x:is>
      </x:c>
      <x:c r="L213" s="38" t="inlineStr">
        <x:is>
          <x:t xml:space="preserve">1</x:t>
        </x:is>
      </x:c>
      <x:c r="M213" s="38" t="inlineStr">
        <x:is>
          <x:t xml:space="preserve">Faith-Thru-Physics-Lean-4--main</x:t>
        </x:is>
      </x:c>
      <x:c r="N213" s="38" t="inlineStr">
        <x:is>
          <x:t xml:space="preserve">Faith-Thru-Physics-Lean-4--main\Faith-Thru-Physics-Lean-4--main\Theophysics_NegativeInventory.lean</x:t>
        </x:is>
      </x:c>
      <x:c r="O213" s="38" t="inlineStr">
        <x:is>
          <x:t xml:space="preserve">232</x:t>
        </x:is>
      </x:c>
      <x:c r="P213" s="38" t="inlineStr">
        <x:is>
          <x:t xml:space="preserve">FINITE_DECIDABLE</x:t>
        </x:is>
      </x:c>
      <x:c r="Q213" s="38" t="inlineStr">
        <x:is>
          <x:t xml:space="preserve">Finite/decidable proof; check candidate-space limits.</x:t>
        </x:is>
      </x:c>
      <x:c r="R213" s="39" t="inlineStr">
        <x:is>
          <x:t xml:space="preserve">theorem memory_erasure_rejected : validMissionReturn memoryErasure = false</x:t>
        </x:is>
      </x:c>
    </x:row>
    <x:row r="214" ht="15" customHeight="1">
      <x:c r="A214" s="37" t="inlineStr">
        <x:is>
          <x:t xml:space="preserve">\\192.168.2.50\h_hp\Desktop\Master EXCEL\Lean 4.xlsx</x:t>
        </x:is>
      </x:c>
      <x:c r="B214" s="38" t="inlineStr">
        <x:is>
          <x:t xml:space="preserve">LEAN_DERIVATION_CHAIN</x:t>
        </x:is>
      </x:c>
      <x:c r="C214" s="38" t="inlineStr">
        <x:is>
          <x:t xml:space="preserve">232</x:t>
        </x:is>
      </x:c>
      <x:c r="D214" s="38" t="inlineStr">
        <x:is>
          <x:t xml:space="preserve">227</x:t>
        </x:is>
      </x:c>
      <x:c r="E214" s="38" t="inlineStr">
        <x:is>
          <x:t xml:space="preserve">N - NegInventory</x:t>
        </x:is>
      </x:c>
      <x:c r="F214" s="38" t="inlineStr">
        <x:is>
          <x:t xml:space="preserve">Theophysics_NegativeInventory.lean</x:t>
        </x:is>
      </x:c>
      <x:c r="G214" s="38" t="inlineStr">
        <x:is>
          <x:t xml:space="preserve">symbolic_only_rejected</x:t>
        </x:is>
      </x:c>
      <x:c r="H214" s="38" t="inlineStr">
        <x:is>
          <x:t xml:space="preserve">Lives-on-in-memory (no bodily return) is not resurrection</x:t>
        </x:is>
      </x:c>
      <x:c r="I214" s="38" t="inlineStr">
        <x:is>
          <x:t xml:space="preserve">decide</x:t>
        </x:is>
      </x:c>
      <x:c r="J214" s="38" t="inlineStr">
        <x:is>
          <x:t xml:space="preserve">REJECTION</x:t>
        </x:is>
      </x:c>
      <x:c r="K214" s="38" t="inlineStr">
        <x:is>
          <x:t xml:space="preserve">06_Lean_Negative_Inventory Part III</x:t>
        </x:is>
      </x:c>
      <x:c r="L214" s="38" t="inlineStr">
        <x:is>
          <x:t xml:space="preserve">1</x:t>
        </x:is>
      </x:c>
      <x:c r="M214" s="38" t="inlineStr">
        <x:is>
          <x:t xml:space="preserve">Faith-Thru-Physics-Lean-4--main</x:t>
        </x:is>
      </x:c>
      <x:c r="N214" s="38" t="inlineStr">
        <x:is>
          <x:t xml:space="preserve">Faith-Thru-Physics-Lean-4--main\Faith-Thru-Physics-Lean-4--main\Theophysics_NegativeInventory.lean</x:t>
        </x:is>
      </x:c>
      <x:c r="O214" s="38" t="inlineStr">
        <x:is>
          <x:t xml:space="preserve">235</x:t>
        </x:is>
      </x:c>
      <x:c r="P214" s="38" t="inlineStr">
        <x:is>
          <x:t xml:space="preserve">FINITE_DECIDABLE</x:t>
        </x:is>
      </x:c>
      <x:c r="Q214" s="38" t="inlineStr">
        <x:is>
          <x:t xml:space="preserve">Finite/decidable proof; check candidate-space limits.</x:t>
        </x:is>
      </x:c>
      <x:c r="R214" s="39" t="inlineStr">
        <x:is>
          <x:t xml:space="preserve">theorem symbolic_only_rejected : validMissionReturn symbolicOnly = false</x:t>
        </x:is>
      </x:c>
    </x:row>
    <x:row r="215" ht="15" customHeight="1">
      <x:c r="A215" s="37" t="inlineStr">
        <x:is>
          <x:t xml:space="preserve">\\192.168.2.50\h_hp\Desktop\Master EXCEL\Lean 4.xlsx</x:t>
        </x:is>
      </x:c>
      <x:c r="B215" s="38" t="inlineStr">
        <x:is>
          <x:t xml:space="preserve">LEAN_DERIVATION_CHAIN</x:t>
        </x:is>
      </x:c>
      <x:c r="C215" s="38" t="inlineStr">
        <x:is>
          <x:t xml:space="preserve">233</x:t>
        </x:is>
      </x:c>
      <x:c r="D215" s="38" t="inlineStr">
        <x:is>
          <x:t xml:space="preserve">228</x:t>
        </x:is>
      </x:c>
      <x:c r="E215" s="38" t="inlineStr">
        <x:is>
          <x:t xml:space="preserve">N - NegInventory</x:t>
        </x:is>
      </x:c>
      <x:c r="F215" s="38" t="inlineStr">
        <x:is>
          <x:t xml:space="preserve">Theophysics_NegativeInventory.lean</x:t>
        </x:is>
      </x:c>
      <x:c r="G215" s="38" t="inlineStr">
        <x:is>
          <x:t xml:space="preserve">non_identity_replacement_rejected</x:t>
        </x:is>
      </x:c>
      <x:c r="H215" s="38" t="inlineStr">
        <x:is>
          <x:t xml:space="preserve">A successor/copy is not the person - not resurrection</x:t>
        </x:is>
      </x:c>
      <x:c r="I215" s="38" t="inlineStr">
        <x:is>
          <x:t xml:space="preserve">decide</x:t>
        </x:is>
      </x:c>
      <x:c r="J215" s="38" t="inlineStr">
        <x:is>
          <x:t xml:space="preserve">REJECTION</x:t>
        </x:is>
      </x:c>
      <x:c r="K215" s="38" t="inlineStr">
        <x:is>
          <x:t xml:space="preserve">06_Lean_Negative_Inventory Part III</x:t>
        </x:is>
      </x:c>
      <x:c r="L215" s="38" t="inlineStr">
        <x:is>
          <x:t xml:space="preserve">1</x:t>
        </x:is>
      </x:c>
      <x:c r="M215" s="38" t="inlineStr">
        <x:is>
          <x:t xml:space="preserve">Faith-Thru-Physics-Lean-4--main</x:t>
        </x:is>
      </x:c>
      <x:c r="N215" s="38" t="inlineStr">
        <x:is>
          <x:t xml:space="preserve">Faith-Thru-Physics-Lean-4--main\Faith-Thru-Physics-Lean-4--main\Theophysics_NegativeInventory.lean</x:t>
        </x:is>
      </x:c>
      <x:c r="O215" s="38" t="inlineStr">
        <x:is>
          <x:t xml:space="preserve">238</x:t>
        </x:is>
      </x:c>
      <x:c r="P215" s="38" t="inlineStr">
        <x:is>
          <x:t xml:space="preserve">FINITE_DECIDABLE</x:t>
        </x:is>
      </x:c>
      <x:c r="Q215" s="38" t="inlineStr">
        <x:is>
          <x:t xml:space="preserve">Finite/decidable proof; check candidate-space limits.</x:t>
        </x:is>
      </x:c>
      <x:c r="R215" s="39" t="inlineStr">
        <x:is>
          <x:t xml:space="preserve">theorem non_identity_replacement_rejected : validMissionReturn nonIdentityReplacement = false</x:t>
        </x:is>
      </x:c>
    </x:row>
    <x:row r="216" ht="15" customHeight="1">
      <x:c r="A216" s="37" t="inlineStr">
        <x:is>
          <x:t xml:space="preserve">\\192.168.2.50\h_hp\Desktop\Master EXCEL\Lean 4.xlsx</x:t>
        </x:is>
      </x:c>
      <x:c r="B216" s="38" t="inlineStr">
        <x:is>
          <x:t xml:space="preserve">LEAN_DERIVATION_CHAIN</x:t>
        </x:is>
      </x:c>
      <x:c r="C216" s="38" t="inlineStr">
        <x:is>
          <x:t xml:space="preserve">234</x:t>
        </x:is>
      </x:c>
      <x:c r="D216" s="38" t="inlineStr">
        <x:is>
          <x:t xml:space="preserve">229</x:t>
        </x:is>
      </x:c>
      <x:c r="E216" s="38" t="inlineStr">
        <x:is>
          <x:t xml:space="preserve">N - NegInventory</x:t>
        </x:is>
      </x:c>
      <x:c r="F216" s="38" t="inlineStr">
        <x:is>
          <x:t xml:space="preserve">Theophysics_NegativeInventory.lean</x:t>
        </x:is>
      </x:c>
      <x:c r="G216" s="38" t="inlineStr">
        <x:is>
          <x:t xml:space="preserve">pure_repair_without_return_rejected</x:t>
        </x:is>
      </x:c>
      <x:c r="H216" s="38" t="inlineStr">
        <x:is>
          <x:t xml:space="preserve">Repair-in-place with no return structure is not resurrection</x:t>
        </x:is>
      </x:c>
      <x:c r="I216" s="38" t="inlineStr">
        <x:is>
          <x:t xml:space="preserve">decide</x:t>
        </x:is>
      </x:c>
      <x:c r="J216" s="38" t="inlineStr">
        <x:is>
          <x:t xml:space="preserve">REJECTION</x:t>
        </x:is>
      </x:c>
      <x:c r="K216" s="38" t="inlineStr">
        <x:is>
          <x:t xml:space="preserve">06_Lean_Negative_Inventory Part III</x:t>
        </x:is>
      </x:c>
      <x:c r="L216" s="38" t="inlineStr">
        <x:is>
          <x:t xml:space="preserve">1</x:t>
        </x:is>
      </x:c>
      <x:c r="M216" s="38" t="inlineStr">
        <x:is>
          <x:t xml:space="preserve">Faith-Thru-Physics-Lean-4--main</x:t>
        </x:is>
      </x:c>
      <x:c r="N216" s="38" t="inlineStr">
        <x:is>
          <x:t xml:space="preserve">Faith-Thru-Physics-Lean-4--main\Faith-Thru-Physics-Lean-4--main\Theophysics_NegativeInventory.lean</x:t>
        </x:is>
      </x:c>
      <x:c r="O216" s="38" t="inlineStr">
        <x:is>
          <x:t xml:space="preserve">241</x:t>
        </x:is>
      </x:c>
      <x:c r="P216" s="38" t="inlineStr">
        <x:is>
          <x:t xml:space="preserve">FINITE_DECIDABLE</x:t>
        </x:is>
      </x:c>
      <x:c r="Q216" s="38" t="inlineStr">
        <x:is>
          <x:t xml:space="preserve">Finite/decidable proof; check candidate-space limits.</x:t>
        </x:is>
      </x:c>
      <x:c r="R216" s="39" t="inlineStr">
        <x:is>
          <x:t xml:space="preserve">theorem pure_repair_without_return_rejected : validMissionReturn pureRepairWithoutReturn = false</x:t>
        </x:is>
      </x:c>
    </x:row>
    <x:row r="217" ht="15" customHeight="1">
      <x:c r="A217" s="37" t="inlineStr">
        <x:is>
          <x:t xml:space="preserve">\\192.168.2.50\h_hp\Desktop\Master EXCEL\Lean 4.xlsx</x:t>
        </x:is>
      </x:c>
      <x:c r="B217" s="38" t="inlineStr">
        <x:is>
          <x:t xml:space="preserve">LEAN_DERIVATION_CHAIN</x:t>
        </x:is>
      </x:c>
      <x:c r="C217" s="38" t="inlineStr">
        <x:is>
          <x:t xml:space="preserve">235</x:t>
        </x:is>
      </x:c>
      <x:c r="D217" s="38" t="inlineStr">
        <x:is>
          <x:t xml:space="preserve">230</x:t>
        </x:is>
      </x:c>
      <x:c r="E217" s="38" t="inlineStr">
        <x:is>
          <x:t xml:space="preserve">N - NegInventory</x:t>
        </x:is>
      </x:c>
      <x:c r="F217" s="38" t="inlineStr">
        <x:is>
          <x:t xml:space="preserve">Theophysics_NegativeInventory.lean</x:t>
        </x:is>
      </x:c>
      <x:c r="G217" s="38" t="inlineStr">
        <x:is>
          <x:t xml:space="preserve">every_return_guard_is_load_bearing</x:t>
        </x:is>
      </x:c>
      <x:c r="H217" s="38" t="inlineStr">
        <x:is>
          <x:t xml:space="preserve">Dropping any single guard admits a known false positive</x:t>
        </x:is>
      </x:c>
      <x:c r="I217" s="38" t="inlineStr">
        <x:is>
          <x:t xml:space="preserve">decide</x:t>
        </x:is>
      </x:c>
      <x:c r="J217" s="38" t="inlineStr">
        <x:is>
          <x:t xml:space="preserve">PROVED</x:t>
        </x:is>
      </x:c>
      <x:c r="K217" s="38" t="inlineStr">
        <x:is>
          <x:t xml:space="preserve">06_Lean_Negative_Inventory Part III</x:t>
        </x:is>
      </x:c>
      <x:c r="L217" s="38" t="inlineStr">
        <x:is>
          <x:t xml:space="preserve">1</x:t>
        </x:is>
      </x:c>
      <x:c r="M217" s="38" t="inlineStr">
        <x:is>
          <x:t xml:space="preserve">Faith-Thru-Physics-Lean-4--main</x:t>
        </x:is>
      </x:c>
      <x:c r="N217" s="38" t="inlineStr">
        <x:is>
          <x:t xml:space="preserve">Faith-Thru-Physics-Lean-4--main\Faith-Thru-Physics-Lean-4--main\Theophysics_NegativeInventory.lean</x:t>
        </x:is>
      </x:c>
      <x:c r="O217" s="38" t="inlineStr">
        <x:is>
          <x:t xml:space="preserve">246</x:t>
        </x:is>
      </x:c>
      <x:c r="P217" s="38" t="inlineStr">
        <x:is>
          <x:t xml:space="preserve">FINITE_DECIDABLE</x:t>
        </x:is>
      </x:c>
      <x:c r="Q217" s="38" t="inlineStr">
        <x:is>
          <x:t xml:space="preserve">Finite/decidable proof; check candidate-space limits.</x:t>
        </x:is>
      </x:c>
      <x:c r="R217" s="39" t="inlineStr">
        <x:is>
          <x:t xml:space="preserve">theorem every_return_guard_is_load_bearing : validMissionReturn reanimationOnly = false ∧ validMissionReturn memoryErasure = false ∧ validMissionReturn symbolicOnly = false ∧ validMissionReturn nonIdentityReplacement = false ∧ validMissionReturn pureRepairWithoutReturn = false</x:t>
        </x:is>
      </x:c>
    </x:row>
    <x:row r="218" ht="15" customHeight="1">
      <x:c r="A218" s="37" t="inlineStr">
        <x:is>
          <x:t xml:space="preserve">\\192.168.2.50\h_hp\Desktop\Master EXCEL\Lean 4.xlsx</x:t>
        </x:is>
      </x:c>
      <x:c r="B218" s="38" t="inlineStr">
        <x:is>
          <x:t xml:space="preserve">LEAN_DERIVATION_CHAIN</x:t>
        </x:is>
      </x:c>
      <x:c r="C218" s="38" t="inlineStr">
        <x:is>
          <x:t xml:space="preserve">236</x:t>
        </x:is>
      </x:c>
      <x:c r="D218" s="38" t="inlineStr">
        <x:is>
          <x:t xml:space="preserve">231</x:t>
        </x:is>
      </x:c>
      <x:c r="E218" s="38" t="inlineStr">
        <x:is>
          <x:t xml:space="preserve">N - NegInventory</x:t>
        </x:is>
      </x:c>
      <x:c r="F218" s="38" t="inlineStr">
        <x:is>
          <x:t xml:space="preserve">Theophysics_NegativeInventory.lean</x:t>
        </x:is>
      </x:c>
      <x:c r="G218" s="38" t="inlineStr">
        <x:is>
          <x:t xml:space="preserve">full_structure_return_validates</x:t>
        </x:is>
      </x:c>
      <x:c r="H218" s="38" t="inlineStr">
        <x:is>
          <x:t xml:space="preserve">Sanity anchor: the full-structure return validates (guards not vacuous)</x:t>
        </x:is>
      </x:c>
      <x:c r="I218" s="38" t="inlineStr">
        <x:is>
          <x:t xml:space="preserve">decide</x:t>
        </x:is>
      </x:c>
      <x:c r="J218" s="38" t="inlineStr">
        <x:is>
          <x:t xml:space="preserve">PROVED</x:t>
        </x:is>
      </x:c>
      <x:c r="K218" s="38" t="inlineStr">
        <x:is>
          <x:t xml:space="preserve">06_Lean_Negative_Inventory Part III</x:t>
        </x:is>
      </x:c>
      <x:c r="L218" s="38" t="inlineStr">
        <x:is>
          <x:t xml:space="preserve">1</x:t>
        </x:is>
      </x:c>
      <x:c r="M218" s="38" t="inlineStr">
        <x:is>
          <x:t xml:space="preserve">Faith-Thru-Physics-Lean-4--main</x:t>
        </x:is>
      </x:c>
      <x:c r="N218" s="38" t="inlineStr">
        <x:is>
          <x:t xml:space="preserve">Faith-Thru-Physics-Lean-4--main\Faith-Thru-Physics-Lean-4--main\Theophysics_NegativeInventory.lean</x:t>
        </x:is>
      </x:c>
      <x:c r="O218" s="38" t="inlineStr">
        <x:is>
          <x:t xml:space="preserve">256</x:t>
        </x:is>
      </x:c>
      <x:c r="P218" s="38" t="inlineStr">
        <x:is>
          <x:t xml:space="preserve">WRAPPER_OR_IMPORTED</x:t>
        </x:is>
      </x:c>
      <x:c r="Q218" s="38" t="inlineStr">
        <x:is>
          <x:t xml:space="preserve">Likely delegates to another theorem; cite underlying theorem too.</x:t>
        </x:is>
      </x:c>
      <x:c r="R218" s="39" t="inlineStr">
        <x:is>
          <x:t xml:space="preserve">theorem full_structure_return_validates : validMissionReturn ⟨true, true, true, true, false⟩ = true</x:t>
        </x:is>
      </x:c>
    </x:row>
    <x:row r="219" ht="15" customHeight="1">
      <x:c r="A219" s="37" t="inlineStr">
        <x:is>
          <x:t xml:space="preserve">\\192.168.2.50\h_hp\Desktop\Master EXCEL\Lean 4.xlsx</x:t>
        </x:is>
      </x:c>
      <x:c r="B219" s="38" t="inlineStr">
        <x:is>
          <x:t xml:space="preserve">LEAN_DERIVATION_CHAIN</x:t>
        </x:is>
      </x:c>
      <x:c r="C219" s="38" t="inlineStr">
        <x:is>
          <x:t xml:space="preserve">239</x:t>
        </x:is>
      </x:c>
      <x:c r="D219" s="38" t="inlineStr">
        <x:is>
          <x:t xml:space="preserve">C1</x:t>
        </x:is>
      </x:c>
      <x:c r="E219" s="38" t="inlineStr">
        <x:is>
          <x:t xml:space="preserve">C - Canonization</x:t>
        </x:is>
      </x:c>
      <x:c r="F219" s="38" t="inlineStr">
        <x:is>
          <x:t xml:space="preserve">Theophysics_Canonization.lean</x:t>
        </x:is>
      </x:c>
      <x:c r="G219" s="38" t="inlineStr">
        <x:is>
          <x:t xml:space="preserve">llc_collapse_regime</x:t>
        </x:is>
      </x:c>
      <x:c r="H219" s="38" t="inlineStr">
        <x:is>
          <x:t xml:space="preserve">LLC: V &lt; T implies action-positive waste-punishing regime</x:t>
        </x:is>
      </x:c>
      <x:c r="I219" s="38" t="inlineStr">
        <x:is>
          <x:t xml:space="preserve">linarith</x:t>
        </x:is>
      </x:c>
      <x:c r="J219" s="38" t="inlineStr">
        <x:is>
          <x:t xml:space="preserve">PROVED</x:t>
        </x:is>
      </x:c>
      <x:c r="K219" s="38" t="inlineStr">
        <x:is>
          <x:t xml:space="preserve">Level 5 / Canonization doc</x:t>
        </x:is>
      </x:c>
      <x:c r="L219" s="38" t="inlineStr">
        <x:is>
          <x:t xml:space="preserve">1</x:t>
        </x:is>
      </x:c>
      <x:c r="M219" s="38" t="inlineStr">
        <x:is>
          <x:t xml:space="preserve">theophysics-lean-main</x:t>
        </x:is>
      </x:c>
      <x:c r="N219" s="38" t="inlineStr">
        <x:is>
          <x:t xml:space="preserve">theophysics-lean-main\theophysics-lean-main\Theophysics_Canonization.lean</x:t>
        </x:is>
      </x:c>
      <x:c r="O219" s="38" t="inlineStr">
        <x:is>
          <x:t xml:space="preserve">72</x:t>
        </x:is>
      </x:c>
      <x:c r="P219" s="38" t="inlineStr">
        <x:is>
          <x:t xml:space="preserve">SIMPLIFICATION</x:t>
        </x:is>
      </x:c>
      <x:c r="Q219" s="38" t="inlineStr">
        <x:is>
          <x:t xml:space="preserve">Follows by simplification under definitions; check definition strength.</x:t>
        </x:is>
      </x:c>
      <x:c r="R219" s="39" t="inlineStr">
        <x:is>
          <x:t xml:space="preserve">theorem llc_collapse_regime (T V : ℝ) (h : V &lt; T) : 0 &lt; LLC T V</x:t>
        </x:is>
      </x:c>
    </x:row>
    <x:row r="220" ht="15" customHeight="1">
      <x:c r="A220" s="37" t="inlineStr">
        <x:is>
          <x:t xml:space="preserve">\\192.168.2.50\h_hp\Desktop\Master EXCEL\Lean 4.xlsx</x:t>
        </x:is>
      </x:c>
      <x:c r="B220" s="38" t="inlineStr">
        <x:is>
          <x:t xml:space="preserve">LEAN_DERIVATION_CHAIN</x:t>
        </x:is>
      </x:c>
      <x:c r="C220" s="38" t="inlineStr">
        <x:is>
          <x:t xml:space="preserve">240</x:t>
        </x:is>
      </x:c>
      <x:c r="D220" s="38" t="inlineStr">
        <x:is>
          <x:t xml:space="preserve">C2</x:t>
        </x:is>
      </x:c>
      <x:c r="E220" s="38" t="inlineStr">
        <x:is>
          <x:t xml:space="preserve">C - Canonization</x:t>
        </x:is>
      </x:c>
      <x:c r="F220" s="38" t="inlineStr">
        <x:is>
          <x:t xml:space="preserve">Theophysics_Canonization.lean</x:t>
        </x:is>
      </x:c>
      <x:c r="G220" s="38" t="inlineStr">
        <x:is>
          <x:t xml:space="preserve">no_observer_no_capital</x:t>
        </x:is>
      </x:c>
      <x:c r="H220" s="38" t="inlineStr">
        <x:is>
          <x:t xml:space="preserve">No Gamma-coupling implies V=0, action reduces to pure cost</x:t>
        </x:is>
      </x:c>
      <x:c r="I220" s="38" t="inlineStr">
        <x:is>
          <x:t xml:space="preserve">simp</x:t>
        </x:is>
      </x:c>
      <x:c r="J220" s="38" t="inlineStr">
        <x:is>
          <x:t xml:space="preserve">PROVED</x:t>
        </x:is>
      </x:c>
      <x:c r="K220" s="38" t="inlineStr">
        <x:is>
          <x:t xml:space="preserve">Level 5 / Canonization doc</x:t>
        </x:is>
      </x:c>
      <x:c r="L220" s="38" t="inlineStr">
        <x:is>
          <x:t xml:space="preserve">1</x:t>
        </x:is>
      </x:c>
      <x:c r="M220" s="38" t="inlineStr">
        <x:is>
          <x:t xml:space="preserve">theophysics-lean-main</x:t>
        </x:is>
      </x:c>
      <x:c r="N220" s="38" t="inlineStr">
        <x:is>
          <x:t xml:space="preserve">theophysics-lean-main\theophysics-lean-main\Theophysics_Canonization.lean</x:t>
        </x:is>
      </x:c>
      <x:c r="O220" s="38" t="inlineStr">
        <x:is>
          <x:t xml:space="preserve">77</x:t>
        </x:is>
      </x:c>
      <x:c r="P220" s="38" t="inlineStr">
        <x:is>
          <x:t xml:space="preserve">WRAPPER_OR_IMPORTED</x:t>
        </x:is>
      </x:c>
      <x:c r="Q220" s="38" t="inlineStr">
        <x:is>
          <x:t xml:space="preserve">Likely delegates to another theorem; cite underlying theorem too.</x:t>
        </x:is>
      </x:c>
      <x:c r="R220" s="39" t="inlineStr">
        <x:is>
          <x:t xml:space="preserve">theorem no_observer_no_capital (T : ℝ) : LLC T 0 = T</x:t>
        </x:is>
      </x:c>
    </x:row>
    <x:row r="221" ht="15" customHeight="1">
      <x:c r="A221" s="37" t="inlineStr">
        <x:is>
          <x:t xml:space="preserve">\\192.168.2.50\h_hp\Desktop\Master EXCEL\Lean 4.xlsx</x:t>
        </x:is>
      </x:c>
      <x:c r="B221" s="38" t="inlineStr">
        <x:is>
          <x:t xml:space="preserve">LEAN_DERIVATION_CHAIN</x:t>
        </x:is>
      </x:c>
      <x:c r="C221" s="38" t="inlineStr">
        <x:is>
          <x:t xml:space="preserve">241</x:t>
        </x:is>
      </x:c>
      <x:c r="D221" s="38" t="inlineStr">
        <x:is>
          <x:t xml:space="preserve">C3</x:t>
        </x:is>
      </x:c>
      <x:c r="E221" s="38" t="inlineStr">
        <x:is>
          <x:t xml:space="preserve">C - Canonization</x:t>
        </x:is>
      </x:c>
      <x:c r="F221" s="38" t="inlineStr">
        <x:is>
          <x:t xml:space="preserve">Theophysics_Canonization.lean</x:t>
        </x:is>
      </x:c>
      <x:c r="G221" s="38" t="inlineStr">
        <x:is>
          <x:t xml:space="preserve">spirit_factors</x:t>
        </x:is>
      </x:c>
      <x:c r="H221" s="38" t="inlineStr">
        <x:is>
          <x:t xml:space="preserve">L_spirit = chi*(v^2 - Se) - coherence weight factors out</x:t>
        </x:is>
      </x:c>
      <x:c r="I221" s="38" t="inlineStr">
        <x:is>
          <x:t xml:space="preserve">ring</x:t>
        </x:is>
      </x:c>
      <x:c r="J221" s="38" t="inlineStr">
        <x:is>
          <x:t xml:space="preserve">PROVED</x:t>
        </x:is>
      </x:c>
      <x:c r="K221" s="38" t="inlineStr">
        <x:is>
          <x:t xml:space="preserve">Level 5 / Canonization doc</x:t>
        </x:is>
      </x:c>
      <x:c r="L221" s="38" t="inlineStr">
        <x:is>
          <x:t xml:space="preserve">1</x:t>
        </x:is>
      </x:c>
      <x:c r="M221" s="38" t="inlineStr">
        <x:is>
          <x:t xml:space="preserve">theophysics-lean-main</x:t>
        </x:is>
      </x:c>
      <x:c r="N221" s="38" t="inlineStr">
        <x:is>
          <x:t xml:space="preserve">theophysics-lean-main\theophysics-lean-main\Theophysics_Canonization.lean</x:t>
        </x:is>
      </x:c>
      <x:c r="O221" s="38" t="inlineStr">
        <x:is>
          <x:t xml:space="preserve">84</x:t>
        </x:is>
      </x:c>
      <x:c r="P221" s="38" t="inlineStr">
        <x:is>
          <x:t xml:space="preserve">SIMPLIFICATION</x:t>
        </x:is>
      </x:c>
      <x:c r="Q221" s="38" t="inlineStr">
        <x:is>
          <x:t xml:space="preserve">Follows by simplification under definitions; check definition strength.</x:t>
        </x:is>
      </x:c>
      <x:c r="R221" s="39" t="inlineStr">
        <x:is>
          <x:t xml:space="preserve">theorem spirit_factors (χ v Sₑ : ℝ) : SpiritLagrangian χ v Sₑ = χ * (v ^ 2 - Sₑ)</x:t>
        </x:is>
      </x:c>
    </x:row>
    <x:row r="222" ht="15" customHeight="1">
      <x:c r="A222" s="37" t="inlineStr">
        <x:is>
          <x:t xml:space="preserve">\\192.168.2.50\h_hp\Desktop\Master EXCEL\Lean 4.xlsx</x:t>
        </x:is>
      </x:c>
      <x:c r="B222" s="38" t="inlineStr">
        <x:is>
          <x:t xml:space="preserve">LEAN_DERIVATION_CHAIN</x:t>
        </x:is>
      </x:c>
      <x:c r="C222" s="38" t="inlineStr">
        <x:is>
          <x:t xml:space="preserve">242</x:t>
        </x:is>
      </x:c>
      <x:c r="D222" s="38" t="inlineStr">
        <x:is>
          <x:t xml:space="preserve">C4</x:t>
        </x:is>
      </x:c>
      <x:c r="E222" s="38" t="inlineStr">
        <x:is>
          <x:t xml:space="preserve">C - Canonization</x:t>
        </x:is>
      </x:c>
      <x:c r="F222" s="38" t="inlineStr">
        <x:is>
          <x:t xml:space="preserve">Theophysics_Canonization.lean</x:t>
        </x:is>
      </x:c>
      <x:c r="G222" s="38" t="inlineStr">
        <x:is>
          <x:t xml:space="preserve">spirit_dies_at_zero_coherence</x:t>
        </x:is>
      </x:c>
      <x:c r="H222" s="38" t="inlineStr">
        <x:is>
          <x:t xml:space="preserve">chi=0 kills kinetic and penalty terms simultaneously</x:t>
        </x:is>
      </x:c>
      <x:c r="I222" s="38" t="inlineStr">
        <x:is>
          <x:t xml:space="preserve">simp</x:t>
        </x:is>
      </x:c>
      <x:c r="J222" s="38" t="inlineStr">
        <x:is>
          <x:t xml:space="preserve">PROVED</x:t>
        </x:is>
      </x:c>
      <x:c r="K222" s="38" t="inlineStr">
        <x:is>
          <x:t xml:space="preserve">Level 5 / Canonization doc</x:t>
        </x:is>
      </x:c>
      <x:c r="L222" s="38" t="inlineStr">
        <x:is>
          <x:t xml:space="preserve">1</x:t>
        </x:is>
      </x:c>
      <x:c r="M222" s="38" t="inlineStr">
        <x:is>
          <x:t xml:space="preserve">theophysics-lean-main</x:t>
        </x:is>
      </x:c>
      <x:c r="N222" s="38" t="inlineStr">
        <x:is>
          <x:t xml:space="preserve">theophysics-lean-main\theophysics-lean-main\Theophysics_Canonization.lean</x:t>
        </x:is>
      </x:c>
      <x:c r="O222" s="38" t="inlineStr">
        <x:is>
          <x:t xml:space="preserve">88</x:t>
        </x:is>
      </x:c>
      <x:c r="P222" s="38" t="inlineStr">
        <x:is>
          <x:t xml:space="preserve">SIMPLIFICATION</x:t>
        </x:is>
      </x:c>
      <x:c r="Q222" s="38" t="inlineStr">
        <x:is>
          <x:t xml:space="preserve">Follows by simplification under definitions; check definition strength.</x:t>
        </x:is>
      </x:c>
      <x:c r="R222" s="39" t="inlineStr">
        <x:is>
          <x:t xml:space="preserve">theorem spirit_dies_at_zero_coherence (v Sₑ : ℝ) : SpiritLagrangian 0 v Sₑ = 0</x:t>
        </x:is>
      </x:c>
    </x:row>
    <x:row r="223" ht="15" customHeight="1">
      <x:c r="A223" s="37" t="inlineStr">
        <x:is>
          <x:t xml:space="preserve">\\192.168.2.50\h_hp\Desktop\Master EXCEL\Lean 4.xlsx</x:t>
        </x:is>
      </x:c>
      <x:c r="B223" s="38" t="inlineStr">
        <x:is>
          <x:t xml:space="preserve">LEAN_DERIVATION_CHAIN</x:t>
        </x:is>
      </x:c>
      <x:c r="C223" s="38" t="inlineStr">
        <x:is>
          <x:t xml:space="preserve">243</x:t>
        </x:is>
      </x:c>
      <x:c r="D223" s="38" t="inlineStr">
        <x:is>
          <x:t xml:space="preserve">C5</x:t>
        </x:is>
      </x:c>
      <x:c r="E223" s="38" t="inlineStr">
        <x:is>
          <x:t xml:space="preserve">C - Canonization</x:t>
        </x:is>
      </x:c>
      <x:c r="F223" s="38" t="inlineStr">
        <x:is>
          <x:t xml:space="preserve">Theophysics_Canonization.lean</x:t>
        </x:is>
      </x:c>
      <x:c r="G223" s="38" t="inlineStr">
        <x:is>
          <x:t xml:space="preserve">spirit_positive_iff</x:t>
        </x:is>
      </x:c>
      <x:c r="H223" s="38" t="inlineStr">
        <x:is>
          <x:t xml:space="preserve">For chi&gt;0: L_spirit &gt; 0 iff Se &lt; v^2</x:t>
        </x:is>
      </x:c>
      <x:c r="I223" s="38" t="inlineStr">
        <x:is>
          <x:t xml:space="preserve">iff/positivity</x:t>
        </x:is>
      </x:c>
      <x:c r="J223" s="38" t="inlineStr">
        <x:is>
          <x:t xml:space="preserve">PROVED</x:t>
        </x:is>
      </x:c>
      <x:c r="K223" s="38" t="inlineStr">
        <x:is>
          <x:t xml:space="preserve">Level 5 / Canonization doc</x:t>
        </x:is>
      </x:c>
      <x:c r="L223" s="38" t="inlineStr">
        <x:is>
          <x:t xml:space="preserve">1</x:t>
        </x:is>
      </x:c>
      <x:c r="M223" s="38" t="inlineStr">
        <x:is>
          <x:t xml:space="preserve">theophysics-lean-main</x:t>
        </x:is>
      </x:c>
      <x:c r="N223" s="38" t="inlineStr">
        <x:is>
          <x:t xml:space="preserve">theophysics-lean-main\theophysics-lean-main\Theophysics_Canonization.lean</x:t>
        </x:is>
      </x:c>
      <x:c r="O223" s="38" t="inlineStr">
        <x:is>
          <x:t xml:space="preserve">93</x:t>
        </x:is>
      </x:c>
      <x:c r="P223" s="38" t="inlineStr">
        <x:is>
          <x:t xml:space="preserve">SUBSTANTIVE_OR_CASE_PROOF</x:t>
        </x:is>
      </x:c>
      <x:c r="Q223" s="38" t="inlineStr">
        <x:is>
          <x:t xml:space="preserve">Appears to contain an actual proof body; inspect before public citation.</x:t>
        </x:is>
      </x:c>
      <x:c r="R223" s="39" t="inlineStr">
        <x:is>
          <x:t xml:space="preserve">theorem spirit_positive_iff (χ v Sₑ : ℝ) (hχ : 0 &lt; χ) : 0 &lt; SpiritLagrangian χ v Sₑ ↔ Sₑ &lt; v ^ 2</x:t>
        </x:is>
      </x:c>
    </x:row>
    <x:row r="224" ht="15" customHeight="1">
      <x:c r="A224" s="37" t="inlineStr">
        <x:is>
          <x:t xml:space="preserve">\\192.168.2.50\h_hp\Desktop\Master EXCEL\Lean 4.xlsx</x:t>
        </x:is>
      </x:c>
      <x:c r="B224" s="38" t="inlineStr">
        <x:is>
          <x:t xml:space="preserve">LEAN_DERIVATION_CHAIN</x:t>
        </x:is>
      </x:c>
      <x:c r="C224" s="38" t="inlineStr">
        <x:is>
          <x:t xml:space="preserve">244</x:t>
        </x:is>
      </x:c>
      <x:c r="D224" s="38" t="inlineStr">
        <x:is>
          <x:t xml:space="preserve">C6</x:t>
        </x:is>
      </x:c>
      <x:c r="E224" s="38" t="inlineStr">
        <x:is>
          <x:t xml:space="preserve">C - Canonization</x:t>
        </x:is>
      </x:c>
      <x:c r="F224" s="38" t="inlineStr">
        <x:is>
          <x:t xml:space="preserve">Theophysics_Canonization.lean</x:t>
        </x:is>
      </x:c>
      <x:c r="G224" s="38" t="inlineStr">
        <x:is>
          <x:t xml:space="preserve">anti_expansion</x:t>
        </x:is>
      </x:c>
      <x:c r="H224" s="38" t="inlineStr">
        <x:is>
          <x:t xml:space="preserve">Anti-Lagrangian expanded form equals the sign flip exactly</x:t>
        </x:is>
      </x:c>
      <x:c r="I224" s="38" t="inlineStr">
        <x:is>
          <x:t xml:space="preserve">ring</x:t>
        </x:is>
      </x:c>
      <x:c r="J224" s="38" t="inlineStr">
        <x:is>
          <x:t xml:space="preserve">PROVED</x:t>
        </x:is>
      </x:c>
      <x:c r="K224" s="38" t="inlineStr">
        <x:is>
          <x:t xml:space="preserve">Level 5 / Canonization doc</x:t>
        </x:is>
      </x:c>
      <x:c r="L224" s="38" t="inlineStr">
        <x:is>
          <x:t xml:space="preserve">1</x:t>
        </x:is>
      </x:c>
      <x:c r="M224" s="38" t="inlineStr">
        <x:is>
          <x:t xml:space="preserve">theophysics-lean-main</x:t>
        </x:is>
      </x:c>
      <x:c r="N224" s="38" t="inlineStr">
        <x:is>
          <x:t xml:space="preserve">theophysics-lean-main\theophysics-lean-main\Theophysics_Canonization.lean</x:t>
        </x:is>
      </x:c>
      <x:c r="O224" s="38" t="inlineStr">
        <x:is>
          <x:t xml:space="preserve">111</x:t>
        </x:is>
      </x:c>
      <x:c r="P224" s="38" t="inlineStr">
        <x:is>
          <x:t xml:space="preserve">SIMPLIFICATION</x:t>
        </x:is>
      </x:c>
      <x:c r="Q224" s="38" t="inlineStr">
        <x:is>
          <x:t xml:space="preserve">Follows by simplification under definitions; check definition strength.</x:t>
        </x:is>
      </x:c>
      <x:c r="R224" s="39" t="inlineStr">
        <x:is>
          <x:t xml:space="preserve">theorem anti_expansion (χ v Sₑ : ℝ) : AntiLagrangian χ v Sₑ = Sₑ * χ - χ * v ^ 2</x:t>
        </x:is>
      </x:c>
    </x:row>
    <x:row r="225" ht="15" customHeight="1">
      <x:c r="A225" s="37" t="inlineStr">
        <x:is>
          <x:t xml:space="preserve">\\192.168.2.50\h_hp\Desktop\Master EXCEL\Lean 4.xlsx</x:t>
        </x:is>
      </x:c>
      <x:c r="B225" s="38" t="inlineStr">
        <x:is>
          <x:t xml:space="preserve">LEAN_DERIVATION_CHAIN</x:t>
        </x:is>
      </x:c>
      <x:c r="C225" s="38" t="inlineStr">
        <x:is>
          <x:t xml:space="preserve">245</x:t>
        </x:is>
      </x:c>
      <x:c r="D225" s="38" t="inlineStr">
        <x:is>
          <x:t xml:space="preserve">C7</x:t>
        </x:is>
      </x:c>
      <x:c r="E225" s="38" t="inlineStr">
        <x:is>
          <x:t xml:space="preserve">C - Canonization</x:t>
        </x:is>
      </x:c>
      <x:c r="F225" s="38" t="inlineStr">
        <x:is>
          <x:t xml:space="preserve">Theophysics_Canonization.lean</x:t>
        </x:is>
      </x:c>
      <x:c r="G225" s="38" t="inlineStr">
        <x:is>
          <x:t xml:space="preserve">spirit_anti_sum_zero</x:t>
        </x:is>
      </x:c>
      <x:c r="H225" s="38" t="inlineStr">
        <x:is>
          <x:t xml:space="preserve">Spirit + Anti = 0: evil has no independent grammar, only inversion</x:t>
        </x:is>
      </x:c>
      <x:c r="I225" s="38" t="inlineStr">
        <x:is>
          <x:t xml:space="preserve">simp</x:t>
        </x:is>
      </x:c>
      <x:c r="J225" s="38" t="inlineStr">
        <x:is>
          <x:t xml:space="preserve">PROVED</x:t>
        </x:is>
      </x:c>
      <x:c r="K225" s="38" t="inlineStr">
        <x:is>
          <x:t xml:space="preserve">Level 5 / Canonization doc</x:t>
        </x:is>
      </x:c>
      <x:c r="L225" s="38" t="inlineStr">
        <x:is>
          <x:t xml:space="preserve">1</x:t>
        </x:is>
      </x:c>
      <x:c r="M225" s="38" t="inlineStr">
        <x:is>
          <x:t xml:space="preserve">theophysics-lean-main</x:t>
        </x:is>
      </x:c>
      <x:c r="N225" s="38" t="inlineStr">
        <x:is>
          <x:t xml:space="preserve">theophysics-lean-main\theophysics-lean-main\Theophysics_Canonization.lean</x:t>
        </x:is>
      </x:c>
      <x:c r="O225" s="38" t="inlineStr">
        <x:is>
          <x:t xml:space="preserve">117</x:t>
        </x:is>
      </x:c>
      <x:c r="P225" s="38" t="inlineStr">
        <x:is>
          <x:t xml:space="preserve">WRAPPER_OR_IMPORTED</x:t>
        </x:is>
      </x:c>
      <x:c r="Q225" s="38" t="inlineStr">
        <x:is>
          <x:t xml:space="preserve">Likely delegates to another theorem; cite underlying theorem too.</x:t>
        </x:is>
      </x:c>
      <x:c r="R225" s="39" t="inlineStr">
        <x:is>
          <x:t xml:space="preserve">theorem spirit_anti_sum_zero (χ v Sₑ : ℝ) : SpiritLagrangian χ v Sₑ + AntiLagrangian χ v Sₑ = 0</x:t>
        </x:is>
      </x:c>
    </x:row>
    <x:row r="226" ht="15" customHeight="1">
      <x:c r="A226" s="37" t="inlineStr">
        <x:is>
          <x:t xml:space="preserve">\\192.168.2.50\h_hp\Desktop\Master EXCEL\Lean 4.xlsx</x:t>
        </x:is>
      </x:c>
      <x:c r="B226" s="38" t="inlineStr">
        <x:is>
          <x:t xml:space="preserve">LEAN_DERIVATION_CHAIN</x:t>
        </x:is>
      </x:c>
      <x:c r="C226" s="38" t="inlineStr">
        <x:is>
          <x:t xml:space="preserve">246</x:t>
        </x:is>
      </x:c>
      <x:c r="D226" s="38" t="inlineStr">
        <x:is>
          <x:t xml:space="preserve">C8</x:t>
        </x:is>
      </x:c>
      <x:c r="E226" s="38" t="inlineStr">
        <x:is>
          <x:t xml:space="preserve">C - Canonization</x:t>
        </x:is>
      </x:c>
      <x:c r="F226" s="38" t="inlineStr">
        <x:is>
          <x:t xml:space="preserve">Theophysics_Canonization.lean</x:t>
        </x:is>
      </x:c>
      <x:c r="G226" s="38" t="inlineStr">
        <x:is>
          <x:t xml:space="preserve">gr_recovery</x:t>
        </x:is>
      </x:c>
      <x:c r="H226" s="38" t="inlineStr">
        <x:is>
          <x:t xml:space="preserve">chi=0 implies kappa-term vanishes, total reduces to Einstein-Hilbert (D13.1 DC2)</x:t>
        </x:is>
      </x:c>
      <x:c r="I226" s="38" t="inlineStr">
        <x:is>
          <x:t xml:space="preserve">simp</x:t>
        </x:is>
      </x:c>
      <x:c r="J226" s="38" t="inlineStr">
        <x:is>
          <x:t xml:space="preserve">PROVED</x:t>
        </x:is>
      </x:c>
      <x:c r="K226" s="38" t="inlineStr">
        <x:is>
          <x:t xml:space="preserve">Level 5 / Canonization doc</x:t>
        </x:is>
      </x:c>
      <x:c r="L226" s="38" t="inlineStr">
        <x:is>
          <x:t xml:space="preserve">1</x:t>
        </x:is>
      </x:c>
      <x:c r="M226" s="38" t="inlineStr">
        <x:is>
          <x:t xml:space="preserve">theophysics-lean-main</x:t>
        </x:is>
      </x:c>
      <x:c r="N226" s="38" t="inlineStr">
        <x:is>
          <x:t xml:space="preserve">theophysics-lean-main\theophysics-lean-main\Theophysics_Canonization.lean</x:t>
        </x:is>
      </x:c>
      <x:c r="O226" s="38" t="inlineStr">
        <x:is>
          <x:t xml:space="preserve">136</x:t>
        </x:is>
      </x:c>
      <x:c r="P226" s="38" t="inlineStr">
        <x:is>
          <x:t xml:space="preserve">SIMPLIFICATION</x:t>
        </x:is>
      </x:c>
      <x:c r="Q226" s="38" t="inlineStr">
        <x:is>
          <x:t xml:space="preserve">Follows by simplification under definitions; check definition strength.</x:t>
        </x:is>
      </x:c>
      <x:c r="R226" s="39" t="inlineStr">
        <x:is>
          <x:t xml:space="preserve">theorem gr_recovery (κ R sqrtNegG L_GR : ℝ) : kappaTerm κ 0 R sqrtNegG = 0 ∧ UnifiedFieldLagrangian L_GR 0 (kappaTerm κ 0 R sqrtNegG) = L_GR</x:t>
        </x:is>
      </x:c>
    </x:row>
    <x:row r="227" ht="15" customHeight="1">
      <x:c r="A227" s="37" t="inlineStr">
        <x:is>
          <x:t xml:space="preserve">\\192.168.2.50\h_hp\Desktop\Master EXCEL\Lean 4.xlsx</x:t>
        </x:is>
      </x:c>
      <x:c r="B227" s="38" t="inlineStr">
        <x:is>
          <x:t xml:space="preserve">LEAN_DERIVATION_CHAIN</x:t>
        </x:is>
      </x:c>
      <x:c r="C227" s="38" t="inlineStr">
        <x:is>
          <x:t xml:space="preserve">247</x:t>
        </x:is>
      </x:c>
      <x:c r="D227" s="38" t="inlineStr">
        <x:is>
          <x:t xml:space="preserve">C9</x:t>
        </x:is>
      </x:c>
      <x:c r="E227" s="38" t="inlineStr">
        <x:is>
          <x:t xml:space="preserve">C - Canonization</x:t>
        </x:is>
      </x:c>
      <x:c r="F227" s="38" t="inlineStr">
        <x:is>
          <x:t xml:space="preserve">Theophysics_Canonization.lean</x:t>
        </x:is>
      </x:c>
      <x:c r="G227" s="38" t="inlineStr">
        <x:is>
          <x:t xml:space="preserve">kappa_screening</x:t>
        </x:is>
      </x:c>
      <x:c r="H227" s="38" t="inlineStr">
        <x:is>
          <x:t xml:space="preserve">Screened coupling strictly weaker than Planck-scale coupling</x:t>
        </x:is>
      </x:c>
      <x:c r="I227" s="38" t="inlineStr">
        <x:is>
          <x:t xml:space="preserve">nlinarith</x:t>
        </x:is>
      </x:c>
      <x:c r="J227" s="38" t="inlineStr">
        <x:is>
          <x:t xml:space="preserve">PROVED</x:t>
        </x:is>
      </x:c>
      <x:c r="K227" s="38" t="inlineStr">
        <x:is>
          <x:t xml:space="preserve">Level 5 / Canonization doc</x:t>
        </x:is>
      </x:c>
      <x:c r="L227" s="38" t="inlineStr">
        <x:is>
          <x:t xml:space="preserve">1</x:t>
        </x:is>
      </x:c>
      <x:c r="M227" s="38" t="inlineStr">
        <x:is>
          <x:t xml:space="preserve">theophysics-lean-main</x:t>
        </x:is>
      </x:c>
      <x:c r="N227" s="38" t="inlineStr">
        <x:is>
          <x:t xml:space="preserve">theophysics-lean-main\theophysics-lean-main\Theophysics_Canonization.lean</x:t>
        </x:is>
      </x:c>
      <x:c r="O227" s="38" t="inlineStr">
        <x:is>
          <x:t xml:space="preserve">145</x:t>
        </x:is>
      </x:c>
      <x:c r="P227" s="38" t="inlineStr">
        <x:is>
          <x:t xml:space="preserve">SUBSTANTIVE_OR_CASE_PROOF</x:t>
        </x:is>
      </x:c>
      <x:c r="Q227" s="38" t="inlineStr">
        <x:is>
          <x:t xml:space="preserve">Appears to contain an actual proof body; inspect before public citation.</x:t>
        </x:is>
      </x:c>
      <x:c r="R227" s="39" t="inlineStr">
        <x:is>
          <x:t xml:space="preserve">theorem kappa_screening (κP s : ℝ) (hκ : 0 &lt; κP) (hs : s &lt; 1) (hs0 : 0 &lt; s) : κP * s &lt; κP</x:t>
        </x:is>
      </x:c>
    </x:row>
    <x:row r="228" ht="15" customHeight="1">
      <x:c r="A228" s="37" t="inlineStr">
        <x:is>
          <x:t xml:space="preserve">\\192.168.2.50\h_hp\Desktop\Master EXCEL\Lean 4.xlsx</x:t>
        </x:is>
      </x:c>
      <x:c r="B228" s="38" t="inlineStr">
        <x:is>
          <x:t xml:space="preserve">LEAN_DERIVATION_CHAIN</x:t>
        </x:is>
      </x:c>
      <x:c r="C228" s="38" t="inlineStr">
        <x:is>
          <x:t xml:space="preserve">248</x:t>
        </x:is>
      </x:c>
      <x:c r="D228" s="38" t="inlineStr">
        <x:is>
          <x:t xml:space="preserve">C10</x:t>
        </x:is>
      </x:c>
      <x:c r="E228" s="38" t="inlineStr">
        <x:is>
          <x:t xml:space="preserve">C - Canonization</x:t>
        </x:is>
      </x:c>
      <x:c r="F228" s="38" t="inlineStr">
        <x:is>
          <x:t xml:space="preserve">Theophysics_Canonization.lean</x:t>
        </x:is>
      </x:c>
      <x:c r="G228" s="38" t="inlineStr">
        <x:is>
          <x:t xml:space="preserve">veto_G</x:t>
        </x:is>
      </x:c>
      <x:c r="H228" s="38" t="inlineStr">
        <x:is>
          <x:t xml:space="preserve">G=0 collapses the Grand Lagrangian product</x:t>
        </x:is>
      </x:c>
      <x:c r="I228" s="38" t="inlineStr">
        <x:is>
          <x:t xml:space="preserve">simp</x:t>
        </x:is>
      </x:c>
      <x:c r="J228" s="38" t="inlineStr">
        <x:is>
          <x:t xml:space="preserve">PROVED</x:t>
        </x:is>
      </x:c>
      <x:c r="K228" s="38" t="inlineStr">
        <x:is>
          <x:t xml:space="preserve">Level 5 / Canonization doc</x:t>
        </x:is>
      </x:c>
      <x:c r="L228" s="38" t="inlineStr">
        <x:is>
          <x:t xml:space="preserve">1</x:t>
        </x:is>
      </x:c>
      <x:c r="M228" s="38" t="inlineStr">
        <x:is>
          <x:t xml:space="preserve">theophysics-lean-main</x:t>
        </x:is>
      </x:c>
      <x:c r="N228" s="38" t="inlineStr">
        <x:is>
          <x:t xml:space="preserve">theophysics-lean-main\theophysics-lean-main\Theophysics_Canonization.lean</x:t>
        </x:is>
      </x:c>
      <x:c r="O228" s="38" t="inlineStr">
        <x:is>
          <x:t xml:space="preserve">152</x:t>
        </x:is>
      </x:c>
      <x:c r="P228" s="38" t="inlineStr">
        <x:is>
          <x:t xml:space="preserve">WRAPPER_OR_IMPORTED</x:t>
        </x:is>
      </x:c>
      <x:c r="Q228" s="38" t="inlineStr">
        <x:is>
          <x:t xml:space="preserve">Likely delegates to another theorem; cite underlying theorem too.</x:t>
        </x:is>
      </x:c>
      <x:c r="R228" s="39" t="inlineStr">
        <x:is>
          <x:t xml:space="preserve">theorem veto_G (v : SuperFactors) (h : v.G = 0) : GrandLagrangian v = 0</x:t>
        </x:is>
      </x:c>
    </x:row>
    <x:row r="229" ht="15" customHeight="1">
      <x:c r="A229" s="37" t="inlineStr">
        <x:is>
          <x:t xml:space="preserve">\\192.168.2.50\h_hp\Desktop\Master EXCEL\Lean 4.xlsx</x:t>
        </x:is>
      </x:c>
      <x:c r="B229" s="38" t="inlineStr">
        <x:is>
          <x:t xml:space="preserve">LEAN_DERIVATION_CHAIN</x:t>
        </x:is>
      </x:c>
      <x:c r="C229" s="38" t="inlineStr">
        <x:is>
          <x:t xml:space="preserve">249</x:t>
        </x:is>
      </x:c>
      <x:c r="D229" s="38" t="inlineStr">
        <x:is>
          <x:t xml:space="preserve">C11</x:t>
        </x:is>
      </x:c>
      <x:c r="E229" s="38" t="inlineStr">
        <x:is>
          <x:t xml:space="preserve">C - Canonization</x:t>
        </x:is>
      </x:c>
      <x:c r="F229" s="38" t="inlineStr">
        <x:is>
          <x:t xml:space="preserve">Theophysics_Canonization.lean</x:t>
        </x:is>
      </x:c>
      <x:c r="G229" s="38" t="inlineStr">
        <x:is>
          <x:t xml:space="preserve">veto_Q</x:t>
        </x:is>
      </x:c>
      <x:c r="H229" s="38" t="inlineStr">
        <x:is>
          <x:t xml:space="preserve">Q=0 collapses the Grand Lagrangian product</x:t>
        </x:is>
      </x:c>
      <x:c r="I229" s="38" t="inlineStr">
        <x:is>
          <x:t xml:space="preserve">simp</x:t>
        </x:is>
      </x:c>
      <x:c r="J229" s="38" t="inlineStr">
        <x:is>
          <x:t xml:space="preserve">PROVED</x:t>
        </x:is>
      </x:c>
      <x:c r="K229" s="38" t="inlineStr">
        <x:is>
          <x:t xml:space="preserve">Level 5 / Canonization doc</x:t>
        </x:is>
      </x:c>
      <x:c r="L229" s="38" t="inlineStr">
        <x:is>
          <x:t xml:space="preserve">1</x:t>
        </x:is>
      </x:c>
      <x:c r="M229" s="38" t="inlineStr">
        <x:is>
          <x:t xml:space="preserve">theophysics-lean-main</x:t>
        </x:is>
      </x:c>
      <x:c r="N229" s="38" t="inlineStr">
        <x:is>
          <x:t xml:space="preserve">theophysics-lean-main\theophysics-lean-main\Theophysics_Canonization.lean</x:t>
        </x:is>
      </x:c>
      <x:c r="O229" s="38" t="inlineStr">
        <x:is>
          <x:t xml:space="preserve">155</x:t>
        </x:is>
      </x:c>
      <x:c r="P229" s="38" t="inlineStr">
        <x:is>
          <x:t xml:space="preserve">WRAPPER_OR_IMPORTED</x:t>
        </x:is>
      </x:c>
      <x:c r="Q229" s="38" t="inlineStr">
        <x:is>
          <x:t xml:space="preserve">Likely delegates to another theorem; cite underlying theorem too.</x:t>
        </x:is>
      </x:c>
      <x:c r="R229" s="39" t="inlineStr">
        <x:is>
          <x:t xml:space="preserve">theorem veto_Q (v : SuperFactors) (h : v.Q = 0) : GrandLagrangian v = 0</x:t>
        </x:is>
      </x:c>
    </x:row>
    <x:row r="230" ht="15" customHeight="1">
      <x:c r="A230" s="37" t="inlineStr">
        <x:is>
          <x:t xml:space="preserve">\\192.168.2.50\h_hp\Desktop\Master EXCEL\Lean 4.xlsx</x:t>
        </x:is>
      </x:c>
      <x:c r="B230" s="38" t="inlineStr">
        <x:is>
          <x:t xml:space="preserve">LEAN_DERIVATION_CHAIN</x:t>
        </x:is>
      </x:c>
      <x:c r="C230" s="38" t="inlineStr">
        <x:is>
          <x:t xml:space="preserve">250</x:t>
        </x:is>
      </x:c>
      <x:c r="D230" s="38" t="inlineStr">
        <x:is>
          <x:t xml:space="preserve">C12</x:t>
        </x:is>
      </x:c>
      <x:c r="E230" s="38" t="inlineStr">
        <x:is>
          <x:t xml:space="preserve">C - Canonization</x:t>
        </x:is>
      </x:c>
      <x:c r="F230" s="38" t="inlineStr">
        <x:is>
          <x:t xml:space="preserve">Theophysics_Canonization.lean</x:t>
        </x:is>
      </x:c>
      <x:c r="G230" s="38" t="inlineStr">
        <x:is>
          <x:t xml:space="preserve">grand_log_additive</x:t>
        </x:is>
      </x:c>
      <x:c r="H230" s="38" t="inlineStr">
        <x:is>
          <x:t xml:space="preserve">log of product = sum of logs (EL tractability), all factors positive</x:t>
        </x:is>
      </x:c>
      <x:c r="I230" s="38" t="inlineStr">
        <x:is>
          <x:t xml:space="preserve">log_mul chain</x:t>
        </x:is>
      </x:c>
      <x:c r="J230" s="38" t="inlineStr">
        <x:is>
          <x:t xml:space="preserve">PROVED</x:t>
        </x:is>
      </x:c>
      <x:c r="K230" s="38" t="inlineStr">
        <x:is>
          <x:t xml:space="preserve">Level 5 / Canonization doc</x:t>
        </x:is>
      </x:c>
      <x:c r="L230" s="38" t="inlineStr">
        <x:is>
          <x:t xml:space="preserve">1</x:t>
        </x:is>
      </x:c>
      <x:c r="M230" s="38" t="inlineStr">
        <x:is>
          <x:t xml:space="preserve">theophysics-lean-main</x:t>
        </x:is>
      </x:c>
      <x:c r="N230" s="38" t="inlineStr">
        <x:is>
          <x:t xml:space="preserve">theophysics-lean-main\theophysics-lean-main\Theophysics_Canonization.lean</x:t>
        </x:is>
      </x:c>
      <x:c r="O230" s="38" t="inlineStr">
        <x:is>
          <x:t xml:space="preserve">159</x:t>
        </x:is>
      </x:c>
      <x:c r="P230" s="38" t="inlineStr">
        <x:is>
          <x:t xml:space="preserve">WRAPPER_OR_IMPORTED</x:t>
        </x:is>
      </x:c>
      <x:c r="Q230" s="38" t="inlineStr">
        <x:is>
          <x:t xml:space="preserve">Likely delegates to another theorem; cite underlying theorem too.</x:t>
        </x:is>
      </x:c>
      <x:c r="R230" s="39" t="inlineStr">
        <x:is>
          <x:t xml:space="preserve">theorem grand_log_additive (v : SuperFactors) (hG : 0 &lt; v.G) (hM : 0 &lt; v.M) (hE : 0 &lt; v.E) (hS : 0 &lt; v.S) (hT : 0 &lt; v.T) (hK : 0 &lt; v.K) (hR : 0 &lt; v.R) (hQ : 0 &lt; v.Q) (hF : 0 &lt; v.F) : Real.log (GrandLagrangian v) = Real.log v.G + Real.log v.M + Real.log v.E + Real.log v.S + Real.log v.T + Real.log v.K + Real.log v.R + Real.log v.Q + Real.log v.F</x:t>
        </x:is>
      </x:c>
    </x:row>
    <x:row r="231" ht="15" customHeight="1">
      <x:c r="A231" s="37" t="inlineStr">
        <x:is>
          <x:t xml:space="preserve">\\192.168.2.50\h_hp\Desktop\Master EXCEL\Lean 4.xlsx</x:t>
        </x:is>
      </x:c>
      <x:c r="B231" s="38" t="inlineStr">
        <x:is>
          <x:t xml:space="preserve">LEAN_DERIVATION_CHAIN</x:t>
        </x:is>
      </x:c>
      <x:c r="C231" s="38" t="inlineStr">
        <x:is>
          <x:t xml:space="preserve">251</x:t>
        </x:is>
      </x:c>
      <x:c r="D231" s="38" t="inlineStr">
        <x:is>
          <x:t xml:space="preserve">C13</x:t>
        </x:is>
      </x:c>
      <x:c r="E231" s="38" t="inlineStr">
        <x:is>
          <x:t xml:space="preserve">C - Canonization</x:t>
        </x:is>
      </x:c>
      <x:c r="F231" s="38" t="inlineStr">
        <x:is>
          <x:t xml:space="preserve">Theophysics_Canonization.lean</x:t>
        </x:is>
      </x:c>
      <x:c r="G231" s="38" t="inlineStr">
        <x:is>
          <x:t xml:space="preserve">chiRatio_gt_one_iff</x:t>
        </x:is>
      </x:c>
      <x:c r="H231" s="38" t="inlineStr">
        <x:is>
          <x:t xml:space="preserve">chi_ratio &gt; 1 iff G &gt; S (combat direction)</x:t>
        </x:is>
      </x:c>
      <x:c r="I231" s="38" t="inlineStr">
        <x:is>
          <x:t xml:space="preserve">lt_div_iff0</x:t>
        </x:is>
      </x:c>
      <x:c r="J231" s="38" t="inlineStr">
        <x:is>
          <x:t xml:space="preserve">PROVED</x:t>
        </x:is>
      </x:c>
      <x:c r="K231" s="38" t="inlineStr">
        <x:is>
          <x:t xml:space="preserve">Level 5 / Canonization doc</x:t>
        </x:is>
      </x:c>
      <x:c r="L231" s="38" t="inlineStr">
        <x:is>
          <x:t xml:space="preserve">1</x:t>
        </x:is>
      </x:c>
      <x:c r="M231" s="38" t="inlineStr">
        <x:is>
          <x:t xml:space="preserve">theophysics-lean-main</x:t>
        </x:is>
      </x:c>
      <x:c r="N231" s="38" t="inlineStr">
        <x:is>
          <x:t xml:space="preserve">theophysics-lean-main\theophysics-lean-main\Theophysics_Canonization.lean</x:t>
        </x:is>
      </x:c>
      <x:c r="O231" s="38" t="inlineStr">
        <x:is>
          <x:t xml:space="preserve">190</x:t>
        </x:is>
      </x:c>
      <x:c r="P231" s="38" t="inlineStr">
        <x:is>
          <x:t xml:space="preserve">SUBSTANTIVE_OR_CASE_PROOF</x:t>
        </x:is>
      </x:c>
      <x:c r="Q231" s="38" t="inlineStr">
        <x:is>
          <x:t xml:space="preserve">Appears to contain an actual proof body; inspect before public citation.</x:t>
        </x:is>
      </x:c>
      <x:c r="R231" s="39" t="inlineStr">
        <x:is>
          <x:t xml:space="preserve">theorem chiRatio_gt_one_iff (G S : ℝ) (hS : 0 &lt; S) : 1 &lt; chiRatio G S ↔ S &lt; G</x:t>
        </x:is>
      </x:c>
    </x:row>
    <x:row r="232" ht="15" customHeight="1">
      <x:c r="A232" s="37" t="inlineStr">
        <x:is>
          <x:t xml:space="preserve">\\192.168.2.50\h_hp\Desktop\Master EXCEL\Lean 4.xlsx</x:t>
        </x:is>
      </x:c>
      <x:c r="B232" s="38" t="inlineStr">
        <x:is>
          <x:t xml:space="preserve">LEAN_DERIVATION_CHAIN</x:t>
        </x:is>
      </x:c>
      <x:c r="C232" s="38" t="inlineStr">
        <x:is>
          <x:t xml:space="preserve">252</x:t>
        </x:is>
      </x:c>
      <x:c r="D232" s="38" t="inlineStr">
        <x:is>
          <x:t xml:space="preserve">C14</x:t>
        </x:is>
      </x:c>
      <x:c r="E232" s="38" t="inlineStr">
        <x:is>
          <x:t xml:space="preserve">C - Canonization</x:t>
        </x:is>
      </x:c>
      <x:c r="F232" s="38" t="inlineStr">
        <x:is>
          <x:t xml:space="preserve">Theophysics_Canonization.lean</x:t>
        </x:is>
      </x:c>
      <x:c r="G232" s="38" t="inlineStr">
        <x:is>
          <x:t xml:space="preserve">external_grace_overcomes_deficit</x:t>
        </x:is>
      </x:c>
      <x:c r="H232" s="38" t="inlineStr">
        <x:is>
          <x:t xml:space="preserve">Gamma &gt; S-G implies coherence increases (BC2 quantitative)</x:t>
        </x:is>
      </x:c>
      <x:c r="I232" s="38" t="inlineStr">
        <x:is>
          <x:t xml:space="preserve">linarith</x:t>
        </x:is>
      </x:c>
      <x:c r="J232" s="38" t="inlineStr">
        <x:is>
          <x:t xml:space="preserve">PROVED</x:t>
        </x:is>
      </x:c>
      <x:c r="K232" s="38" t="inlineStr">
        <x:is>
          <x:t xml:space="preserve">Level 5 / Canonization doc</x:t>
        </x:is>
      </x:c>
      <x:c r="L232" s="38" t="inlineStr">
        <x:is>
          <x:t xml:space="preserve">1</x:t>
        </x:is>
      </x:c>
      <x:c r="M232" s="38" t="inlineStr">
        <x:is>
          <x:t xml:space="preserve">theophysics-lean-main</x:t>
        </x:is>
      </x:c>
      <x:c r="N232" s="38" t="inlineStr">
        <x:is>
          <x:t xml:space="preserve">theophysics-lean-main\theophysics-lean-main\Theophysics_Canonization.lean</x:t>
        </x:is>
      </x:c>
      <x:c r="O232" s="38" t="inlineStr">
        <x:is>
          <x:t xml:space="preserve">198</x:t>
        </x:is>
      </x:c>
      <x:c r="P232" s="38" t="inlineStr">
        <x:is>
          <x:t xml:space="preserve">SIMPLIFICATION</x:t>
        </x:is>
      </x:c>
      <x:c r="Q232" s="38" t="inlineStr">
        <x:is>
          <x:t xml:space="preserve">Follows by simplification under definitions; check definition strength.</x:t>
        </x:is>
      </x:c>
      <x:c r="R232" s="39" t="inlineStr">
        <x:is>
          <x:t xml:space="preserve">theorem external_grace_overcomes_deficit (G S Γ : ℝ) (h : S - G &lt; Γ) : 0 &lt; chiRate G S Γ</x:t>
        </x:is>
      </x:c>
    </x:row>
    <x:row r="233" ht="15" customHeight="1">
      <x:c r="A233" s="37" t="inlineStr">
        <x:is>
          <x:t xml:space="preserve">\\192.168.2.50\h_hp\Desktop\Master EXCEL\Lean 4.xlsx</x:t>
        </x:is>
      </x:c>
      <x:c r="B233" s="38" t="inlineStr">
        <x:is>
          <x:t xml:space="preserve">LEAN_DERIVATION_CHAIN</x:t>
        </x:is>
      </x:c>
      <x:c r="C233" s="38" t="inlineStr">
        <x:is>
          <x:t xml:space="preserve">253</x:t>
        </x:is>
      </x:c>
      <x:c r="D233" s="38" t="inlineStr">
        <x:is>
          <x:t xml:space="preserve">C15</x:t>
        </x:is>
      </x:c>
      <x:c r="E233" s="38" t="inlineStr">
        <x:is>
          <x:t xml:space="preserve">C - Canonization</x:t>
        </x:is>
      </x:c>
      <x:c r="F233" s="38" t="inlineStr">
        <x:is>
          <x:t xml:space="preserve">Theophysics_Canonization.lean</x:t>
        </x:is>
      </x:c>
      <x:c r="G233" s="38" t="inlineStr">
        <x:is>
          <x:t xml:space="preserve">confinement_sample</x:t>
        </x:is>
      </x:c>
      <x:c r="H233" s="38" t="inlineStr">
        <x:is>
          <x:t xml:space="preserve">Cornell potential difference identity (confinement structure)</x:t>
        </x:is>
      </x:c>
      <x:c r="I233" s="38" t="inlineStr">
        <x:is>
          <x:t xml:space="preserve">ring</x:t>
        </x:is>
      </x:c>
      <x:c r="J233" s="38" t="inlineStr">
        <x:is>
          <x:t xml:space="preserve">PROVED</x:t>
        </x:is>
      </x:c>
      <x:c r="K233" s="38" t="inlineStr">
        <x:is>
          <x:t xml:space="preserve">Level 5 / Canonization doc</x:t>
        </x:is>
      </x:c>
      <x:c r="L233" s="38" t="inlineStr">
        <x:is>
          <x:t xml:space="preserve">1</x:t>
        </x:is>
      </x:c>
      <x:c r="M233" s="38" t="inlineStr">
        <x:is>
          <x:t xml:space="preserve">theophysics-lean-main</x:t>
        </x:is>
      </x:c>
      <x:c r="N233" s="38" t="inlineStr">
        <x:is>
          <x:t xml:space="preserve">theophysics-lean-main\theophysics-lean-main\Theophysics_Canonization.lean</x:t>
        </x:is>
      </x:c>
      <x:c r="O233" s="38" t="inlineStr">
        <x:is>
          <x:t xml:space="preserve">251</x:t>
        </x:is>
      </x:c>
      <x:c r="P233" s="38" t="inlineStr">
        <x:is>
          <x:t xml:space="preserve">WRAPPER_OR_IMPORTED</x:t>
        </x:is>
      </x:c>
      <x:c r="Q233" s="38" t="inlineStr">
        <x:is>
          <x:t xml:space="preserve">Likely delegates to another theorem; cite underlying theorem too.</x:t>
        </x:is>
      </x:c>
      <x:c r="R233" s="39" t="inlineStr">
        <x:is>
          <x:t xml:space="preserve">theorem confinement_sample (αs k : ℝ) (_hα : 0 &lt; αs) (_hk : 0 &lt; k) : ∀ r₁ r₂ : ℝ, 0 &lt; r₁ → r₁ &lt; r₂ → cornellPotential αs k r₂ - cornellPotential αs k r₁ = αs * (1 / r₁ - 1 / r₂) + k * (r₂ - r₁)</x:t>
        </x:is>
      </x:c>
    </x:row>
    <x:row r="234" ht="15" customHeight="1">
      <x:c r="A234" s="37" t="inlineStr">
        <x:is>
          <x:t xml:space="preserve">\\192.168.2.50\h_hp\Desktop\Master EXCEL\Lean 4.xlsx</x:t>
        </x:is>
      </x:c>
      <x:c r="B234" s="38" t="inlineStr">
        <x:is>
          <x:t xml:space="preserve">LEAN_DERIVATION_CHAIN</x:t>
        </x:is>
      </x:c>
      <x:c r="C234" s="38" t="inlineStr">
        <x:is>
          <x:t xml:space="preserve">254</x:t>
        </x:is>
      </x:c>
      <x:c r="D234" s="38" t="inlineStr">
        <x:is>
          <x:t xml:space="preserve">C16</x:t>
        </x:is>
      </x:c>
      <x:c r="E234" s="38" t="inlineStr">
        <x:is>
          <x:t xml:space="preserve">C - Canonization</x:t>
        </x:is>
      </x:c>
      <x:c r="F234" s="38" t="inlineStr">
        <x:is>
          <x:t xml:space="preserve">Theophysics_Canonization.lean</x:t>
        </x:is>
      </x:c>
      <x:c r="G234" s="38" t="inlineStr">
        <x:is>
          <x:t xml:space="preserve">cross_maximal_mercy_conserved_cost</x:t>
        </x:is>
      </x:c>
      <x:c r="H234" s="38" t="inlineStr">
        <x:is>
          <x:t xml:space="preserve">Cross config: mercy maximal AND cost conserved, no contradiction</x:t>
        </x:is>
      </x:c>
      <x:c r="I234" s="38" t="inlineStr">
        <x:is>
          <x:t xml:space="preserve">structural</x:t>
        </x:is>
      </x:c>
      <x:c r="J234" s="38" t="inlineStr">
        <x:is>
          <x:t xml:space="preserve">PROVED</x:t>
        </x:is>
      </x:c>
      <x:c r="K234" s="38" t="inlineStr">
        <x:is>
          <x:t xml:space="preserve">Level 5 / Canonization doc</x:t>
        </x:is>
      </x:c>
      <x:c r="L234" s="38" t="inlineStr">
        <x:is>
          <x:t xml:space="preserve">1</x:t>
        </x:is>
      </x:c>
      <x:c r="M234" s="38" t="inlineStr">
        <x:is>
          <x:t xml:space="preserve">theophysics-lean-main</x:t>
        </x:is>
      </x:c>
      <x:c r="N234" s="38" t="inlineStr">
        <x:is>
          <x:t xml:space="preserve">theophysics-lean-main\theophysics-lean-main\Theophysics_Canonization.lean</x:t>
        </x:is>
      </x:c>
      <x:c r="O234" s="38" t="inlineStr">
        <x:is>
          <x:t xml:space="preserve">277</x:t>
        </x:is>
      </x:c>
      <x:c r="P234" s="38" t="inlineStr">
        <x:is>
          <x:t xml:space="preserve">DECLARATION_OR_UNKNOWN</x:t>
        </x:is>
      </x:c>
      <x:c r="Q234" s="38" t="inlineStr">
        <x:is>
          <x:t xml:space="preserve">Could not classify from first proof lines.</x:t>
        </x:is>
      </x:c>
      <x:c r="R234" s="39" t="inlineStr">
        <x:is>
          <x:t xml:space="preserve">theorem cross_maximal_mercy_conserved_cost (r : OffenseResolution) (h : r.isCross) : r.perfectMercy ∧ r.cost ≠ 0 := ⟨h.1, h.2.2⟩ /-- Anti-terms of Chain 3. [LEAN_DEFINED] -/ inductive JusticeAntiTerm | vengeance -- α &gt; 1: surplus punishment | enabling -- α = 0 with cost denied rather than transferred deriving DecidableEq, Repr /-- Beatitudes: eight Gibbs-crossing phase transitions. [LEAN_DEFINED] -/ inductive Beatitude | poorInSpirit | mourning | meek | hungerForRighteousness | merciful | pureInHeart | peacemakers | persecuted deriving DecidableEq, Repr /-- CHAIN 4 — ARMOR OF GOD: six coherence-protection mechanisms. [LEAN_DEFINED] -/ inductive ArmorPiece | beltOfTruth | breastplate | shoesOfPeace | shieldOfFaith | helmetOfSalvation | swordOfSpirit deriving DecidableEq, Repr /-- Effective decoherence rate under faith shielding. [LEAN_DEFINED] -/ def shieldedRat</x:t>
        </x:is>
      </x:c>
    </x:row>
    <x:row r="235" ht="15" customHeight="1">
      <x:c r="A235" s="37" t="inlineStr">
        <x:is>
          <x:t xml:space="preserve">\\192.168.2.50\h_hp\Desktop\Master EXCEL\Lean 4.xlsx</x:t>
        </x:is>
      </x:c>
      <x:c r="B235" s="38" t="inlineStr">
        <x:is>
          <x:t xml:space="preserve">LEAN_DERIVATION_CHAIN</x:t>
        </x:is>
      </x:c>
      <x:c r="C235" s="38" t="inlineStr">
        <x:is>
          <x:t xml:space="preserve">255</x:t>
        </x:is>
      </x:c>
      <x:c r="D235" s="38" t="inlineStr">
        <x:is>
          <x:t xml:space="preserve">C17</x:t>
        </x:is>
      </x:c>
      <x:c r="E235" s="38" t="inlineStr">
        <x:is>
          <x:t xml:space="preserve">C - Canonization</x:t>
        </x:is>
      </x:c>
      <x:c r="F235" s="38" t="inlineStr">
        <x:is>
          <x:t xml:space="preserve">Theophysics_Canonization.lean</x:t>
        </x:is>
      </x:c>
      <x:c r="G235" s="38" t="inlineStr">
        <x:is>
          <x:t xml:space="preserve">shield_strictly_reduces</x:t>
        </x:is>
      </x:c>
      <x:c r="H235" s="38" t="inlineStr">
        <x:is>
          <x:t xml:space="preserve">Any nonzero shielding strictly reduces decoherence rate</x:t>
        </x:is>
      </x:c>
      <x:c r="I235" s="38" t="inlineStr">
        <x:is>
          <x:t xml:space="preserve">mul_lt_mul</x:t>
        </x:is>
      </x:c>
      <x:c r="J235" s="38" t="inlineStr">
        <x:is>
          <x:t xml:space="preserve">PROVED</x:t>
        </x:is>
      </x:c>
      <x:c r="K235" s="38" t="inlineStr">
        <x:is>
          <x:t xml:space="preserve">Level 5 / Canonization doc</x:t>
        </x:is>
      </x:c>
      <x:c r="L235" s="38" t="inlineStr">
        <x:is>
          <x:t xml:space="preserve">1</x:t>
        </x:is>
      </x:c>
      <x:c r="M235" s="38" t="inlineStr">
        <x:is>
          <x:t xml:space="preserve">theophysics-lean-main</x:t>
        </x:is>
      </x:c>
      <x:c r="N235" s="38" t="inlineStr">
        <x:is>
          <x:t xml:space="preserve">theophysics-lean-main\theophysics-lean-main\Theophysics_Canonization.lean</x:t>
        </x:is>
      </x:c>
      <x:c r="O235" s="38" t="inlineStr">
        <x:is>
          <x:t xml:space="preserve">304</x:t>
        </x:is>
      </x:c>
      <x:c r="P235" s="38" t="inlineStr">
        <x:is>
          <x:t xml:space="preserve">WRAPPER_OR_IMPORTED</x:t>
        </x:is>
      </x:c>
      <x:c r="Q235" s="38" t="inlineStr">
        <x:is>
          <x:t xml:space="preserve">Likely delegates to another theorem; cite underlying theorem too.</x:t>
        </x:is>
      </x:c>
      <x:c r="R235" s="39" t="inlineStr">
        <x:is>
          <x:t xml:space="preserve">theorem shield_strictly_reduces (γ₀ η : ℝ) (hγ : 0 &lt; γ₀) (hη₀ : 0 &lt; η) (hη₁ : η ≤ 1) : shieldedRate γ₀ η &lt; γ₀</x:t>
        </x:is>
      </x:c>
    </x:row>
    <x:row r="236" ht="15" customHeight="1">
      <x:c r="A236" s="37" t="inlineStr">
        <x:is>
          <x:t xml:space="preserve">\\192.168.2.50\h_hp\Desktop\Master EXCEL\Lean 4.xlsx</x:t>
        </x:is>
      </x:c>
      <x:c r="B236" s="38" t="inlineStr">
        <x:is>
          <x:t xml:space="preserve">LEAN_DERIVATION_CHAIN</x:t>
        </x:is>
      </x:c>
      <x:c r="C236" s="38" t="inlineStr">
        <x:is>
          <x:t xml:space="preserve">256</x:t>
        </x:is>
      </x:c>
      <x:c r="D236" s="38" t="inlineStr">
        <x:is>
          <x:t xml:space="preserve">C18</x:t>
        </x:is>
      </x:c>
      <x:c r="E236" s="38" t="inlineStr">
        <x:is>
          <x:t xml:space="preserve">C - Canonization</x:t>
        </x:is>
      </x:c>
      <x:c r="F236" s="38" t="inlineStr">
        <x:is>
          <x:t xml:space="preserve">Theophysics_Canonization.lean</x:t>
        </x:is>
      </x:c>
      <x:c r="G236" s="38" t="inlineStr">
        <x:is>
          <x:t xml:space="preserve">reconciliation_gamma_one</x:t>
        </x:is>
      </x:c>
      <x:c r="H236" s="38" t="inlineStr">
        <x:is>
          <x:t xml:space="preserve">v=0 implies gamma=1: all frame distortion eliminated</x:t>
        </x:is>
      </x:c>
      <x:c r="I236" s="38" t="inlineStr">
        <x:is>
          <x:t xml:space="preserve">simp</x:t>
        </x:is>
      </x:c>
      <x:c r="J236" s="38" t="inlineStr">
        <x:is>
          <x:t xml:space="preserve">PROVED</x:t>
        </x:is>
      </x:c>
      <x:c r="K236" s="38" t="inlineStr">
        <x:is>
          <x:t xml:space="preserve">Level 5 / Canonization doc</x:t>
        </x:is>
      </x:c>
      <x:c r="L236" s="38" t="inlineStr">
        <x:is>
          <x:t xml:space="preserve">1</x:t>
        </x:is>
      </x:c>
      <x:c r="M236" s="38" t="inlineStr">
        <x:is>
          <x:t xml:space="preserve">theophysics-lean-main</x:t>
        </x:is>
      </x:c>
      <x:c r="N236" s="38" t="inlineStr">
        <x:is>
          <x:t xml:space="preserve">theophysics-lean-main\theophysics-lean-main\Theophysics_Canonization.lean</x:t>
        </x:is>
      </x:c>
      <x:c r="O236" s="38" t="inlineStr">
        <x:is>
          <x:t xml:space="preserve">340</x:t>
        </x:is>
      </x:c>
      <x:c r="P236" s="38" t="inlineStr">
        <x:is>
          <x:t xml:space="preserve">SIMPLIFICATION</x:t>
        </x:is>
      </x:c>
      <x:c r="Q236" s="38" t="inlineStr">
        <x:is>
          <x:t xml:space="preserve">Follows by simplification under definitions; check definition strength.</x:t>
        </x:is>
      </x:c>
      <x:c r="R236" s="39" t="inlineStr">
        <x:is>
          <x:t xml:space="preserve">theorem reconciliation_gamma_one (c : ℝ) (hc : c ≠ 0) : lorentzGamma 0 c = 1</x:t>
        </x:is>
      </x:c>
    </x:row>
    <x:row r="237" ht="15" customHeight="1">
      <x:c r="A237" s="37" t="inlineStr">
        <x:is>
          <x:t xml:space="preserve">\\192.168.2.50\h_hp\Desktop\Master EXCEL\Lean 4.xlsx</x:t>
        </x:is>
      </x:c>
      <x:c r="B237" s="38" t="inlineStr">
        <x:is>
          <x:t xml:space="preserve">LEAN_DERIVATION_CHAIN</x:t>
        </x:is>
      </x:c>
      <x:c r="C237" s="38" t="inlineStr">
        <x:is>
          <x:t xml:space="preserve">257</x:t>
        </x:is>
      </x:c>
      <x:c r="D237" s="38" t="inlineStr">
        <x:is>
          <x:t xml:space="preserve">C19</x:t>
        </x:is>
      </x:c>
      <x:c r="E237" s="38" t="inlineStr">
        <x:is>
          <x:t xml:space="preserve">C - Canonization</x:t>
        </x:is>
      </x:c>
      <x:c r="F237" s="38" t="inlineStr">
        <x:is>
          <x:t xml:space="preserve">Theophysics_Canonization.lean</x:t>
        </x:is>
      </x:c>
      <x:c r="G237" s="38" t="inlineStr">
        <x:is>
          <x:t xml:space="preserve">conjugate_transfer</x:t>
        </x:is>
      </x:c>
      <x:c r="H237" s="38" t="inlineStr">
        <x:is>
          <x:t xml:space="preserve">N1 conjugacy: dG = -dS, nothing leaks</x:t>
        </x:is>
      </x:c>
      <x:c r="I237" s="38" t="inlineStr">
        <x:is>
          <x:t xml:space="preserve">linarith</x:t>
        </x:is>
      </x:c>
      <x:c r="J237" s="38" t="inlineStr">
        <x:is>
          <x:t xml:space="preserve">PROVED</x:t>
        </x:is>
      </x:c>
      <x:c r="K237" s="38" t="inlineStr">
        <x:is>
          <x:t xml:space="preserve">Level 5 / Canonization doc</x:t>
        </x:is>
      </x:c>
      <x:c r="L237" s="38" t="inlineStr">
        <x:is>
          <x:t xml:space="preserve">1</x:t>
        </x:is>
      </x:c>
      <x:c r="M237" s="38" t="inlineStr">
        <x:is>
          <x:t xml:space="preserve">theophysics-lean-main</x:t>
        </x:is>
      </x:c>
      <x:c r="N237" s="38" t="inlineStr">
        <x:is>
          <x:t xml:space="preserve">theophysics-lean-main\theophysics-lean-main\Theophysics_Canonization.lean</x:t>
        </x:is>
      </x:c>
      <x:c r="O237" s="38" t="inlineStr">
        <x:is>
          <x:t xml:space="preserve">373</x:t>
        </x:is>
      </x:c>
      <x:c r="P237" s="38" t="inlineStr">
        <x:is>
          <x:t xml:space="preserve">SUBSTANTIVE_OR_CASE_PROOF</x:t>
        </x:is>
      </x:c>
      <x:c r="Q237" s="38" t="inlineStr">
        <x:is>
          <x:t xml:space="preserve">Appears to contain an actual proof body; inspect before public citation.</x:t>
        </x:is>
      </x:c>
      <x:c r="R237" s="39" t="inlineStr">
        <x:is>
          <x:t xml:space="preserve">theorem conjugate_transfer (dS dG : ℝ) (h : graceSinConjugate dS dG) : dG = -dS</x:t>
        </x:is>
      </x:c>
    </x:row>
    <x:row r="238" ht="15" customHeight="1">
      <x:c r="A238" s="37" t="inlineStr">
        <x:is>
          <x:t xml:space="preserve">\\192.168.2.50\h_hp\Desktop\Master EXCEL\Lean 4.xlsx</x:t>
        </x:is>
      </x:c>
      <x:c r="B238" s="38" t="inlineStr">
        <x:is>
          <x:t xml:space="preserve">LEAN_DERIVATION_CHAIN</x:t>
        </x:is>
      </x:c>
      <x:c r="C238" s="38" t="inlineStr">
        <x:is>
          <x:t xml:space="preserve">258</x:t>
        </x:is>
      </x:c>
      <x:c r="D238" s="38" t="inlineStr">
        <x:is>
          <x:t xml:space="preserve">C20</x:t>
        </x:is>
      </x:c>
      <x:c r="E238" s="38" t="inlineStr">
        <x:is>
          <x:t xml:space="preserve">C - Canonization</x:t>
        </x:is>
      </x:c>
      <x:c r="F238" s="38" t="inlineStr">
        <x:is>
          <x:t xml:space="preserve">Theophysics_Canonization.lean</x:t>
        </x:is>
      </x:c>
      <x:c r="G238" s="38" t="inlineStr">
        <x:is>
          <x:t xml:space="preserve">cost_cannot_vanish</x:t>
        </x:is>
      </x:c>
      <x:c r="H238" s="38" t="inlineStr">
        <x:is>
          <x:t xml:space="preserve">Real offense implies delta+nu_loss nonzero - cost must land somewhere</x:t>
        </x:is>
      </x:c>
      <x:c r="I238" s="38" t="inlineStr">
        <x:is>
          <x:t xml:space="preserve">linarith</x:t>
        </x:is>
      </x:c>
      <x:c r="J238" s="38" t="inlineStr">
        <x:is>
          <x:t xml:space="preserve">PROVED</x:t>
        </x:is>
      </x:c>
      <x:c r="K238" s="38" t="inlineStr">
        <x:is>
          <x:t xml:space="preserve">Level 5 / Canonization doc</x:t>
        </x:is>
      </x:c>
      <x:c r="L238" s="38" t="inlineStr">
        <x:is>
          <x:t xml:space="preserve">1</x:t>
        </x:is>
      </x:c>
      <x:c r="M238" s="38" t="inlineStr">
        <x:is>
          <x:t xml:space="preserve">theophysics-lean-main</x:t>
        </x:is>
      </x:c>
      <x:c r="N238" s="38" t="inlineStr">
        <x:is>
          <x:t xml:space="preserve">theophysics-lean-main\theophysics-lean-main\Theophysics_Canonization.lean</x:t>
        </x:is>
      </x:c>
      <x:c r="O238" s="38" t="inlineStr">
        <x:is>
          <x:t xml:space="preserve">388</x:t>
        </x:is>
      </x:c>
      <x:c r="P238" s="38" t="inlineStr">
        <x:is>
          <x:t xml:space="preserve">WRAPPER_OR_IMPORTED</x:t>
        </x:is>
      </x:c>
      <x:c r="Q238" s="38" t="inlineStr">
        <x:is>
          <x:t xml:space="preserve">Likely delegates to another theorem; cite underlying theorem too.</x:t>
        </x:is>
      </x:c>
      <x:c r="R238" s="39" t="inlineStr">
        <x:is>
          <x:t xml:space="preserve">theorem cost_cannot_vanish (b : Brokenness) (h : b.ψ_whole ≠ b.ψ_broken) : b.δ + b.ν_loss ≠ 0</x:t>
        </x:is>
      </x:c>
    </x:row>
    <x:row r="239" ht="15" customHeight="1">
      <x:c r="A239" s="37" t="inlineStr">
        <x:is>
          <x:t xml:space="preserve">\\192.168.2.50\h_hp\Desktop\Master EXCEL\Lean 4.xlsx</x:t>
        </x:is>
      </x:c>
      <x:c r="B239" s="38" t="inlineStr">
        <x:is>
          <x:t xml:space="preserve">LEAN_DERIVATION_CHAIN</x:t>
        </x:is>
      </x:c>
      <x:c r="C239" s="38" t="inlineStr">
        <x:is>
          <x:t xml:space="preserve">259</x:t>
        </x:is>
      </x:c>
      <x:c r="D239" s="38" t="inlineStr">
        <x:is>
          <x:t xml:space="preserve">C21</x:t>
        </x:is>
      </x:c>
      <x:c r="E239" s="38" t="inlineStr">
        <x:is>
          <x:t xml:space="preserve">C - Canonization</x:t>
        </x:is>
      </x:c>
      <x:c r="F239" s="38" t="inlineStr">
        <x:is>
          <x:t xml:space="preserve">Theophysics_Canonization.lean</x:t>
        </x:is>
      </x:c>
      <x:c r="G239" s="38" t="inlineStr">
        <x:is>
          <x:t xml:space="preserve">capacity_mono_in_truth</x:t>
        </x:is>
      </x:c>
      <x:c r="H239" s="38" t="inlineStr">
        <x:is>
          <x:t xml:space="preserve">More truth implies strictly more received coherence (Shannon layer)</x:t>
        </x:is>
      </x:c>
      <x:c r="I239" s="38" t="inlineStr">
        <x:is>
          <x:t xml:space="preserve">logb monotone</x:t>
        </x:is>
      </x:c>
      <x:c r="J239" s="38" t="inlineStr">
        <x:is>
          <x:t xml:space="preserve">PROVED</x:t>
        </x:is>
      </x:c>
      <x:c r="K239" s="38" t="inlineStr">
        <x:is>
          <x:t xml:space="preserve">Level 5 / Canonization doc</x:t>
        </x:is>
      </x:c>
      <x:c r="L239" s="38" t="inlineStr">
        <x:is>
          <x:t xml:space="preserve">1</x:t>
        </x:is>
      </x:c>
      <x:c r="M239" s="38" t="inlineStr">
        <x:is>
          <x:t xml:space="preserve">theophysics-lean-main</x:t>
        </x:is>
      </x:c>
      <x:c r="N239" s="38" t="inlineStr">
        <x:is>
          <x:t xml:space="preserve">theophysics-lean-main\theophysics-lean-main\Theophysics_Canonization.lean</x:t>
        </x:is>
      </x:c>
      <x:c r="O239" s="38" t="inlineStr">
        <x:is>
          <x:t xml:space="preserve">409</x:t>
        </x:is>
      </x:c>
      <x:c r="P239" s="38" t="inlineStr">
        <x:is>
          <x:t xml:space="preserve">WRAPPER_OR_IMPORTED</x:t>
        </x:is>
      </x:c>
      <x:c r="Q239" s="38" t="inlineStr">
        <x:is>
          <x:t xml:space="preserve">Likely delegates to another theorem; cite underlying theorem too.</x:t>
        </x:is>
      </x:c>
      <x:c r="R239" s="39" t="inlineStr">
        <x:is>
          <x:t xml:space="preserve">theorem capacity_mono_in_truth (A D T₁ T₂ : ℝ) (hA : 0 &lt; A) (hD : 0 &lt; D) (h : T₁ &lt; T₂) (hT₁ : 0 ≤ T₁) : soulCapacity A T₁ D &lt; soulCapacity A T₂ D</x:t>
        </x:is>
      </x:c>
    </x:row>
    <x:row r="240" ht="15" customHeight="1">
      <x:c r="A240" s="37" t="inlineStr">
        <x:is>
          <x:t xml:space="preserve">\\192.168.2.50\h_hp\Desktop\Master EXCEL\Lean 4.xlsx</x:t>
        </x:is>
      </x:c>
      <x:c r="B240" s="38" t="inlineStr">
        <x:is>
          <x:t xml:space="preserve">LEAN_DERIVATION_CHAIN</x:t>
        </x:is>
      </x:c>
      <x:c r="C240" s="38" t="inlineStr">
        <x:is>
          <x:t xml:space="preserve">260</x:t>
        </x:is>
      </x:c>
      <x:c r="D240" s="38" t="inlineStr">
        <x:is>
          <x:t xml:space="preserve">C22</x:t>
        </x:is>
      </x:c>
      <x:c r="E240" s="38" t="inlineStr">
        <x:is>
          <x:t xml:space="preserve">C - Canonization</x:t>
        </x:is>
      </x:c>
      <x:c r="F240" s="38" t="inlineStr">
        <x:is>
          <x:t xml:space="preserve">Theophysics_Canonization.lean</x:t>
        </x:is>
      </x:c>
      <x:c r="G240" s="38" t="inlineStr">
        <x:is>
          <x:t xml:space="preserve">closed_moral_system_decays</x:t>
        </x:is>
      </x:c>
      <x:c r="H240" s="38" t="inlineStr">
        <x:is>
          <x:t xml:space="preserve">O=0 implies rate = -S*C &lt; 0 (closed-system regime)</x:t>
        </x:is>
      </x:c>
      <x:c r="I240" s="38" t="inlineStr">
        <x:is>
          <x:t xml:space="preserve">simp+linarith</x:t>
        </x:is>
      </x:c>
      <x:c r="J240" s="38" t="inlineStr">
        <x:is>
          <x:t xml:space="preserve">PROVED</x:t>
        </x:is>
      </x:c>
      <x:c r="K240" s="38" t="inlineStr">
        <x:is>
          <x:t xml:space="preserve">Level 5 / Canonization doc</x:t>
        </x:is>
      </x:c>
      <x:c r="L240" s="38" t="inlineStr">
        <x:is>
          <x:t xml:space="preserve">1</x:t>
        </x:is>
      </x:c>
      <x:c r="M240" s="38" t="inlineStr">
        <x:is>
          <x:t xml:space="preserve">theophysics-lean-main</x:t>
        </x:is>
      </x:c>
      <x:c r="N240" s="38" t="inlineStr">
        <x:is>
          <x:t xml:space="preserve">theophysics-lean-main\theophysics-lean-main\Theophysics_Canonization.lean</x:t>
        </x:is>
      </x:c>
      <x:c r="O240" s="38" t="inlineStr">
        <x:is>
          <x:t xml:space="preserve">436</x:t>
        </x:is>
      </x:c>
      <x:c r="P240" s="38" t="inlineStr">
        <x:is>
          <x:t xml:space="preserve">SIMPLIFICATION</x:t>
        </x:is>
      </x:c>
      <x:c r="Q240" s="38" t="inlineStr">
        <x:is>
          <x:t xml:space="preserve">Follows by simplification under definitions; check definition strength.</x:t>
        </x:is>
      </x:c>
      <x:c r="R240" s="39" t="inlineStr">
        <x:is>
          <x:t xml:space="preserve">theorem closed_moral_system_decays (G S C : ℝ) (hS : 0 &lt; S) (hC : 0 &lt; C) : coherenceRate 0 G S C = -(S * C) ∧ coherenceRate 0 G S C &lt; 0</x:t>
        </x:is>
      </x:c>
    </x:row>
    <x:row r="241" ht="15" customHeight="1">
      <x:c r="A241" s="37" t="inlineStr">
        <x:is>
          <x:t xml:space="preserve">\\192.168.2.50\h_hp\Desktop\Master EXCEL\Lean 4.xlsx</x:t>
        </x:is>
      </x:c>
      <x:c r="B241" s="38" t="inlineStr">
        <x:is>
          <x:t xml:space="preserve">LEAN_DERIVATION_CHAIN</x:t>
        </x:is>
      </x:c>
      <x:c r="C241" s="38" t="inlineStr">
        <x:is>
          <x:t xml:space="preserve">261</x:t>
        </x:is>
      </x:c>
      <x:c r="D241" s="38" t="inlineStr">
        <x:is>
          <x:t xml:space="preserve">C23</x:t>
        </x:is>
      </x:c>
      <x:c r="E241" s="38" t="inlineStr">
        <x:is>
          <x:t xml:space="preserve">C - Canonization</x:t>
        </x:is>
      </x:c>
      <x:c r="F241" s="38" t="inlineStr">
        <x:is>
          <x:t xml:space="preserve">Theophysics_Canonization.lean</x:t>
        </x:is>
      </x:c>
      <x:c r="G241" s="38" t="inlineStr">
        <x:is>
          <x:t xml:space="preserve">closed_system_equilibrium_zero</x:t>
        </x:is>
      </x:c>
      <x:c r="H241" s="38" t="inlineStr">
        <x:is>
          <x:t xml:space="preserve">O=0 implies C* = 0</x:t>
        </x:is>
      </x:c>
      <x:c r="I241" s="38" t="inlineStr">
        <x:is>
          <x:t xml:space="preserve">simp</x:t>
        </x:is>
      </x:c>
      <x:c r="J241" s="38" t="inlineStr">
        <x:is>
          <x:t xml:space="preserve">PROVED</x:t>
        </x:is>
      </x:c>
      <x:c r="K241" s="38" t="inlineStr">
        <x:is>
          <x:t xml:space="preserve">Level 5 / Canonization doc</x:t>
        </x:is>
      </x:c>
      <x:c r="L241" s="38" t="inlineStr">
        <x:is>
          <x:t xml:space="preserve">1</x:t>
        </x:is>
      </x:c>
      <x:c r="M241" s="38" t="inlineStr">
        <x:is>
          <x:t xml:space="preserve">theophysics-lean-main</x:t>
        </x:is>
      </x:c>
      <x:c r="N241" s="38" t="inlineStr">
        <x:is>
          <x:t xml:space="preserve">theophysics-lean-main\theophysics-lean-main\Theophysics_Canonization.lean</x:t>
        </x:is>
      </x:c>
      <x:c r="O241" s="38" t="inlineStr">
        <x:is>
          <x:t xml:space="preserve">446</x:t>
        </x:is>
      </x:c>
      <x:c r="P241" s="38" t="inlineStr">
        <x:is>
          <x:t xml:space="preserve">SIMPLIFICATION</x:t>
        </x:is>
      </x:c>
      <x:c r="Q241" s="38" t="inlineStr">
        <x:is>
          <x:t xml:space="preserve">Follows by simplification under definitions; check definition strength.</x:t>
        </x:is>
      </x:c>
      <x:c r="R241" s="39" t="inlineStr">
        <x:is>
          <x:t xml:space="preserve">theorem closed_system_equilibrium_zero (S : ℝ) (hS : S ≠ 0) : equilibriumC 0 S = 0</x:t>
        </x:is>
      </x:c>
    </x:row>
    <x:row r="242" ht="15" customHeight="1">
      <x:c r="A242" s="37" t="inlineStr">
        <x:is>
          <x:t xml:space="preserve">\\192.168.2.50\h_hp\Desktop\Master EXCEL\Lean 4.xlsx</x:t>
        </x:is>
      </x:c>
      <x:c r="B242" s="38" t="inlineStr">
        <x:is>
          <x:t xml:space="preserve">LEAN_DERIVATION_CHAIN</x:t>
        </x:is>
      </x:c>
      <x:c r="C242" s="38" t="inlineStr">
        <x:is>
          <x:t xml:space="preserve">262</x:t>
        </x:is>
      </x:c>
      <x:c r="D242" s="38" t="inlineStr">
        <x:is>
          <x:t xml:space="preserve">C24</x:t>
        </x:is>
      </x:c>
      <x:c r="E242" s="38" t="inlineStr">
        <x:is>
          <x:t xml:space="preserve">C - Canonization</x:t>
        </x:is>
      </x:c>
      <x:c r="F242" s="38" t="inlineStr">
        <x:is>
          <x:t xml:space="preserve">Theophysics_Canonization.lean</x:t>
        </x:is>
      </x:c>
      <x:c r="G242" s="38" t="inlineStr">
        <x:is>
          <x:t xml:space="preserve">finite_ordering_source_cannot_perfect_coherence</x:t>
        </x:is>
      </x:c>
      <x:c r="H242" s="38" t="inlineStr">
        <x:is>
          <x:t xml:space="preserve">Finite Lambda, S&gt;0 implies C* &lt; 1 - bounded ceilings</x:t>
        </x:is>
      </x:c>
      <x:c r="I242" s="38" t="inlineStr">
        <x:is>
          <x:t xml:space="preserve">div_lt_one</x:t>
        </x:is>
      </x:c>
      <x:c r="J242" s="38" t="inlineStr">
        <x:is>
          <x:t xml:space="preserve">PROVED</x:t>
        </x:is>
      </x:c>
      <x:c r="K242" s="38" t="inlineStr">
        <x:is>
          <x:t xml:space="preserve">Level 5 / Canonization doc</x:t>
        </x:is>
      </x:c>
      <x:c r="L242" s="38" t="inlineStr">
        <x:is>
          <x:t xml:space="preserve">1</x:t>
        </x:is>
      </x:c>
      <x:c r="M242" s="38" t="inlineStr">
        <x:is>
          <x:t xml:space="preserve">theophysics-lean-main</x:t>
        </x:is>
      </x:c>
      <x:c r="N242" s="38" t="inlineStr">
        <x:is>
          <x:t xml:space="preserve">theophysics-lean-main\theophysics-lean-main\Theophysics_Canonization.lean</x:t>
        </x:is>
      </x:c>
      <x:c r="O242" s="38" t="inlineStr">
        <x:is>
          <x:t xml:space="preserve">452</x:t>
        </x:is>
      </x:c>
      <x:c r="P242" s="38" t="inlineStr">
        <x:is>
          <x:t xml:space="preserve">SUBSTANTIVE_OR_CASE_PROOF</x:t>
        </x:is>
      </x:c>
      <x:c r="Q242" s="38" t="inlineStr">
        <x:is>
          <x:t xml:space="preserve">Appears to contain an actual proof body; inspect before public citation.</x:t>
        </x:is>
      </x:c>
      <x:c r="R242" s="39" t="inlineStr">
        <x:is>
          <x:t xml:space="preserve">theorem finite_ordering_source_cannot_perfect_coherence (Λ S : ℝ) (hΛ : 0 ≤ Λ) (hS : 0 &lt; S) : equilibriumC Λ S &lt; 1</x:t>
        </x:is>
      </x:c>
    </x:row>
    <x:row r="243" ht="15" customHeight="1">
      <x:c r="A243" s="37" t="inlineStr">
        <x:is>
          <x:t xml:space="preserve">\\192.168.2.50\h_hp\Desktop\Master EXCEL\Lean 4.xlsx</x:t>
        </x:is>
      </x:c>
      <x:c r="B243" s="38" t="inlineStr">
        <x:is>
          <x:t xml:space="preserve">LEAN_DERIVATION_CHAIN</x:t>
        </x:is>
      </x:c>
      <x:c r="C243" s="38" t="inlineStr">
        <x:is>
          <x:t xml:space="preserve">263</x:t>
        </x:is>
      </x:c>
      <x:c r="D243" s="38" t="inlineStr">
        <x:is>
          <x:t xml:space="preserve">C25</x:t>
        </x:is>
      </x:c>
      <x:c r="E243" s="38" t="inlineStr">
        <x:is>
          <x:t xml:space="preserve">C - Canonization</x:t>
        </x:is>
      </x:c>
      <x:c r="F243" s="38" t="inlineStr">
        <x:is>
          <x:t xml:space="preserve">Theophysics_Canonization.lean</x:t>
        </x:is>
      </x:c>
      <x:c r="G243" s="38" t="inlineStr">
        <x:is>
          <x:t xml:space="preserve">finite_source_raises_floor</x:t>
        </x:is>
      </x:c>
      <x:c r="H243" s="38" t="inlineStr">
        <x:is>
          <x:t xml:space="preserve">Lambda&gt;0 implies C* &gt; 0 - finite grace is real grace</x:t>
        </x:is>
      </x:c>
      <x:c r="I243" s="38" t="inlineStr">
        <x:is>
          <x:t xml:space="preserve">positivity</x:t>
        </x:is>
      </x:c>
      <x:c r="J243" s="38" t="inlineStr">
        <x:is>
          <x:t xml:space="preserve">PROVED</x:t>
        </x:is>
      </x:c>
      <x:c r="K243" s="38" t="inlineStr">
        <x:is>
          <x:t xml:space="preserve">Level 5 / Canonization doc</x:t>
        </x:is>
      </x:c>
      <x:c r="L243" s="38" t="inlineStr">
        <x:is>
          <x:t xml:space="preserve">1</x:t>
        </x:is>
      </x:c>
      <x:c r="M243" s="38" t="inlineStr">
        <x:is>
          <x:t xml:space="preserve">theophysics-lean-main</x:t>
        </x:is>
      </x:c>
      <x:c r="N243" s="38" t="inlineStr">
        <x:is>
          <x:t xml:space="preserve">theophysics-lean-main\theophysics-lean-main\Theophysics_Canonization.lean</x:t>
        </x:is>
      </x:c>
      <x:c r="O243" s="38" t="inlineStr">
        <x:is>
          <x:t xml:space="preserve">461</x:t>
        </x:is>
      </x:c>
      <x:c r="P243" s="38" t="inlineStr">
        <x:is>
          <x:t xml:space="preserve">SUBSTANTIVE_OR_CASE_PROOF</x:t>
        </x:is>
      </x:c>
      <x:c r="Q243" s="38" t="inlineStr">
        <x:is>
          <x:t xml:space="preserve">Appears to contain an actual proof body; inspect before public citation.</x:t>
        </x:is>
      </x:c>
      <x:c r="R243" s="39" t="inlineStr">
        <x:is>
          <x:t xml:space="preserve">theorem finite_source_raises_floor (Λ S : ℝ) (hΛ : 0 &lt; Λ) (hS : 0 &lt; S) : 0 &lt; equilibriumC Λ S</x:t>
        </x:is>
      </x:c>
    </x:row>
    <x:row r="244" ht="15" customHeight="1">
      <x:c r="A244" s="37" t="inlineStr">
        <x:is>
          <x:t xml:space="preserve">\\192.168.2.50\h_hp\Desktop\Master EXCEL\Lean 4.xlsx</x:t>
        </x:is>
      </x:c>
      <x:c r="B244" s="38" t="inlineStr">
        <x:is>
          <x:t xml:space="preserve">LEAN_DERIVATION_CHAIN</x:t>
        </x:is>
      </x:c>
      <x:c r="C244" s="38" t="inlineStr">
        <x:is>
          <x:t xml:space="preserve">264</x:t>
        </x:is>
      </x:c>
      <x:c r="D244" s="38" t="inlineStr">
        <x:is>
          <x:t xml:space="preserve">C26</x:t>
        </x:is>
      </x:c>
      <x:c r="E244" s="38" t="inlineStr">
        <x:is>
          <x:t xml:space="preserve">C - Canonization</x:t>
        </x:is>
      </x:c>
      <x:c r="F244" s="38" t="inlineStr">
        <x:is>
          <x:t xml:space="preserve">Theophysics_Canonization.lean</x:t>
        </x:is>
      </x:c>
      <x:c r="G244" s="38" t="inlineStr">
        <x:is>
          <x:t xml:space="preserve">nonzero_coupling_to_infinite_source_has_perfect_attractor</x:t>
        </x:is>
      </x:c>
      <x:c r="H244" s="38" t="inlineStr">
        <x:is>
          <x:t xml:space="preserve">Epsilon-form: for all eps exists Lambda0, Lambda&gt;=Lambda0 implies C* &gt; 1-eps</x:t>
        </x:is>
      </x:c>
      <x:c r="I244" s="38" t="inlineStr">
        <x:is>
          <x:t xml:space="preserve">nlinarith</x:t>
        </x:is>
      </x:c>
      <x:c r="J244" s="38" t="inlineStr">
        <x:is>
          <x:t xml:space="preserve">PROVED</x:t>
        </x:is>
      </x:c>
      <x:c r="K244" s="38" t="inlineStr">
        <x:is>
          <x:t xml:space="preserve">Level 5 / Canonization doc</x:t>
        </x:is>
      </x:c>
      <x:c r="L244" s="38" t="inlineStr">
        <x:is>
          <x:t xml:space="preserve">1</x:t>
        </x:is>
      </x:c>
      <x:c r="M244" s="38" t="inlineStr">
        <x:is>
          <x:t xml:space="preserve">theophysics-lean-main</x:t>
        </x:is>
      </x:c>
      <x:c r="N244" s="38" t="inlineStr">
        <x:is>
          <x:t xml:space="preserve">theophysics-lean-main\theophysics-lean-main\Theophysics_Canonization.lean</x:t>
        </x:is>
      </x:c>
      <x:c r="O244" s="38" t="inlineStr">
        <x:is>
          <x:t xml:space="preserve">468</x:t>
        </x:is>
      </x:c>
      <x:c r="P244" s="38" t="inlineStr">
        <x:is>
          <x:t xml:space="preserve">SUBSTANTIVE_OR_CASE_PROOF</x:t>
        </x:is>
      </x:c>
      <x:c r="Q244" s="38" t="inlineStr">
        <x:is>
          <x:t xml:space="preserve">Appears to contain an actual proof body; inspect before public citation.</x:t>
        </x:is>
      </x:c>
      <x:c r="R244" s="39" t="inlineStr">
        <x:is>
          <x:t xml:space="preserve">theorem nonzero_coupling_to_infinite_source_has_perfect_attractor (S ε : ℝ) (hS : 0 &lt; S) (hε : 0 &lt; ε) : ∃ Λ₀ : ℝ, 0 &lt; Λ₀ ∧ ∀ Λ : ℝ, Λ₀ ≤ Λ → 1 - ε &lt; equilibriumC Λ S</x:t>
        </x:is>
      </x:c>
    </x:row>
    <x:row r="245" ht="15" customHeight="1">
      <x:c r="A245" s="37" t="inlineStr">
        <x:is>
          <x:t xml:space="preserve">\\192.168.2.50\h_hp\Desktop\Master EXCEL\Lean 4.xlsx</x:t>
        </x:is>
      </x:c>
      <x:c r="B245" s="38" t="inlineStr">
        <x:is>
          <x:t xml:space="preserve">LEAN_DERIVATION_CHAIN</x:t>
        </x:is>
      </x:c>
      <x:c r="C245" s="38" t="inlineStr">
        <x:is>
          <x:t xml:space="preserve">265</x:t>
        </x:is>
      </x:c>
      <x:c r="D245" s="38" t="inlineStr">
        <x:is>
          <x:t xml:space="preserve">C27</x:t>
        </x:is>
      </x:c>
      <x:c r="E245" s="38" t="inlineStr">
        <x:is>
          <x:t xml:space="preserve">C - Canonization</x:t>
        </x:is>
      </x:c>
      <x:c r="F245" s="38" t="inlineStr">
        <x:is>
          <x:t xml:space="preserve">Theophysics_Canonization.lean</x:t>
        </x:is>
      </x:c>
      <x:c r="G245" s="38" t="inlineStr">
        <x:is>
          <x:t xml:space="preserve">mustard_seed</x:t>
        </x:is>
      </x:c>
      <x:c r="H245" s="38" t="inlineStr">
        <x:is>
          <x:t xml:space="preserve">Any O&gt;0 exceeds every finite threshold for large G; magnitude irrelevant</x:t>
        </x:is>
      </x:c>
      <x:c r="I245" s="38" t="inlineStr">
        <x:is>
          <x:t xml:space="preserve">field_simp</x:t>
        </x:is>
      </x:c>
      <x:c r="J245" s="38" t="inlineStr">
        <x:is>
          <x:t xml:space="preserve">PROVED</x:t>
        </x:is>
      </x:c>
      <x:c r="K245" s="38" t="inlineStr">
        <x:is>
          <x:t xml:space="preserve">Level 5 / Canonization doc</x:t>
        </x:is>
      </x:c>
      <x:c r="L245" s="38" t="inlineStr">
        <x:is>
          <x:t xml:space="preserve">1</x:t>
        </x:is>
      </x:c>
      <x:c r="M245" s="38" t="inlineStr">
        <x:is>
          <x:t xml:space="preserve">theophysics-lean-main</x:t>
        </x:is>
      </x:c>
      <x:c r="N245" s="38" t="inlineStr">
        <x:is>
          <x:t xml:space="preserve">theophysics-lean-main\theophysics-lean-main\Theophysics_Canonization.lean</x:t>
        </x:is>
      </x:c>
      <x:c r="O245" s="38" t="inlineStr">
        <x:is>
          <x:t xml:space="preserve">483</x:t>
        </x:is>
      </x:c>
      <x:c r="P245" s="38" t="inlineStr">
        <x:is>
          <x:t xml:space="preserve">WRAPPER_OR_IMPORTED</x:t>
        </x:is>
      </x:c>
      <x:c r="Q245" s="38" t="inlineStr">
        <x:is>
          <x:t xml:space="preserve">Likely delegates to another theorem; cite underlying theorem too.</x:t>
        </x:is>
      </x:c>
      <x:c r="R245" s="39" t="inlineStr">
        <x:is>
          <x:t xml:space="preserve">theorem mustard_seed (O Λ₀ : ℝ) (hO : 0 &lt; O) (hΛ₀ : 0 &lt; Λ₀) : ∃ G : ℝ, 0 &lt; G ∧ Λ₀ ≤ O * G</x:t>
        </x:is>
      </x:c>
    </x:row>
    <x:row r="246" ht="15" customHeight="1">
      <x:c r="A246" s="37" t="inlineStr">
        <x:is>
          <x:t xml:space="preserve">\\192.168.2.50\h_hp\Desktop\Master EXCEL\Lean 4.xlsx</x:t>
        </x:is>
      </x:c>
      <x:c r="B246" s="38" t="inlineStr">
        <x:is>
          <x:t xml:space="preserve">LEAN_DERIVATION_CHAIN</x:t>
        </x:is>
      </x:c>
      <x:c r="C246" s="38" t="inlineStr">
        <x:is>
          <x:t xml:space="preserve">266</x:t>
        </x:is>
      </x:c>
      <x:c r="D246" s="38" t="inlineStr">
        <x:is>
          <x:t xml:space="preserve">C28</x:t>
        </x:is>
      </x:c>
      <x:c r="E246" s="38" t="inlineStr">
        <x:is>
          <x:t xml:space="preserve">C - Canonization</x:t>
        </x:is>
      </x:c>
      <x:c r="F246" s="38" t="inlineStr">
        <x:is>
          <x:t xml:space="preserve">Theophysics_Canonization.lean</x:t>
        </x:is>
      </x:c>
      <x:c r="G246" s="38" t="inlineStr">
        <x:is>
          <x:t xml:space="preserve">zero_openness_never_couples</x:t>
        </x:is>
      </x:c>
      <x:c r="H246" s="38" t="inlineStr">
        <x:is>
          <x:t xml:space="preserve">O=0 implies Lambda=0 identically</x:t>
        </x:is>
      </x:c>
      <x:c r="I246" s="38" t="inlineStr">
        <x:is>
          <x:t xml:space="preserve">zero_mul</x:t>
        </x:is>
      </x:c>
      <x:c r="J246" s="38" t="inlineStr">
        <x:is>
          <x:t xml:space="preserve">PROVED</x:t>
        </x:is>
      </x:c>
      <x:c r="K246" s="38" t="inlineStr">
        <x:is>
          <x:t xml:space="preserve">Level 5 / Canonization doc</x:t>
        </x:is>
      </x:c>
      <x:c r="L246" s="38" t="inlineStr">
        <x:is>
          <x:t xml:space="preserve">1</x:t>
        </x:is>
      </x:c>
      <x:c r="M246" s="38" t="inlineStr">
        <x:is>
          <x:t xml:space="preserve">theophysics-lean-main</x:t>
        </x:is>
      </x:c>
      <x:c r="N246" s="38" t="inlineStr">
        <x:is>
          <x:t xml:space="preserve">theophysics-lean-main\theophysics-lean-main\Theophysics_Canonization.lean</x:t>
        </x:is>
      </x:c>
      <x:c r="O246" s="38" t="inlineStr">
        <x:is>
          <x:t xml:space="preserve">489</x:t>
        </x:is>
      </x:c>
      <x:c r="P246" s="38" t="inlineStr">
        <x:is>
          <x:t xml:space="preserve">DECLARATION_OR_UNKNOWN</x:t>
        </x:is>
      </x:c>
      <x:c r="Q246" s="38" t="inlineStr">
        <x:is>
          <x:t xml:space="preserve">Could not classify from first proof lines.</x:t>
        </x:is>
      </x:c>
      <x:c r="R246" s="39" t="inlineStr">
        <x:is>
          <x:t xml:space="preserve">theorem zero_openness_never_couples (G : ℝ) : (0:ℝ) * G = 0 := zero_mul G /-- THEOREM: faith_is_coupling_not_source — the dynamics depend on O and G only through O·G; faith gates, grace powers. [LEAN_PROVEN] -/</x:t>
        </x:is>
      </x:c>
    </x:row>
    <x:row r="247" ht="15" customHeight="1">
      <x:c r="A247" s="37" t="inlineStr">
        <x:is>
          <x:t xml:space="preserve">\\192.168.2.50\h_hp\Desktop\Master EXCEL\Lean 4.xlsx</x:t>
        </x:is>
      </x:c>
      <x:c r="B247" s="38" t="inlineStr">
        <x:is>
          <x:t xml:space="preserve">LEAN_DERIVATION_CHAIN</x:t>
        </x:is>
      </x:c>
      <x:c r="C247" s="38" t="inlineStr">
        <x:is>
          <x:t xml:space="preserve">267</x:t>
        </x:is>
      </x:c>
      <x:c r="D247" s="38" t="inlineStr">
        <x:is>
          <x:t xml:space="preserve">C29</x:t>
        </x:is>
      </x:c>
      <x:c r="E247" s="38" t="inlineStr">
        <x:is>
          <x:t xml:space="preserve">C - Canonization</x:t>
        </x:is>
      </x:c>
      <x:c r="F247" s="38" t="inlineStr">
        <x:is>
          <x:t xml:space="preserve">Theophysics_Canonization.lean</x:t>
        </x:is>
      </x:c>
      <x:c r="G247" s="38" t="inlineStr">
        <x:is>
          <x:t xml:space="preserve">faith_is_coupling_not_source</x:t>
        </x:is>
      </x:c>
      <x:c r="H247" s="38" t="inlineStr">
        <x:is>
          <x:t xml:space="preserve">Dynamics depend on O*G only - faith gates, grace powers</x:t>
        </x:is>
      </x:c>
      <x:c r="I247" s="38" t="inlineStr">
        <x:is>
          <x:t xml:space="preserve">field_simp</x:t>
        </x:is>
      </x:c>
      <x:c r="J247" s="38" t="inlineStr">
        <x:is>
          <x:t xml:space="preserve">PROVED</x:t>
        </x:is>
      </x:c>
      <x:c r="K247" s="38" t="inlineStr">
        <x:is>
          <x:t xml:space="preserve">Level 5 / Canonization doc</x:t>
        </x:is>
      </x:c>
      <x:c r="L247" s="38" t="inlineStr">
        <x:is>
          <x:t xml:space="preserve">1</x:t>
        </x:is>
      </x:c>
      <x:c r="M247" s="38" t="inlineStr">
        <x:is>
          <x:t xml:space="preserve">theophysics-lean-main</x:t>
        </x:is>
      </x:c>
      <x:c r="N247" s="38" t="inlineStr">
        <x:is>
          <x:t xml:space="preserve">theophysics-lean-main\theophysics-lean-main\Theophysics_Canonization.lean</x:t>
        </x:is>
      </x:c>
      <x:c r="O247" s="38" t="inlineStr">
        <x:is>
          <x:t xml:space="preserve">493</x:t>
        </x:is>
      </x:c>
      <x:c r="P247" s="38" t="inlineStr">
        <x:is>
          <x:t xml:space="preserve">SUBSTANTIVE_OR_CASE_PROOF</x:t>
        </x:is>
      </x:c>
      <x:c r="Q247" s="38" t="inlineStr">
        <x:is>
          <x:t xml:space="preserve">Appears to contain an actual proof body; inspect before public citation.</x:t>
        </x:is>
      </x:c>
      <x:c r="R247" s="39" t="inlineStr">
        <x:is>
          <x:t xml:space="preserve">theorem faith_is_coupling_not_source (O G S C k : ℝ) (hk : k ≠ 0) : coherenceRate (k * O) (G / k) S C = coherenceRate O G S C</x:t>
        </x:is>
      </x:c>
    </x:row>
    <x:row r="248" ht="15" customHeight="1">
      <x:c r="A248" s="37" t="inlineStr">
        <x:is>
          <x:t xml:space="preserve">\\192.168.2.50\h_hp\Desktop\Master EXCEL\Lean 4.xlsx</x:t>
        </x:is>
      </x:c>
      <x:c r="B248" s="38" t="inlineStr">
        <x:is>
          <x:t xml:space="preserve">LEAN_DERIVATION_CHAIN</x:t>
        </x:is>
      </x:c>
      <x:c r="C248" s="38" t="inlineStr">
        <x:is>
          <x:t xml:space="preserve">268</x:t>
        </x:is>
      </x:c>
      <x:c r="D248" s="38" t="inlineStr">
        <x:is>
          <x:t xml:space="preserve">C30</x:t>
        </x:is>
      </x:c>
      <x:c r="E248" s="38" t="inlineStr">
        <x:is>
          <x:t xml:space="preserve">C - Canonization</x:t>
        </x:is>
      </x:c>
      <x:c r="F248" s="38" t="inlineStr">
        <x:is>
          <x:t xml:space="preserve">Theophysics_Canonization.lean</x:t>
        </x:is>
      </x:c>
      <x:c r="G248" s="38" t="inlineStr">
        <x:is>
          <x:t xml:space="preserve">christ_profile_is_stationary</x:t>
        </x:is>
      </x:c>
      <x:c r="H248" s="38" t="inlineStr">
        <x:is>
          <x:t xml:space="preserve">C=1, S=0 implies rate = 0 for every grace flux (fixed point)</x:t>
        </x:is>
      </x:c>
      <x:c r="I248" s="38" t="inlineStr">
        <x:is>
          <x:t xml:space="preserve">ring</x:t>
        </x:is>
      </x:c>
      <x:c r="J248" s="38" t="inlineStr">
        <x:is>
          <x:t xml:space="preserve">PROVED</x:t>
        </x:is>
      </x:c>
      <x:c r="K248" s="38" t="inlineStr">
        <x:is>
          <x:t xml:space="preserve">Level 5 / Canonization doc</x:t>
        </x:is>
      </x:c>
      <x:c r="L248" s="38" t="inlineStr">
        <x:is>
          <x:t xml:space="preserve">1</x:t>
        </x:is>
      </x:c>
      <x:c r="M248" s="38" t="inlineStr">
        <x:is>
          <x:t xml:space="preserve">theophysics-lean-main</x:t>
        </x:is>
      </x:c>
      <x:c r="N248" s="38" t="inlineStr">
        <x:is>
          <x:t xml:space="preserve">theophysics-lean-main\theophysics-lean-main\Theophysics_Canonization.lean</x:t>
        </x:is>
      </x:c>
      <x:c r="O248" s="38" t="inlineStr">
        <x:is>
          <x:t xml:space="preserve">511</x:t>
        </x:is>
      </x:c>
      <x:c r="P248" s="38" t="inlineStr">
        <x:is>
          <x:t xml:space="preserve">SUBSTANTIVE_OR_CASE_PROOF</x:t>
        </x:is>
      </x:c>
      <x:c r="Q248" s="38" t="inlineStr">
        <x:is>
          <x:t xml:space="preserve">Appears to contain an actual proof body; inspect before public citation.</x:t>
        </x:is>
      </x:c>
      <x:c r="R248" s="39" t="inlineStr">
        <x:is>
          <x:t xml:space="preserve">theorem christ_profile_is_stationary (p : FixedPointProfile) (G : ℝ) : coherenceRate p.O G p.S_personal p.C = 0</x:t>
        </x:is>
      </x:c>
    </x:row>
    <x:row r="249" ht="15" customHeight="1">
      <x:c r="A249" s="37" t="inlineStr">
        <x:is>
          <x:t xml:space="preserve">\\192.168.2.50\h_hp\Desktop\Master EXCEL\Lean 4.xlsx</x:t>
        </x:is>
      </x:c>
      <x:c r="B249" s="38" t="inlineStr">
        <x:is>
          <x:t xml:space="preserve">LEAN_DERIVATION_CHAIN</x:t>
        </x:is>
      </x:c>
      <x:c r="C249" s="38" t="inlineStr">
        <x:is>
          <x:t xml:space="preserve">269</x:t>
        </x:is>
      </x:c>
      <x:c r="D249" s="38" t="inlineStr">
        <x:is>
          <x:t xml:space="preserve">C31</x:t>
        </x:is>
      </x:c>
      <x:c r="E249" s="38" t="inlineStr">
        <x:is>
          <x:t xml:space="preserve">C - Canonization</x:t>
        </x:is>
      </x:c>
      <x:c r="F249" s="38" t="inlineStr">
        <x:is>
          <x:t xml:space="preserve">Theophysics_Canonization.lean</x:t>
        </x:is>
      </x:c>
      <x:c r="G249" s="38" t="inlineStr">
        <x:is>
          <x:t xml:space="preserve">fixed_point_is_transferable</x:t>
        </x:is>
      </x:c>
      <x:c r="H249" s="38" t="inlineStr">
        <x:is>
          <x:t xml:space="preserve">Profile coherence becomes the creature's attractor target</x:t>
        </x:is>
      </x:c>
      <x:c r="I249" s="38" t="inlineStr">
        <x:is>
          <x:t xml:space="preserve">rw</x:t>
        </x:is>
      </x:c>
      <x:c r="J249" s="38" t="inlineStr">
        <x:is>
          <x:t xml:space="preserve">PROVED</x:t>
        </x:is>
      </x:c>
      <x:c r="K249" s="38" t="inlineStr">
        <x:is>
          <x:t xml:space="preserve">Level 5 / Canonization doc</x:t>
        </x:is>
      </x:c>
      <x:c r="L249" s="38" t="inlineStr">
        <x:is>
          <x:t xml:space="preserve">1</x:t>
        </x:is>
      </x:c>
      <x:c r="M249" s="38" t="inlineStr">
        <x:is>
          <x:t xml:space="preserve">theophysics-lean-main</x:t>
        </x:is>
      </x:c>
      <x:c r="N249" s="38" t="inlineStr">
        <x:is>
          <x:t xml:space="preserve">theophysics-lean-main\theophysics-lean-main\Theophysics_Canonization.lean</x:t>
        </x:is>
      </x:c>
      <x:c r="O249" s="38" t="inlineStr">
        <x:is>
          <x:t xml:space="preserve">519</x:t>
        </x:is>
      </x:c>
      <x:c r="P249" s="38" t="inlineStr">
        <x:is>
          <x:t xml:space="preserve">SUBSTANTIVE_OR_CASE_PROOF</x:t>
        </x:is>
      </x:c>
      <x:c r="Q249" s="38" t="inlineStr">
        <x:is>
          <x:t xml:space="preserve">Appears to contain an actual proof body; inspect before public citation.</x:t>
        </x:is>
      </x:c>
      <x:c r="R249" s="39" t="inlineStr">
        <x:is>
          <x:t xml:space="preserve">theorem fixed_point_is_transferable (p : FixedPointProfile) (O_h G S_h C_h : ℝ) : O_h * G * (p.C - C_h) - S_h * C_h = coherenceRate O_h G S_h C_h</x:t>
        </x:is>
      </x:c>
    </x:row>
    <x:row r="250" ht="15" customHeight="1">
      <x:c r="A250" s="37" t="inlineStr">
        <x:is>
          <x:t xml:space="preserve">\\192.168.2.50\h_hp\Desktop\Master EXCEL\Lean 4.xlsx</x:t>
        </x:is>
      </x:c>
      <x:c r="B250" s="38" t="inlineStr">
        <x:is>
          <x:t xml:space="preserve">LEAN_DERIVATION_CHAIN</x:t>
        </x:is>
      </x:c>
      <x:c r="C250" s="38" t="inlineStr">
        <x:is>
          <x:t xml:space="preserve">270</x:t>
        </x:is>
      </x:c>
      <x:c r="D250" s="38" t="inlineStr">
        <x:is>
          <x:t xml:space="preserve">C32</x:t>
        </x:is>
      </x:c>
      <x:c r="E250" s="38" t="inlineStr">
        <x:is>
          <x:t xml:space="preserve">C - Canonization</x:t>
        </x:is>
      </x:c>
      <x:c r="F250" s="38" t="inlineStr">
        <x:is>
          <x:t xml:space="preserve">Theophysics_Canonization.lean</x:t>
        </x:is>
      </x:c>
      <x:c r="G250" s="38" t="inlineStr">
        <x:is>
          <x:t xml:space="preserve">sanctification_is_channel_healing</x:t>
        </x:is>
      </x:c>
      <x:c r="H250" s="38" t="inlineStr">
        <x:is>
          <x:t xml:space="preserve">D-&gt;0 grows received capacity past every bound; source infinite, channel finite</x:t>
        </x:is>
      </x:c>
      <x:c r="I250" s="38" t="inlineStr">
        <x:is>
          <x:t xml:space="preserve">rpow/logb calc</x:t>
        </x:is>
      </x:c>
      <x:c r="J250" s="38" t="inlineStr">
        <x:is>
          <x:t xml:space="preserve">PROVED</x:t>
        </x:is>
      </x:c>
      <x:c r="K250" s="38" t="inlineStr">
        <x:is>
          <x:t xml:space="preserve">Level 5 / Canonization doc</x:t>
        </x:is>
      </x:c>
      <x:c r="L250" s="38" t="inlineStr">
        <x:is>
          <x:t xml:space="preserve">1</x:t>
        </x:is>
      </x:c>
      <x:c r="M250" s="38" t="inlineStr">
        <x:is>
          <x:t xml:space="preserve">theophysics-lean-main</x:t>
        </x:is>
      </x:c>
      <x:c r="N250" s="38" t="inlineStr">
        <x:is>
          <x:t xml:space="preserve">theophysics-lean-main\theophysics-lean-main\Theophysics_Canonization.lean</x:t>
        </x:is>
      </x:c>
      <x:c r="O250" s="38" t="inlineStr">
        <x:is>
          <x:t xml:space="preserve">528</x:t>
        </x:is>
      </x:c>
      <x:c r="P250" s="38" t="inlineStr">
        <x:is>
          <x:t xml:space="preserve">WRAPPER_OR_IMPORTED</x:t>
        </x:is>
      </x:c>
      <x:c r="Q250" s="38" t="inlineStr">
        <x:is>
          <x:t xml:space="preserve">Likely delegates to another theorem; cite underlying theorem too.</x:t>
        </x:is>
      </x:c>
      <x:c r="R250" s="39" t="inlineStr">
        <x:is>
          <x:t xml:space="preserve">theorem sanctification_is_channel_healing (A T Mbound : ℝ) (hA : 0 &lt; A) (hT : 0 &lt; T) (hM : 0 &lt; Mbound) : ∃ D₀ : ℝ, 0 &lt; D₀ ∧ ∀ D : ℝ, 0 &lt; D → D ≤ D₀ → Mbound &lt; soulCapacity A T D</x:t>
        </x:is>
      </x:c>
    </x:row>
    <x:row r="251" ht="15" customHeight="1">
      <x:c r="A251" s="37" t="inlineStr">
        <x:is>
          <x:t xml:space="preserve">\\192.168.2.50\h_hp\Desktop\Master EXCEL\Lean 4.xlsx</x:t>
        </x:is>
      </x:c>
      <x:c r="B251" s="38" t="inlineStr">
        <x:is>
          <x:t xml:space="preserve">LEAN_DERIVATION_CHAIN</x:t>
        </x:is>
      </x:c>
      <x:c r="C251" s="38" t="inlineStr">
        <x:is>
          <x:t xml:space="preserve">271</x:t>
        </x:is>
      </x:c>
      <x:c r="D251" s="38" t="inlineStr">
        <x:is>
          <x:t xml:space="preserve">C33</x:t>
        </x:is>
      </x:c>
      <x:c r="E251" s="38" t="inlineStr">
        <x:is>
          <x:t xml:space="preserve">C - Canonization</x:t>
        </x:is>
      </x:c>
      <x:c r="F251" s="38" t="inlineStr">
        <x:is>
          <x:t xml:space="preserve">Theophysics_Canonization.lean</x:t>
        </x:is>
      </x:c>
      <x:c r="G251" s="38" t="inlineStr">
        <x:is>
          <x:t xml:space="preserve">resurrection_certifies_capacity</x:t>
        </x:is>
      </x:c>
      <x:c r="H251" s="38" t="inlineStr">
        <x:is>
          <x:t xml:space="preserve">Unbounded capacity implies no finite delta_total exhausts it (structural marker)</x:t>
        </x:is>
      </x:c>
      <x:c r="I251" s="38" t="inlineStr">
        <x:is>
          <x:t xml:space="preserve">direct</x:t>
        </x:is>
      </x:c>
      <x:c r="J251" s="38" t="inlineStr">
        <x:is>
          <x:t xml:space="preserve">MARKER</x:t>
        </x:is>
      </x:c>
      <x:c r="K251" s="38" t="inlineStr">
        <x:is>
          <x:t xml:space="preserve">Level 5 / Canonization doc</x:t>
        </x:is>
      </x:c>
      <x:c r="L251" s="38" t="inlineStr">
        <x:is>
          <x:t xml:space="preserve">1</x:t>
        </x:is>
      </x:c>
      <x:c r="M251" s="38" t="inlineStr">
        <x:is>
          <x:t xml:space="preserve">theophysics-lean-main</x:t>
        </x:is>
      </x:c>
      <x:c r="N251" s="38" t="inlineStr">
        <x:is>
          <x:t xml:space="preserve">theophysics-lean-main\theophysics-lean-main\Theophysics_Canonization.lean</x:t>
        </x:is>
      </x:c>
      <x:c r="O251" s="38" t="inlineStr">
        <x:is>
          <x:t xml:space="preserve">563</x:t>
        </x:is>
      </x:c>
      <x:c r="P251" s="38" t="inlineStr">
        <x:is>
          <x:t xml:space="preserve">DECLARATION_OR_UNKNOWN</x:t>
        </x:is>
      </x:c>
      <x:c r="Q251" s="38" t="inlineStr">
        <x:is>
          <x:t xml:space="preserve">Could not classify from first proof lines.</x:t>
        </x:is>
      </x:c>
      <x:c r="R251" s="39" t="inlineStr">
        <x:is>
          <x:t xml:space="preserve">theorem resurrection_certifies_capacity (capacity : ℝ → ℝ) (hunbounded : ∀ M : ℝ, ∃ t : ℝ, M &lt; capacity t) : ∀ δ_total : ℝ, ∃ t : ℝ, δ_total &lt; capacity t := fun δ_total =&gt; hunbounded δ_total /-- Corollary: all perfect-coherence profiles agree. [LEAN_PROVEN] -/</x:t>
        </x:is>
      </x:c>
    </x:row>
    <x:row r="252" ht="15" customHeight="1">
      <x:c r="A252" s="37" t="inlineStr">
        <x:is>
          <x:t xml:space="preserve">\\192.168.2.50\h_hp\Desktop\Master EXCEL\Lean 4.xlsx</x:t>
        </x:is>
      </x:c>
      <x:c r="B252" s="38" t="inlineStr">
        <x:is>
          <x:t xml:space="preserve">LEAN_DERIVATION_CHAIN</x:t>
        </x:is>
      </x:c>
      <x:c r="C252" s="38" t="inlineStr">
        <x:is>
          <x:t xml:space="preserve">272</x:t>
        </x:is>
      </x:c>
      <x:c r="D252" s="38" t="inlineStr">
        <x:is>
          <x:t xml:space="preserve">C34</x:t>
        </x:is>
      </x:c>
      <x:c r="E252" s="38" t="inlineStr">
        <x:is>
          <x:t xml:space="preserve">C - Canonization</x:t>
        </x:is>
      </x:c>
      <x:c r="F252" s="38" t="inlineStr">
        <x:is>
          <x:t xml:space="preserve">Theophysics_Canonization.lean</x:t>
        </x:is>
      </x:c>
      <x:c r="G252" s="38" t="inlineStr">
        <x:is>
          <x:t xml:space="preserve">christ_is_unique_perfect_coherence_fixed_point</x:t>
        </x:is>
      </x:c>
      <x:c r="H252" s="38" t="inlineStr">
        <x:is>
          <x:t xml:space="preserve">All perfect-coherence profiles agree (definitional agreement)</x:t>
        </x:is>
      </x:c>
      <x:c r="I252" s="38" t="inlineStr">
        <x:is>
          <x:t xml:space="preserve">rw</x:t>
        </x:is>
      </x:c>
      <x:c r="J252" s="38" t="inlineStr">
        <x:is>
          <x:t xml:space="preserve">MARKER</x:t>
        </x:is>
      </x:c>
      <x:c r="K252" s="38" t="inlineStr">
        <x:is>
          <x:t xml:space="preserve">Level 5 / Canonization doc</x:t>
        </x:is>
      </x:c>
      <x:c r="L252" s="38" t="inlineStr">
        <x:is>
          <x:t xml:space="preserve">1</x:t>
        </x:is>
      </x:c>
      <x:c r="M252" s="38" t="inlineStr">
        <x:is>
          <x:t xml:space="preserve">theophysics-lean-main</x:t>
        </x:is>
      </x:c>
      <x:c r="N252" s="38" t="inlineStr">
        <x:is>
          <x:t xml:space="preserve">theophysics-lean-main\theophysics-lean-main\Theophysics_Canonization.lean</x:t>
        </x:is>
      </x:c>
      <x:c r="O252" s="38" t="inlineStr">
        <x:is>
          <x:t xml:space="preserve">570</x:t>
        </x:is>
      </x:c>
      <x:c r="P252" s="38" t="inlineStr">
        <x:is>
          <x:t xml:space="preserve">SUBSTANTIVE_OR_CASE_PROOF</x:t>
        </x:is>
      </x:c>
      <x:c r="Q252" s="38" t="inlineStr">
        <x:is>
          <x:t xml:space="preserve">Appears to contain an actual proof body; inspect before public citation.</x:t>
        </x:is>
      </x:c>
      <x:c r="R252" s="39" t="inlineStr">
        <x:is>
          <x:t xml:space="preserve">theorem christ_is_unique_perfect_coherence_fixed_point (p q : FixedPointProfile) : p.C = q.C</x:t>
        </x:is>
      </x:c>
    </x:row>
    <x:row r="253" ht="15" customHeight="1">
      <x:c r="A253" s="37" t="inlineStr">
        <x:is>
          <x:t xml:space="preserve">\\192.168.2.50\h_hp\Desktop\Master EXCEL\Lean 4.xlsx</x:t>
        </x:is>
      </x:c>
      <x:c r="B253" s="38" t="inlineStr">
        <x:is>
          <x:t xml:space="preserve">LEAN_DERIVATION_CHAIN</x:t>
        </x:is>
      </x:c>
      <x:c r="C253" s="38" t="inlineStr">
        <x:is>
          <x:t xml:space="preserve">273</x:t>
        </x:is>
      </x:c>
      <x:c r="D253" s="38" t="inlineStr">
        <x:is>
          <x:t xml:space="preserve">C35</x:t>
        </x:is>
      </x:c>
      <x:c r="E253" s="38" t="inlineStr">
        <x:is>
          <x:t xml:space="preserve">C - Canonization</x:t>
        </x:is>
      </x:c>
      <x:c r="F253" s="38" t="inlineStr">
        <x:is>
          <x:t xml:space="preserve">Theophysics_Canonization.lean</x:t>
        </x:is>
      </x:c>
      <x:c r="G253" s="38" t="inlineStr">
        <x:is>
          <x:t xml:space="preserve">glorification_is_completed_coherence</x:t>
        </x:is>
      </x:c>
      <x:c r="H253" s="38" t="inlineStr">
        <x:is>
          <x:t xml:space="preserve">Profile coherence = 1 (definitional)</x:t>
        </x:is>
      </x:c>
      <x:c r="I253" s="38" t="inlineStr">
        <x:is>
          <x:t xml:space="preserve">projection</x:t>
        </x:is>
      </x:c>
      <x:c r="J253" s="38" t="inlineStr">
        <x:is>
          <x:t xml:space="preserve">MARKER</x:t>
        </x:is>
      </x:c>
      <x:c r="K253" s="38" t="inlineStr">
        <x:is>
          <x:t xml:space="preserve">Level 5 / Canonization doc</x:t>
        </x:is>
      </x:c>
      <x:c r="L253" s="38" t="inlineStr">
        <x:is>
          <x:t xml:space="preserve">1</x:t>
        </x:is>
      </x:c>
      <x:c r="M253" s="38" t="inlineStr">
        <x:is>
          <x:t xml:space="preserve">theophysics-lean-main</x:t>
        </x:is>
      </x:c>
      <x:c r="N253" s="38" t="inlineStr">
        <x:is>
          <x:t xml:space="preserve">theophysics-lean-main\theophysics-lean-main\Theophysics_Canonization.lean</x:t>
        </x:is>
      </x:c>
      <x:c r="O253" s="38" t="inlineStr">
        <x:is>
          <x:t xml:space="preserve">574</x:t>
        </x:is>
      </x:c>
      <x:c r="P253" s="38" t="inlineStr">
        <x:is>
          <x:t xml:space="preserve">DECLARATION_OR_UNKNOWN</x:t>
        </x:is>
      </x:c>
      <x:c r="Q253" s="38" t="inlineStr">
        <x:is>
          <x:t xml:space="preserve">Could not classify from first proof lines.</x:t>
        </x:is>
      </x:c>
      <x:c r="R253" s="39" t="inlineStr">
        <x:is>
          <x:t xml:space="preserve">theorem glorification_is_completed_coherence (p : FixedPointProfile) : p.C = 1 := p.perfect_coherence end TransferableFixedPoint /-! ============================================================ §7 COUPLING LAYER (provisional tier, NOT locked canon) ============================================================ -/ section Couplings /-- Coupling vocabulary. [LEAN_DEFINED — provisional tier] -/ inductive Coupling | faith | mercy | hope | wisdom | covenant | salvation | worship | conscience deriving DecidableEq, Repr /-- Hope as the forward derivative of faith. [LEAN_DEFINED] -/ def hope (dFaith_dt : ℝ) : Prop := 0 &lt; dFaith_dt /-- Salvation as phase transition: ΔG &lt; 0. [LEAN_DEFINED] -/ def salvationSpontaneous (ΔG : ℝ) : Prop := ΔG &lt; 0 end Couplings end Theophysics.Canonization</x:t>
        </x:is>
      </x:c>
    </x:row>
    <x:row r="254" ht="15" customHeight="1">
      <x:c r="A254" s="37" t="inlineStr">
        <x:is>
          <x:t xml:space="preserve">\\192.168.2.50\h_hp\Desktop\Master EXCEL\Lean 4.xlsx</x:t>
        </x:is>
      </x:c>
      <x:c r="B254" s="38" t="inlineStr">
        <x:is>
          <x:t xml:space="preserve">LEAN_DERIVATION_CHAIN</x:t>
        </x:is>
      </x:c>
      <x:c r="C254" s="38" t="inlineStr">
        <x:is>
          <x:t xml:space="preserve">274</x:t>
        </x:is>
      </x:c>
      <x:c r="D254" s="38" t="inlineStr">
        <x:is>
          <x:t xml:space="preserve">STATS</x:t>
        </x:is>
      </x:c>
      <x:c r="E254" s="38" t="inlineStr">
        <x:is>
          <x:t xml:space="preserve">SUMMARY STATISTICS</x:t>
        </x:is>
      </x:c>
      <x:c r="F254" s="38" t="n"/>
      <x:c r="G254" s="38" t="n"/>
      <x:c r="H254" s="38" t="n"/>
      <x:c r="I254" s="38" t="n"/>
      <x:c r="J254" s="38" t="n"/>
      <x:c r="K254" s="38" t="n"/>
      <x:c r="L254" s="38" t="inlineStr">
        <x:is>
          <x:t xml:space="preserve">0</x:t>
        </x:is>
      </x:c>
      <x:c r="M254" s="38" t="n"/>
      <x:c r="N254" s="38" t="n"/>
      <x:c r="O254" s="38" t="n"/>
      <x:c r="P254" s="38" t="inlineStr">
        <x:is>
          <x:t xml:space="preserve">NOT_FOUND_IN_HUB</x:t>
        </x:is>
      </x:c>
      <x:c r="Q254" s="38" t="inlineStr">
        <x:is>
          <x:t xml:space="preserve">Workbook theorem name not found in extracted hub Lean files.</x:t>
        </x:is>
      </x:c>
      <x:c r="R254" s="39" t="n"/>
    </x:row>
    <x:row r="255" ht="15" customHeight="1">
      <x:c r="A255" s="37" t="inlineStr">
        <x:is>
          <x:t xml:space="preserve">\\192.168.2.50\h_hp\Desktop\Master EXCEL\Lean 4.xlsx</x:t>
        </x:is>
      </x:c>
      <x:c r="B255" s="38" t="inlineStr">
        <x:is>
          <x:t xml:space="preserve">LEAN_DERIVATION_CHAIN</x:t>
        </x:is>
      </x:c>
      <x:c r="C255" s="38" t="inlineStr">
        <x:is>
          <x:t xml:space="preserve">275</x:t>
        </x:is>
      </x:c>
      <x:c r="D255" s="38" t="inlineStr">
        <x:is>
          <x:t xml:space="preserve">STAT-01</x:t>
        </x:is>
      </x:c>
      <x:c r="E255" s="38" t="inlineStr">
        <x:is>
          <x:t xml:space="preserve">Lean4 files (three corpora)</x:t>
        </x:is>
      </x:c>
      <x:c r="F255" s="38" t="inlineStr">
        <x:is>
          <x:t xml:space="preserve">ResurrectionFormal + root pkg + canonization</x:t>
        </x:is>
      </x:c>
      <x:c r="G255" s="38" t="inlineStr">
        <x:is>
          <x:t xml:space="preserve">16 + 8 + 1 = 25 files across three corpora</x:t>
        </x:is>
      </x:c>
      <x:c r="H255" s="38" t="n"/>
      <x:c r="I255" s="38" t="n"/>
      <x:c r="J255" s="38" t="n"/>
      <x:c r="K255" s="38" t="n"/>
      <x:c r="L255" s="38" t="inlineStr">
        <x:is>
          <x:t xml:space="preserve">0</x:t>
        </x:is>
      </x:c>
      <x:c r="M255" s="38" t="n"/>
      <x:c r="N255" s="38" t="n"/>
      <x:c r="O255" s="38" t="n"/>
      <x:c r="P255" s="38" t="inlineStr">
        <x:is>
          <x:t xml:space="preserve">NOT_FOUND_IN_HUB</x:t>
        </x:is>
      </x:c>
      <x:c r="Q255" s="38" t="inlineStr">
        <x:is>
          <x:t xml:space="preserve">Workbook theorem name not found in extracted hub Lean files.</x:t>
        </x:is>
      </x:c>
      <x:c r="R255" s="39" t="n"/>
    </x:row>
    <x:row r="256" ht="15" customHeight="1">
      <x:c r="A256" s="37" t="inlineStr">
        <x:is>
          <x:t xml:space="preserve">\\192.168.2.50\h_hp\Desktop\Master EXCEL\Lean 4.xlsx</x:t>
        </x:is>
      </x:c>
      <x:c r="B256" s="38" t="inlineStr">
        <x:is>
          <x:t xml:space="preserve">LEAN_DERIVATION_CHAIN</x:t>
        </x:is>
      </x:c>
      <x:c r="C256" s="38" t="inlineStr">
        <x:is>
          <x:t xml:space="preserve">276</x:t>
        </x:is>
      </x:c>
      <x:c r="D256" s="38" t="inlineStr">
        <x:is>
          <x:t xml:space="preserve">STAT-02</x:t>
        </x:is>
      </x:c>
      <x:c r="E256" s="38" t="inlineStr">
        <x:is>
          <x:t xml:space="preserve">Total named theorems (FROZEN 2026-07-01)</x:t>
        </x:is>
      </x:c>
      <x:c r="F256" s="38" t="inlineStr">
        <x:is>
          <x:t xml:space="preserve">see CANON ledger</x:t>
        </x:is>
      </x:c>
      <x:c r="G256" s="38" t="inlineStr">
        <x:is>
          <x:t xml:space="preserve">287 (ResurrectionFormal doc) / 326 (root pkg, verified) / 35 (canonization, verified). Cite 326 or 326+35. 319 and 330 retired.</x:t>
        </x:is>
      </x:c>
      <x:c r="H256" s="38" t="n"/>
      <x:c r="I256" s="38" t="n"/>
      <x:c r="J256" s="38" t="n"/>
      <x:c r="K256" s="38" t="n"/>
      <x:c r="L256" s="38" t="inlineStr">
        <x:is>
          <x:t xml:space="preserve">0</x:t>
        </x:is>
      </x:c>
      <x:c r="M256" s="38" t="n"/>
      <x:c r="N256" s="38" t="n"/>
      <x:c r="O256" s="38" t="n"/>
      <x:c r="P256" s="38" t="inlineStr">
        <x:is>
          <x:t xml:space="preserve">NOT_FOUND_IN_HUB</x:t>
        </x:is>
      </x:c>
      <x:c r="Q256" s="38" t="inlineStr">
        <x:is>
          <x:t xml:space="preserve">Workbook theorem name not found in extracted hub Lean files.</x:t>
        </x:is>
      </x:c>
      <x:c r="R256" s="39" t="n"/>
    </x:row>
    <x:row r="257" ht="15" customHeight="1">
      <x:c r="A257" s="37" t="inlineStr">
        <x:is>
          <x:t xml:space="preserve">\\192.168.2.50\h_hp\Desktop\Master EXCEL\Lean 4.xlsx</x:t>
        </x:is>
      </x:c>
      <x:c r="B257" s="38" t="inlineStr">
        <x:is>
          <x:t xml:space="preserve">LEAN_DERIVATION_CHAIN</x:t>
        </x:is>
      </x:c>
      <x:c r="C257" s="38" t="inlineStr">
        <x:is>
          <x:t xml:space="preserve">277</x:t>
        </x:is>
      </x:c>
      <x:c r="D257" s="38" t="inlineStr">
        <x:is>
          <x:t xml:space="preserve">STAT-03</x:t>
        </x:is>
      </x:c>
      <x:c r="E257" s="38" t="inlineStr">
        <x:is>
          <x:t xml:space="preserve">Laws with formal collapse proofs</x:t>
        </x:is>
      </x:c>
      <x:c r="F257" s="38" t="inlineStr">
        <x:is>
          <x:t xml:space="preserve">FieldBridgeControls</x:t>
        </x:is>
      </x:c>
      <x:c r="G257" s="38" t="inlineStr">
        <x:is>
          <x:t xml:space="preserve">4 of 10 (Laws 3, 6, 7, 8)</x:t>
        </x:is>
      </x:c>
      <x:c r="H257" s="38" t="n"/>
      <x:c r="I257" s="38" t="n"/>
      <x:c r="J257" s="38" t="n"/>
      <x:c r="K257" s="38" t="n"/>
      <x:c r="L257" s="38" t="inlineStr">
        <x:is>
          <x:t xml:space="preserve">0</x:t>
        </x:is>
      </x:c>
      <x:c r="M257" s="38" t="n"/>
      <x:c r="N257" s="38" t="n"/>
      <x:c r="O257" s="38" t="n"/>
      <x:c r="P257" s="38" t="inlineStr">
        <x:is>
          <x:t xml:space="preserve">NOT_FOUND_IN_HUB</x:t>
        </x:is>
      </x:c>
      <x:c r="Q257" s="38" t="inlineStr">
        <x:is>
          <x:t xml:space="preserve">Workbook theorem name not found in extracted hub Lean files.</x:t>
        </x:is>
      </x:c>
      <x:c r="R257" s="39" t="n"/>
    </x:row>
    <x:row r="258" ht="15" customHeight="1">
      <x:c r="A258" s="37" t="inlineStr">
        <x:is>
          <x:t xml:space="preserve">\\192.168.2.50\h_hp\Desktop\Master EXCEL\Lean 4.xlsx</x:t>
        </x:is>
      </x:c>
      <x:c r="B258" s="38" t="inlineStr">
        <x:is>
          <x:t xml:space="preserve">LEAN_DERIVATION_CHAIN</x:t>
        </x:is>
      </x:c>
      <x:c r="C258" s="38" t="inlineStr">
        <x:is>
          <x:t xml:space="preserve">278</x:t>
        </x:is>
      </x:c>
      <x:c r="D258" s="38" t="inlineStr">
        <x:is>
          <x:t xml:space="preserve">STAT-04</x:t>
        </x:is>
      </x:c>
      <x:c r="E258" s="38" t="inlineStr">
        <x:is>
          <x:t xml:space="preserve">Laws with independent formal structure</x:t>
        </x:is>
      </x:c>
      <x:c r="F258" s="38" t="inlineStr">
        <x:is>
          <x:t xml:space="preserve">IsomorphismTest, JusticeMercyOperator</x:t>
        </x:is>
      </x:c>
      <x:c r="G258" s="38" t="inlineStr">
        <x:is>
          <x:t xml:space="preserve">2 more (Law 4 iso, Law 5 uniqueness)</x:t>
        </x:is>
      </x:c>
      <x:c r="H258" s="38" t="n"/>
      <x:c r="I258" s="38" t="n"/>
      <x:c r="J258" s="38" t="n"/>
      <x:c r="K258" s="38" t="n"/>
      <x:c r="L258" s="38" t="inlineStr">
        <x:is>
          <x:t xml:space="preserve">0</x:t>
        </x:is>
      </x:c>
      <x:c r="M258" s="38" t="n"/>
      <x:c r="N258" s="38" t="n"/>
      <x:c r="O258" s="38" t="n"/>
      <x:c r="P258" s="38" t="inlineStr">
        <x:is>
          <x:t xml:space="preserve">NOT_FOUND_IN_HUB</x:t>
        </x:is>
      </x:c>
      <x:c r="Q258" s="38" t="inlineStr">
        <x:is>
          <x:t xml:space="preserve">Workbook theorem name not found in extracted hub Lean files.</x:t>
        </x:is>
      </x:c>
      <x:c r="R258" s="39" t="n"/>
    </x:row>
    <x:row r="259" ht="15" customHeight="1">
      <x:c r="A259" s="37" t="inlineStr">
        <x:is>
          <x:t xml:space="preserve">\\192.168.2.50\h_hp\Desktop\Master EXCEL\Lean 4.xlsx</x:t>
        </x:is>
      </x:c>
      <x:c r="B259" s="38" t="inlineStr">
        <x:is>
          <x:t xml:space="preserve">LEAN_DERIVATION_CHAIN</x:t>
        </x:is>
      </x:c>
      <x:c r="C259" s="38" t="inlineStr">
        <x:is>
          <x:t xml:space="preserve">279</x:t>
        </x:is>
      </x:c>
      <x:c r="D259" s="38" t="inlineStr">
        <x:is>
          <x:t xml:space="preserve">STAT-05</x:t>
        </x:is>
      </x:c>
      <x:c r="E259" s="38" t="inlineStr">
        <x:is>
          <x:t xml:space="preserve">Laws with NO formal Lean content</x:t>
        </x:is>
      </x:c>
      <x:c r="F259" s="38" t="inlineStr">
        <x:is>
          <x:t xml:space="preserve">—</x:t>
        </x:is>
      </x:c>
      <x:c r="G259" s="38" t="inlineStr">
        <x:is>
          <x:t xml:space="preserve">4 (Laws 1, 2, 9, 10)</x:t>
        </x:is>
      </x:c>
      <x:c r="H259" s="38" t="n"/>
      <x:c r="I259" s="38" t="n"/>
      <x:c r="J259" s="38" t="n"/>
      <x:c r="K259" s="38" t="n"/>
      <x:c r="L259" s="38" t="inlineStr">
        <x:is>
          <x:t xml:space="preserve">0</x:t>
        </x:is>
      </x:c>
      <x:c r="M259" s="38" t="n"/>
      <x:c r="N259" s="38" t="n"/>
      <x:c r="O259" s="38" t="n"/>
      <x:c r="P259" s="38" t="inlineStr">
        <x:is>
          <x:t xml:space="preserve">NOT_FOUND_IN_HUB</x:t>
        </x:is>
      </x:c>
      <x:c r="Q259" s="38" t="inlineStr">
        <x:is>
          <x:t xml:space="preserve">Workbook theorem name not found in extracted hub Lean files.</x:t>
        </x:is>
      </x:c>
      <x:c r="R259" s="39" t="n"/>
    </x:row>
    <x:row r="260" ht="15" customHeight="1">
      <x:c r="A260" s="37" t="inlineStr">
        <x:is>
          <x:t xml:space="preserve">\\192.168.2.50\h_hp\Desktop\Master EXCEL\Lean 4.xlsx</x:t>
        </x:is>
      </x:c>
      <x:c r="B260" s="38" t="inlineStr">
        <x:is>
          <x:t xml:space="preserve">LEAN_DERIVATION_CHAIN</x:t>
        </x:is>
      </x:c>
      <x:c r="C260" s="38" t="inlineStr">
        <x:is>
          <x:t xml:space="preserve">280</x:t>
        </x:is>
      </x:c>
      <x:c r="D260" s="38" t="inlineStr">
        <x:is>
          <x:t xml:space="preserve">STAT-06</x:t>
        </x:is>
      </x:c>
      <x:c r="E260" s="38" t="inlineStr">
        <x:is>
          <x:t xml:space="preserve">Structural isomorphisms proven</x:t>
        </x:is>
      </x:c>
      <x:c r="F260" s="38" t="n"/>
      <x:c r="G260" s="38" t="inlineStr">
        <x:is>
          <x:t xml:space="preserve">3 (StrongForce↔Love, Maxwell↔Trinity, Physics↔Theology)</x:t>
        </x:is>
      </x:c>
      <x:c r="H260" s="38" t="n"/>
      <x:c r="I260" s="38" t="n"/>
      <x:c r="J260" s="38" t="n"/>
      <x:c r="K260" s="38" t="n"/>
      <x:c r="L260" s="38" t="inlineStr">
        <x:is>
          <x:t xml:space="preserve">0</x:t>
        </x:is>
      </x:c>
      <x:c r="M260" s="38" t="n"/>
      <x:c r="N260" s="38" t="n"/>
      <x:c r="O260" s="38" t="n"/>
      <x:c r="P260" s="38" t="inlineStr">
        <x:is>
          <x:t xml:space="preserve">NOT_FOUND_IN_HUB</x:t>
        </x:is>
      </x:c>
      <x:c r="Q260" s="38" t="inlineStr">
        <x:is>
          <x:t xml:space="preserve">Workbook theorem name not found in extracted hub Lean files.</x:t>
        </x:is>
      </x:c>
      <x:c r="R260" s="39" t="n"/>
    </x:row>
    <x:row r="261" ht="15" customHeight="1">
      <x:c r="A261" s="37" t="inlineStr">
        <x:is>
          <x:t xml:space="preserve">\\192.168.2.50\h_hp\Desktop\Master EXCEL\Lean 4.xlsx</x:t>
        </x:is>
      </x:c>
      <x:c r="B261" s="38" t="inlineStr">
        <x:is>
          <x:t xml:space="preserve">LEAN_DERIVATION_CHAIN</x:t>
        </x:is>
      </x:c>
      <x:c r="C261" s="38" t="inlineStr">
        <x:is>
          <x:t xml:space="preserve">281</x:t>
        </x:is>
      </x:c>
      <x:c r="D261" s="38" t="inlineStr">
        <x:is>
          <x:t xml:space="preserve">STAT-07</x:t>
        </x:is>
      </x:c>
      <x:c r="E261" s="38" t="inlineStr">
        <x:is>
          <x:t xml:space="preserve">Uniqueness results</x:t>
        </x:is>
      </x:c>
      <x:c r="F261" s="38" t="inlineStr">
        <x:is>
          <x:t xml:space="preserve">JusticeMercyOperator</x:t>
        </x:is>
      </x:c>
      <x:c r="G261" s="38" t="inlineStr">
        <x:is>
          <x:t xml:space="preserve">1 (Cross is the unique convergence configuration)</x:t>
        </x:is>
      </x:c>
      <x:c r="H261" s="38" t="n"/>
      <x:c r="I261" s="38" t="n"/>
      <x:c r="J261" s="38" t="n"/>
      <x:c r="K261" s="38" t="n"/>
      <x:c r="L261" s="38" t="inlineStr">
        <x:is>
          <x:t xml:space="preserve">0</x:t>
        </x:is>
      </x:c>
      <x:c r="M261" s="38" t="n"/>
      <x:c r="N261" s="38" t="n"/>
      <x:c r="O261" s="38" t="n"/>
      <x:c r="P261" s="38" t="inlineStr">
        <x:is>
          <x:t xml:space="preserve">NOT_FOUND_IN_HUB</x:t>
        </x:is>
      </x:c>
      <x:c r="Q261" s="38" t="inlineStr">
        <x:is>
          <x:t xml:space="preserve">Workbook theorem name not found in extracted hub Lean files.</x:t>
        </x:is>
      </x:c>
      <x:c r="R261" s="39" t="n"/>
    </x:row>
    <x:row r="262" ht="15" customHeight="1">
      <x:c r="A262" s="37" t="inlineStr">
        <x:is>
          <x:t xml:space="preserve">\\192.168.2.50\h_hp\Desktop\Master EXCEL\Lean 4.xlsx</x:t>
        </x:is>
      </x:c>
      <x:c r="B262" s="38" t="inlineStr">
        <x:is>
          <x:t xml:space="preserve">LEAN_DERIVATION_CHAIN</x:t>
        </x:is>
      </x:c>
      <x:c r="C262" s="38" t="inlineStr">
        <x:is>
          <x:t xml:space="preserve">282</x:t>
        </x:is>
      </x:c>
      <x:c r="D262" s="38" t="inlineStr">
        <x:is>
          <x:t xml:space="preserve">STAT-08</x:t>
        </x:is>
      </x:c>
      <x:c r="E262" s="38" t="inlineStr">
        <x:is>
          <x:t xml:space="preserve">Adversarial rejections proven</x:t>
        </x:is>
      </x:c>
      <x:c r="F262" s="38" t="n"/>
      <x:c r="G262" s="38" t="inlineStr">
        <x:is>
          <x:t xml:space="preserve">70+ (wrong swaps, false positives, wrong orderings, boundary tests)</x:t>
        </x:is>
      </x:c>
      <x:c r="H262" s="38" t="n"/>
      <x:c r="I262" s="38" t="n"/>
      <x:c r="J262" s="38" t="n"/>
      <x:c r="K262" s="38" t="n"/>
      <x:c r="L262" s="38" t="inlineStr">
        <x:is>
          <x:t xml:space="preserve">0</x:t>
        </x:is>
      </x:c>
      <x:c r="M262" s="38" t="n"/>
      <x:c r="N262" s="38" t="n"/>
      <x:c r="O262" s="38" t="n"/>
      <x:c r="P262" s="38" t="inlineStr">
        <x:is>
          <x:t xml:space="preserve">NOT_FOUND_IN_HUB</x:t>
        </x:is>
      </x:c>
      <x:c r="Q262" s="38" t="inlineStr">
        <x:is>
          <x:t xml:space="preserve">Workbook theorem name not found in extracted hub Lean files.</x:t>
        </x:is>
      </x:c>
      <x:c r="R262" s="39" t="n"/>
    </x:row>
    <x:row r="263" ht="15" customHeight="1">
      <x:c r="A263" s="37" t="inlineStr">
        <x:is>
          <x:t xml:space="preserve">\\192.168.2.50\h_hp\Desktop\Master EXCEL\Lean 4.xlsx</x:t>
        </x:is>
      </x:c>
      <x:c r="B263" s="38" t="inlineStr">
        <x:is>
          <x:t xml:space="preserve">LEAN_DERIVATION_CHAIN</x:t>
        </x:is>
      </x:c>
      <x:c r="C263" s="38" t="inlineStr">
        <x:is>
          <x:t xml:space="preserve">283</x:t>
        </x:is>
      </x:c>
      <x:c r="D263" s="38" t="inlineStr">
        <x:is>
          <x:t xml:space="preserve">STAT-09</x:t>
        </x:is>
      </x:c>
      <x:c r="E263" s="38" t="inlineStr">
        <x:is>
          <x:t xml:space="preserve">Formal dependency lattice edges</x:t>
        </x:is>
      </x:c>
      <x:c r="F263" s="38" t="inlineStr">
        <x:is>
          <x:t xml:space="preserve">DependencyLattice</x:t>
        </x:is>
      </x:c>
      <x:c r="G263" s="38" t="inlineStr">
        <x:is>
          <x:t xml:space="preserve">44 (20 theology + 24 physics)</x:t>
        </x:is>
      </x:c>
      <x:c r="H263" s="38" t="n"/>
      <x:c r="I263" s="38" t="n"/>
      <x:c r="J263" s="38" t="n"/>
      <x:c r="K263" s="38" t="n"/>
      <x:c r="L263" s="38" t="inlineStr">
        <x:is>
          <x:t xml:space="preserve">0</x:t>
        </x:is>
      </x:c>
      <x:c r="M263" s="38" t="n"/>
      <x:c r="N263" s="38" t="n"/>
      <x:c r="O263" s="38" t="n"/>
      <x:c r="P263" s="38" t="inlineStr">
        <x:is>
          <x:t xml:space="preserve">NOT_FOUND_IN_HUB</x:t>
        </x:is>
      </x:c>
      <x:c r="Q263" s="38" t="inlineStr">
        <x:is>
          <x:t xml:space="preserve">Workbook theorem name not found in extracted hub Lean files.</x:t>
        </x:is>
      </x:c>
      <x:c r="R263" s="39" t="n"/>
    </x:row>
    <x:row r="264" ht="15" customHeight="1">
      <x:c r="A264" s="37" t="inlineStr">
        <x:is>
          <x:t xml:space="preserve">\\192.168.2.50\h_hp\Desktop\Master EXCEL\Lean 4.xlsx</x:t>
        </x:is>
      </x:c>
      <x:c r="B264" s="38" t="inlineStr">
        <x:is>
          <x:t xml:space="preserve">LEAN_DERIVATION_CHAIN</x:t>
        </x:is>
      </x:c>
      <x:c r="C264" s="38" t="inlineStr">
        <x:is>
          <x:t xml:space="preserve">284</x:t>
        </x:is>
      </x:c>
      <x:c r="D264" s="38" t="inlineStr">
        <x:is>
          <x:t xml:space="preserve">STAT-10</x:t>
        </x:is>
      </x:c>
      <x:c r="E264" s="38" t="inlineStr">
        <x:is>
          <x:t xml:space="preserve">Cross-domain edge witnesses</x:t>
        </x:is>
      </x:c>
      <x:c r="F264" s="38" t="inlineStr">
        <x:is>
          <x:t xml:space="preserve">DependencyLattice</x:t>
        </x:is>
      </x:c>
      <x:c r="G264" s="38" t="inlineStr">
        <x:is>
          <x:t xml:space="preserve">3 formally proven</x:t>
        </x:is>
      </x:c>
      <x:c r="H264" s="38" t="n"/>
      <x:c r="I264" s="38" t="n"/>
      <x:c r="J264" s="38" t="n"/>
      <x:c r="K264" s="38" t="n"/>
      <x:c r="L264" s="38" t="inlineStr">
        <x:is>
          <x:t xml:space="preserve">0</x:t>
        </x:is>
      </x:c>
      <x:c r="M264" s="38" t="n"/>
      <x:c r="N264" s="38" t="n"/>
      <x:c r="O264" s="38" t="n"/>
      <x:c r="P264" s="38" t="inlineStr">
        <x:is>
          <x:t xml:space="preserve">NOT_FOUND_IN_HUB</x:t>
        </x:is>
      </x:c>
      <x:c r="Q264" s="38" t="inlineStr">
        <x:is>
          <x:t xml:space="preserve">Workbook theorem name not found in extracted hub Lean files.</x:t>
        </x:is>
      </x:c>
      <x:c r="R264" s="39" t="n"/>
    </x:row>
    <x:row r="265" ht="15" customHeight="1">
      <x:c r="A265" s="37" t="inlineStr">
        <x:is>
          <x:t xml:space="preserve">\\192.168.2.50\h_hp\Desktop\Master EXCEL\Lean 4.xlsx</x:t>
        </x:is>
      </x:c>
      <x:c r="B265" s="38" t="inlineStr">
        <x:is>
          <x:t xml:space="preserve">LEAN_DERIVATION_CHAIN</x:t>
        </x:is>
      </x:c>
      <x:c r="C265" s="38" t="inlineStr">
        <x:is>
          <x:t xml:space="preserve">285</x:t>
        </x:is>
      </x:c>
      <x:c r="D265" s="38" t="inlineStr">
        <x:is>
          <x:t xml:space="preserve">STAT-11</x:t>
        </x:is>
      </x:c>
      <x:c r="E265" s="38" t="inlineStr">
        <x:is>
          <x:t xml:space="preserve">Boundary conditions found</x:t>
        </x:is>
      </x:c>
      <x:c r="F265" s="38" t="n"/>
      <x:c r="G265" s="38" t="inlineStr">
        <x:is>
          <x:t xml:space="preserve">4 (label honesty, non-injective projection, product-only blindness, coin false positive)</x:t>
        </x:is>
      </x:c>
      <x:c r="H265" s="38" t="n"/>
      <x:c r="I265" s="38" t="n"/>
      <x:c r="J265" s="38" t="n"/>
      <x:c r="K265" s="38" t="n"/>
      <x:c r="L265" s="38" t="inlineStr">
        <x:is>
          <x:t xml:space="preserve">0</x:t>
        </x:is>
      </x:c>
      <x:c r="M265" s="38" t="n"/>
      <x:c r="N265" s="38" t="n"/>
      <x:c r="O265" s="38" t="n"/>
      <x:c r="P265" s="38" t="inlineStr">
        <x:is>
          <x:t xml:space="preserve">NOT_FOUND_IN_HUB</x:t>
        </x:is>
      </x:c>
      <x:c r="Q265" s="38" t="inlineStr">
        <x:is>
          <x:t xml:space="preserve">Workbook theorem name not found in extracted hub Lean files.</x:t>
        </x:is>
      </x:c>
      <x:c r="R265" s="39" t="n"/>
    </x:row>
    <x:row r="266" ht="15" customHeight="1">
      <x:c r="A266" s="37" t="inlineStr">
        <x:is>
          <x:t xml:space="preserve">\\192.168.2.50\h_hp\Desktop\Master EXCEL\Lean 4.xlsx</x:t>
        </x:is>
      </x:c>
      <x:c r="B266" s="38" t="inlineStr">
        <x:is>
          <x:t xml:space="preserve">LEAN_DERIVATION_CHAIN</x:t>
        </x:is>
      </x:c>
      <x:c r="C266" s="38" t="inlineStr">
        <x:is>
          <x:t xml:space="preserve">286</x:t>
        </x:is>
      </x:c>
      <x:c r="D266" s="38" t="inlineStr">
        <x:is>
          <x:t xml:space="preserve">DEPS</x:t>
        </x:is>
      </x:c>
      <x:c r="E266" s="38" t="inlineStr">
        <x:is>
          <x:t xml:space="preserve">IMPORT DEPENDENCY GRAPH</x:t>
        </x:is>
      </x:c>
      <x:c r="F266" s="38" t="n"/>
      <x:c r="G266" s="38" t="n"/>
      <x:c r="H266" s="38" t="n"/>
      <x:c r="I266" s="38" t="n"/>
      <x:c r="J266" s="38" t="n"/>
      <x:c r="K266" s="38" t="n"/>
      <x:c r="L266" s="38" t="inlineStr">
        <x:is>
          <x:t xml:space="preserve">0</x:t>
        </x:is>
      </x:c>
      <x:c r="M266" s="38" t="n"/>
      <x:c r="N266" s="38" t="n"/>
      <x:c r="O266" s="38" t="n"/>
      <x:c r="P266" s="38" t="inlineStr">
        <x:is>
          <x:t xml:space="preserve">NOT_FOUND_IN_HUB</x:t>
        </x:is>
      </x:c>
      <x:c r="Q266" s="38" t="inlineStr">
        <x:is>
          <x:t xml:space="preserve">Workbook theorem name not found in extracted hub Lean files.</x:t>
        </x:is>
      </x:c>
      <x:c r="R266" s="39" t="n"/>
    </x:row>
    <x:row r="267" ht="15" customHeight="1">
      <x:c r="A267" s="37" t="inlineStr">
        <x:is>
          <x:t xml:space="preserve">\\192.168.2.50\h_hp\Desktop\Master EXCEL\Lean 4.xlsx</x:t>
        </x:is>
      </x:c>
      <x:c r="B267" s="38" t="inlineStr">
        <x:is>
          <x:t xml:space="preserve">LEAN_DERIVATION_CHAIN</x:t>
        </x:is>
      </x:c>
      <x:c r="C267" s="38" t="inlineStr">
        <x:is>
          <x:t xml:space="preserve">287</x:t>
        </x:is>
      </x:c>
      <x:c r="D267" s="38" t="inlineStr">
        <x:is>
          <x:t xml:space="preserve">TRUNK</x:t>
        </x:is>
      </x:c>
      <x:c r="E267" s="38" t="inlineStr">
        <x:is>
          <x:t xml:space="preserve">Main chain (depth 8)</x:t>
        </x:is>
      </x:c>
      <x:c r="F267" s="38" t="inlineStr">
        <x:is>
          <x:t xml:space="preserve">Core → BridgeMatrix → FieldBridgeControls → BridgeScoreDiscipline → PolarityDiscipline → MemoryPersistenceDiscipline → SignConversionDiscipline → ChristOperatorDiscipline</x:t>
        </x:is>
      </x:c>
      <x:c r="G267" s="38" t="n"/>
      <x:c r="H267" s="38" t="inlineStr">
        <x:is>
          <x:t xml:space="preserve">The trunk: each layer builds on the previous. Core foundations → Bridge typing → Field controls → Score gating → Polarity → Memory → Sign conversion → Christ operator.</x:t>
        </x:is>
      </x:c>
      <x:c r="I267" s="38" t="n"/>
      <x:c r="J267" s="38" t="n"/>
      <x:c r="K267" s="38" t="n"/>
      <x:c r="L267" s="38" t="inlineStr">
        <x:is>
          <x:t xml:space="preserve">0</x:t>
        </x:is>
      </x:c>
      <x:c r="M267" s="38" t="n"/>
      <x:c r="N267" s="38" t="n"/>
      <x:c r="O267" s="38" t="n"/>
      <x:c r="P267" s="38" t="inlineStr">
        <x:is>
          <x:t xml:space="preserve">NOT_FOUND_IN_HUB</x:t>
        </x:is>
      </x:c>
      <x:c r="Q267" s="38" t="inlineStr">
        <x:is>
          <x:t xml:space="preserve">Workbook theorem name not found in extracted hub Lean files.</x:t>
        </x:is>
      </x:c>
      <x:c r="R267" s="39" t="n"/>
    </x:row>
    <x:row r="268" ht="15" customHeight="1">
      <x:c r="A268" s="37" t="inlineStr">
        <x:is>
          <x:t xml:space="preserve">\\192.168.2.50\h_hp\Desktop\Master EXCEL\Lean 4.xlsx</x:t>
        </x:is>
      </x:c>
      <x:c r="B268" s="38" t="inlineStr">
        <x:is>
          <x:t xml:space="preserve">LEAN_DERIVATION_CHAIN</x:t>
        </x:is>
      </x:c>
      <x:c r="C268" s="38" t="inlineStr">
        <x:is>
          <x:t xml:space="preserve">288</x:t>
        </x:is>
      </x:c>
      <x:c r="D268" s="38" t="inlineStr">
        <x:is>
          <x:t xml:space="preserve">BRANCH-1</x:t>
        </x:is>
      </x:c>
      <x:c r="E268" s="38" t="inlineStr">
        <x:is>
          <x:t xml:space="preserve">From ChristOperator</x:t>
        </x:is>
      </x:c>
      <x:c r="F268" s="38" t="inlineStr">
        <x:is>
          <x:t xml:space="preserve">ChristOperatorDiscipline → HitRateDiscipline</x:t>
        </x:is>
      </x:c>
      <x:c r="G268" s="38" t="n"/>
      <x:c r="H268" s="38" t="inlineStr">
        <x:is>
          <x:t xml:space="preserve">HitRate imports ChristOperator. Statistical integrity sits on top of the operator.</x:t>
        </x:is>
      </x:c>
      <x:c r="I268" s="38" t="n"/>
      <x:c r="J268" s="38" t="n"/>
      <x:c r="K268" s="38" t="n"/>
      <x:c r="L268" s="38" t="inlineStr">
        <x:is>
          <x:t xml:space="preserve">0</x:t>
        </x:is>
      </x:c>
      <x:c r="M268" s="38" t="n"/>
      <x:c r="N268" s="38" t="n"/>
      <x:c r="O268" s="38" t="n"/>
      <x:c r="P268" s="38" t="inlineStr">
        <x:is>
          <x:t xml:space="preserve">NOT_FOUND_IN_HUB</x:t>
        </x:is>
      </x:c>
      <x:c r="Q268" s="38" t="inlineStr">
        <x:is>
          <x:t xml:space="preserve">Workbook theorem name not found in extracted hub Lean files.</x:t>
        </x:is>
      </x:c>
      <x:c r="R268" s="39" t="n"/>
    </x:row>
    <x:row r="269" ht="15" customHeight="1">
      <x:c r="A269" s="37" t="inlineStr">
        <x:is>
          <x:t xml:space="preserve">\\192.168.2.50\h_hp\Desktop\Master EXCEL\Lean 4.xlsx</x:t>
        </x:is>
      </x:c>
      <x:c r="B269" s="38" t="inlineStr">
        <x:is>
          <x:t xml:space="preserve">LEAN_DERIVATION_CHAIN</x:t>
        </x:is>
      </x:c>
      <x:c r="C269" s="38" t="inlineStr">
        <x:is>
          <x:t xml:space="preserve">289</x:t>
        </x:is>
      </x:c>
      <x:c r="D269" s="38" t="inlineStr">
        <x:is>
          <x:t xml:space="preserve">BRANCH-2</x:t>
        </x:is>
      </x:c>
      <x:c r="E269" s="38" t="inlineStr">
        <x:is>
          <x:t xml:space="preserve">From ChristOperator</x:t>
        </x:is>
      </x:c>
      <x:c r="F269" s="38" t="inlineStr">
        <x:is>
          <x:t xml:space="preserve">ChristOperatorDiscipline → MissionReturnOperator</x:t>
        </x:is>
      </x:c>
      <x:c r="G269" s="38" t="n"/>
      <x:c r="H269" s="38" t="inlineStr">
        <x:is>
          <x:t xml:space="preserve">MissionReturn imports ChristOperator. Resurrection architecture builds on the conversion operator.</x:t>
        </x:is>
      </x:c>
      <x:c r="I269" s="38" t="n"/>
      <x:c r="J269" s="38" t="n"/>
      <x:c r="K269" s="38" t="n"/>
      <x:c r="L269" s="38" t="inlineStr">
        <x:is>
          <x:t xml:space="preserve">0</x:t>
        </x:is>
      </x:c>
      <x:c r="M269" s="38" t="n"/>
      <x:c r="N269" s="38" t="n"/>
      <x:c r="O269" s="38" t="n"/>
      <x:c r="P269" s="38" t="inlineStr">
        <x:is>
          <x:t xml:space="preserve">NOT_FOUND_IN_HUB</x:t>
        </x:is>
      </x:c>
      <x:c r="Q269" s="38" t="inlineStr">
        <x:is>
          <x:t xml:space="preserve">Workbook theorem name not found in extracted hub Lean files.</x:t>
        </x:is>
      </x:c>
      <x:c r="R269" s="39" t="n"/>
    </x:row>
    <x:row r="270" ht="15" customHeight="1">
      <x:c r="A270" s="37" t="inlineStr">
        <x:is>
          <x:t xml:space="preserve">\\192.168.2.50\h_hp\Desktop\Master EXCEL\Lean 4.xlsx</x:t>
        </x:is>
      </x:c>
      <x:c r="B270" s="38" t="inlineStr">
        <x:is>
          <x:t xml:space="preserve">LEAN_DERIVATION_CHAIN</x:t>
        </x:is>
      </x:c>
      <x:c r="C270" s="38" t="inlineStr">
        <x:is>
          <x:t xml:space="preserve">290</x:t>
        </x:is>
      </x:c>
      <x:c r="D270" s="38" t="inlineStr">
        <x:is>
          <x:t xml:space="preserve">BRANCH-3</x:t>
        </x:is>
      </x:c>
      <x:c r="E270" s="38" t="inlineStr">
        <x:is>
          <x:t xml:space="preserve">From BridgeMatrix</x:t>
        </x:is>
      </x:c>
      <x:c r="F270" s="38" t="inlineStr">
        <x:is>
          <x:t xml:space="preserve">BridgeMatrix → MasterEquationInvariance</x:t>
        </x:is>
      </x:c>
      <x:c r="G270" s="38" t="n"/>
      <x:c r="H270" s="38" t="inlineStr">
        <x:is>
          <x:t xml:space="preserve">Invariance imports BridgeMatrix directly. Product + signature invariance.</x:t>
        </x:is>
      </x:c>
      <x:c r="I270" s="38" t="n"/>
      <x:c r="J270" s="38" t="n"/>
      <x:c r="K270" s="38" t="n"/>
      <x:c r="L270" s="38" t="inlineStr">
        <x:is>
          <x:t xml:space="preserve">0</x:t>
        </x:is>
      </x:c>
      <x:c r="M270" s="38" t="n"/>
      <x:c r="N270" s="38" t="n"/>
      <x:c r="O270" s="38" t="n"/>
      <x:c r="P270" s="38" t="inlineStr">
        <x:is>
          <x:t xml:space="preserve">NOT_FOUND_IN_HUB</x:t>
        </x:is>
      </x:c>
      <x:c r="Q270" s="38" t="inlineStr">
        <x:is>
          <x:t xml:space="preserve">Workbook theorem name not found in extracted hub Lean files.</x:t>
        </x:is>
      </x:c>
      <x:c r="R270" s="39" t="n"/>
    </x:row>
    <x:row r="271" ht="15" customHeight="1">
      <x:c r="A271" s="40" t="inlineStr">
        <x:is>
          <x:t xml:space="preserve">\\192.168.2.50\h_hp\Desktop\Master EXCEL\Lean 4.xlsx</x:t>
        </x:is>
      </x:c>
      <x:c r="B271" s="41" t="inlineStr">
        <x:is>
          <x:t xml:space="preserve">LEAN_DERIVATION_CHAIN</x:t>
        </x:is>
      </x:c>
      <x:c r="C271" s="41" t="inlineStr">
        <x:is>
          <x:t xml:space="preserve">291</x:t>
        </x:is>
      </x:c>
      <x:c r="D271" s="41" t="inlineStr">
        <x:is>
          <x:t xml:space="preserve">STANDALONE</x:t>
        </x:is>
      </x:c>
      <x:c r="E271" s="41" t="inlineStr">
        <x:is>
          <x:t xml:space="preserve">Independent (no imports)</x:t>
        </x:is>
      </x:c>
      <x:c r="F271" s="41" t="inlineStr">
        <x:is>
          <x:t xml:space="preserve">StageMachine, Mapping, IsomorphismTest, DependencyLattice, MaxwellTrinity, JusticeMercyOperator</x:t>
        </x:is>
      </x:c>
      <x:c r="G271" s="41" t="n"/>
      <x:c r="H271" s="41" t="inlineStr">
        <x:is>
          <x:t xml:space="preserve">Six standalone files. Each proves its claims without depending on the trunk. JusticeMercy + MaxwellTrinity are the strongest standalone results.</x:t>
        </x:is>
      </x:c>
      <x:c r="I271" s="41" t="n"/>
      <x:c r="J271" s="41" t="n"/>
      <x:c r="K271" s="41" t="n"/>
      <x:c r="L271" s="41" t="inlineStr">
        <x:is>
          <x:t xml:space="preserve">0</x:t>
        </x:is>
      </x:c>
      <x:c r="M271" s="41" t="n"/>
      <x:c r="N271" s="41" t="n"/>
      <x:c r="O271" s="41" t="n"/>
      <x:c r="P271" s="41" t="inlineStr">
        <x:is>
          <x:t xml:space="preserve">NOT_FOUND_IN_HUB</x:t>
        </x:is>
      </x:c>
      <x:c r="Q271" s="41" t="inlineStr">
        <x:is>
          <x:t xml:space="preserve">Workbook theorem name not found in extracted hub Lean files.</x:t>
        </x:is>
      </x:c>
      <x:c r="R271" s="42" t="n"/>
    </x:row>
  </x:sheetData>
  <x:pageMargins left="0.7" right="0.7" top="0.75" bottom="0.75" header="0.3" footer="0.3"/>
</x:worksheet>
</file>

<file path=xl/worksheets/sheet21.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17" width="24.44140625" style="49" customWidth="1"/>
    <x:col min="18" max="16384" width="8.88671875" style="49" customWidth="1"/>
  </x:cols>
  <x:sheetData>
    <x:row r="1" ht="15" customHeight="1">
      <x:c r="A1" s="34" t="inlineStr">
        <x:is>
          <x:t xml:space="preserve">Claim_ID</x:t>
        </x:is>
      </x:c>
      <x:c r="B1" s="35" t="inlineStr">
        <x:is>
          <x:t xml:space="preserve">Theorem_Name</x:t>
        </x:is>
      </x:c>
      <x:c r="C1" s="35" t="inlineStr">
        <x:is>
          <x:t xml:space="preserve">Claim_Class</x:t>
        </x:is>
      </x:c>
      <x:c r="D1" s="35" t="inlineStr">
        <x:is>
          <x:t xml:space="preserve">Evidence_Rung</x:t>
        </x:is>
      </x:c>
      <x:c r="E1" s="35" t="inlineStr">
        <x:is>
          <x:t xml:space="preserve">Proof_Strength</x:t>
        </x:is>
      </x:c>
      <x:c r="F1" s="35" t="inlineStr">
        <x:is>
          <x:t xml:space="preserve">Public_Claim_Risk</x:t>
        </x:is>
      </x:c>
      <x:c r="G1" s="35" t="inlineStr">
        <x:is>
          <x:t xml:space="preserve">Exact_Lean_Source</x:t>
        </x:is>
      </x:c>
      <x:c r="H1" s="35" t="inlineStr">
        <x:is>
          <x:t xml:space="preserve">Lean_Line</x:t>
        </x:is>
      </x:c>
      <x:c r="I1" s="35" t="inlineStr">
        <x:is>
          <x:t xml:space="preserve">Literal_Lean_Statement</x:t>
        </x:is>
      </x:c>
      <x:c r="J1" s="35" t="inlineStr">
        <x:is>
          <x:t xml:space="preserve">Workbook_Public_Claim</x:t>
        </x:is>
      </x:c>
      <x:c r="K1" s="35" t="inlineStr">
        <x:is>
          <x:t xml:space="preserve">What_Was_Defined</x:t>
        </x:is>
      </x:c>
      <x:c r="L1" s="35" t="inlineStr">
        <x:is>
          <x:t xml:space="preserve">What_Was_Formally_Proven</x:t>
        </x:is>
      </x:c>
      <x:c r="M1" s="35" t="inlineStr">
        <x:is>
          <x:t xml:space="preserve">What_Was_Numerically_Demonstrated</x:t>
        </x:is>
      </x:c>
      <x:c r="N1" s="35" t="inlineStr">
        <x:is>
          <x:t xml:space="preserve">What_Was_Empirically_Observed</x:t>
        </x:is>
      </x:c>
      <x:c r="O1" s="35" t="inlineStr">
        <x:is>
          <x:t xml:space="preserve">Interpretation_Proposed</x:t>
        </x:is>
      </x:c>
      <x:c r="P1" s="35" t="inlineStr">
        <x:is>
          <x:t xml:space="preserve">Kill_Condition</x:t>
        </x:is>
      </x:c>
      <x:c r="Q1" s="36" t="inlineStr">
        <x:is>
          <x:t xml:space="preserve">Next_Action</x:t>
        </x:is>
      </x:c>
    </x:row>
    <x:row r="2" ht="15" customHeight="1">
      <x:c r="A2" s="37" t="inlineStr">
        <x:is>
          <x:t xml:space="preserve">1</x:t>
        </x:is>
      </x:c>
      <x:c r="B2" s="38" t="inlineStr">
        <x:is>
          <x:t xml:space="preserve">C0_ne_C1</x:t>
        </x:is>
      </x:c>
      <x:c r="C2" s="38" t="inlineStr">
        <x:is>
          <x:t xml:space="preserve">C2 - Structural correspondence candidate</x:t>
        </x:is>
      </x:c>
      <x:c r="D2" s="38" t="inlineStr">
        <x:is>
          <x:t xml:space="preserve">3 - Internal formal consistency</x:t>
        </x:is>
      </x:c>
      <x:c r="E2" s="38" t="inlineStr">
        <x:is>
          <x:t xml:space="preserve">FINITE_DECIDABLE</x:t>
        </x:is>
      </x:c>
      <x:c r="F2" s="38" t="inlineStr">
        <x:is>
          <x:t xml:space="preserve">LOW/MEDIUM - still needs theorem-to-public-claim translation.</x:t>
        </x:is>
      </x:c>
      <x:c r="G2" s="38" t="inlineStr">
        <x:is>
          <x:t xml:space="preserve">theophysics-lean-main\theophysics-lean-main\Final_Lean4_From_Excel.lean</x:t>
        </x:is>
      </x:c>
      <x:c r="H2" s="38" t="inlineStr">
        <x:is>
          <x:t xml:space="preserve">26</x:t>
        </x:is>
      </x:c>
      <x:c r="I2" s="38" t="inlineStr">
        <x:is>
          <x:t xml:space="preserve">theorem C0_ne_C1 : CouplingState.C0 ≠ CouplingState.C1</x:t>
        </x:is>
      </x:c>
      <x:c r="J2" s="38" t="inlineStr">
        <x:is>
          <x:t xml:space="preserve">C0 ≠ C1 — the two coupling states are structurally distinct</x:t>
        </x:is>
      </x:c>
      <x:c r="K2" s="38" t="inlineStr">
        <x:is>
          <x:t xml:space="preserve">TODO: list constructors/definitions/candidate restrictions.</x:t>
        </x:is>
      </x:c>
      <x:c r="L2" s="38" t="inlineStr">
        <x:is>
          <x:t xml:space="preserve">TODO: translate exact Lean statement only.</x:t>
        </x:is>
      </x:c>
      <x:c r="M2" s="38" t="inlineStr">
        <x:is>
          <x:t xml:space="preserve">TODO: link Colab/Python artifact or mark not tested.</x:t>
        </x:is>
      </x:c>
      <x:c r="N2" s="38" t="inlineStr">
        <x:is>
          <x:t xml:space="preserve">TODO: link dataset/observation or mark not empirical.</x:t>
        </x:is>
      </x:c>
      <x:c r="O2" s="38" t="inlineStr">
        <x:is>
          <x:t xml:space="preserve">TODO: theological/philosophical interpretation; do not merge with proof.</x:t>
        </x:is>
      </x:c>
      <x:c r="P2" s="38" t="inlineStr">
        <x:is>
          <x:t xml:space="preserve">TODO: formal, dynamical, empirical, or mapping kill condition.</x:t>
        </x:is>
      </x:c>
      <x:c r="Q2" s="39" t="inlineStr">
        <x:is>
          <x:t xml:space="preserve">Downgrade wording or strengthen proof if risk is HIGH; otherwise add evidence links.</x:t>
        </x:is>
      </x:c>
    </x:row>
    <x:row r="3" ht="15" customHeight="1">
      <x:c r="A3" s="37" t="inlineStr">
        <x:is>
          <x:t xml:space="preserve">2</x:t>
        </x:is>
      </x:c>
      <x:c r="B3" s="38" t="inlineStr">
        <x:is>
          <x:t xml:space="preserve">C1_ne_C0</x:t>
        </x:is>
      </x:c>
      <x:c r="C3" s="38" t="inlineStr">
        <x:is>
          <x:t xml:space="preserve">C2 - Structural correspondence candidate</x:t>
        </x:is>
      </x:c>
      <x:c r="D3" s="38" t="inlineStr">
        <x:is>
          <x:t xml:space="preserve">3 - Internal formal consistency</x:t>
        </x:is>
      </x:c>
      <x:c r="E3" s="38" t="inlineStr">
        <x:is>
          <x:t xml:space="preserve">FINITE_DECIDABLE</x:t>
        </x:is>
      </x:c>
      <x:c r="F3" s="38" t="inlineStr">
        <x:is>
          <x:t xml:space="preserve">LOW/MEDIUM - still needs theorem-to-public-claim translation.</x:t>
        </x:is>
      </x:c>
      <x:c r="G3" s="38" t="inlineStr">
        <x:is>
          <x:t xml:space="preserve">theophysics-lean-main\theophysics-lean-main\Final_Lean4_From_Excel.lean</x:t>
        </x:is>
      </x:c>
      <x:c r="H3" s="38" t="inlineStr">
        <x:is>
          <x:t xml:space="preserve">29</x:t>
        </x:is>
      </x:c>
      <x:c r="I3" s="38" t="inlineStr">
        <x:is>
          <x:t xml:space="preserve">theorem C1_ne_C0 : CouplingState.C1 ≠ CouplingState.C0</x:t>
        </x:is>
      </x:c>
      <x:c r="J3" s="38" t="inlineStr">
        <x:is>
          <x:t xml:space="preserve">C1 ≠ C0 (symmetric direction)</x:t>
        </x:is>
      </x:c>
      <x:c r="K3" s="38" t="inlineStr">
        <x:is>
          <x:t xml:space="preserve">TODO: list constructors/definitions/candidate restrictions.</x:t>
        </x:is>
      </x:c>
      <x:c r="L3" s="38" t="inlineStr">
        <x:is>
          <x:t xml:space="preserve">TODO: translate exact Lean statement only.</x:t>
        </x:is>
      </x:c>
      <x:c r="M3" s="38" t="inlineStr">
        <x:is>
          <x:t xml:space="preserve">TODO: link Colab/Python artifact or mark not tested.</x:t>
        </x:is>
      </x:c>
      <x:c r="N3" s="38" t="inlineStr">
        <x:is>
          <x:t xml:space="preserve">TODO: link dataset/observation or mark not empirical.</x:t>
        </x:is>
      </x:c>
      <x:c r="O3" s="38" t="inlineStr">
        <x:is>
          <x:t xml:space="preserve">TODO: theological/philosophical interpretation; do not merge with proof.</x:t>
        </x:is>
      </x:c>
      <x:c r="P3" s="38" t="inlineStr">
        <x:is>
          <x:t xml:space="preserve">TODO: formal, dynamical, empirical, or mapping kill condition.</x:t>
        </x:is>
      </x:c>
      <x:c r="Q3" s="39" t="inlineStr">
        <x:is>
          <x:t xml:space="preserve">Downgrade wording or strengthen proof if risk is HIGH; otherwise add evidence links.</x:t>
        </x:is>
      </x:c>
    </x:row>
    <x:row r="4" ht="15" customHeight="1">
      <x:c r="A4" s="37" t="inlineStr">
        <x:is>
          <x:t xml:space="preserve">3</x:t>
        </x:is>
      </x:c>
      <x:c r="B4" s="38" t="inlineStr">
        <x:is>
          <x:t xml:space="preserve">coupling_modification_irreversible</x:t>
        </x:is>
      </x:c>
      <x:c r="C4" s="38" t="inlineStr">
        <x:is>
          <x:t xml:space="preserve">C2 - Structural correspondence candidate</x:t>
        </x:is>
      </x:c>
      <x:c r="D4" s="38" t="inlineStr">
        <x:is>
          <x:t xml:space="preserve">3 - Internal formal consistency; cite underlying theorem</x:t>
        </x:is>
      </x:c>
      <x:c r="E4" s="38" t="inlineStr">
        <x:is>
          <x:t xml:space="preserve">WRAPPER_OR_IMPORTED</x:t>
        </x:is>
      </x:c>
      <x:c r="F4" s="38" t="inlineStr">
        <x:is>
          <x:t xml:space="preserve">MEDIUM - cite underlying theorem, not just wrapper.</x:t>
        </x:is>
      </x:c>
      <x:c r="G4" s="38" t="inlineStr">
        <x:is>
          <x:t xml:space="preserve">theophysics-lean-main\theophysics-lean-main\Final_Lean4_From_Excel.lean</x:t>
        </x:is>
      </x:c>
      <x:c r="H4" s="38" t="inlineStr">
        <x:is>
          <x:t xml:space="preserve">32</x:t>
        </x:is>
      </x:c>
      <x:c r="I4" s="38" t="inlineStr">
        <x:is>
          <x:t xml:space="preserve">theorem coupling_modification_irreversible : ¬ ∃ x, transition x = some CouplingState.C0</x:t>
        </x:is>
      </x:c>
      <x:c r="J4" s="38" t="inlineStr">
        <x:is>
          <x:t xml:space="preserve">C0 → C1 is one-way; C1 → C0 has no constructor. The transition cannot be undone.</x:t>
        </x:is>
      </x:c>
      <x:c r="K4" s="38" t="inlineStr">
        <x:is>
          <x:t xml:space="preserve">TODO: list constructors/definitions/candidate restrictions.</x:t>
        </x:is>
      </x:c>
      <x:c r="L4" s="38" t="inlineStr">
        <x:is>
          <x:t xml:space="preserve">TODO: translate exact Lean statement only.</x:t>
        </x:is>
      </x:c>
      <x:c r="M4" s="38" t="inlineStr">
        <x:is>
          <x:t xml:space="preserve">TODO: link Colab/Python artifact or mark not tested.</x:t>
        </x:is>
      </x:c>
      <x:c r="N4" s="38" t="inlineStr">
        <x:is>
          <x:t xml:space="preserve">TODO: link dataset/observation or mark not empirical.</x:t>
        </x:is>
      </x:c>
      <x:c r="O4" s="38" t="inlineStr">
        <x:is>
          <x:t xml:space="preserve">TODO: theological/philosophical interpretation; do not merge with proof.</x:t>
        </x:is>
      </x:c>
      <x:c r="P4" s="38" t="inlineStr">
        <x:is>
          <x:t xml:space="preserve">TODO: formal, dynamical, empirical, or mapping kill condition.</x:t>
        </x:is>
      </x:c>
      <x:c r="Q4" s="39" t="inlineStr">
        <x:is>
          <x:t xml:space="preserve">Downgrade wording or strengthen proof if risk is HIGH; otherwise add evidence links.</x:t>
        </x:is>
      </x:c>
    </x:row>
    <x:row r="5" ht="15" customHeight="1">
      <x:c r="A5" s="37" t="inlineStr">
        <x:is>
          <x:t xml:space="preserve">4</x:t>
        </x:is>
      </x:c>
      <x:c r="B5" s="38" t="inlineStr">
        <x:is>
          <x:t xml:space="preserve">Q_zero_collapses_chi</x:t>
        </x:is>
      </x:c>
      <x:c r="C5" s="38" t="inlineStr">
        <x:is>
          <x:t xml:space="preserve">C2 - Structural correspondence candidate</x:t>
        </x:is>
      </x:c>
      <x:c r="D5" s="38" t="inlineStr">
        <x:is>
          <x:t xml:space="preserve">3 - Internal formal consistency</x:t>
        </x:is>
      </x:c>
      <x:c r="E5" s="38" t="inlineStr">
        <x:is>
          <x:t xml:space="preserve">SIMPLIFICATION</x:t>
        </x:is>
      </x:c>
      <x:c r="F5" s="38" t="inlineStr">
        <x:is>
          <x:t xml:space="preserve">MEDIUM - definition strength must be audited.</x:t>
        </x:is>
      </x:c>
      <x:c r="G5" s="38" t="inlineStr">
        <x:is>
          <x:t xml:space="preserve">theophysics-lean-main\theophysics-lean-main\Final_Lean4_From_Excel.lean</x:t>
        </x:is>
      </x:c>
      <x:c r="H5" s="38" t="inlineStr">
        <x:is>
          <x:t xml:space="preserve">88</x:t>
        </x:is>
      </x:c>
      <x:c r="I5" s="38" t="inlineStr">
        <x:is>
          <x:t xml:space="preserve">theorem Q_zero_collapses_chi (x : FactorState) (h : x.Q = 0) : chi x = 0</x:t>
        </x:is>
      </x:c>
      <x:c r="J5" s="38" t="inlineStr">
        <x:is>
          <x:t xml:space="preserve">If Q = 0, then χ = 0 regardless of all other factors. Any single zero kills the product.</x:t>
        </x:is>
      </x:c>
      <x:c r="K5" s="38" t="inlineStr">
        <x:is>
          <x:t xml:space="preserve">TODO: list constructors/definitions/candidate restrictions.</x:t>
        </x:is>
      </x:c>
      <x:c r="L5" s="38" t="inlineStr">
        <x:is>
          <x:t xml:space="preserve">TODO: translate exact Lean statement only.</x:t>
        </x:is>
      </x:c>
      <x:c r="M5" s="38" t="inlineStr">
        <x:is>
          <x:t xml:space="preserve">TODO: link Colab/Python artifact or mark not tested.</x:t>
        </x:is>
      </x:c>
      <x:c r="N5" s="38" t="inlineStr">
        <x:is>
          <x:t xml:space="preserve">TODO: link dataset/observation or mark not empirical.</x:t>
        </x:is>
      </x:c>
      <x:c r="O5" s="38" t="inlineStr">
        <x:is>
          <x:t xml:space="preserve">TODO: theological/philosophical interpretation; do not merge with proof.</x:t>
        </x:is>
      </x:c>
      <x:c r="P5" s="38" t="inlineStr">
        <x:is>
          <x:t xml:space="preserve">TODO: formal, dynamical, empirical, or mapping kill condition.</x:t>
        </x:is>
      </x:c>
      <x:c r="Q5" s="39" t="inlineStr">
        <x:is>
          <x:t xml:space="preserve">Downgrade wording or strengthen proof if risk is HIGH; otherwise add evidence links.</x:t>
        </x:is>
      </x:c>
    </x:row>
    <x:row r="6" ht="15" customHeight="1">
      <x:c r="A6" s="37" t="inlineStr">
        <x:is>
          <x:t xml:space="preserve">5</x:t>
        </x:is>
      </x:c>
      <x:c r="B6" s="38" t="inlineStr">
        <x:is>
          <x:t xml:space="preserve">Q_nonzero_not_sufficient_for_positive_chi</x:t>
        </x:is>
      </x:c>
      <x:c r="C6" s="38" t="inlineStr">
        <x:is>
          <x:t xml:space="preserve">C2 - Structural correspondence candidate</x:t>
        </x:is>
      </x:c>
      <x:c r="D6" s="38" t="inlineStr">
        <x:is>
          <x:t xml:space="preserve">4 - Negative and countermodel tests</x:t>
        </x:is>
      </x:c>
      <x:c r="E6" s="38" t="inlineStr">
        <x:is>
          <x:t xml:space="preserve">SUBSTANTIVE_OR_CASE_PROOF</x:t>
        </x:is>
      </x:c>
      <x:c r="F6" s="38" t="inlineStr">
        <x:is>
          <x:t xml:space="preserve">LOW/MEDIUM - still needs theorem-to-public-claim translation.</x:t>
        </x:is>
      </x:c>
      <x:c r="G6" s="38" t="inlineStr">
        <x:is>
          <x:t xml:space="preserve">theophysics-lean-main\theophysics-lean-main\Final_Lean4_From_Excel.lean</x:t>
        </x:is>
      </x:c>
      <x:c r="H6" s="38" t="inlineStr">
        <x:is>
          <x:t xml:space="preserve">122</x:t>
        </x:is>
      </x:c>
      <x:c r="I6" s="38" t="inlineStr">
        <x:is>
          <x:t xml:space="preserve">theorem Q_nonzero_not_sufficient_for_positive_chi (x : FactorState) (hQ : x.Q &gt; 0) (hG : x.G = 0) : ¬ chi x &gt; 0</x:t>
        </x:is>
      </x:c>
      <x:c r="J6" s="38" t="inlineStr">
        <x:is>
          <x:t xml:space="preserve">Q &gt; 0 does NOT guarantee χ &gt; 0 (G = 0 still kills it). No single factor saves you.</x:t>
        </x:is>
      </x:c>
      <x:c r="K6" s="38" t="inlineStr">
        <x:is>
          <x:t xml:space="preserve">TODO: list constructors/definitions/candidate restrictions.</x:t>
        </x:is>
      </x:c>
      <x:c r="L6" s="38" t="inlineStr">
        <x:is>
          <x:t xml:space="preserve">TODO: translate exact Lean statement only.</x:t>
        </x:is>
      </x:c>
      <x:c r="M6" s="38" t="inlineStr">
        <x:is>
          <x:t xml:space="preserve">TODO: link Colab/Python artifact or mark not tested.</x:t>
        </x:is>
      </x:c>
      <x:c r="N6" s="38" t="inlineStr">
        <x:is>
          <x:t xml:space="preserve">TODO: link dataset/observation or mark not empirical.</x:t>
        </x:is>
      </x:c>
      <x:c r="O6" s="38" t="inlineStr">
        <x:is>
          <x:t xml:space="preserve">TODO: theological/philosophical interpretation; do not merge with proof.</x:t>
        </x:is>
      </x:c>
      <x:c r="P6" s="38" t="inlineStr">
        <x:is>
          <x:t xml:space="preserve">TODO: formal, dynamical, empirical, or mapping kill condition.</x:t>
        </x:is>
      </x:c>
      <x:c r="Q6" s="39" t="inlineStr">
        <x:is>
          <x:t xml:space="preserve">Downgrade wording or strengthen proof if risk is HIGH; otherwise add evidence links.</x:t>
        </x:is>
      </x:c>
    </x:row>
    <x:row r="7" ht="15" customHeight="1">
      <x:c r="A7" s="37" t="inlineStr">
        <x:is>
          <x:t xml:space="preserve">6</x:t>
        </x:is>
      </x:c>
      <x:c r="B7" s="38" t="inlineStr">
        <x:is>
          <x:t xml:space="preserve">reaches_localization_from_pre</x:t>
        </x:is>
      </x:c>
      <x:c r="C7" s="38" t="inlineStr">
        <x:is>
          <x:t xml:space="preserve">C2 - Structural correspondence candidate</x:t>
        </x:is>
      </x:c>
      <x:c r="D7" s="38" t="inlineStr">
        <x:is>
          <x:t xml:space="preserve">2 - Defined model / marker theorem only</x:t>
        </x:is>
      </x:c>
      <x:c r="E7" s="38" t="inlineStr">
        <x:is>
          <x:t xml:space="preserve">TRIVIAL_TRUE</x:t>
        </x:is>
      </x:c>
      <x:c r="F7" s="38" t="inlineStr">
        <x:is>
          <x:t xml:space="preserve">HIGH - theorem name/public sentence may exceed formal statement.</x:t>
        </x:is>
      </x:c>
      <x:c r="G7" s="38" t="inlineStr">
        <x:is>
          <x:t xml:space="preserve">theophysics-lean-main\theophysics-lean-main\Theophysics_Core.lean</x:t>
        </x:is>
      </x:c>
      <x:c r="H7" s="38" t="inlineStr">
        <x:is>
          <x:t xml:space="preserve">36</x:t>
        </x:is>
      </x:c>
      <x:c r="I7" s="38" t="inlineStr">
        <x:is>
          <x:t xml:space="preserve">theorem reaches_localization_from_pre : True</x:t>
        </x:is>
      </x:c>
      <x:c r="J7" s="38" t="inlineStr">
        <x:is>
          <x:t xml:space="preserve">preLocalization can reach localization</x:t>
        </x:is>
      </x:c>
      <x:c r="K7" s="38" t="inlineStr">
        <x:is>
          <x:t xml:space="preserve">TODO: list constructors/definitions/candidate restrictions.</x:t>
        </x:is>
      </x:c>
      <x:c r="L7" s="38" t="inlineStr">
        <x:is>
          <x:t xml:space="preserve">TODO: translate exact Lean statement only.</x:t>
        </x:is>
      </x:c>
      <x:c r="M7" s="38" t="inlineStr">
        <x:is>
          <x:t xml:space="preserve">TODO: link Colab/Python artifact or mark not tested.</x:t>
        </x:is>
      </x:c>
      <x:c r="N7" s="38" t="inlineStr">
        <x:is>
          <x:t xml:space="preserve">TODO: link dataset/observation or mark not empirical.</x:t>
        </x:is>
      </x:c>
      <x:c r="O7" s="38" t="inlineStr">
        <x:is>
          <x:t xml:space="preserve">TODO: theological/philosophical interpretation; do not merge with proof.</x:t>
        </x:is>
      </x:c>
      <x:c r="P7" s="38" t="inlineStr">
        <x:is>
          <x:t xml:space="preserve">TODO: formal, dynamical, empirical, or mapping kill condition.</x:t>
        </x:is>
      </x:c>
      <x:c r="Q7" s="39" t="inlineStr">
        <x:is>
          <x:t xml:space="preserve">Downgrade wording or strengthen proof if risk is HIGH; otherwise add evidence links.</x:t>
        </x:is>
      </x:c>
    </x:row>
    <x:row r="8" ht="15" customHeight="1">
      <x:c r="A8" s="37" t="inlineStr">
        <x:is>
          <x:t xml:space="preserve">7</x:t>
        </x:is>
      </x:c>
      <x:c r="B8" s="38" t="inlineStr">
        <x:is>
          <x:t xml:space="preserve">reaches_redistribution_from_pre</x:t>
        </x:is>
      </x:c>
      <x:c r="C8" s="38" t="inlineStr">
        <x:is>
          <x:t xml:space="preserve">C2 - Structural correspondence candidate</x:t>
        </x:is>
      </x:c>
      <x:c r="D8" s="38" t="inlineStr">
        <x:is>
          <x:t xml:space="preserve">2 - Defined model / marker theorem only</x:t>
        </x:is>
      </x:c>
      <x:c r="E8" s="38" t="inlineStr">
        <x:is>
          <x:t xml:space="preserve">TRIVIAL_TRUE</x:t>
        </x:is>
      </x:c>
      <x:c r="F8" s="38" t="inlineStr">
        <x:is>
          <x:t xml:space="preserve">HIGH - theorem name/public sentence may exceed formal statement.</x:t>
        </x:is>
      </x:c>
      <x:c r="G8" s="38" t="inlineStr">
        <x:is>
          <x:t xml:space="preserve">theophysics-lean-main\theophysics-lean-main\Theophysics_Core.lean</x:t>
        </x:is>
      </x:c>
      <x:c r="H8" s="38" t="inlineStr">
        <x:is>
          <x:t xml:space="preserve">37</x:t>
        </x:is>
      </x:c>
      <x:c r="I8" s="38" t="inlineStr">
        <x:is>
          <x:t xml:space="preserve">theorem reaches_redistribution_from_pre : True</x:t>
        </x:is>
      </x:c>
      <x:c r="J8" s="38" t="inlineStr">
        <x:is>
          <x:t xml:space="preserve">Full 5-step sequence is reachable from preLocalization to redistribution</x:t>
        </x:is>
      </x:c>
      <x:c r="K8" s="38" t="inlineStr">
        <x:is>
          <x:t xml:space="preserve">TODO: list constructors/definitions/candidate restrictions.</x:t>
        </x:is>
      </x:c>
      <x:c r="L8" s="38" t="inlineStr">
        <x:is>
          <x:t xml:space="preserve">TODO: translate exact Lean statement only.</x:t>
        </x:is>
      </x:c>
      <x:c r="M8" s="38" t="inlineStr">
        <x:is>
          <x:t xml:space="preserve">TODO: link Colab/Python artifact or mark not tested.</x:t>
        </x:is>
      </x:c>
      <x:c r="N8" s="38" t="inlineStr">
        <x:is>
          <x:t xml:space="preserve">TODO: link dataset/observation or mark not empirical.</x:t>
        </x:is>
      </x:c>
      <x:c r="O8" s="38" t="inlineStr">
        <x:is>
          <x:t xml:space="preserve">TODO: theological/philosophical interpretation; do not merge with proof.</x:t>
        </x:is>
      </x:c>
      <x:c r="P8" s="38" t="inlineStr">
        <x:is>
          <x:t xml:space="preserve">TODO: formal, dynamical, empirical, or mapping kill condition.</x:t>
        </x:is>
      </x:c>
      <x:c r="Q8" s="39" t="inlineStr">
        <x:is>
          <x:t xml:space="preserve">Downgrade wording or strengthen proof if risk is HIGH; otherwise add evidence links.</x:t>
        </x:is>
      </x:c>
    </x:row>
    <x:row r="9" ht="15" customHeight="1">
      <x:c r="A9" s="37" t="inlineStr">
        <x:is>
          <x:t xml:space="preserve">8</x:t>
        </x:is>
      </x:c>
      <x:c r="B9" s="38" t="inlineStr">
        <x:is>
          <x:t xml:space="preserve">no_stage_step_back_to_pre_from_localization</x:t>
        </x:is>
      </x:c>
      <x:c r="C9" s="38" t="inlineStr">
        <x:is>
          <x:t xml:space="preserve">C2 - Structural correspondence candidate</x:t>
        </x:is>
      </x:c>
      <x:c r="D9" s="38" t="inlineStr">
        <x:is>
          <x:t xml:space="preserve">4 - Negative and countermodel tests</x:t>
        </x:is>
      </x:c>
      <x:c r="E9" s="38" t="inlineStr">
        <x:is>
          <x:t xml:space="preserve">DEFINITIONAL_RFL</x:t>
        </x:is>
      </x:c>
      <x:c r="F9" s="38" t="inlineStr">
        <x:is>
          <x:t xml:space="preserve">MEDIUM - definition strength must be audited.</x:t>
        </x:is>
      </x:c>
      <x:c r="G9" s="38" t="inlineStr">
        <x:is>
          <x:t xml:space="preserve">theophysics-lean-main\theophysics-lean-main\Theophysics_Adversarial.lean</x:t>
        </x:is>
      </x:c>
      <x:c r="H9" s="38" t="inlineStr">
        <x:is>
          <x:t xml:space="preserve">321</x:t>
        </x:is>
      </x:c>
      <x:c r="I9" s="38" t="inlineStr">
        <x:is>
          <x:t xml:space="preserve">theorem no_stage_step_back_to_pre_from_localization : stepBackAllowed Stage.localization Stage.pre = false</x:t>
        </x:is>
      </x:c>
      <x:c r="J9" s="38" t="inlineStr">
        <x:is>
          <x:t xml:space="preserve">No backward step from localization to pre. Irreversible.</x:t>
        </x:is>
      </x:c>
      <x:c r="K9" s="38" t="inlineStr">
        <x:is>
          <x:t xml:space="preserve">TODO: list constructors/definitions/candidate restrictions.</x:t>
        </x:is>
      </x:c>
      <x:c r="L9" s="38" t="inlineStr">
        <x:is>
          <x:t xml:space="preserve">TODO: translate exact Lean statement only.</x:t>
        </x:is>
      </x:c>
      <x:c r="M9" s="38" t="inlineStr">
        <x:is>
          <x:t xml:space="preserve">TODO: link Colab/Python artifact or mark not tested.</x:t>
        </x:is>
      </x:c>
      <x:c r="N9" s="38" t="inlineStr">
        <x:is>
          <x:t xml:space="preserve">TODO: link dataset/observation or mark not empirical.</x:t>
        </x:is>
      </x:c>
      <x:c r="O9" s="38" t="inlineStr">
        <x:is>
          <x:t xml:space="preserve">TODO: theological/philosophical interpretation; do not merge with proof.</x:t>
        </x:is>
      </x:c>
      <x:c r="P9" s="38" t="inlineStr">
        <x:is>
          <x:t xml:space="preserve">TODO: formal, dynamical, empirical, or mapping kill condition.</x:t>
        </x:is>
      </x:c>
      <x:c r="Q9" s="39" t="inlineStr">
        <x:is>
          <x:t xml:space="preserve">Downgrade wording or strengthen proof if risk is HIGH; otherwise add evidence links.</x:t>
        </x:is>
      </x:c>
    </x:row>
    <x:row r="10" ht="15" customHeight="1">
      <x:c r="A10" s="37" t="inlineStr">
        <x:is>
          <x:t xml:space="preserve">9</x:t>
        </x:is>
      </x:c>
      <x:c r="B10" s="38" t="inlineStr">
        <x:is>
          <x:t xml:space="preserve">no_stage_step_back_to_release_from_confirmation</x:t>
        </x:is>
      </x:c>
      <x:c r="C10" s="38" t="inlineStr">
        <x:is>
          <x:t xml:space="preserve">C2 - Structural correspondence candidate</x:t>
        </x:is>
      </x:c>
      <x:c r="D10" s="38" t="inlineStr">
        <x:is>
          <x:t xml:space="preserve">4 - Negative and countermodel tests</x:t>
        </x:is>
      </x:c>
      <x:c r="E10" s="38" t="inlineStr">
        <x:is>
          <x:t xml:space="preserve">DEFINITIONAL_RFL</x:t>
        </x:is>
      </x:c>
      <x:c r="F10" s="38" t="inlineStr">
        <x:is>
          <x:t xml:space="preserve">MEDIUM - definition strength must be audited.</x:t>
        </x:is>
      </x:c>
      <x:c r="G10" s="38" t="inlineStr">
        <x:is>
          <x:t xml:space="preserve">theophysics-lean-main\theophysics-lean-main\Theophysics_Adversarial.lean</x:t>
        </x:is>
      </x:c>
      <x:c r="H10" s="38" t="inlineStr">
        <x:is>
          <x:t xml:space="preserve">325</x:t>
        </x:is>
      </x:c>
      <x:c r="I10" s="38" t="inlineStr">
        <x:is>
          <x:t xml:space="preserve">theorem no_stage_step_back_to_release_from_confirmation : stepBackAllowed Stage.confirmation Stage.release = false</x:t>
        </x:is>
      </x:c>
      <x:c r="J10" s="38" t="inlineStr">
        <x:is>
          <x:t xml:space="preserve">No backward step from confirmation to release</x:t>
        </x:is>
      </x:c>
      <x:c r="K10" s="38" t="inlineStr">
        <x:is>
          <x:t xml:space="preserve">TODO: list constructors/definitions/candidate restrictions.</x:t>
        </x:is>
      </x:c>
      <x:c r="L10" s="38" t="inlineStr">
        <x:is>
          <x:t xml:space="preserve">TODO: translate exact Lean statement only.</x:t>
        </x:is>
      </x:c>
      <x:c r="M10" s="38" t="inlineStr">
        <x:is>
          <x:t xml:space="preserve">TODO: link Colab/Python artifact or mark not tested.</x:t>
        </x:is>
      </x:c>
      <x:c r="N10" s="38" t="inlineStr">
        <x:is>
          <x:t xml:space="preserve">TODO: link dataset/observation or mark not empirical.</x:t>
        </x:is>
      </x:c>
      <x:c r="O10" s="38" t="inlineStr">
        <x:is>
          <x:t xml:space="preserve">TODO: theological/philosophical interpretation; do not merge with proof.</x:t>
        </x:is>
      </x:c>
      <x:c r="P10" s="38" t="inlineStr">
        <x:is>
          <x:t xml:space="preserve">TODO: formal, dynamical, empirical, or mapping kill condition.</x:t>
        </x:is>
      </x:c>
      <x:c r="Q10" s="39" t="inlineStr">
        <x:is>
          <x:t xml:space="preserve">Downgrade wording or strengthen proof if risk is HIGH; otherwise add evidence links.</x:t>
        </x:is>
      </x:c>
    </x:row>
    <x:row r="11" ht="15" customHeight="1">
      <x:c r="A11" s="37" t="inlineStr">
        <x:is>
          <x:t xml:space="preserve">10</x:t>
        </x:is>
      </x:c>
      <x:c r="B11" s="38" t="inlineStr">
        <x:is>
          <x:t xml:space="preserve">no_stage_step_back_to_confirmation_from_redistribution</x:t>
        </x:is>
      </x:c>
      <x:c r="C11" s="38" t="inlineStr">
        <x:is>
          <x:t xml:space="preserve">C2 - Structural correspondence candidate</x:t>
        </x:is>
      </x:c>
      <x:c r="D11" s="38" t="inlineStr">
        <x:is>
          <x:t xml:space="preserve">4 - Negative and countermodel tests</x:t>
        </x:is>
      </x:c>
      <x:c r="E11" s="38" t="inlineStr">
        <x:is>
          <x:t xml:space="preserve">DEFINITIONAL_RFL</x:t>
        </x:is>
      </x:c>
      <x:c r="F11" s="38" t="inlineStr">
        <x:is>
          <x:t xml:space="preserve">MEDIUM - definition strength must be audited.</x:t>
        </x:is>
      </x:c>
      <x:c r="G11" s="38" t="inlineStr">
        <x:is>
          <x:t xml:space="preserve">theophysics-lean-main\theophysics-lean-main\Theophysics_Adversarial.lean</x:t>
        </x:is>
      </x:c>
      <x:c r="H11" s="38" t="inlineStr">
        <x:is>
          <x:t xml:space="preserve">329</x:t>
        </x:is>
      </x:c>
      <x:c r="I11" s="38" t="inlineStr">
        <x:is>
          <x:t xml:space="preserve">theorem no_stage_step_back_to_confirmation_from_redistribution : stepBackAllowed Stage.redistribution Stage.confirmation = false</x:t>
        </x:is>
      </x:c>
      <x:c r="J11" s="38" t="inlineStr">
        <x:is>
          <x:t xml:space="preserve">No backward step from redistribution to confirmation</x:t>
        </x:is>
      </x:c>
      <x:c r="K11" s="38" t="inlineStr">
        <x:is>
          <x:t xml:space="preserve">TODO: list constructors/definitions/candidate restrictions.</x:t>
        </x:is>
      </x:c>
      <x:c r="L11" s="38" t="inlineStr">
        <x:is>
          <x:t xml:space="preserve">TODO: translate exact Lean statement only.</x:t>
        </x:is>
      </x:c>
      <x:c r="M11" s="38" t="inlineStr">
        <x:is>
          <x:t xml:space="preserve">TODO: link Colab/Python artifact or mark not tested.</x:t>
        </x:is>
      </x:c>
      <x:c r="N11" s="38" t="inlineStr">
        <x:is>
          <x:t xml:space="preserve">TODO: link dataset/observation or mark not empirical.</x:t>
        </x:is>
      </x:c>
      <x:c r="O11" s="38" t="inlineStr">
        <x:is>
          <x:t xml:space="preserve">TODO: theological/philosophical interpretation; do not merge with proof.</x:t>
        </x:is>
      </x:c>
      <x:c r="P11" s="38" t="inlineStr">
        <x:is>
          <x:t xml:space="preserve">TODO: formal, dynamical, empirical, or mapping kill condition.</x:t>
        </x:is>
      </x:c>
      <x:c r="Q11" s="39" t="inlineStr">
        <x:is>
          <x:t xml:space="preserve">Downgrade wording or strengthen proof if risk is HIGH; otherwise add evidence links.</x:t>
        </x:is>
      </x:c>
    </x:row>
    <x:row r="12" ht="15" customHeight="1">
      <x:c r="A12" s="37" t="inlineStr">
        <x:is>
          <x:t xml:space="preserve">11</x:t>
        </x:is>
      </x:c>
      <x:c r="B12" s="38" t="inlineStr">
        <x:is>
          <x:t xml:space="preserve">map_physics_sequence_is_theology_sequence</x:t>
        </x:is>
      </x:c>
      <x:c r="C12" s="38" t="inlineStr">
        <x:is>
          <x:t xml:space="preserve">C2 - Structural correspondence candidate</x:t>
        </x:is>
      </x:c>
      <x:c r="D12" s="38" t="inlineStr">
        <x:is>
          <x:t xml:space="preserve">2 - Defined model / marker theorem only</x:t>
        </x:is>
      </x:c>
      <x:c r="E12" s="38" t="inlineStr">
        <x:is>
          <x:t xml:space="preserve">TRIVIAL_TRUE</x:t>
        </x:is>
      </x:c>
      <x:c r="F12" s="38" t="inlineStr">
        <x:is>
          <x:t xml:space="preserve">HIGH - theorem name/public sentence may exceed formal statement.</x:t>
        </x:is>
      </x:c>
      <x:c r="G12" s="38" t="inlineStr">
        <x:is>
          <x:t xml:space="preserve">theophysics-lean-main\theophysics-lean-main\Theophysics_Core.lean</x:t>
        </x:is>
      </x:c>
      <x:c r="H12" s="38" t="inlineStr">
        <x:is>
          <x:t xml:space="preserve">166</x:t>
        </x:is>
      </x:c>
      <x:c r="I12" s="38" t="inlineStr">
        <x:is>
          <x:t xml:space="preserve">theorem map_physics_sequence_is_theology_sequence : True</x:t>
        </x:is>
      </x:c>
      <x:c r="J12" s="38" t="inlineStr">
        <x:is>
          <x:t xml:space="preserve">Mapping the full physics list produces the full theology list — order-preserving. Proved by rfl (definitional equality).</x:t>
        </x:is>
      </x:c>
      <x:c r="K12" s="38" t="inlineStr">
        <x:is>
          <x:t xml:space="preserve">TODO: list constructors/definitions/candidate restrictions.</x:t>
        </x:is>
      </x:c>
      <x:c r="L12" s="38" t="inlineStr">
        <x:is>
          <x:t xml:space="preserve">TODO: translate exact Lean statement only.</x:t>
        </x:is>
      </x:c>
      <x:c r="M12" s="38" t="inlineStr">
        <x:is>
          <x:t xml:space="preserve">TODO: link Colab/Python artifact or mark not tested.</x:t>
        </x:is>
      </x:c>
      <x:c r="N12" s="38" t="inlineStr">
        <x:is>
          <x:t xml:space="preserve">TODO: link dataset/observation or mark not empirical.</x:t>
        </x:is>
      </x:c>
      <x:c r="O12" s="38" t="inlineStr">
        <x:is>
          <x:t xml:space="preserve">TODO: theological/philosophical interpretation; do not merge with proof.</x:t>
        </x:is>
      </x:c>
      <x:c r="P12" s="38" t="inlineStr">
        <x:is>
          <x:t xml:space="preserve">TODO: formal, dynamical, empirical, or mapping kill condition.</x:t>
        </x:is>
      </x:c>
      <x:c r="Q12" s="39" t="inlineStr">
        <x:is>
          <x:t xml:space="preserve">Downgrade wording or strengthen proof if risk is HIGH; otherwise add evidence links.</x:t>
        </x:is>
      </x:c>
    </x:row>
    <x:row r="13" ht="15" customHeight="1">
      <x:c r="A13" s="37" t="inlineStr">
        <x:is>
          <x:t xml:space="preserve">12</x:t>
        </x:is>
      </x:c>
      <x:c r="B13" s="38" t="inlineStr">
        <x:is>
          <x:t xml:space="preserve">localization_maps_to_incarnation</x:t>
        </x:is>
      </x:c>
      <x:c r="C13" s="38" t="inlineStr">
        <x:is>
          <x:t xml:space="preserve">C2 - Structural correspondence candidate</x:t>
        </x:is>
      </x:c>
      <x:c r="D13" s="38" t="inlineStr">
        <x:is>
          <x:t xml:space="preserve">2 - Defined model / marker theorem only</x:t>
        </x:is>
      </x:c>
      <x:c r="E13" s="38" t="inlineStr">
        <x:is>
          <x:t xml:space="preserve">TRIVIAL_TRUE</x:t>
        </x:is>
      </x:c>
      <x:c r="F13" s="38" t="inlineStr">
        <x:is>
          <x:t xml:space="preserve">HIGH - theorem name/public sentence may exceed formal statement.</x:t>
        </x:is>
      </x:c>
      <x:c r="G13" s="38" t="inlineStr">
        <x:is>
          <x:t xml:space="preserve">theophysics-lean-main\theophysics-lean-main\Theophysics_Core.lean</x:t>
        </x:is>
      </x:c>
      <x:c r="H13" s="38" t="inlineStr">
        <x:is>
          <x:t xml:space="preserve">165</x:t>
        </x:is>
      </x:c>
      <x:c r="I13" s="38" t="inlineStr">
        <x:is>
          <x:t xml:space="preserve">theorem localization_maps_to_incarnation : True</x:t>
        </x:is>
      </x:c>
      <x:c r="J13" s="38" t="inlineStr">
        <x:is>
          <x:t xml:space="preserve">Specific: localization → incarnation</x:t>
        </x:is>
      </x:c>
      <x:c r="K13" s="38" t="inlineStr">
        <x:is>
          <x:t xml:space="preserve">TODO: list constructors/definitions/candidate restrictions.</x:t>
        </x:is>
      </x:c>
      <x:c r="L13" s="38" t="inlineStr">
        <x:is>
          <x:t xml:space="preserve">TODO: translate exact Lean statement only.</x:t>
        </x:is>
      </x:c>
      <x:c r="M13" s="38" t="inlineStr">
        <x:is>
          <x:t xml:space="preserve">TODO: link Colab/Python artifact or mark not tested.</x:t>
        </x:is>
      </x:c>
      <x:c r="N13" s="38" t="inlineStr">
        <x:is>
          <x:t xml:space="preserve">TODO: link dataset/observation or mark not empirical.</x:t>
        </x:is>
      </x:c>
      <x:c r="O13" s="38" t="inlineStr">
        <x:is>
          <x:t xml:space="preserve">TODO: theological/philosophical interpretation; do not merge with proof.</x:t>
        </x:is>
      </x:c>
      <x:c r="P13" s="38" t="inlineStr">
        <x:is>
          <x:t xml:space="preserve">TODO: formal, dynamical, empirical, or mapping kill condition.</x:t>
        </x:is>
      </x:c>
      <x:c r="Q13" s="39" t="inlineStr">
        <x:is>
          <x:t xml:space="preserve">Downgrade wording or strengthen proof if risk is HIGH; otherwise add evidence links.</x:t>
        </x:is>
      </x:c>
    </x:row>
    <x:row r="14" ht="15" customHeight="1">
      <x:c r="A14" s="37" t="inlineStr">
        <x:is>
          <x:t xml:space="preserve">13</x:t>
        </x:is>
      </x:c>
      <x:c r="B14" s="38" t="inlineStr">
        <x:is>
          <x:t xml:space="preserve">confirmation_maps_to_resurrection</x:t>
        </x:is>
      </x:c>
      <x:c r="C14" s="38" t="inlineStr">
        <x:is>
          <x:t xml:space="preserve">C2 - Structural correspondence candidate</x:t>
        </x:is>
      </x:c>
      <x:c r="D14" s="38" t="inlineStr">
        <x:is>
          <x:t xml:space="preserve">2 - Defined model / marker theorem only</x:t>
        </x:is>
      </x:c>
      <x:c r="E14" s="38" t="inlineStr">
        <x:is>
          <x:t xml:space="preserve">TRIVIAL_TRUE</x:t>
        </x:is>
      </x:c>
      <x:c r="F14" s="38" t="inlineStr">
        <x:is>
          <x:t xml:space="preserve">HIGH - theorem name/public sentence may exceed formal statement.</x:t>
        </x:is>
      </x:c>
      <x:c r="G14" s="38" t="inlineStr">
        <x:is>
          <x:t xml:space="preserve">theophysics-lean-main\theophysics-lean-main\Theophysics_Core.lean</x:t>
        </x:is>
      </x:c>
      <x:c r="H14" s="38" t="inlineStr">
        <x:is>
          <x:t xml:space="preserve">164</x:t>
        </x:is>
      </x:c>
      <x:c r="I14" s="38" t="inlineStr">
        <x:is>
          <x:t xml:space="preserve">theorem confirmation_maps_to_resurrection : True</x:t>
        </x:is>
      </x:c>
      <x:c r="J14" s="38" t="inlineStr">
        <x:is>
          <x:t xml:space="preserve">Specific: confirmation → resurrection</x:t>
        </x:is>
      </x:c>
      <x:c r="K14" s="38" t="inlineStr">
        <x:is>
          <x:t xml:space="preserve">TODO: list constructors/definitions/candidate restrictions.</x:t>
        </x:is>
      </x:c>
      <x:c r="L14" s="38" t="inlineStr">
        <x:is>
          <x:t xml:space="preserve">TODO: translate exact Lean statement only.</x:t>
        </x:is>
      </x:c>
      <x:c r="M14" s="38" t="inlineStr">
        <x:is>
          <x:t xml:space="preserve">TODO: link Colab/Python artifact or mark not tested.</x:t>
        </x:is>
      </x:c>
      <x:c r="N14" s="38" t="inlineStr">
        <x:is>
          <x:t xml:space="preserve">TODO: link dataset/observation or mark not empirical.</x:t>
        </x:is>
      </x:c>
      <x:c r="O14" s="38" t="inlineStr">
        <x:is>
          <x:t xml:space="preserve">TODO: theological/philosophical interpretation; do not merge with proof.</x:t>
        </x:is>
      </x:c>
      <x:c r="P14" s="38" t="inlineStr">
        <x:is>
          <x:t xml:space="preserve">TODO: formal, dynamical, empirical, or mapping kill condition.</x:t>
        </x:is>
      </x:c>
      <x:c r="Q14" s="39" t="inlineStr">
        <x:is>
          <x:t xml:space="preserve">Downgrade wording or strengthen proof if risk is HIGH; otherwise add evidence links.</x:t>
        </x:is>
      </x:c>
    </x:row>
    <x:row r="15" ht="15" customHeight="1">
      <x:c r="A15" s="37" t="inlineStr">
        <x:is>
          <x:t xml:space="preserve">14</x:t>
        </x:is>
      </x:c>
      <x:c r="B15" s="38" t="inlineStr">
        <x:is>
          <x:t xml:space="preserve">canonicalRows_all_valid</x:t>
        </x:is>
      </x:c>
      <x:c r="C15" s="38" t="inlineStr">
        <x:is>
          <x:t xml:space="preserve">C2 - Structural correspondence candidate</x:t>
        </x:is>
      </x:c>
      <x:c r="D15" s="38" t="inlineStr">
        <x:is>
          <x:t xml:space="preserve">3 - Internal formal consistency</x:t>
        </x:is>
      </x:c>
      <x:c r="E15" s="38" t="inlineStr">
        <x:is>
          <x:t xml:space="preserve">FINITE_DECIDABLE</x:t>
        </x:is>
      </x:c>
      <x:c r="F15" s="38" t="inlineStr">
        <x:is>
          <x:t xml:space="preserve">LOW/MEDIUM - still needs theorem-to-public-claim translation.</x:t>
        </x:is>
      </x:c>
      <x:c r="G15" s="38" t="inlineStr">
        <x:is>
          <x:t xml:space="preserve">theophysics-lean-main\theophysics-lean-main\Final_Lean4_From_Excel.lean</x:t>
        </x:is>
      </x:c>
      <x:c r="H15" s="38" t="inlineStr">
        <x:is>
          <x:t xml:space="preserve">196</x:t>
        </x:is>
      </x:c>
      <x:c r="I15" s="38" t="inlineStr">
        <x:is>
          <x:t xml:space="preserve">theorem canonicalRows_all_valid : (signatureOfFactor G).domain = DomainKind.nonnegative ∧ (signatureOfFactor M).domain = DomainKind.signedAlignment ∧ (signatureOfFactor E).mechanism = BridgeMechanism.signalFidelity</x:t>
        </x:is>
      </x:c>
      <x:c r="J15" s="38" t="inlineStr">
        <x:is>
          <x:t xml:space="preserve">All 10 canonical bridge rows pass signature validation</x:t>
        </x:is>
      </x:c>
      <x:c r="K15" s="38" t="inlineStr">
        <x:is>
          <x:t xml:space="preserve">TODO: list constructors/definitions/candidate restrictions.</x:t>
        </x:is>
      </x:c>
      <x:c r="L15" s="38" t="inlineStr">
        <x:is>
          <x:t xml:space="preserve">TODO: translate exact Lean statement only.</x:t>
        </x:is>
      </x:c>
      <x:c r="M15" s="38" t="inlineStr">
        <x:is>
          <x:t xml:space="preserve">TODO: link Colab/Python artifact or mark not tested.</x:t>
        </x:is>
      </x:c>
      <x:c r="N15" s="38" t="inlineStr">
        <x:is>
          <x:t xml:space="preserve">TODO: link dataset/observation or mark not empirical.</x:t>
        </x:is>
      </x:c>
      <x:c r="O15" s="38" t="inlineStr">
        <x:is>
          <x:t xml:space="preserve">TODO: theological/philosophical interpretation; do not merge with proof.</x:t>
        </x:is>
      </x:c>
      <x:c r="P15" s="38" t="inlineStr">
        <x:is>
          <x:t xml:space="preserve">TODO: formal, dynamical, empirical, or mapping kill condition.</x:t>
        </x:is>
      </x:c>
      <x:c r="Q15" s="39" t="inlineStr">
        <x:is>
          <x:t xml:space="preserve">Downgrade wording or strengthen proof if risk is HIGH; otherwise add evidence links.</x:t>
        </x:is>
      </x:c>
    </x:row>
    <x:row r="16" ht="15" customHeight="1">
      <x:c r="A16" s="37" t="inlineStr">
        <x:is>
          <x:t xml:space="preserve">15</x:t>
        </x:is>
      </x:c>
      <x:c r="B16" s="38" t="inlineStr">
        <x:is>
          <x:t xml:space="preserve">grace_swapped_with_faith_invalid</x:t>
        </x:is>
      </x:c>
      <x:c r="C16" s="38" t="inlineStr">
        <x:is>
          <x:t xml:space="preserve">C2 - Structural correspondence candidate</x:t>
        </x:is>
      </x:c>
      <x:c r="D16" s="38" t="inlineStr">
        <x:is>
          <x:t xml:space="preserve">4 - Negative and countermodel tests</x:t>
        </x:is>
      </x:c>
      <x:c r="E16" s="38" t="inlineStr">
        <x:is>
          <x:t xml:space="preserve">FINITE_DECIDABLE</x:t>
        </x:is>
      </x:c>
      <x:c r="F16" s="38" t="inlineStr">
        <x:is>
          <x:t xml:space="preserve">LOW/MEDIUM - still needs theorem-to-public-claim translation.</x:t>
        </x:is>
      </x:c>
      <x:c r="G16" s="38" t="inlineStr">
        <x:is>
          <x:t xml:space="preserve">theophysics-lean-main\theophysics-lean-main\Final_Lean4_From_Excel.lean</x:t>
        </x:is>
      </x:c>
      <x:c r="H16" s="38" t="inlineStr">
        <x:is>
          <x:t xml:space="preserve">202</x:t>
        </x:is>
      </x:c>
      <x:c r="I16" s="38" t="inlineStr">
        <x:is>
          <x:t xml:space="preserve">theorem grace_swapped_with_faith_invalid : signatureOfFactor G ≠ signatureOfFactor F</x:t>
        </x:is>
      </x:c>
      <x:c r="J16" s="38" t="inlineStr">
        <x:is>
          <x:t xml:space="preserve">REJECTION: Swapping grace↔faith breaks the signature</x:t>
        </x:is>
      </x:c>
      <x:c r="K16" s="38" t="inlineStr">
        <x:is>
          <x:t xml:space="preserve">TODO: list constructors/definitions/candidate restrictions.</x:t>
        </x:is>
      </x:c>
      <x:c r="L16" s="38" t="inlineStr">
        <x:is>
          <x:t xml:space="preserve">TODO: translate exact Lean statement only.</x:t>
        </x:is>
      </x:c>
      <x:c r="M16" s="38" t="inlineStr">
        <x:is>
          <x:t xml:space="preserve">TODO: link Colab/Python artifact or mark not tested.</x:t>
        </x:is>
      </x:c>
      <x:c r="N16" s="38" t="inlineStr">
        <x:is>
          <x:t xml:space="preserve">TODO: link dataset/observation or mark not empirical.</x:t>
        </x:is>
      </x:c>
      <x:c r="O16" s="38" t="inlineStr">
        <x:is>
          <x:t xml:space="preserve">TODO: theological/philosophical interpretation; do not merge with proof.</x:t>
        </x:is>
      </x:c>
      <x:c r="P16" s="38" t="inlineStr">
        <x:is>
          <x:t xml:space="preserve">TODO: formal, dynamical, empirical, or mapping kill condition.</x:t>
        </x:is>
      </x:c>
      <x:c r="Q16" s="39" t="inlineStr">
        <x:is>
          <x:t xml:space="preserve">Downgrade wording or strengthen proof if risk is HIGH; otherwise add evidence links.</x:t>
        </x:is>
      </x:c>
    </x:row>
    <x:row r="17" ht="15" customHeight="1">
      <x:c r="A17" s="37" t="inlineStr">
        <x:is>
          <x:t xml:space="preserve">16</x:t>
        </x:is>
      </x:c>
      <x:c r="B17" s="38" t="inlineStr">
        <x:is>
          <x:t xml:space="preserve">entropy_swapped_with_grace_invalid</x:t>
        </x:is>
      </x:c>
      <x:c r="C17" s="38" t="inlineStr">
        <x:is>
          <x:t xml:space="preserve">C2 - Structural correspondence candidate</x:t>
        </x:is>
      </x:c>
      <x:c r="D17" s="38" t="inlineStr">
        <x:is>
          <x:t xml:space="preserve">4 - Negative and countermodel tests</x:t>
        </x:is>
      </x:c>
      <x:c r="E17" s="38" t="inlineStr">
        <x:is>
          <x:t xml:space="preserve">FINITE_DECIDABLE</x:t>
        </x:is>
      </x:c>
      <x:c r="F17" s="38" t="inlineStr">
        <x:is>
          <x:t xml:space="preserve">LOW/MEDIUM - still needs theorem-to-public-claim translation.</x:t>
        </x:is>
      </x:c>
      <x:c r="G17" s="38" t="inlineStr">
        <x:is>
          <x:t xml:space="preserve">theophysics-lean-main\theophysics-lean-main\Final_Lean4_From_Excel.lean</x:t>
        </x:is>
      </x:c>
      <x:c r="H17" s="38" t="inlineStr">
        <x:is>
          <x:t xml:space="preserve">206</x:t>
        </x:is>
      </x:c>
      <x:c r="I17" s="38" t="inlineStr">
        <x:is>
          <x:t xml:space="preserve">theorem entropy_swapped_with_grace_invalid : signatureOfFactor S ≠ signatureOfFactor G</x:t>
        </x:is>
      </x:c>
      <x:c r="J17" s="38" t="inlineStr">
        <x:is>
          <x:t xml:space="preserve">REJECTION: Swapping entropy↔grace breaks the signature</x:t>
        </x:is>
      </x:c>
      <x:c r="K17" s="38" t="inlineStr">
        <x:is>
          <x:t xml:space="preserve">TODO: list constructors/definitions/candidate restrictions.</x:t>
        </x:is>
      </x:c>
      <x:c r="L17" s="38" t="inlineStr">
        <x:is>
          <x:t xml:space="preserve">TODO: translate exact Lean statement only.</x:t>
        </x:is>
      </x:c>
      <x:c r="M17" s="38" t="inlineStr">
        <x:is>
          <x:t xml:space="preserve">TODO: link Colab/Python artifact or mark not tested.</x:t>
        </x:is>
      </x:c>
      <x:c r="N17" s="38" t="inlineStr">
        <x:is>
          <x:t xml:space="preserve">TODO: link dataset/observation or mark not empirical.</x:t>
        </x:is>
      </x:c>
      <x:c r="O17" s="38" t="inlineStr">
        <x:is>
          <x:t xml:space="preserve">TODO: theological/philosophical interpretation; do not merge with proof.</x:t>
        </x:is>
      </x:c>
      <x:c r="P17" s="38" t="inlineStr">
        <x:is>
          <x:t xml:space="preserve">TODO: formal, dynamical, empirical, or mapping kill condition.</x:t>
        </x:is>
      </x:c>
      <x:c r="Q17" s="39" t="inlineStr">
        <x:is>
          <x:t xml:space="preserve">Downgrade wording or strengthen proof if risk is HIGH; otherwise add evidence links.</x:t>
        </x:is>
      </x:c>
    </x:row>
    <x:row r="18" ht="15" customHeight="1">
      <x:c r="A18" s="37" t="inlineStr">
        <x:is>
          <x:t xml:space="preserve">17</x:t>
        </x:is>
      </x:c>
      <x:c r="B18" s="38" t="inlineStr">
        <x:is>
          <x:t xml:space="preserve">compression_swapped_with_communion_invalid</x:t>
        </x:is>
      </x:c>
      <x:c r="C18" s="38" t="inlineStr">
        <x:is>
          <x:t xml:space="preserve">C2 - Structural correspondence candidate</x:t>
        </x:is>
      </x:c>
      <x:c r="D18" s="38" t="inlineStr">
        <x:is>
          <x:t xml:space="preserve">3 - Internal formal consistency; cite underlying theorem</x:t>
        </x:is>
      </x:c>
      <x:c r="E18" s="38" t="inlineStr">
        <x:is>
          <x:t xml:space="preserve">WRAPPER_OR_IMPORTED</x:t>
        </x:is>
      </x:c>
      <x:c r="F18" s="38" t="inlineStr">
        <x:is>
          <x:t xml:space="preserve">MEDIUM - cite underlying theorem, not just wrapper.</x:t>
        </x:is>
      </x:c>
      <x:c r="G18" s="38" t="inlineStr">
        <x:is>
          <x:t xml:space="preserve">theophysics-lean-main\theophysics-lean-main\Final_Lean4_From_Excel.lean</x:t>
        </x:is>
      </x:c>
      <x:c r="H18" s="38" t="inlineStr">
        <x:is>
          <x:t xml:space="preserve">210</x:t>
        </x:is>
      </x:c>
      <x:c r="I18" s="38" t="inlineStr">
        <x:is>
          <x:t xml:space="preserve">theorem compression_swapped_with_communion_invalid : signatureOfFactor K ≠ signatureOfFactor F</x:t>
        </x:is>
      </x:c>
      <x:c r="J18" s="38" t="inlineStr">
        <x:is>
          <x:t xml:space="preserve">REJECTION: K↔F swap rejected</x:t>
        </x:is>
      </x:c>
      <x:c r="K18" s="38" t="inlineStr">
        <x:is>
          <x:t xml:space="preserve">TODO: list constructors/definitions/candidate restrictions.</x:t>
        </x:is>
      </x:c>
      <x:c r="L18" s="38" t="inlineStr">
        <x:is>
          <x:t xml:space="preserve">TODO: translate exact Lean statement only.</x:t>
        </x:is>
      </x:c>
      <x:c r="M18" s="38" t="inlineStr">
        <x:is>
          <x:t xml:space="preserve">TODO: link Colab/Python artifact or mark not tested.</x:t>
        </x:is>
      </x:c>
      <x:c r="N18" s="38" t="inlineStr">
        <x:is>
          <x:t xml:space="preserve">TODO: link dataset/observation or mark not empirical.</x:t>
        </x:is>
      </x:c>
      <x:c r="O18" s="38" t="inlineStr">
        <x:is>
          <x:t xml:space="preserve">TODO: theological/philosophical interpretation; do not merge with proof.</x:t>
        </x:is>
      </x:c>
      <x:c r="P18" s="38" t="inlineStr">
        <x:is>
          <x:t xml:space="preserve">TODO: formal, dynamical, empirical, or mapping kill condition.</x:t>
        </x:is>
      </x:c>
      <x:c r="Q18" s="39" t="inlineStr">
        <x:is>
          <x:t xml:space="preserve">Downgrade wording or strengthen proof if risk is HIGH; otherwise add evidence links.</x:t>
        </x:is>
      </x:c>
    </x:row>
    <x:row r="19" ht="15" customHeight="1">
      <x:c r="A19" s="37" t="inlineStr">
        <x:is>
          <x:t xml:space="preserve">18</x:t>
        </x:is>
      </x:c>
      <x:c r="B19" s="38" t="inlineStr">
        <x:is>
          <x:t xml:space="preserve">coherence_swapped_with_consequence_lock_invalid</x:t>
        </x:is>
      </x:c>
      <x:c r="C19" s="38" t="inlineStr">
        <x:is>
          <x:t xml:space="preserve">C2 - Structural correspondence candidate</x:t>
        </x:is>
      </x:c>
      <x:c r="D19" s="38" t="inlineStr">
        <x:is>
          <x:t xml:space="preserve">4 - Negative and countermodel tests</x:t>
        </x:is>
      </x:c>
      <x:c r="E19" s="38" t="inlineStr">
        <x:is>
          <x:t xml:space="preserve">DEFINITIONAL_RFL</x:t>
        </x:is>
      </x:c>
      <x:c r="F19" s="38" t="inlineStr">
        <x:is>
          <x:t xml:space="preserve">MEDIUM - definition strength must be audited.</x:t>
        </x:is>
      </x:c>
      <x:c r="G19" s="38" t="inlineStr">
        <x:is>
          <x:t xml:space="preserve">theophysics-lean-main\theophysics-lean-main\Theophysics_Adversarial.lean</x:t>
        </x:is>
      </x:c>
      <x:c r="H19" s="38" t="inlineStr">
        <x:is>
          <x:t xml:space="preserve">334</x:t>
        </x:is>
      </x:c>
      <x:c r="I19" s="38" t="inlineStr">
        <x:is>
          <x:t xml:space="preserve">theorem coherence_swapped_with_consequence_lock_invalid : bridgeFailureRejected BridgeFailure.coherenceConsequenceLockSwap = true</x:t>
        </x:is>
      </x:c>
      <x:c r="J19" s="38" t="inlineStr">
        <x:is>
          <x:t xml:space="preserve">REJECTION: C↔R swap rejected</x:t>
        </x:is>
      </x:c>
      <x:c r="K19" s="38" t="inlineStr">
        <x:is>
          <x:t xml:space="preserve">TODO: list constructors/definitions/candidate restrictions.</x:t>
        </x:is>
      </x:c>
      <x:c r="L19" s="38" t="inlineStr">
        <x:is>
          <x:t xml:space="preserve">TODO: translate exact Lean statement only.</x:t>
        </x:is>
      </x:c>
      <x:c r="M19" s="38" t="inlineStr">
        <x:is>
          <x:t xml:space="preserve">TODO: link Colab/Python artifact or mark not tested.</x:t>
        </x:is>
      </x:c>
      <x:c r="N19" s="38" t="inlineStr">
        <x:is>
          <x:t xml:space="preserve">TODO: link dataset/observation or mark not empirical.</x:t>
        </x:is>
      </x:c>
      <x:c r="O19" s="38" t="inlineStr">
        <x:is>
          <x:t xml:space="preserve">TODO: theological/philosophical interpretation; do not merge with proof.</x:t>
        </x:is>
      </x:c>
      <x:c r="P19" s="38" t="inlineStr">
        <x:is>
          <x:t xml:space="preserve">TODO: formal, dynamical, empirical, or mapping kill condition.</x:t>
        </x:is>
      </x:c>
      <x:c r="Q19" s="39" t="inlineStr">
        <x:is>
          <x:t xml:space="preserve">Downgrade wording or strengthen proof if risk is HIGH; otherwise add evidence links.</x:t>
        </x:is>
      </x:c>
    </x:row>
    <x:row r="20" ht="15" customHeight="1">
      <x:c r="A20" s="37" t="inlineStr">
        <x:is>
          <x:t xml:space="preserve">19</x:t>
        </x:is>
      </x:c>
      <x:c r="B20" s="38" t="inlineStr">
        <x:is>
          <x:t xml:space="preserve">wrong_physical_for_grace_invalid</x:t>
        </x:is>
      </x:c>
      <x:c r="C20" s="38" t="inlineStr">
        <x:is>
          <x:t xml:space="preserve">C2 - Structural correspondence candidate</x:t>
        </x:is>
      </x:c>
      <x:c r="D20" s="38" t="inlineStr">
        <x:is>
          <x:t xml:space="preserve">4 - Negative and countermodel tests</x:t>
        </x:is>
      </x:c>
      <x:c r="E20" s="38" t="inlineStr">
        <x:is>
          <x:t xml:space="preserve">DEFINITIONAL_RFL</x:t>
        </x:is>
      </x:c>
      <x:c r="F20" s="38" t="inlineStr">
        <x:is>
          <x:t xml:space="preserve">MEDIUM - definition strength must be audited.</x:t>
        </x:is>
      </x:c>
      <x:c r="G20" s="38" t="inlineStr">
        <x:is>
          <x:t xml:space="preserve">theophysics-lean-main\theophysics-lean-main\Theophysics_Adversarial.lean</x:t>
        </x:is>
      </x:c>
      <x:c r="H20" s="38" t="inlineStr">
        <x:is>
          <x:t xml:space="preserve">338</x:t>
        </x:is>
      </x:c>
      <x:c r="I20" s="38" t="inlineStr">
        <x:is>
          <x:t xml:space="preserve">theorem wrong_physical_for_grace_invalid : bridgeFailureRejected BridgeFailure.wrongPhysicalGrace = true</x:t>
        </x:is>
      </x:c>
      <x:c r="J20" s="38" t="inlineStr">
        <x:is>
          <x:t xml:space="preserve">REJECTION: Assigning entanglement to G rejected</x:t>
        </x:is>
      </x:c>
      <x:c r="K20" s="38" t="inlineStr">
        <x:is>
          <x:t xml:space="preserve">TODO: list constructors/definitions/candidate restrictions.</x:t>
        </x:is>
      </x:c>
      <x:c r="L20" s="38" t="inlineStr">
        <x:is>
          <x:t xml:space="preserve">TODO: translate exact Lean statement only.</x:t>
        </x:is>
      </x:c>
      <x:c r="M20" s="38" t="inlineStr">
        <x:is>
          <x:t xml:space="preserve">TODO: link Colab/Python artifact or mark not tested.</x:t>
        </x:is>
      </x:c>
      <x:c r="N20" s="38" t="inlineStr">
        <x:is>
          <x:t xml:space="preserve">TODO: link dataset/observation or mark not empirical.</x:t>
        </x:is>
      </x:c>
      <x:c r="O20" s="38" t="inlineStr">
        <x:is>
          <x:t xml:space="preserve">TODO: theological/philosophical interpretation; do not merge with proof.</x:t>
        </x:is>
      </x:c>
      <x:c r="P20" s="38" t="inlineStr">
        <x:is>
          <x:t xml:space="preserve">TODO: formal, dynamical, empirical, or mapping kill condition.</x:t>
        </x:is>
      </x:c>
      <x:c r="Q20" s="39" t="inlineStr">
        <x:is>
          <x:t xml:space="preserve">Downgrade wording or strengthen proof if risk is HIGH; otherwise add evidence links.</x:t>
        </x:is>
      </x:c>
    </x:row>
    <x:row r="21" ht="15" customHeight="1">
      <x:c r="A21" s="37" t="inlineStr">
        <x:is>
          <x:t xml:space="preserve">20</x:t>
        </x:is>
      </x:c>
      <x:c r="B21" s="38" t="inlineStr">
        <x:is>
          <x:t xml:space="preserve">arbitrary_grace_clone_matches_G</x:t>
        </x:is>
      </x:c>
      <x:c r="C21" s="38" t="inlineStr">
        <x:is>
          <x:t xml:space="preserve">C2 - Structural correspondence candidate</x:t>
        </x:is>
      </x:c>
      <x:c r="D21" s="38" t="inlineStr">
        <x:is>
          <x:t xml:space="preserve">3 - Internal formal consistency</x:t>
        </x:is>
      </x:c>
      <x:c r="E21" s="38" t="inlineStr">
        <x:is>
          <x:t xml:space="preserve">DEFINITIONAL_RFL</x:t>
        </x:is>
      </x:c>
      <x:c r="F21" s="38" t="inlineStr">
        <x:is>
          <x:t xml:space="preserve">MEDIUM - definition strength must be audited.</x:t>
        </x:is>
      </x:c>
      <x:c r="G21" s="38" t="inlineStr">
        <x:is>
          <x:t xml:space="preserve">theophysics-lean-main\theophysics-lean-main\Theophysics_Adversarial.lean</x:t>
        </x:is>
      </x:c>
      <x:c r="H21" s="38" t="inlineStr">
        <x:is>
          <x:t xml:space="preserve">342</x:t>
        </x:is>
      </x:c>
      <x:c r="I21" s="38" t="inlineStr">
        <x:is>
          <x:t xml:space="preserve">theorem arbitrary_grace_clone_matches_G : arbitraryGraceCloneMatchesG = true</x:t>
        </x:is>
      </x:c>
      <x:c r="J21" s="38" t="inlineStr">
        <x:is>
          <x:t xml:space="preserve">A new term with G's signature passes structurally — adversarial boundary: label honesty cannot be verified</x:t>
        </x:is>
      </x:c>
      <x:c r="K21" s="38" t="inlineStr">
        <x:is>
          <x:t xml:space="preserve">TODO: list constructors/definitions/candidate restrictions.</x:t>
        </x:is>
      </x:c>
      <x:c r="L21" s="38" t="inlineStr">
        <x:is>
          <x:t xml:space="preserve">TODO: translate exact Lean statement only.</x:t>
        </x:is>
      </x:c>
      <x:c r="M21" s="38" t="inlineStr">
        <x:is>
          <x:t xml:space="preserve">TODO: link Colab/Python artifact or mark not tested.</x:t>
        </x:is>
      </x:c>
      <x:c r="N21" s="38" t="inlineStr">
        <x:is>
          <x:t xml:space="preserve">TODO: link dataset/observation or mark not empirical.</x:t>
        </x:is>
      </x:c>
      <x:c r="O21" s="38" t="inlineStr">
        <x:is>
          <x:t xml:space="preserve">TODO: theological/philosophical interpretation; do not merge with proof.</x:t>
        </x:is>
      </x:c>
      <x:c r="P21" s="38" t="inlineStr">
        <x:is>
          <x:t xml:space="preserve">TODO: formal, dynamical, empirical, or mapping kill condition.</x:t>
        </x:is>
      </x:c>
      <x:c r="Q21" s="39" t="inlineStr">
        <x:is>
          <x:t xml:space="preserve">Downgrade wording or strengthen proof if risk is HIGH; otherwise add evidence links.</x:t>
        </x:is>
      </x:c>
    </x:row>
    <x:row r="22" ht="15" customHeight="1">
      <x:c r="A22" s="37" t="inlineStr">
        <x:is>
          <x:t xml:space="preserve">21</x:t>
        </x:is>
      </x:c>
      <x:c r="B22" s="38" t="inlineStr">
        <x:is>
          <x:t xml:space="preserve">arbitrary_faith_clone_does_not_match_G</x:t>
        </x:is>
      </x:c>
      <x:c r="C22" s="38" t="inlineStr">
        <x:is>
          <x:t xml:space="preserve">C2 - Structural correspondence candidate</x:t>
        </x:is>
      </x:c>
      <x:c r="D22" s="38" t="inlineStr">
        <x:is>
          <x:t xml:space="preserve">4 - Negative and countermodel tests</x:t>
        </x:is>
      </x:c>
      <x:c r="E22" s="38" t="inlineStr">
        <x:is>
          <x:t xml:space="preserve">DEFINITIONAL_RFL</x:t>
        </x:is>
      </x:c>
      <x:c r="F22" s="38" t="inlineStr">
        <x:is>
          <x:t xml:space="preserve">MEDIUM - definition strength must be audited.</x:t>
        </x:is>
      </x:c>
      <x:c r="G22" s="38" t="inlineStr">
        <x:is>
          <x:t xml:space="preserve">theophysics-lean-main\theophysics-lean-main\Theophysics_Adversarial.lean</x:t>
        </x:is>
      </x:c>
      <x:c r="H22" s="38" t="inlineStr">
        <x:is>
          <x:t xml:space="preserve">346</x:t>
        </x:is>
      </x:c>
      <x:c r="I22" s="38" t="inlineStr">
        <x:is>
          <x:t xml:space="preserve">theorem arbitrary_faith_clone_does_not_match_G : bridgeFailureRejected BridgeFailure.arbitraryFaithClone = true</x:t>
        </x:is>
      </x:c>
      <x:c r="J22" s="38" t="inlineStr">
        <x:is>
          <x:t xml:space="preserve">REJECTION: A term with Q's signature fails the G slot</x:t>
        </x:is>
      </x:c>
      <x:c r="K22" s="38" t="inlineStr">
        <x:is>
          <x:t xml:space="preserve">TODO: list constructors/definitions/candidate restrictions.</x:t>
        </x:is>
      </x:c>
      <x:c r="L22" s="38" t="inlineStr">
        <x:is>
          <x:t xml:space="preserve">TODO: translate exact Lean statement only.</x:t>
        </x:is>
      </x:c>
      <x:c r="M22" s="38" t="inlineStr">
        <x:is>
          <x:t xml:space="preserve">TODO: link Colab/Python artifact or mark not tested.</x:t>
        </x:is>
      </x:c>
      <x:c r="N22" s="38" t="inlineStr">
        <x:is>
          <x:t xml:space="preserve">TODO: link dataset/observation or mark not empirical.</x:t>
        </x:is>
      </x:c>
      <x:c r="O22" s="38" t="inlineStr">
        <x:is>
          <x:t xml:space="preserve">TODO: theological/philosophical interpretation; do not merge with proof.</x:t>
        </x:is>
      </x:c>
      <x:c r="P22" s="38" t="inlineStr">
        <x:is>
          <x:t xml:space="preserve">TODO: formal, dynamical, empirical, or mapping kill condition.</x:t>
        </x:is>
      </x:c>
      <x:c r="Q22" s="39" t="inlineStr">
        <x:is>
          <x:t xml:space="preserve">Downgrade wording or strengthen proof if risk is HIGH; otherwise add evidence links.</x:t>
        </x:is>
      </x:c>
    </x:row>
    <x:row r="23" ht="15" customHeight="1">
      <x:c r="A23" s="37" t="inlineStr">
        <x:is>
          <x:t xml:space="preserve">22</x:t>
        </x:is>
      </x:c>
      <x:c r="B23" s="38" t="inlineStr">
        <x:is>
          <x:t xml:space="preserve">full_G_zero_collapses</x:t>
        </x:is>
      </x:c>
      <x:c r="C23" s="38" t="inlineStr">
        <x:is>
          <x:t xml:space="preserve">C2 - Structural correspondence candidate</x:t>
        </x:is>
      </x:c>
      <x:c r="D23" s="38" t="inlineStr">
        <x:is>
          <x:t xml:space="preserve">2 - Defined model / marker theorem only</x:t>
        </x:is>
      </x:c>
      <x:c r="E23" s="38" t="inlineStr">
        <x:is>
          <x:t xml:space="preserve">TRIVIAL_TRUE</x:t>
        </x:is>
      </x:c>
      <x:c r="F23" s="38" t="inlineStr">
        <x:is>
          <x:t xml:space="preserve">HIGH - theorem name/public sentence may exceed formal statement.</x:t>
        </x:is>
      </x:c>
      <x:c r="G23" s="38" t="inlineStr">
        <x:is>
          <x:t xml:space="preserve">theophysics-lean-main\theophysics-lean-main\Theophysics_Core.lean</x:t>
        </x:is>
      </x:c>
      <x:c r="H23" s="38" t="inlineStr">
        <x:is>
          <x:t xml:space="preserve">177</x:t>
        </x:is>
      </x:c>
      <x:c r="I23" s="38" t="inlineStr">
        <x:is>
          <x:t xml:space="preserve">theorem full_G_zero_collapses : True</x:t>
        </x:is>
      </x:c>
      <x:c r="J23" s="38" t="inlineStr">
        <x:is>
          <x:t xml:space="preserve">G=0 → χ=0</x:t>
        </x:is>
      </x:c>
      <x:c r="K23" s="38" t="inlineStr">
        <x:is>
          <x:t xml:space="preserve">TODO: list constructors/definitions/candidate restrictions.</x:t>
        </x:is>
      </x:c>
      <x:c r="L23" s="38" t="inlineStr">
        <x:is>
          <x:t xml:space="preserve">TODO: translate exact Lean statement only.</x:t>
        </x:is>
      </x:c>
      <x:c r="M23" s="38" t="inlineStr">
        <x:is>
          <x:t xml:space="preserve">TODO: link Colab/Python artifact or mark not tested.</x:t>
        </x:is>
      </x:c>
      <x:c r="N23" s="38" t="inlineStr">
        <x:is>
          <x:t xml:space="preserve">TODO: link dataset/observation or mark not empirical.</x:t>
        </x:is>
      </x:c>
      <x:c r="O23" s="38" t="inlineStr">
        <x:is>
          <x:t xml:space="preserve">TODO: theological/philosophical interpretation; do not merge with proof.</x:t>
        </x:is>
      </x:c>
      <x:c r="P23" s="38" t="inlineStr">
        <x:is>
          <x:t xml:space="preserve">TODO: formal, dynamical, empirical, or mapping kill condition.</x:t>
        </x:is>
      </x:c>
      <x:c r="Q23" s="39" t="inlineStr">
        <x:is>
          <x:t xml:space="preserve">Downgrade wording or strengthen proof if risk is HIGH; otherwise add evidence links.</x:t>
        </x:is>
      </x:c>
    </x:row>
    <x:row r="24" ht="15" customHeight="1">
      <x:c r="A24" s="37" t="inlineStr">
        <x:is>
          <x:t xml:space="preserve">23</x:t>
        </x:is>
      </x:c>
      <x:c r="B24" s="38" t="inlineStr">
        <x:is>
          <x:t xml:space="preserve">full_M_zero_collapses</x:t>
        </x:is>
      </x:c>
      <x:c r="C24" s="38" t="inlineStr">
        <x:is>
          <x:t xml:space="preserve">C2 - Structural correspondence candidate</x:t>
        </x:is>
      </x:c>
      <x:c r="D24" s="38" t="inlineStr">
        <x:is>
          <x:t xml:space="preserve">2 - Defined model / marker theorem only</x:t>
        </x:is>
      </x:c>
      <x:c r="E24" s="38" t="inlineStr">
        <x:is>
          <x:t xml:space="preserve">TRIVIAL_TRUE</x:t>
        </x:is>
      </x:c>
      <x:c r="F24" s="38" t="inlineStr">
        <x:is>
          <x:t xml:space="preserve">HIGH - theorem name/public sentence may exceed formal statement.</x:t>
        </x:is>
      </x:c>
      <x:c r="G24" s="38" t="inlineStr">
        <x:is>
          <x:t xml:space="preserve">theophysics-lean-main\theophysics-lean-main\Theophysics_Core.lean</x:t>
        </x:is>
      </x:c>
      <x:c r="H24" s="38" t="inlineStr">
        <x:is>
          <x:t xml:space="preserve">179</x:t>
        </x:is>
      </x:c>
      <x:c r="I24" s="38" t="inlineStr">
        <x:is>
          <x:t xml:space="preserve">theorem full_M_zero_collapses : True</x:t>
        </x:is>
      </x:c>
      <x:c r="J24" s="38" t="inlineStr">
        <x:is>
          <x:t xml:space="preserve">M=0 → χ=0</x:t>
        </x:is>
      </x:c>
      <x:c r="K24" s="38" t="inlineStr">
        <x:is>
          <x:t xml:space="preserve">TODO: list constructors/definitions/candidate restrictions.</x:t>
        </x:is>
      </x:c>
      <x:c r="L24" s="38" t="inlineStr">
        <x:is>
          <x:t xml:space="preserve">TODO: translate exact Lean statement only.</x:t>
        </x:is>
      </x:c>
      <x:c r="M24" s="38" t="inlineStr">
        <x:is>
          <x:t xml:space="preserve">TODO: link Colab/Python artifact or mark not tested.</x:t>
        </x:is>
      </x:c>
      <x:c r="N24" s="38" t="inlineStr">
        <x:is>
          <x:t xml:space="preserve">TODO: link dataset/observation or mark not empirical.</x:t>
        </x:is>
      </x:c>
      <x:c r="O24" s="38" t="inlineStr">
        <x:is>
          <x:t xml:space="preserve">TODO: theological/philosophical interpretation; do not merge with proof.</x:t>
        </x:is>
      </x:c>
      <x:c r="P24" s="38" t="inlineStr">
        <x:is>
          <x:t xml:space="preserve">TODO: formal, dynamical, empirical, or mapping kill condition.</x:t>
        </x:is>
      </x:c>
      <x:c r="Q24" s="39" t="inlineStr">
        <x:is>
          <x:t xml:space="preserve">Downgrade wording or strengthen proof if risk is HIGH; otherwise add evidence links.</x:t>
        </x:is>
      </x:c>
    </x:row>
    <x:row r="25" ht="15" customHeight="1">
      <x:c r="A25" s="37" t="inlineStr">
        <x:is>
          <x:t xml:space="preserve">24</x:t>
        </x:is>
      </x:c>
      <x:c r="B25" s="38" t="inlineStr">
        <x:is>
          <x:t xml:space="preserve">full_E_zero_collapses</x:t>
        </x:is>
      </x:c>
      <x:c r="C25" s="38" t="inlineStr">
        <x:is>
          <x:t xml:space="preserve">C2 - Structural correspondence candidate</x:t>
        </x:is>
      </x:c>
      <x:c r="D25" s="38" t="inlineStr">
        <x:is>
          <x:t xml:space="preserve">2 - Defined model / marker theorem only</x:t>
        </x:is>
      </x:c>
      <x:c r="E25" s="38" t="inlineStr">
        <x:is>
          <x:t xml:space="preserve">TRIVIAL_TRUE</x:t>
        </x:is>
      </x:c>
      <x:c r="F25" s="38" t="inlineStr">
        <x:is>
          <x:t xml:space="preserve">HIGH - theorem name/public sentence may exceed formal statement.</x:t>
        </x:is>
      </x:c>
      <x:c r="G25" s="38" t="inlineStr">
        <x:is>
          <x:t xml:space="preserve">theophysics-lean-main\theophysics-lean-main\Theophysics_Core.lean</x:t>
        </x:is>
      </x:c>
      <x:c r="H25" s="38" t="inlineStr">
        <x:is>
          <x:t xml:space="preserve">175</x:t>
        </x:is>
      </x:c>
      <x:c r="I25" s="38" t="inlineStr">
        <x:is>
          <x:t xml:space="preserve">theorem full_E_zero_collapses : True</x:t>
        </x:is>
      </x:c>
      <x:c r="J25" s="38" t="inlineStr">
        <x:is>
          <x:t xml:space="preserve">E=0 → χ=0</x:t>
        </x:is>
      </x:c>
      <x:c r="K25" s="38" t="inlineStr">
        <x:is>
          <x:t xml:space="preserve">TODO: list constructors/definitions/candidate restrictions.</x:t>
        </x:is>
      </x:c>
      <x:c r="L25" s="38" t="inlineStr">
        <x:is>
          <x:t xml:space="preserve">TODO: translate exact Lean statement only.</x:t>
        </x:is>
      </x:c>
      <x:c r="M25" s="38" t="inlineStr">
        <x:is>
          <x:t xml:space="preserve">TODO: link Colab/Python artifact or mark not tested.</x:t>
        </x:is>
      </x:c>
      <x:c r="N25" s="38" t="inlineStr">
        <x:is>
          <x:t xml:space="preserve">TODO: link dataset/observation or mark not empirical.</x:t>
        </x:is>
      </x:c>
      <x:c r="O25" s="38" t="inlineStr">
        <x:is>
          <x:t xml:space="preserve">TODO: theological/philosophical interpretation; do not merge with proof.</x:t>
        </x:is>
      </x:c>
      <x:c r="P25" s="38" t="inlineStr">
        <x:is>
          <x:t xml:space="preserve">TODO: formal, dynamical, empirical, or mapping kill condition.</x:t>
        </x:is>
      </x:c>
      <x:c r="Q25" s="39" t="inlineStr">
        <x:is>
          <x:t xml:space="preserve">Downgrade wording or strengthen proof if risk is HIGH; otherwise add evidence links.</x:t>
        </x:is>
      </x:c>
    </x:row>
    <x:row r="26" ht="15" customHeight="1">
      <x:c r="A26" s="37" t="inlineStr">
        <x:is>
          <x:t xml:space="preserve">25</x:t>
        </x:is>
      </x:c>
      <x:c r="B26" s="38" t="inlineStr">
        <x:is>
          <x:t xml:space="preserve">full_S_zero_collapses</x:t>
        </x:is>
      </x:c>
      <x:c r="C26" s="38" t="inlineStr">
        <x:is>
          <x:t xml:space="preserve">C2 - Structural correspondence candidate</x:t>
        </x:is>
      </x:c>
      <x:c r="D26" s="38" t="inlineStr">
        <x:is>
          <x:t xml:space="preserve">2 - Defined model / marker theorem only</x:t>
        </x:is>
      </x:c>
      <x:c r="E26" s="38" t="inlineStr">
        <x:is>
          <x:t xml:space="preserve">TRIVIAL_TRUE</x:t>
        </x:is>
      </x:c>
      <x:c r="F26" s="38" t="inlineStr">
        <x:is>
          <x:t xml:space="preserve">HIGH - theorem name/public sentence may exceed formal statement.</x:t>
        </x:is>
      </x:c>
      <x:c r="G26" s="38" t="inlineStr">
        <x:is>
          <x:t xml:space="preserve">theophysics-lean-main\theophysics-lean-main\Theophysics_Core.lean</x:t>
        </x:is>
      </x:c>
      <x:c r="H26" s="38" t="inlineStr">
        <x:is>
          <x:t xml:space="preserve">182</x:t>
        </x:is>
      </x:c>
      <x:c r="I26" s="38" t="inlineStr">
        <x:is>
          <x:t xml:space="preserve">theorem full_S_zero_collapses : True</x:t>
        </x:is>
      </x:c>
      <x:c r="J26" s="38" t="inlineStr">
        <x:is>
          <x:t xml:space="preserve">S=0 → χ=0</x:t>
        </x:is>
      </x:c>
      <x:c r="K26" s="38" t="inlineStr">
        <x:is>
          <x:t xml:space="preserve">TODO: list constructors/definitions/candidate restrictions.</x:t>
        </x:is>
      </x:c>
      <x:c r="L26" s="38" t="inlineStr">
        <x:is>
          <x:t xml:space="preserve">TODO: translate exact Lean statement only.</x:t>
        </x:is>
      </x:c>
      <x:c r="M26" s="38" t="inlineStr">
        <x:is>
          <x:t xml:space="preserve">TODO: link Colab/Python artifact or mark not tested.</x:t>
        </x:is>
      </x:c>
      <x:c r="N26" s="38" t="inlineStr">
        <x:is>
          <x:t xml:space="preserve">TODO: link dataset/observation or mark not empirical.</x:t>
        </x:is>
      </x:c>
      <x:c r="O26" s="38" t="inlineStr">
        <x:is>
          <x:t xml:space="preserve">TODO: theological/philosophical interpretation; do not merge with proof.</x:t>
        </x:is>
      </x:c>
      <x:c r="P26" s="38" t="inlineStr">
        <x:is>
          <x:t xml:space="preserve">TODO: formal, dynamical, empirical, or mapping kill condition.</x:t>
        </x:is>
      </x:c>
      <x:c r="Q26" s="39" t="inlineStr">
        <x:is>
          <x:t xml:space="preserve">Downgrade wording or strengthen proof if risk is HIGH; otherwise add evidence links.</x:t>
        </x:is>
      </x:c>
    </x:row>
    <x:row r="27" ht="15" customHeight="1">
      <x:c r="A27" s="37" t="inlineStr">
        <x:is>
          <x:t xml:space="preserve">26</x:t>
        </x:is>
      </x:c>
      <x:c r="B27" s="38" t="inlineStr">
        <x:is>
          <x:t xml:space="preserve">full_T_zero_collapses</x:t>
        </x:is>
      </x:c>
      <x:c r="C27" s="38" t="inlineStr">
        <x:is>
          <x:t xml:space="preserve">C2 - Structural correspondence candidate</x:t>
        </x:is>
      </x:c>
      <x:c r="D27" s="38" t="inlineStr">
        <x:is>
          <x:t xml:space="preserve">2 - Defined model / marker theorem only</x:t>
        </x:is>
      </x:c>
      <x:c r="E27" s="38" t="inlineStr">
        <x:is>
          <x:t xml:space="preserve">TRIVIAL_TRUE</x:t>
        </x:is>
      </x:c>
      <x:c r="F27" s="38" t="inlineStr">
        <x:is>
          <x:t xml:space="preserve">HIGH - theorem name/public sentence may exceed formal statement.</x:t>
        </x:is>
      </x:c>
      <x:c r="G27" s="38" t="inlineStr">
        <x:is>
          <x:t xml:space="preserve">theophysics-lean-main\theophysics-lean-main\Theophysics_Core.lean</x:t>
        </x:is>
      </x:c>
      <x:c r="H27" s="38" t="inlineStr">
        <x:is>
          <x:t xml:space="preserve">183</x:t>
        </x:is>
      </x:c>
      <x:c r="I27" s="38" t="inlineStr">
        <x:is>
          <x:t xml:space="preserve">theorem full_T_zero_collapses : True</x:t>
        </x:is>
      </x:c>
      <x:c r="J27" s="38" t="inlineStr">
        <x:is>
          <x:t xml:space="preserve">T=0 → χ=0</x:t>
        </x:is>
      </x:c>
      <x:c r="K27" s="38" t="inlineStr">
        <x:is>
          <x:t xml:space="preserve">TODO: list constructors/definitions/candidate restrictions.</x:t>
        </x:is>
      </x:c>
      <x:c r="L27" s="38" t="inlineStr">
        <x:is>
          <x:t xml:space="preserve">TODO: translate exact Lean statement only.</x:t>
        </x:is>
      </x:c>
      <x:c r="M27" s="38" t="inlineStr">
        <x:is>
          <x:t xml:space="preserve">TODO: link Colab/Python artifact or mark not tested.</x:t>
        </x:is>
      </x:c>
      <x:c r="N27" s="38" t="inlineStr">
        <x:is>
          <x:t xml:space="preserve">TODO: link dataset/observation or mark not empirical.</x:t>
        </x:is>
      </x:c>
      <x:c r="O27" s="38" t="inlineStr">
        <x:is>
          <x:t xml:space="preserve">TODO: theological/philosophical interpretation; do not merge with proof.</x:t>
        </x:is>
      </x:c>
      <x:c r="P27" s="38" t="inlineStr">
        <x:is>
          <x:t xml:space="preserve">TODO: formal, dynamical, empirical, or mapping kill condition.</x:t>
        </x:is>
      </x:c>
      <x:c r="Q27" s="39" t="inlineStr">
        <x:is>
          <x:t xml:space="preserve">Downgrade wording or strengthen proof if risk is HIGH; otherwise add evidence links.</x:t>
        </x:is>
      </x:c>
    </x:row>
    <x:row r="28" ht="15" customHeight="1">
      <x:c r="A28" s="37" t="inlineStr">
        <x:is>
          <x:t xml:space="preserve">27</x:t>
        </x:is>
      </x:c>
      <x:c r="B28" s="38" t="inlineStr">
        <x:is>
          <x:t xml:space="preserve">full_K_zero_collapses</x:t>
        </x:is>
      </x:c>
      <x:c r="C28" s="38" t="inlineStr">
        <x:is>
          <x:t xml:space="preserve">C2 - Structural correspondence candidate</x:t>
        </x:is>
      </x:c>
      <x:c r="D28" s="38" t="inlineStr">
        <x:is>
          <x:t xml:space="preserve">2 - Defined model / marker theorem only</x:t>
        </x:is>
      </x:c>
      <x:c r="E28" s="38" t="inlineStr">
        <x:is>
          <x:t xml:space="preserve">TRIVIAL_TRUE</x:t>
        </x:is>
      </x:c>
      <x:c r="F28" s="38" t="inlineStr">
        <x:is>
          <x:t xml:space="preserve">HIGH - theorem name/public sentence may exceed formal statement.</x:t>
        </x:is>
      </x:c>
      <x:c r="G28" s="38" t="inlineStr">
        <x:is>
          <x:t xml:space="preserve">theophysics-lean-main\theophysics-lean-main\Theophysics_Core.lean</x:t>
        </x:is>
      </x:c>
      <x:c r="H28" s="38" t="inlineStr">
        <x:is>
          <x:t xml:space="preserve">178</x:t>
        </x:is>
      </x:c>
      <x:c r="I28" s="38" t="inlineStr">
        <x:is>
          <x:t xml:space="preserve">theorem full_K_zero_collapses : True</x:t>
        </x:is>
      </x:c>
      <x:c r="J28" s="38" t="inlineStr">
        <x:is>
          <x:t xml:space="preserve">K=0 → χ=0</x:t>
        </x:is>
      </x:c>
      <x:c r="K28" s="38" t="inlineStr">
        <x:is>
          <x:t xml:space="preserve">TODO: list constructors/definitions/candidate restrictions.</x:t>
        </x:is>
      </x:c>
      <x:c r="L28" s="38" t="inlineStr">
        <x:is>
          <x:t xml:space="preserve">TODO: translate exact Lean statement only.</x:t>
        </x:is>
      </x:c>
      <x:c r="M28" s="38" t="inlineStr">
        <x:is>
          <x:t xml:space="preserve">TODO: link Colab/Python artifact or mark not tested.</x:t>
        </x:is>
      </x:c>
      <x:c r="N28" s="38" t="inlineStr">
        <x:is>
          <x:t xml:space="preserve">TODO: link dataset/observation or mark not empirical.</x:t>
        </x:is>
      </x:c>
      <x:c r="O28" s="38" t="inlineStr">
        <x:is>
          <x:t xml:space="preserve">TODO: theological/philosophical interpretation; do not merge with proof.</x:t>
        </x:is>
      </x:c>
      <x:c r="P28" s="38" t="inlineStr">
        <x:is>
          <x:t xml:space="preserve">TODO: formal, dynamical, empirical, or mapping kill condition.</x:t>
        </x:is>
      </x:c>
      <x:c r="Q28" s="39" t="inlineStr">
        <x:is>
          <x:t xml:space="preserve">Downgrade wording or strengthen proof if risk is HIGH; otherwise add evidence links.</x:t>
        </x:is>
      </x:c>
    </x:row>
    <x:row r="29" ht="15" customHeight="1">
      <x:c r="A29" s="37" t="inlineStr">
        <x:is>
          <x:t xml:space="preserve">28</x:t>
        </x:is>
      </x:c>
      <x:c r="B29" s="38" t="inlineStr">
        <x:is>
          <x:t xml:space="preserve">full_R_zero_collapses</x:t>
        </x:is>
      </x:c>
      <x:c r="C29" s="38" t="inlineStr">
        <x:is>
          <x:t xml:space="preserve">C2 - Structural correspondence candidate</x:t>
        </x:is>
      </x:c>
      <x:c r="D29" s="38" t="inlineStr">
        <x:is>
          <x:t xml:space="preserve">2 - Defined model / marker theorem only</x:t>
        </x:is>
      </x:c>
      <x:c r="E29" s="38" t="inlineStr">
        <x:is>
          <x:t xml:space="preserve">TRIVIAL_TRUE</x:t>
        </x:is>
      </x:c>
      <x:c r="F29" s="38" t="inlineStr">
        <x:is>
          <x:t xml:space="preserve">HIGH - theorem name/public sentence may exceed formal statement.</x:t>
        </x:is>
      </x:c>
      <x:c r="G29" s="38" t="inlineStr">
        <x:is>
          <x:t xml:space="preserve">theophysics-lean-main\theophysics-lean-main\Theophysics_Core.lean</x:t>
        </x:is>
      </x:c>
      <x:c r="H29" s="38" t="inlineStr">
        <x:is>
          <x:t xml:space="preserve">181</x:t>
        </x:is>
      </x:c>
      <x:c r="I29" s="38" t="inlineStr">
        <x:is>
          <x:t xml:space="preserve">theorem full_R_zero_collapses : True</x:t>
        </x:is>
      </x:c>
      <x:c r="J29" s="38" t="inlineStr">
        <x:is>
          <x:t xml:space="preserve">R=0 → χ=0</x:t>
        </x:is>
      </x:c>
      <x:c r="K29" s="38" t="inlineStr">
        <x:is>
          <x:t xml:space="preserve">TODO: list constructors/definitions/candidate restrictions.</x:t>
        </x:is>
      </x:c>
      <x:c r="L29" s="38" t="inlineStr">
        <x:is>
          <x:t xml:space="preserve">TODO: translate exact Lean statement only.</x:t>
        </x:is>
      </x:c>
      <x:c r="M29" s="38" t="inlineStr">
        <x:is>
          <x:t xml:space="preserve">TODO: link Colab/Python artifact or mark not tested.</x:t>
        </x:is>
      </x:c>
      <x:c r="N29" s="38" t="inlineStr">
        <x:is>
          <x:t xml:space="preserve">TODO: link dataset/observation or mark not empirical.</x:t>
        </x:is>
      </x:c>
      <x:c r="O29" s="38" t="inlineStr">
        <x:is>
          <x:t xml:space="preserve">TODO: theological/philosophical interpretation; do not merge with proof.</x:t>
        </x:is>
      </x:c>
      <x:c r="P29" s="38" t="inlineStr">
        <x:is>
          <x:t xml:space="preserve">TODO: formal, dynamical, empirical, or mapping kill condition.</x:t>
        </x:is>
      </x:c>
      <x:c r="Q29" s="39" t="inlineStr">
        <x:is>
          <x:t xml:space="preserve">Downgrade wording or strengthen proof if risk is HIGH; otherwise add evidence links.</x:t>
        </x:is>
      </x:c>
    </x:row>
    <x:row r="30" ht="15" customHeight="1">
      <x:c r="A30" s="37" t="inlineStr">
        <x:is>
          <x:t xml:space="preserve">29</x:t>
        </x:is>
      </x:c>
      <x:c r="B30" s="38" t="inlineStr">
        <x:is>
          <x:t xml:space="preserve">full_Q_zero_collapses</x:t>
        </x:is>
      </x:c>
      <x:c r="C30" s="38" t="inlineStr">
        <x:is>
          <x:t xml:space="preserve">C2 - Structural correspondence candidate</x:t>
        </x:is>
      </x:c>
      <x:c r="D30" s="38" t="inlineStr">
        <x:is>
          <x:t xml:space="preserve">2 - Defined model / marker theorem only</x:t>
        </x:is>
      </x:c>
      <x:c r="E30" s="38" t="inlineStr">
        <x:is>
          <x:t xml:space="preserve">TRIVIAL_TRUE</x:t>
        </x:is>
      </x:c>
      <x:c r="F30" s="38" t="inlineStr">
        <x:is>
          <x:t xml:space="preserve">HIGH - theorem name/public sentence may exceed formal statement.</x:t>
        </x:is>
      </x:c>
      <x:c r="G30" s="38" t="inlineStr">
        <x:is>
          <x:t xml:space="preserve">theophysics-lean-main\theophysics-lean-main\Theophysics_Core.lean</x:t>
        </x:is>
      </x:c>
      <x:c r="H30" s="38" t="inlineStr">
        <x:is>
          <x:t xml:space="preserve">180</x:t>
        </x:is>
      </x:c>
      <x:c r="I30" s="38" t="inlineStr">
        <x:is>
          <x:t xml:space="preserve">theorem full_Q_zero_collapses : True</x:t>
        </x:is>
      </x:c>
      <x:c r="J30" s="38" t="inlineStr">
        <x:is>
          <x:t xml:space="preserve">Q=0 → χ=0</x:t>
        </x:is>
      </x:c>
      <x:c r="K30" s="38" t="inlineStr">
        <x:is>
          <x:t xml:space="preserve">TODO: list constructors/definitions/candidate restrictions.</x:t>
        </x:is>
      </x:c>
      <x:c r="L30" s="38" t="inlineStr">
        <x:is>
          <x:t xml:space="preserve">TODO: translate exact Lean statement only.</x:t>
        </x:is>
      </x:c>
      <x:c r="M30" s="38" t="inlineStr">
        <x:is>
          <x:t xml:space="preserve">TODO: link Colab/Python artifact or mark not tested.</x:t>
        </x:is>
      </x:c>
      <x:c r="N30" s="38" t="inlineStr">
        <x:is>
          <x:t xml:space="preserve">TODO: link dataset/observation or mark not empirical.</x:t>
        </x:is>
      </x:c>
      <x:c r="O30" s="38" t="inlineStr">
        <x:is>
          <x:t xml:space="preserve">TODO: theological/philosophical interpretation; do not merge with proof.</x:t>
        </x:is>
      </x:c>
      <x:c r="P30" s="38" t="inlineStr">
        <x:is>
          <x:t xml:space="preserve">TODO: formal, dynamical, empirical, or mapping kill condition.</x:t>
        </x:is>
      </x:c>
      <x:c r="Q30" s="39" t="inlineStr">
        <x:is>
          <x:t xml:space="preserve">Downgrade wording or strengthen proof if risk is HIGH; otherwise add evidence links.</x:t>
        </x:is>
      </x:c>
    </x:row>
    <x:row r="31" ht="15" customHeight="1">
      <x:c r="A31" s="37" t="inlineStr">
        <x:is>
          <x:t xml:space="preserve">30</x:t>
        </x:is>
      </x:c>
      <x:c r="B31" s="38" t="inlineStr">
        <x:is>
          <x:t xml:space="preserve">full_F_zero_collapses</x:t>
        </x:is>
      </x:c>
      <x:c r="C31" s="38" t="inlineStr">
        <x:is>
          <x:t xml:space="preserve">C2 - Structural correspondence candidate</x:t>
        </x:is>
      </x:c>
      <x:c r="D31" s="38" t="inlineStr">
        <x:is>
          <x:t xml:space="preserve">2 - Defined model / marker theorem only</x:t>
        </x:is>
      </x:c>
      <x:c r="E31" s="38" t="inlineStr">
        <x:is>
          <x:t xml:space="preserve">TRIVIAL_TRUE</x:t>
        </x:is>
      </x:c>
      <x:c r="F31" s="38" t="inlineStr">
        <x:is>
          <x:t xml:space="preserve">HIGH - theorem name/public sentence may exceed formal statement.</x:t>
        </x:is>
      </x:c>
      <x:c r="G31" s="38" t="inlineStr">
        <x:is>
          <x:t xml:space="preserve">theophysics-lean-main\theophysics-lean-main\Theophysics_Core.lean</x:t>
        </x:is>
      </x:c>
      <x:c r="H31" s="38" t="inlineStr">
        <x:is>
          <x:t xml:space="preserve">176</x:t>
        </x:is>
      </x:c>
      <x:c r="I31" s="38" t="inlineStr">
        <x:is>
          <x:t xml:space="preserve">theorem full_F_zero_collapses : True</x:t>
        </x:is>
      </x:c>
      <x:c r="J31" s="38" t="inlineStr">
        <x:is>
          <x:t xml:space="preserve">F=0 → χ=0</x:t>
        </x:is>
      </x:c>
      <x:c r="K31" s="38" t="inlineStr">
        <x:is>
          <x:t xml:space="preserve">TODO: list constructors/definitions/candidate restrictions.</x:t>
        </x:is>
      </x:c>
      <x:c r="L31" s="38" t="inlineStr">
        <x:is>
          <x:t xml:space="preserve">TODO: translate exact Lean statement only.</x:t>
        </x:is>
      </x:c>
      <x:c r="M31" s="38" t="inlineStr">
        <x:is>
          <x:t xml:space="preserve">TODO: link Colab/Python artifact or mark not tested.</x:t>
        </x:is>
      </x:c>
      <x:c r="N31" s="38" t="inlineStr">
        <x:is>
          <x:t xml:space="preserve">TODO: link dataset/observation or mark not empirical.</x:t>
        </x:is>
      </x:c>
      <x:c r="O31" s="38" t="inlineStr">
        <x:is>
          <x:t xml:space="preserve">TODO: theological/philosophical interpretation; do not merge with proof.</x:t>
        </x:is>
      </x:c>
      <x:c r="P31" s="38" t="inlineStr">
        <x:is>
          <x:t xml:space="preserve">TODO: formal, dynamical, empirical, or mapping kill condition.</x:t>
        </x:is>
      </x:c>
      <x:c r="Q31" s="39" t="inlineStr">
        <x:is>
          <x:t xml:space="preserve">Downgrade wording or strengthen proof if risk is HIGH; otherwise add evidence links.</x:t>
        </x:is>
      </x:c>
    </x:row>
    <x:row r="32" ht="15" customHeight="1">
      <x:c r="A32" s="37" t="inlineStr">
        <x:is>
          <x:t xml:space="preserve">31</x:t>
        </x:is>
      </x:c>
      <x:c r="B32" s="38" t="inlineStr">
        <x:is>
          <x:t xml:space="preserve">full_C_zero_collapses</x:t>
        </x:is>
      </x:c>
      <x:c r="C32" s="38" t="inlineStr">
        <x:is>
          <x:t xml:space="preserve">C2 - Structural correspondence candidate</x:t>
        </x:is>
      </x:c>
      <x:c r="D32" s="38" t="inlineStr">
        <x:is>
          <x:t xml:space="preserve">2 - Defined model / marker theorem only</x:t>
        </x:is>
      </x:c>
      <x:c r="E32" s="38" t="inlineStr">
        <x:is>
          <x:t xml:space="preserve">TRIVIAL_TRUE</x:t>
        </x:is>
      </x:c>
      <x:c r="F32" s="38" t="inlineStr">
        <x:is>
          <x:t xml:space="preserve">HIGH - theorem name/public sentence may exceed formal statement.</x:t>
        </x:is>
      </x:c>
      <x:c r="G32" s="38" t="inlineStr">
        <x:is>
          <x:t xml:space="preserve">theophysics-lean-main\theophysics-lean-main\Theophysics_Core.lean</x:t>
        </x:is>
      </x:c>
      <x:c r="H32" s="38" t="inlineStr">
        <x:is>
          <x:t xml:space="preserve">174</x:t>
        </x:is>
      </x:c>
      <x:c r="I32" s="38" t="inlineStr">
        <x:is>
          <x:t xml:space="preserve">theorem full_C_zero_collapses : True</x:t>
        </x:is>
      </x:c>
      <x:c r="J32" s="38" t="inlineStr">
        <x:is>
          <x:t xml:space="preserve">C=0 → χ=0</x:t>
        </x:is>
      </x:c>
      <x:c r="K32" s="38" t="inlineStr">
        <x:is>
          <x:t xml:space="preserve">TODO: list constructors/definitions/candidate restrictions.</x:t>
        </x:is>
      </x:c>
      <x:c r="L32" s="38" t="inlineStr">
        <x:is>
          <x:t xml:space="preserve">TODO: translate exact Lean statement only.</x:t>
        </x:is>
      </x:c>
      <x:c r="M32" s="38" t="inlineStr">
        <x:is>
          <x:t xml:space="preserve">TODO: link Colab/Python artifact or mark not tested.</x:t>
        </x:is>
      </x:c>
      <x:c r="N32" s="38" t="inlineStr">
        <x:is>
          <x:t xml:space="preserve">TODO: link dataset/observation or mark not empirical.</x:t>
        </x:is>
      </x:c>
      <x:c r="O32" s="38" t="inlineStr">
        <x:is>
          <x:t xml:space="preserve">TODO: theological/philosophical interpretation; do not merge with proof.</x:t>
        </x:is>
      </x:c>
      <x:c r="P32" s="38" t="inlineStr">
        <x:is>
          <x:t xml:space="preserve">TODO: formal, dynamical, empirical, or mapping kill condition.</x:t>
        </x:is>
      </x:c>
      <x:c r="Q32" s="39" t="inlineStr">
        <x:is>
          <x:t xml:space="preserve">Downgrade wording or strengthen proof if risk is HIGH; otherwise add evidence links.</x:t>
        </x:is>
      </x:c>
    </x:row>
    <x:row r="33" ht="15" customHeight="1">
      <x:c r="A33" s="37" t="inlineStr">
        <x:is>
          <x:t xml:space="preserve">32</x:t>
        </x:is>
      </x:c>
      <x:c r="B33" s="38" t="inlineStr">
        <x:is>
          <x:t xml:space="preserve">full_Q_nonzero_not_sufficient</x:t>
        </x:is>
      </x:c>
      <x:c r="C33" s="38" t="inlineStr">
        <x:is>
          <x:t xml:space="preserve">C2 - Structural correspondence candidate</x:t>
        </x:is>
      </x:c>
      <x:c r="D33" s="38" t="inlineStr">
        <x:is>
          <x:t xml:space="preserve">4 - Negative and countermodel tests</x:t>
        </x:is>
      </x:c>
      <x:c r="E33" s="38" t="inlineStr">
        <x:is>
          <x:t xml:space="preserve">FINITE_DECIDABLE</x:t>
        </x:is>
      </x:c>
      <x:c r="F33" s="38" t="inlineStr">
        <x:is>
          <x:t xml:space="preserve">LOW/MEDIUM - still needs theorem-to-public-claim translation.</x:t>
        </x:is>
      </x:c>
      <x:c r="G33" s="38" t="inlineStr">
        <x:is>
          <x:t xml:space="preserve">theophysics-lean-main\theophysics-lean-main\Theophysics_Adversarial.lean</x:t>
        </x:is>
      </x:c>
      <x:c r="H33" s="38" t="inlineStr">
        <x:is>
          <x:t xml:space="preserve">350</x:t>
        </x:is>
      </x:c>
      <x:c r="I33" s="38" t="inlineStr">
        <x:is>
          <x:t xml:space="preserve">theorem full_Q_nonzero_not_sufficient : fullQNonzeroButOtherGateZero.Q = 1 ∧ chi fullQNonzeroButOtherGateZero = 0</x:t>
        </x:is>
      </x:c>
      <x:c r="J33" s="38" t="inlineStr">
        <x:is>
          <x:t xml:space="preserve">REJECTION: Q &gt; 0 doesn't save you if G = 0. No single factor is sufficient.</x:t>
        </x:is>
      </x:c>
      <x:c r="K33" s="38" t="inlineStr">
        <x:is>
          <x:t xml:space="preserve">TODO: list constructors/definitions/candidate restrictions.</x:t>
        </x:is>
      </x:c>
      <x:c r="L33" s="38" t="inlineStr">
        <x:is>
          <x:t xml:space="preserve">TODO: translate exact Lean statement only.</x:t>
        </x:is>
      </x:c>
      <x:c r="M33" s="38" t="inlineStr">
        <x:is>
          <x:t xml:space="preserve">TODO: link Colab/Python artifact or mark not tested.</x:t>
        </x:is>
      </x:c>
      <x:c r="N33" s="38" t="inlineStr">
        <x:is>
          <x:t xml:space="preserve">TODO: link dataset/observation or mark not empirical.</x:t>
        </x:is>
      </x:c>
      <x:c r="O33" s="38" t="inlineStr">
        <x:is>
          <x:t xml:space="preserve">TODO: theological/philosophical interpretation; do not merge with proof.</x:t>
        </x:is>
      </x:c>
      <x:c r="P33" s="38" t="inlineStr">
        <x:is>
          <x:t xml:space="preserve">TODO: formal, dynamical, empirical, or mapping kill condition.</x:t>
        </x:is>
      </x:c>
      <x:c r="Q33" s="39" t="inlineStr">
        <x:is>
          <x:t xml:space="preserve">Downgrade wording or strengthen proof if risk is HIGH; otherwise add evidence links.</x:t>
        </x:is>
      </x:c>
    </x:row>
    <x:row r="34" ht="15" customHeight="1">
      <x:c r="A34" s="37" t="inlineStr">
        <x:is>
          <x:t xml:space="preserve">33</x:t>
        </x:is>
      </x:c>
      <x:c r="B34" s="38" t="inlineStr">
        <x:is>
          <x:t xml:space="preserve">full_R_gate_required</x:t>
        </x:is>
      </x:c>
      <x:c r="C34" s="38" t="inlineStr">
        <x:is>
          <x:t xml:space="preserve">C2 - Structural correspondence candidate</x:t>
        </x:is>
      </x:c>
      <x:c r="D34" s="38" t="inlineStr">
        <x:is>
          <x:t xml:space="preserve">4 - Negative and countermodel tests</x:t>
        </x:is>
      </x:c>
      <x:c r="E34" s="38" t="inlineStr">
        <x:is>
          <x:t xml:space="preserve">FINITE_DECIDABLE</x:t>
        </x:is>
      </x:c>
      <x:c r="F34" s="38" t="inlineStr">
        <x:is>
          <x:t xml:space="preserve">LOW/MEDIUM - still needs theorem-to-public-claim translation.</x:t>
        </x:is>
      </x:c>
      <x:c r="G34" s="38" t="inlineStr">
        <x:is>
          <x:t xml:space="preserve">theophysics-lean-main\theophysics-lean-main\Theophysics_Adversarial.lean</x:t>
        </x:is>
      </x:c>
      <x:c r="H34" s="38" t="inlineStr">
        <x:is>
          <x:t xml:space="preserve">354</x:t>
        </x:is>
      </x:c>
      <x:c r="I34" s="38" t="inlineStr">
        <x:is>
          <x:t xml:space="preserve">theorem full_R_gate_required : fullRGateCounterexample.R = 0 ∧ chi fullRGateCounterexample = 0</x:t>
        </x:is>
      </x:c>
      <x:c r="J34" s="38" t="inlineStr">
        <x:is>
          <x:t xml:space="preserve">REJECTION: R=0 kills χ even if everything else is 1. Gate is non-negotiable.</x:t>
        </x:is>
      </x:c>
      <x:c r="K34" s="38" t="inlineStr">
        <x:is>
          <x:t xml:space="preserve">TODO: list constructors/definitions/candidate restrictions.</x:t>
        </x:is>
      </x:c>
      <x:c r="L34" s="38" t="inlineStr">
        <x:is>
          <x:t xml:space="preserve">TODO: translate exact Lean statement only.</x:t>
        </x:is>
      </x:c>
      <x:c r="M34" s="38" t="inlineStr">
        <x:is>
          <x:t xml:space="preserve">TODO: link Colab/Python artifact or mark not tested.</x:t>
        </x:is>
      </x:c>
      <x:c r="N34" s="38" t="inlineStr">
        <x:is>
          <x:t xml:space="preserve">TODO: link dataset/observation or mark not empirical.</x:t>
        </x:is>
      </x:c>
      <x:c r="O34" s="38" t="inlineStr">
        <x:is>
          <x:t xml:space="preserve">TODO: theological/philosophical interpretation; do not merge with proof.</x:t>
        </x:is>
      </x:c>
      <x:c r="P34" s="38" t="inlineStr">
        <x:is>
          <x:t xml:space="preserve">TODO: formal, dynamical, empirical, or mapping kill condition.</x:t>
        </x:is>
      </x:c>
      <x:c r="Q34" s="39" t="inlineStr">
        <x:is>
          <x:t xml:space="preserve">Downgrade wording or strengthen proof if risk is HIGH; otherwise add evidence links.</x:t>
        </x:is>
      </x:c>
    </x:row>
    <x:row r="35" ht="15" customHeight="1">
      <x:c r="A35" s="37" t="inlineStr">
        <x:is>
          <x:t xml:space="preserve">34</x:t>
        </x:is>
      </x:c>
      <x:c r="B35" s="38" t="inlineStr">
        <x:is>
          <x:t xml:space="preserve">all_ones_live</x:t>
        </x:is>
      </x:c>
      <x:c r="C35" s="38" t="inlineStr">
        <x:is>
          <x:t xml:space="preserve">C2 - Structural correspondence candidate</x:t>
        </x:is>
      </x:c>
      <x:c r="D35" s="38" t="inlineStr">
        <x:is>
          <x:t xml:space="preserve">3 - Internal formal consistency; cite underlying theorem</x:t>
        </x:is>
      </x:c>
      <x:c r="E35" s="38" t="inlineStr">
        <x:is>
          <x:t xml:space="preserve">WRAPPER_OR_IMPORTED</x:t>
        </x:is>
      </x:c>
      <x:c r="F35" s="38" t="inlineStr">
        <x:is>
          <x:t xml:space="preserve">MEDIUM - cite underlying theorem, not just wrapper.</x:t>
        </x:is>
      </x:c>
      <x:c r="G35" s="38" t="inlineStr">
        <x:is>
          <x:t xml:space="preserve">theophysics-lean-main\theophysics-lean-main\Final_Lean4_From_Excel.lean</x:t>
        </x:is>
      </x:c>
      <x:c r="H35" s="38" t="inlineStr">
        <x:is>
          <x:t xml:space="preserve">128</x:t>
        </x:is>
      </x:c>
      <x:c r="I35" s="38" t="inlineStr">
        <x:is>
          <x:t xml:space="preserve">theorem all_ones_live : chi ⟨1,1,1,1,1,1,1,1,1,1⟩ = 1</x:t>
        </x:is>
      </x:c>
      <x:c r="J35" s="38" t="inlineStr">
        <x:is>
          <x:t xml:space="preserve">All factors at 1 → χ = 1 (life). The only surviving state when all gates pass.</x:t>
        </x:is>
      </x:c>
      <x:c r="K35" s="38" t="inlineStr">
        <x:is>
          <x:t xml:space="preserve">TODO: list constructors/definitions/candidate restrictions.</x:t>
        </x:is>
      </x:c>
      <x:c r="L35" s="38" t="inlineStr">
        <x:is>
          <x:t xml:space="preserve">TODO: translate exact Lean statement only.</x:t>
        </x:is>
      </x:c>
      <x:c r="M35" s="38" t="inlineStr">
        <x:is>
          <x:t xml:space="preserve">TODO: link Colab/Python artifact or mark not tested.</x:t>
        </x:is>
      </x:c>
      <x:c r="N35" s="38" t="inlineStr">
        <x:is>
          <x:t xml:space="preserve">TODO: link dataset/observation or mark not empirical.</x:t>
        </x:is>
      </x:c>
      <x:c r="O35" s="38" t="inlineStr">
        <x:is>
          <x:t xml:space="preserve">TODO: theological/philosophical interpretation; do not merge with proof.</x:t>
        </x:is>
      </x:c>
      <x:c r="P35" s="38" t="inlineStr">
        <x:is>
          <x:t xml:space="preserve">TODO: formal, dynamical, empirical, or mapping kill condition.</x:t>
        </x:is>
      </x:c>
      <x:c r="Q35" s="39" t="inlineStr">
        <x:is>
          <x:t xml:space="preserve">Downgrade wording or strengthen proof if risk is HIGH; otherwise add evidence links.</x:t>
        </x:is>
      </x:c>
    </x:row>
    <x:row r="36" ht="15" customHeight="1">
      <x:c r="A36" s="37" t="inlineStr">
        <x:is>
          <x:t xml:space="preserve">35</x:t>
        </x:is>
      </x:c>
      <x:c r="B36" s="38" t="inlineStr">
        <x:is>
          <x:t xml:space="preserve">canonical_substitution_row_valid</x:t>
        </x:is>
      </x:c>
      <x:c r="C36" s="38" t="inlineStr">
        <x:is>
          <x:t xml:space="preserve">C2 - Structural correspondence candidate</x:t>
        </x:is>
      </x:c>
      <x:c r="D36" s="38" t="inlineStr">
        <x:is>
          <x:t xml:space="preserve">2 - Defined model / marker theorem only</x:t>
        </x:is>
      </x:c>
      <x:c r="E36" s="38" t="inlineStr">
        <x:is>
          <x:t xml:space="preserve">TRIVIAL_TRUE</x:t>
        </x:is>
      </x:c>
      <x:c r="F36" s="38" t="inlineStr">
        <x:is>
          <x:t xml:space="preserve">HIGH - theorem name/public sentence may exceed formal statement.</x:t>
        </x:is>
      </x:c>
      <x:c r="G36" s="38" t="inlineStr">
        <x:is>
          <x:t xml:space="preserve">theophysics-lean-main\theophysics-lean-main\Theophysics_Core.lean</x:t>
        </x:is>
      </x:c>
      <x:c r="H36" s="38" t="inlineStr">
        <x:is>
          <x:t xml:space="preserve">187</x:t>
        </x:is>
      </x:c>
      <x:c r="I36" s="38" t="inlineStr">
        <x:is>
          <x:t xml:space="preserve">theorem canonical_substitution_row_valid : True</x:t>
        </x:is>
      </x:c>
      <x:c r="J36" s="38" t="inlineStr">
        <x:is>
          <x:t xml:space="preserve">Every factor's canonical substitution row passes</x:t>
        </x:is>
      </x:c>
      <x:c r="K36" s="38" t="inlineStr">
        <x:is>
          <x:t xml:space="preserve">TODO: list constructors/definitions/candidate restrictions.</x:t>
        </x:is>
      </x:c>
      <x:c r="L36" s="38" t="inlineStr">
        <x:is>
          <x:t xml:space="preserve">TODO: translate exact Lean statement only.</x:t>
        </x:is>
      </x:c>
      <x:c r="M36" s="38" t="inlineStr">
        <x:is>
          <x:t xml:space="preserve">TODO: link Colab/Python artifact or mark not tested.</x:t>
        </x:is>
      </x:c>
      <x:c r="N36" s="38" t="inlineStr">
        <x:is>
          <x:t xml:space="preserve">TODO: link dataset/observation or mark not empirical.</x:t>
        </x:is>
      </x:c>
      <x:c r="O36" s="38" t="inlineStr">
        <x:is>
          <x:t xml:space="preserve">TODO: theological/philosophical interpretation; do not merge with proof.</x:t>
        </x:is>
      </x:c>
      <x:c r="P36" s="38" t="inlineStr">
        <x:is>
          <x:t xml:space="preserve">TODO: formal, dynamical, empirical, or mapping kill condition.</x:t>
        </x:is>
      </x:c>
      <x:c r="Q36" s="39" t="inlineStr">
        <x:is>
          <x:t xml:space="preserve">Downgrade wording or strengthen proof if risk is HIGH; otherwise add evidence links.</x:t>
        </x:is>
      </x:c>
    </x:row>
    <x:row r="37" ht="15" customHeight="1">
      <x:c r="A37" s="37" t="inlineStr">
        <x:is>
          <x:t xml:space="preserve">36</x:t>
        </x:is>
      </x:c>
      <x:c r="B37" s="38" t="inlineStr">
        <x:is>
          <x:t xml:space="preserve">canonical_substitution_preserves_signature</x:t>
        </x:is>
      </x:c>
      <x:c r="C37" s="38" t="inlineStr">
        <x:is>
          <x:t xml:space="preserve">C3 - Homomorphism candidate</x:t>
        </x:is>
      </x:c>
      <x:c r="D37" s="38" t="inlineStr">
        <x:is>
          <x:t xml:space="preserve">3 - Internal formal consistency</x:t>
        </x:is>
      </x:c>
      <x:c r="E37" s="38" t="inlineStr">
        <x:is>
          <x:t xml:space="preserve">SUBSTANTIVE_OR_CASE_PROOF</x:t>
        </x:is>
      </x:c>
      <x:c r="F37" s="38" t="inlineStr">
        <x:is>
          <x:t xml:space="preserve">LOW/MEDIUM - still needs theorem-to-public-claim translation.</x:t>
        </x:is>
      </x:c>
      <x:c r="G37" s="38" t="inlineStr">
        <x:is>
          <x:t xml:space="preserve">theophysics-lean-main\theophysics-lean-main\Final_Lean4_From_Excel.lean</x:t>
        </x:is>
      </x:c>
      <x:c r="H37" s="38" t="inlineStr">
        <x:is>
          <x:t xml:space="preserve">229</x:t>
        </x:is>
      </x:c>
      <x:c r="I37" s="38" t="inlineStr">
        <x:is>
          <x:t xml:space="preserve">theorem canonical_substitution_preserves_signature (f : Factor) : signatureOfFactor (physicalToSpiritual f) = signatureOfFactor f</x:t>
        </x:is>
      </x:c>
      <x:c r="J37" s="38" t="inlineStr">
        <x:is>
          <x:t xml:space="preserve">Physical→spiritual substitution preserves signatures for all 10 factors</x:t>
        </x:is>
      </x:c>
      <x:c r="K37" s="38" t="inlineStr">
        <x:is>
          <x:t xml:space="preserve">TODO: list constructors/definitions/candidate restrictions.</x:t>
        </x:is>
      </x:c>
      <x:c r="L37" s="38" t="inlineStr">
        <x:is>
          <x:t xml:space="preserve">TODO: translate exact Lean statement only.</x:t>
        </x:is>
      </x:c>
      <x:c r="M37" s="38" t="inlineStr">
        <x:is>
          <x:t xml:space="preserve">TODO: link Colab/Python artifact or mark not tested.</x:t>
        </x:is>
      </x:c>
      <x:c r="N37" s="38" t="inlineStr">
        <x:is>
          <x:t xml:space="preserve">TODO: link dataset/observation or mark not empirical.</x:t>
        </x:is>
      </x:c>
      <x:c r="O37" s="38" t="inlineStr">
        <x:is>
          <x:t xml:space="preserve">TODO: theological/philosophical interpretation; do not merge with proof.</x:t>
        </x:is>
      </x:c>
      <x:c r="P37" s="38" t="inlineStr">
        <x:is>
          <x:t xml:space="preserve">TODO: formal, dynamical, empirical, or mapping kill condition.</x:t>
        </x:is>
      </x:c>
      <x:c r="Q37" s="39" t="inlineStr">
        <x:is>
          <x:t xml:space="preserve">Downgrade wording or strengthen proof if risk is HIGH; otherwise add evidence links.</x:t>
        </x:is>
      </x:c>
    </x:row>
    <x:row r="38" ht="15" customHeight="1">
      <x:c r="A38" s="37" t="inlineStr">
        <x:is>
          <x:t xml:space="preserve">37</x:t>
        </x:is>
      </x:c>
      <x:c r="B38" s="38" t="inlineStr">
        <x:is>
          <x:t xml:space="preserve">master_equation_invariant_under_canonical_substitution</x:t>
        </x:is>
      </x:c>
      <x:c r="C38" s="38" t="inlineStr">
        <x:is>
          <x:t xml:space="preserve">C2 - Structural correspondence candidate</x:t>
        </x:is>
      </x:c>
      <x:c r="D38" s="38" t="inlineStr">
        <x:is>
          <x:t xml:space="preserve">3 - Internal formal consistency</x:t>
        </x:is>
      </x:c>
      <x:c r="E38" s="38" t="inlineStr">
        <x:is>
          <x:t xml:space="preserve">DEFINITIONAL_RFL</x:t>
        </x:is>
      </x:c>
      <x:c r="F38" s="38" t="inlineStr">
        <x:is>
          <x:t xml:space="preserve">MEDIUM - definition strength must be audited.</x:t>
        </x:is>
      </x:c>
      <x:c r="G38" s="38" t="inlineStr">
        <x:is>
          <x:t xml:space="preserve">theophysics-lean-main\theophysics-lean-main\Final_Lean4_From_Excel.lean</x:t>
        </x:is>
      </x:c>
      <x:c r="H38" s="38" t="inlineStr">
        <x:is>
          <x:t xml:space="preserve">233</x:t>
        </x:is>
      </x:c>
      <x:c r="I38" s="38" t="inlineStr">
        <x:is>
          <x:t xml:space="preserve">theorem master_equation_invariant_under_canonical_substitution (x : FactorState) : chi x = chi x</x:t>
        </x:is>
      </x:c>
      <x:c r="J38" s="38" t="inlineStr">
        <x:is>
          <x:t xml:space="preserve">χ(physical) = χ(spiritual) under canonical map. The equation is the same in both registers.</x:t>
        </x:is>
      </x:c>
      <x:c r="K38" s="38" t="inlineStr">
        <x:is>
          <x:t xml:space="preserve">TODO: list constructors/definitions/candidate restrictions.</x:t>
        </x:is>
      </x:c>
      <x:c r="L38" s="38" t="inlineStr">
        <x:is>
          <x:t xml:space="preserve">TODO: translate exact Lean statement only.</x:t>
        </x:is>
      </x:c>
      <x:c r="M38" s="38" t="inlineStr">
        <x:is>
          <x:t xml:space="preserve">TODO: link Colab/Python artifact or mark not tested.</x:t>
        </x:is>
      </x:c>
      <x:c r="N38" s="38" t="inlineStr">
        <x:is>
          <x:t xml:space="preserve">TODO: link dataset/observation or mark not empirical.</x:t>
        </x:is>
      </x:c>
      <x:c r="O38" s="38" t="inlineStr">
        <x:is>
          <x:t xml:space="preserve">TODO: theological/philosophical interpretation; do not merge with proof.</x:t>
        </x:is>
      </x:c>
      <x:c r="P38" s="38" t="inlineStr">
        <x:is>
          <x:t xml:space="preserve">TODO: formal, dynamical, empirical, or mapping kill condition.</x:t>
        </x:is>
      </x:c>
      <x:c r="Q38" s="39" t="inlineStr">
        <x:is>
          <x:t xml:space="preserve">Downgrade wording or strengthen proof if risk is HIGH; otherwise add evidence links.</x:t>
        </x:is>
      </x:c>
    </x:row>
    <x:row r="39" ht="15" customHeight="1">
      <x:c r="A39" s="37" t="inlineStr">
        <x:is>
          <x:t xml:space="preserve">38</x:t>
        </x:is>
      </x:c>
      <x:c r="B39" s="38" t="inlineStr">
        <x:is>
          <x:t xml:space="preserve">G_zero_still_collapses_after_substitution</x:t>
        </x:is>
      </x:c>
      <x:c r="C39" s="38" t="inlineStr">
        <x:is>
          <x:t xml:space="preserve">C2 - Structural correspondence candidate</x:t>
        </x:is>
      </x:c>
      <x:c r="D39" s="38" t="inlineStr">
        <x:is>
          <x:t xml:space="preserve">2 - Defined model / marker theorem only</x:t>
        </x:is>
      </x:c>
      <x:c r="E39" s="38" t="inlineStr">
        <x:is>
          <x:t xml:space="preserve">TRIVIAL_TRUE</x:t>
        </x:is>
      </x:c>
      <x:c r="F39" s="38" t="inlineStr">
        <x:is>
          <x:t xml:space="preserve">HIGH - theorem name/public sentence may exceed formal statement.</x:t>
        </x:is>
      </x:c>
      <x:c r="G39" s="38" t="inlineStr">
        <x:is>
          <x:t xml:space="preserve">theophysics-lean-main\theophysics-lean-main\Theophysics_Core.lean</x:t>
        </x:is>
      </x:c>
      <x:c r="H39" s="38" t="inlineStr">
        <x:is>
          <x:t xml:space="preserve">188</x:t>
        </x:is>
      </x:c>
      <x:c r="I39" s="38" t="inlineStr">
        <x:is>
          <x:t xml:space="preserve">theorem G_zero_still_collapses_after_substitution : True</x:t>
        </x:is>
      </x:c>
      <x:c r="J39" s="38" t="inlineStr">
        <x:is>
          <x:t xml:space="preserve">G=0 collapse survives substitution</x:t>
        </x:is>
      </x:c>
      <x:c r="K39" s="38" t="inlineStr">
        <x:is>
          <x:t xml:space="preserve">TODO: list constructors/definitions/candidate restrictions.</x:t>
        </x:is>
      </x:c>
      <x:c r="L39" s="38" t="inlineStr">
        <x:is>
          <x:t xml:space="preserve">TODO: translate exact Lean statement only.</x:t>
        </x:is>
      </x:c>
      <x:c r="M39" s="38" t="inlineStr">
        <x:is>
          <x:t xml:space="preserve">TODO: link Colab/Python artifact or mark not tested.</x:t>
        </x:is>
      </x:c>
      <x:c r="N39" s="38" t="inlineStr">
        <x:is>
          <x:t xml:space="preserve">TODO: link dataset/observation or mark not empirical.</x:t>
        </x:is>
      </x:c>
      <x:c r="O39" s="38" t="inlineStr">
        <x:is>
          <x:t xml:space="preserve">TODO: theological/philosophical interpretation; do not merge with proof.</x:t>
        </x:is>
      </x:c>
      <x:c r="P39" s="38" t="inlineStr">
        <x:is>
          <x:t xml:space="preserve">TODO: formal, dynamical, empirical, or mapping kill condition.</x:t>
        </x:is>
      </x:c>
      <x:c r="Q39" s="39" t="inlineStr">
        <x:is>
          <x:t xml:space="preserve">Downgrade wording or strengthen proof if risk is HIGH; otherwise add evidence links.</x:t>
        </x:is>
      </x:c>
    </x:row>
    <x:row r="40" ht="15" customHeight="1">
      <x:c r="A40" s="37" t="inlineStr">
        <x:is>
          <x:t xml:space="preserve">39</x:t>
        </x:is>
      </x:c>
      <x:c r="B40" s="38" t="inlineStr">
        <x:is>
          <x:t xml:space="preserve">Q_zero_still_collapses_after_substitution</x:t>
        </x:is>
      </x:c>
      <x:c r="C40" s="38" t="inlineStr">
        <x:is>
          <x:t xml:space="preserve">C2 - Structural correspondence candidate</x:t>
        </x:is>
      </x:c>
      <x:c r="D40" s="38" t="inlineStr">
        <x:is>
          <x:t xml:space="preserve">2 - Defined model / marker theorem only</x:t>
        </x:is>
      </x:c>
      <x:c r="E40" s="38" t="inlineStr">
        <x:is>
          <x:t xml:space="preserve">TRIVIAL_TRUE</x:t>
        </x:is>
      </x:c>
      <x:c r="F40" s="38" t="inlineStr">
        <x:is>
          <x:t xml:space="preserve">HIGH - theorem name/public sentence may exceed formal statement.</x:t>
        </x:is>
      </x:c>
      <x:c r="G40" s="38" t="inlineStr">
        <x:is>
          <x:t xml:space="preserve">theophysics-lean-main\theophysics-lean-main\Theophysics_Core.lean</x:t>
        </x:is>
      </x:c>
      <x:c r="H40" s="38" t="inlineStr">
        <x:is>
          <x:t xml:space="preserve">193</x:t>
        </x:is>
      </x:c>
      <x:c r="I40" s="38" t="inlineStr">
        <x:is>
          <x:t xml:space="preserve">theorem Q_zero_still_collapses_after_substitution : True</x:t>
        </x:is>
      </x:c>
      <x:c r="J40" s="38" t="inlineStr">
        <x:is>
          <x:t xml:space="preserve">Q=0 collapse survives substitution</x:t>
        </x:is>
      </x:c>
      <x:c r="K40" s="38" t="inlineStr">
        <x:is>
          <x:t xml:space="preserve">TODO: list constructors/definitions/candidate restrictions.</x:t>
        </x:is>
      </x:c>
      <x:c r="L40" s="38" t="inlineStr">
        <x:is>
          <x:t xml:space="preserve">TODO: translate exact Lean statement only.</x:t>
        </x:is>
      </x:c>
      <x:c r="M40" s="38" t="inlineStr">
        <x:is>
          <x:t xml:space="preserve">TODO: link Colab/Python artifact or mark not tested.</x:t>
        </x:is>
      </x:c>
      <x:c r="N40" s="38" t="inlineStr">
        <x:is>
          <x:t xml:space="preserve">TODO: link dataset/observation or mark not empirical.</x:t>
        </x:is>
      </x:c>
      <x:c r="O40" s="38" t="inlineStr">
        <x:is>
          <x:t xml:space="preserve">TODO: theological/philosophical interpretation; do not merge with proof.</x:t>
        </x:is>
      </x:c>
      <x:c r="P40" s="38" t="inlineStr">
        <x:is>
          <x:t xml:space="preserve">TODO: formal, dynamical, empirical, or mapping kill condition.</x:t>
        </x:is>
      </x:c>
      <x:c r="Q40" s="39" t="inlineStr">
        <x:is>
          <x:t xml:space="preserve">Downgrade wording or strengthen proof if risk is HIGH; otherwise add evidence links.</x:t>
        </x:is>
      </x:c>
    </x:row>
    <x:row r="41" ht="15" customHeight="1">
      <x:c r="A41" s="37" t="inlineStr">
        <x:is>
          <x:t xml:space="preserve">40</x:t>
        </x:is>
      </x:c>
      <x:c r="B41" s="38" t="inlineStr">
        <x:is>
          <x:t xml:space="preserve">product_only_does_not_detect_grace_faith_swap</x:t>
        </x:is>
      </x:c>
      <x:c r="C41" s="38" t="inlineStr">
        <x:is>
          <x:t xml:space="preserve">C2 - Structural correspondence candidate</x:t>
        </x:is>
      </x:c>
      <x:c r="D41" s="38" t="inlineStr">
        <x:is>
          <x:t xml:space="preserve">4 - Negative and countermodel tests</x:t>
        </x:is>
      </x:c>
      <x:c r="E41" s="38" t="inlineStr">
        <x:is>
          <x:t xml:space="preserve">DEFINITIONAL_RFL</x:t>
        </x:is>
      </x:c>
      <x:c r="F41" s="38" t="inlineStr">
        <x:is>
          <x:t xml:space="preserve">MEDIUM - definition strength must be audited.</x:t>
        </x:is>
      </x:c>
      <x:c r="G41" s="38" t="inlineStr">
        <x:is>
          <x:t xml:space="preserve">theophysics-lean-main\theophysics-lean-main\Theophysics_Adversarial.lean</x:t>
        </x:is>
      </x:c>
      <x:c r="H41" s="38" t="inlineStr">
        <x:is>
          <x:t xml:space="preserve">358</x:t>
        </x:is>
      </x:c>
      <x:c r="I41" s="38" t="inlineStr">
        <x:is>
          <x:t xml:space="preserve">theorem product_only_does_not_detect_grace_faith_swap : productOnlyDetectsSignatureSwap = false</x:t>
        </x:is>
      </x:c>
      <x:c r="J41" s="38" t="inlineStr">
        <x:is>
          <x:t xml:space="preserve">REJECTION FAILURE: Product alone is BLIND to semantic swaps. Grace↔Faith swap passes product check.</x:t>
        </x:is>
      </x:c>
      <x:c r="K41" s="38" t="inlineStr">
        <x:is>
          <x:t xml:space="preserve">TODO: list constructors/definitions/candidate restrictions.</x:t>
        </x:is>
      </x:c>
      <x:c r="L41" s="38" t="inlineStr">
        <x:is>
          <x:t xml:space="preserve">TODO: translate exact Lean statement only.</x:t>
        </x:is>
      </x:c>
      <x:c r="M41" s="38" t="inlineStr">
        <x:is>
          <x:t xml:space="preserve">TODO: link Colab/Python artifact or mark not tested.</x:t>
        </x:is>
      </x:c>
      <x:c r="N41" s="38" t="inlineStr">
        <x:is>
          <x:t xml:space="preserve">TODO: link dataset/observation or mark not empirical.</x:t>
        </x:is>
      </x:c>
      <x:c r="O41" s="38" t="inlineStr">
        <x:is>
          <x:t xml:space="preserve">TODO: theological/philosophical interpretation; do not merge with proof.</x:t>
        </x:is>
      </x:c>
      <x:c r="P41" s="38" t="inlineStr">
        <x:is>
          <x:t xml:space="preserve">TODO: formal, dynamical, empirical, or mapping kill condition.</x:t>
        </x:is>
      </x:c>
      <x:c r="Q41" s="39" t="inlineStr">
        <x:is>
          <x:t xml:space="preserve">Downgrade wording or strengthen proof if risk is HIGH; otherwise add evidence links.</x:t>
        </x:is>
      </x:c>
    </x:row>
    <x:row r="42" ht="15" customHeight="1">
      <x:c r="A42" s="37" t="inlineStr">
        <x:is>
          <x:t xml:space="preserve">41</x:t>
        </x:is>
      </x:c>
      <x:c r="B42" s="38" t="inlineStr">
        <x:is>
          <x:t xml:space="preserve">signature_layer_rejects_grace_faith_swap</x:t>
        </x:is>
      </x:c>
      <x:c r="C42" s="38" t="inlineStr">
        <x:is>
          <x:t xml:space="preserve">C2 - Structural correspondence candidate</x:t>
        </x:is>
      </x:c>
      <x:c r="D42" s="38" t="inlineStr">
        <x:is>
          <x:t xml:space="preserve">4 - Negative and countermodel tests</x:t>
        </x:is>
      </x:c>
      <x:c r="E42" s="38" t="inlineStr">
        <x:is>
          <x:t xml:space="preserve">DEFINITIONAL_RFL</x:t>
        </x:is>
      </x:c>
      <x:c r="F42" s="38" t="inlineStr">
        <x:is>
          <x:t xml:space="preserve">MEDIUM - definition strength must be audited.</x:t>
        </x:is>
      </x:c>
      <x:c r="G42" s="38" t="inlineStr">
        <x:is>
          <x:t xml:space="preserve">theophysics-lean-main\theophysics-lean-main\Theophysics_Adversarial.lean</x:t>
        </x:is>
      </x:c>
      <x:c r="H42" s="38" t="inlineStr">
        <x:is>
          <x:t xml:space="preserve">362</x:t>
        </x:is>
      </x:c>
      <x:c r="I42" s="38" t="inlineStr">
        <x:is>
          <x:t xml:space="preserve">theorem signature_layer_rejects_grace_faith_swap : signatureLayerDetectsGraceFaithSwap = true</x:t>
        </x:is>
      </x:c>
      <x:c r="J42" s="38" t="inlineStr">
        <x:is>
          <x:t xml:space="preserve">REJECTION: But the signature layer catches Grace↔Faith swap that product missed</x:t>
        </x:is>
      </x:c>
      <x:c r="K42" s="38" t="inlineStr">
        <x:is>
          <x:t xml:space="preserve">TODO: list constructors/definitions/candidate restrictions.</x:t>
        </x:is>
      </x:c>
      <x:c r="L42" s="38" t="inlineStr">
        <x:is>
          <x:t xml:space="preserve">TODO: translate exact Lean statement only.</x:t>
        </x:is>
      </x:c>
      <x:c r="M42" s="38" t="inlineStr">
        <x:is>
          <x:t xml:space="preserve">TODO: link Colab/Python artifact or mark not tested.</x:t>
        </x:is>
      </x:c>
      <x:c r="N42" s="38" t="inlineStr">
        <x:is>
          <x:t xml:space="preserve">TODO: link dataset/observation or mark not empirical.</x:t>
        </x:is>
      </x:c>
      <x:c r="O42" s="38" t="inlineStr">
        <x:is>
          <x:t xml:space="preserve">TODO: theological/philosophical interpretation; do not merge with proof.</x:t>
        </x:is>
      </x:c>
      <x:c r="P42" s="38" t="inlineStr">
        <x:is>
          <x:t xml:space="preserve">TODO: formal, dynamical, empirical, or mapping kill condition.</x:t>
        </x:is>
      </x:c>
      <x:c r="Q42" s="39" t="inlineStr">
        <x:is>
          <x:t xml:space="preserve">Downgrade wording or strengthen proof if risk is HIGH; otherwise add evidence links.</x:t>
        </x:is>
      </x:c>
    </x:row>
    <x:row r="43" ht="15" customHeight="1">
      <x:c r="A43" s="37" t="inlineStr">
        <x:is>
          <x:t xml:space="preserve">42</x:t>
        </x:is>
      </x:c>
      <x:c r="B43" s="38" t="inlineStr">
        <x:is>
          <x:t xml:space="preserve">master_invariance_requires_signature_discipline</x:t>
        </x:is>
      </x:c>
      <x:c r="C43" s="38" t="inlineStr">
        <x:is>
          <x:t xml:space="preserve">C2 - Structural correspondence candidate</x:t>
        </x:is>
      </x:c>
      <x:c r="D43" s="38" t="inlineStr">
        <x:is>
          <x:t xml:space="preserve">2 - Defined model / marker theorem only</x:t>
        </x:is>
      </x:c>
      <x:c r="E43" s="38" t="inlineStr">
        <x:is>
          <x:t xml:space="preserve">TRIVIAL_TRUE</x:t>
        </x:is>
      </x:c>
      <x:c r="F43" s="38" t="inlineStr">
        <x:is>
          <x:t xml:space="preserve">HIGH - theorem name/public sentence may exceed formal statement.</x:t>
        </x:is>
      </x:c>
      <x:c r="G43" s="38" t="inlineStr">
        <x:is>
          <x:t xml:space="preserve">theophysics-lean-main\theophysics-lean-main\Theophysics_Core.lean</x:t>
        </x:is>
      </x:c>
      <x:c r="H43" s="38" t="inlineStr">
        <x:is>
          <x:t xml:space="preserve">192</x:t>
        </x:is>
      </x:c>
      <x:c r="I43" s="38" t="inlineStr">
        <x:is>
          <x:t xml:space="preserve">theorem master_invariance_requires_signature_discipline : True</x:t>
        </x:is>
      </x:c>
      <x:c r="J43" s="38" t="inlineStr">
        <x:is>
          <x:t xml:space="preserve">BOTH product AND signature needed — neither alone suffices. This is why the bridge is two-layer.</x:t>
        </x:is>
      </x:c>
      <x:c r="K43" s="38" t="inlineStr">
        <x:is>
          <x:t xml:space="preserve">TODO: list constructors/definitions/candidate restrictions.</x:t>
        </x:is>
      </x:c>
      <x:c r="L43" s="38" t="inlineStr">
        <x:is>
          <x:t xml:space="preserve">TODO: translate exact Lean statement only.</x:t>
        </x:is>
      </x:c>
      <x:c r="M43" s="38" t="inlineStr">
        <x:is>
          <x:t xml:space="preserve">TODO: link Colab/Python artifact or mark not tested.</x:t>
        </x:is>
      </x:c>
      <x:c r="N43" s="38" t="inlineStr">
        <x:is>
          <x:t xml:space="preserve">TODO: link dataset/observation or mark not empirical.</x:t>
        </x:is>
      </x:c>
      <x:c r="O43" s="38" t="inlineStr">
        <x:is>
          <x:t xml:space="preserve">TODO: theological/philosophical interpretation; do not merge with proof.</x:t>
        </x:is>
      </x:c>
      <x:c r="P43" s="38" t="inlineStr">
        <x:is>
          <x:t xml:space="preserve">TODO: formal, dynamical, empirical, or mapping kill condition.</x:t>
        </x:is>
      </x:c>
      <x:c r="Q43" s="39" t="inlineStr">
        <x:is>
          <x:t xml:space="preserve">Downgrade wording or strengthen proof if risk is HIGH; otherwise add evidence links.</x:t>
        </x:is>
      </x:c>
    </x:row>
    <x:row r="44" ht="15" customHeight="1">
      <x:c r="A44" s="37" t="inlineStr">
        <x:is>
          <x:t xml:space="preserve">43</x:t>
        </x:is>
      </x:c>
      <x:c r="B44" s="38" t="inlineStr">
        <x:is>
          <x:t xml:space="preserve">law3_truth_limit_E_one</x:t>
        </x:is>
      </x:c>
      <x:c r="C44" s="38" t="inlineStr">
        <x:is>
          <x:t xml:space="preserve">C2 - Structural correspondence candidate</x:t>
        </x:is>
      </x:c>
      <x:c r="D44" s="38" t="inlineStr">
        <x:is>
          <x:t xml:space="preserve">3 - Internal formal consistency; cite underlying theorem</x:t>
        </x:is>
      </x:c>
      <x:c r="E44" s="38" t="inlineStr">
        <x:is>
          <x:t xml:space="preserve">WRAPPER_OR_IMPORTED</x:t>
        </x:is>
      </x:c>
      <x:c r="F44" s="38" t="inlineStr">
        <x:is>
          <x:t xml:space="preserve">MEDIUM - cite underlying theorem, not just wrapper.</x:t>
        </x:is>
      </x:c>
      <x:c r="G44" s="38" t="inlineStr">
        <x:is>
          <x:t xml:space="preserve">theophysics-lean-main\theophysics-lean-main\Final_Lean4_From_Excel.lean</x:t>
        </x:is>
      </x:c>
      <x:c r="H44" s="38" t="inlineStr">
        <x:is>
          <x:t xml:space="preserve">253</x:t>
        </x:is>
      </x:c>
      <x:c r="I44" s="38" t="inlineStr">
        <x:is>
          <x:t xml:space="preserve">theorem law3_truth_limit_E_one (x : FactorState) (h : x.E = 1) (hc : ¬ x.R = 0) (hb : ¬ x.Q = 0) : x.E = 1</x:t>
        </x:is>
      </x:c>
      <x:c r="J44" s="38" t="inlineStr">
        <x:is>
          <x:t xml:space="preserve">Full slots + source-backed + phase-aligned → E = 1</x:t>
        </x:is>
      </x:c>
      <x:c r="K44" s="38" t="inlineStr">
        <x:is>
          <x:t xml:space="preserve">TODO: list constructors/definitions/candidate restrictions.</x:t>
        </x:is>
      </x:c>
      <x:c r="L44" s="38" t="inlineStr">
        <x:is>
          <x:t xml:space="preserve">TODO: translate exact Lean statement only.</x:t>
        </x:is>
      </x:c>
      <x:c r="M44" s="38" t="inlineStr">
        <x:is>
          <x:t xml:space="preserve">TODO: link Colab/Python artifact or mark not tested.</x:t>
        </x:is>
      </x:c>
      <x:c r="N44" s="38" t="inlineStr">
        <x:is>
          <x:t xml:space="preserve">TODO: link dataset/observation or mark not empirical.</x:t>
        </x:is>
      </x:c>
      <x:c r="O44" s="38" t="inlineStr">
        <x:is>
          <x:t xml:space="preserve">TODO: theological/philosophical interpretation; do not merge with proof.</x:t>
        </x:is>
      </x:c>
      <x:c r="P44" s="38" t="inlineStr">
        <x:is>
          <x:t xml:space="preserve">TODO: formal, dynamical, empirical, or mapping kill condition.</x:t>
        </x:is>
      </x:c>
      <x:c r="Q44" s="39" t="inlineStr">
        <x:is>
          <x:t xml:space="preserve">Downgrade wording or strengthen proof if risk is HIGH; otherwise add evidence links.</x:t>
        </x:is>
      </x:c>
    </x:row>
    <x:row r="45" ht="15" customHeight="1">
      <x:c r="A45" s="37" t="inlineStr">
        <x:is>
          <x:t xml:space="preserve">44</x:t>
        </x:is>
      </x:c>
      <x:c r="B45" s="38" t="inlineStr">
        <x:is>
          <x:t xml:space="preserve">law3_command_bypass_forces_E_zero</x:t>
        </x:is>
      </x:c>
      <x:c r="C45" s="38" t="inlineStr">
        <x:is>
          <x:t xml:space="preserve">C2 - Structural correspondence candidate</x:t>
        </x:is>
      </x:c>
      <x:c r="D45" s="38" t="inlineStr">
        <x:is>
          <x:t xml:space="preserve">2 - Defined model / needs inspection</x:t>
        </x:is>
      </x:c>
      <x:c r="E45" s="38" t="inlineStr">
        <x:is>
          <x:t xml:space="preserve">DECLARATION_OR_UNKNOWN</x:t>
        </x:is>
      </x:c>
      <x:c r="F45" s="38" t="inlineStr">
        <x:is>
          <x:t xml:space="preserve">LOW/MEDIUM - still needs theorem-to-public-claim translation.</x:t>
        </x:is>
      </x:c>
      <x:c r="G45" s="38" t="inlineStr">
        <x:is>
          <x:t xml:space="preserve">theophysics-lean-main\theophysics-lean-main\Final_Lean4_From_Excel.lean</x:t>
        </x:is>
      </x:c>
      <x:c r="H45" s="38" t="inlineStr">
        <x:is>
          <x:t xml:space="preserve">257</x:t>
        </x:is>
      </x:c>
      <x:c r="I45" s="38" t="inlineStr">
        <x:is>
          <x:t xml:space="preserve">theorem law3_command_bypass_forces_E_zero (x : FactorState) : (∃ c : Controls, c.commandBypass = true) → ((if true then (0 : Nat) else x.E) = 0) := by intro _ simp</x:t>
        </x:is>
      </x:c>
      <x:c r="J45" s="38" t="inlineStr">
        <x:is>
          <x:t xml:space="preserve">REJECTION: Command bypass → E = 0 (∀ states). Bypassing command kills truth-fidelity.</x:t>
        </x:is>
      </x:c>
      <x:c r="K45" s="38" t="inlineStr">
        <x:is>
          <x:t xml:space="preserve">TODO: list constructors/definitions/candidate restrictions.</x:t>
        </x:is>
      </x:c>
      <x:c r="L45" s="38" t="inlineStr">
        <x:is>
          <x:t xml:space="preserve">TODO: translate exact Lean statement only.</x:t>
        </x:is>
      </x:c>
      <x:c r="M45" s="38" t="inlineStr">
        <x:is>
          <x:t xml:space="preserve">TODO: link Colab/Python artifact or mark not tested.</x:t>
        </x:is>
      </x:c>
      <x:c r="N45" s="38" t="inlineStr">
        <x:is>
          <x:t xml:space="preserve">TODO: link dataset/observation or mark not empirical.</x:t>
        </x:is>
      </x:c>
      <x:c r="O45" s="38" t="inlineStr">
        <x:is>
          <x:t xml:space="preserve">TODO: theological/philosophical interpretation; do not merge with proof.</x:t>
        </x:is>
      </x:c>
      <x:c r="P45" s="38" t="inlineStr">
        <x:is>
          <x:t xml:space="preserve">TODO: formal, dynamical, empirical, or mapping kill condition.</x:t>
        </x:is>
      </x:c>
      <x:c r="Q45" s="39" t="inlineStr">
        <x:is>
          <x:t xml:space="preserve">Downgrade wording or strengthen proof if risk is HIGH; otherwise add evidence links.</x:t>
        </x:is>
      </x:c>
    </x:row>
    <x:row r="46" ht="15" customHeight="1">
      <x:c r="A46" s="37" t="inlineStr">
        <x:is>
          <x:t xml:space="preserve">45</x:t>
        </x:is>
      </x:c>
      <x:c r="B46" s="38" t="inlineStr">
        <x:is>
          <x:t xml:space="preserve">law3_phase_inversion_forces_E_zero</x:t>
        </x:is>
      </x:c>
      <x:c r="C46" s="38" t="inlineStr">
        <x:is>
          <x:t xml:space="preserve">C2 - Structural correspondence candidate</x:t>
        </x:is>
      </x:c>
      <x:c r="D46" s="38" t="inlineStr">
        <x:is>
          <x:t xml:space="preserve">2 - Defined model / needs inspection</x:t>
        </x:is>
      </x:c>
      <x:c r="E46" s="38" t="inlineStr">
        <x:is>
          <x:t xml:space="preserve">DECLARATION_OR_UNKNOWN</x:t>
        </x:is>
      </x:c>
      <x:c r="F46" s="38" t="inlineStr">
        <x:is>
          <x:t xml:space="preserve">LOW/MEDIUM - still needs theorem-to-public-claim translation.</x:t>
        </x:is>
      </x:c>
      <x:c r="G46" s="38" t="inlineStr">
        <x:is>
          <x:t xml:space="preserve">theophysics-lean-main\theophysics-lean-main\Final_Lean4_From_Excel.lean</x:t>
        </x:is>
      </x:c>
      <x:c r="H46" s="38" t="inlineStr">
        <x:is>
          <x:t xml:space="preserve">263</x:t>
        </x:is>
      </x:c>
      <x:c r="I46" s="38" t="inlineStr">
        <x:is>
          <x:t xml:space="preserve">theorem law3_phase_inversion_forces_E_zero (x : FactorState) : (∃ c : Controls, c.phaseInversion = true) → ((if true then (0 : Nat) else x.E) = 0) := by intro _ simp -- law 7 (relational gate)</x:t>
        </x:is>
      </x:c>
      <x:c r="J46" s="38" t="inlineStr">
        <x:is>
          <x:t xml:space="preserve">REJECTION: Phase inversion → E = 0 (∀ states). Inverted alignment kills truth.</x:t>
        </x:is>
      </x:c>
      <x:c r="K46" s="38" t="inlineStr">
        <x:is>
          <x:t xml:space="preserve">TODO: list constructors/definitions/candidate restrictions.</x:t>
        </x:is>
      </x:c>
      <x:c r="L46" s="38" t="inlineStr">
        <x:is>
          <x:t xml:space="preserve">TODO: translate exact Lean statement only.</x:t>
        </x:is>
      </x:c>
      <x:c r="M46" s="38" t="inlineStr">
        <x:is>
          <x:t xml:space="preserve">TODO: link Colab/Python artifact or mark not tested.</x:t>
        </x:is>
      </x:c>
      <x:c r="N46" s="38" t="inlineStr">
        <x:is>
          <x:t xml:space="preserve">TODO: link dataset/observation or mark not empirical.</x:t>
        </x:is>
      </x:c>
      <x:c r="O46" s="38" t="inlineStr">
        <x:is>
          <x:t xml:space="preserve">TODO: theological/philosophical interpretation; do not merge with proof.</x:t>
        </x:is>
      </x:c>
      <x:c r="P46" s="38" t="inlineStr">
        <x:is>
          <x:t xml:space="preserve">TODO: formal, dynamical, empirical, or mapping kill condition.</x:t>
        </x:is>
      </x:c>
      <x:c r="Q46" s="39" t="inlineStr">
        <x:is>
          <x:t xml:space="preserve">Downgrade wording or strengthen proof if risk is HIGH; otherwise add evidence links.</x:t>
        </x:is>
      </x:c>
    </x:row>
    <x:row r="47" ht="15" customHeight="1">
      <x:c r="A47" s="37" t="inlineStr">
        <x:is>
          <x:t xml:space="preserve">46</x:t>
        </x:is>
      </x:c>
      <x:c r="B47" s="38" t="inlineStr">
        <x:is>
          <x:t xml:space="preserve">law3_command_bypass_collapses_chi</x:t>
        </x:is>
      </x:c>
      <x:c r="C47" s="38" t="inlineStr">
        <x:is>
          <x:t xml:space="preserve">C2 - Structural correspondence candidate</x:t>
        </x:is>
      </x:c>
      <x:c r="D47" s="38" t="inlineStr">
        <x:is>
          <x:t xml:space="preserve">2 - Defined model / marker theorem only</x:t>
        </x:is>
      </x:c>
      <x:c r="E47" s="38" t="inlineStr">
        <x:is>
          <x:t xml:space="preserve">TRIVIAL_TRUE</x:t>
        </x:is>
      </x:c>
      <x:c r="F47" s="38" t="inlineStr">
        <x:is>
          <x:t xml:space="preserve">HIGH - theorem name/public sentence may exceed formal statement.</x:t>
        </x:is>
      </x:c>
      <x:c r="G47" s="38" t="inlineStr">
        <x:is>
          <x:t xml:space="preserve">theophysics-lean-main\theophysics-lean-main\Theophysics_Core.lean</x:t>
        </x:is>
      </x:c>
      <x:c r="H47" s="38" t="inlineStr">
        <x:is>
          <x:t xml:space="preserve">194</x:t>
        </x:is>
      </x:c>
      <x:c r="I47" s="38" t="inlineStr">
        <x:is>
          <x:t xml:space="preserve">theorem law3_command_bypass_collapses_chi : True</x:t>
        </x:is>
      </x:c>
      <x:c r="J47" s="38" t="inlineStr">
        <x:is>
          <x:t xml:space="preserve">Command bypass → χ = 0. Truth bypass kills the whole system.</x:t>
        </x:is>
      </x:c>
      <x:c r="K47" s="38" t="inlineStr">
        <x:is>
          <x:t xml:space="preserve">TODO: list constructors/definitions/candidate restrictions.</x:t>
        </x:is>
      </x:c>
      <x:c r="L47" s="38" t="inlineStr">
        <x:is>
          <x:t xml:space="preserve">TODO: translate exact Lean statement only.</x:t>
        </x:is>
      </x:c>
      <x:c r="M47" s="38" t="inlineStr">
        <x:is>
          <x:t xml:space="preserve">TODO: link Colab/Python artifact or mark not tested.</x:t>
        </x:is>
      </x:c>
      <x:c r="N47" s="38" t="inlineStr">
        <x:is>
          <x:t xml:space="preserve">TODO: link dataset/observation or mark not empirical.</x:t>
        </x:is>
      </x:c>
      <x:c r="O47" s="38" t="inlineStr">
        <x:is>
          <x:t xml:space="preserve">TODO: theological/philosophical interpretation; do not merge with proof.</x:t>
        </x:is>
      </x:c>
      <x:c r="P47" s="38" t="inlineStr">
        <x:is>
          <x:t xml:space="preserve">TODO: formal, dynamical, empirical, or mapping kill condition.</x:t>
        </x:is>
      </x:c>
      <x:c r="Q47" s="39" t="inlineStr">
        <x:is>
          <x:t xml:space="preserve">Downgrade wording or strengthen proof if risk is HIGH; otherwise add evidence links.</x:t>
        </x:is>
      </x:c>
    </x:row>
    <x:row r="48" ht="15" customHeight="1">
      <x:c r="A48" s="37" t="inlineStr">
        <x:is>
          <x:t xml:space="preserve">47</x:t>
        </x:is>
      </x:c>
      <x:c r="B48" s="38" t="inlineStr">
        <x:is>
          <x:t xml:space="preserve">law3_phase_inversion_collapses_chi</x:t>
        </x:is>
      </x:c>
      <x:c r="C48" s="38" t="inlineStr">
        <x:is>
          <x:t xml:space="preserve">C2 - Structural correspondence candidate</x:t>
        </x:is>
      </x:c>
      <x:c r="D48" s="38" t="inlineStr">
        <x:is>
          <x:t xml:space="preserve">2 - Defined model / marker theorem only</x:t>
        </x:is>
      </x:c>
      <x:c r="E48" s="38" t="inlineStr">
        <x:is>
          <x:t xml:space="preserve">TRIVIAL_TRUE</x:t>
        </x:is>
      </x:c>
      <x:c r="F48" s="38" t="inlineStr">
        <x:is>
          <x:t xml:space="preserve">HIGH - theorem name/public sentence may exceed formal statement.</x:t>
        </x:is>
      </x:c>
      <x:c r="G48" s="38" t="inlineStr">
        <x:is>
          <x:t xml:space="preserve">theophysics-lean-main\theophysics-lean-main\Theophysics_Core.lean</x:t>
        </x:is>
      </x:c>
      <x:c r="H48" s="38" t="inlineStr">
        <x:is>
          <x:t xml:space="preserve">195</x:t>
        </x:is>
      </x:c>
      <x:c r="I48" s="38" t="inlineStr">
        <x:is>
          <x:t xml:space="preserve">theorem law3_phase_inversion_collapses_chi : True</x:t>
        </x:is>
      </x:c>
      <x:c r="J48" s="38" t="inlineStr">
        <x:is>
          <x:t xml:space="preserve">Phase inversion → χ = 0</x:t>
        </x:is>
      </x:c>
      <x:c r="K48" s="38" t="inlineStr">
        <x:is>
          <x:t xml:space="preserve">TODO: list constructors/definitions/candidate restrictions.</x:t>
        </x:is>
      </x:c>
      <x:c r="L48" s="38" t="inlineStr">
        <x:is>
          <x:t xml:space="preserve">TODO: translate exact Lean statement only.</x:t>
        </x:is>
      </x:c>
      <x:c r="M48" s="38" t="inlineStr">
        <x:is>
          <x:t xml:space="preserve">TODO: link Colab/Python artifact or mark not tested.</x:t>
        </x:is>
      </x:c>
      <x:c r="N48" s="38" t="inlineStr">
        <x:is>
          <x:t xml:space="preserve">TODO: link dataset/observation or mark not empirical.</x:t>
        </x:is>
      </x:c>
      <x:c r="O48" s="38" t="inlineStr">
        <x:is>
          <x:t xml:space="preserve">TODO: theological/philosophical interpretation; do not merge with proof.</x:t>
        </x:is>
      </x:c>
      <x:c r="P48" s="38" t="inlineStr">
        <x:is>
          <x:t xml:space="preserve">TODO: formal, dynamical, empirical, or mapping kill condition.</x:t>
        </x:is>
      </x:c>
      <x:c r="Q48" s="39" t="inlineStr">
        <x:is>
          <x:t xml:space="preserve">Downgrade wording or strengthen proof if risk is HIGH; otherwise add evidence links.</x:t>
        </x:is>
      </x:c>
    </x:row>
    <x:row r="49" ht="15" customHeight="1">
      <x:c r="A49" s="37" t="inlineStr">
        <x:is>
          <x:t xml:space="preserve">48</x:t>
        </x:is>
      </x:c>
      <x:c r="B49" s="38" t="inlineStr">
        <x:is>
          <x:t xml:space="preserve">law6_logos_limit_K_one</x:t>
        </x:is>
      </x:c>
      <x:c r="C49" s="38" t="inlineStr">
        <x:is>
          <x:t xml:space="preserve">C2 - Structural correspondence candidate</x:t>
        </x:is>
      </x:c>
      <x:c r="D49" s="38" t="inlineStr">
        <x:is>
          <x:t xml:space="preserve">2 - Defined model / marker theorem only</x:t>
        </x:is>
      </x:c>
      <x:c r="E49" s="38" t="inlineStr">
        <x:is>
          <x:t xml:space="preserve">TRIVIAL_TRUE</x:t>
        </x:is>
      </x:c>
      <x:c r="F49" s="38" t="inlineStr">
        <x:is>
          <x:t xml:space="preserve">HIGH - theorem name/public sentence may exceed formal statement.</x:t>
        </x:is>
      </x:c>
      <x:c r="G49" s="38" t="inlineStr">
        <x:is>
          <x:t xml:space="preserve">theophysics-lean-main\theophysics-lean-main\Theophysics_Core.lean</x:t>
        </x:is>
      </x:c>
      <x:c r="H49" s="38" t="inlineStr">
        <x:is>
          <x:t xml:space="preserve">200</x:t>
        </x:is>
      </x:c>
      <x:c r="I49" s="38" t="inlineStr">
        <x:is>
          <x:t xml:space="preserve">theorem law6_logos_limit_K_one : True</x:t>
        </x:is>
      </x:c>
      <x:c r="J49" s="38" t="inlineStr">
        <x:is>
          <x:t xml:space="preserve">Full conditions → K = 1</x:t>
        </x:is>
      </x:c>
      <x:c r="K49" s="38" t="inlineStr">
        <x:is>
          <x:t xml:space="preserve">TODO: list constructors/definitions/candidate restrictions.</x:t>
        </x:is>
      </x:c>
      <x:c r="L49" s="38" t="inlineStr">
        <x:is>
          <x:t xml:space="preserve">TODO: translate exact Lean statement only.</x:t>
        </x:is>
      </x:c>
      <x:c r="M49" s="38" t="inlineStr">
        <x:is>
          <x:t xml:space="preserve">TODO: link Colab/Python artifact or mark not tested.</x:t>
        </x:is>
      </x:c>
      <x:c r="N49" s="38" t="inlineStr">
        <x:is>
          <x:t xml:space="preserve">TODO: link dataset/observation or mark not empirical.</x:t>
        </x:is>
      </x:c>
      <x:c r="O49" s="38" t="inlineStr">
        <x:is>
          <x:t xml:space="preserve">TODO: theological/philosophical interpretation; do not merge with proof.</x:t>
        </x:is>
      </x:c>
      <x:c r="P49" s="38" t="inlineStr">
        <x:is>
          <x:t xml:space="preserve">TODO: formal, dynamical, empirical, or mapping kill condition.</x:t>
        </x:is>
      </x:c>
      <x:c r="Q49" s="39" t="inlineStr">
        <x:is>
          <x:t xml:space="preserve">Downgrade wording or strengthen proof if risk is HIGH; otherwise add evidence links.</x:t>
        </x:is>
      </x:c>
    </x:row>
    <x:row r="50" ht="15" customHeight="1">
      <x:c r="A50" s="37" t="inlineStr">
        <x:is>
          <x:t xml:space="preserve">49</x:t>
        </x:is>
      </x:c>
      <x:c r="B50" s="38" t="inlineStr">
        <x:is>
          <x:t xml:space="preserve">law6_relation_bypass_forces_K_zero</x:t>
        </x:is>
      </x:c>
      <x:c r="C50" s="38" t="inlineStr">
        <x:is>
          <x:t xml:space="preserve">C2 - Structural correspondence candidate</x:t>
        </x:is>
      </x:c>
      <x:c r="D50" s="38" t="inlineStr">
        <x:is>
          <x:t xml:space="preserve">4 - Negative and countermodel tests</x:t>
        </x:is>
      </x:c>
      <x:c r="E50" s="38" t="inlineStr">
        <x:is>
          <x:t xml:space="preserve">DEFINITIONAL_RFL</x:t>
        </x:is>
      </x:c>
      <x:c r="F50" s="38" t="inlineStr">
        <x:is>
          <x:t xml:space="preserve">MEDIUM - definition strength must be audited.</x:t>
        </x:is>
      </x:c>
      <x:c r="G50" s="38" t="inlineStr">
        <x:is>
          <x:t xml:space="preserve">theophysics-lean-main\theophysics-lean-main\Theophysics_Adversarial.lean</x:t>
        </x:is>
      </x:c>
      <x:c r="H50" s="38" t="inlineStr">
        <x:is>
          <x:t xml:space="preserve">367</x:t>
        </x:is>
      </x:c>
      <x:c r="I50" s="38" t="inlineStr">
        <x:is>
          <x:t xml:space="preserve">theorem law6_relation_bypass_forces_K_zero : KGate { relation := false } = 0</x:t>
        </x:is>
      </x:c>
      <x:c r="J50" s="38" t="inlineStr">
        <x:is>
          <x:t xml:space="preserve">REJECTION: Relation bypass → K = 0. No relation, no Logos.</x:t>
        </x:is>
      </x:c>
      <x:c r="K50" s="38" t="inlineStr">
        <x:is>
          <x:t xml:space="preserve">TODO: list constructors/definitions/candidate restrictions.</x:t>
        </x:is>
      </x:c>
      <x:c r="L50" s="38" t="inlineStr">
        <x:is>
          <x:t xml:space="preserve">TODO: translate exact Lean statement only.</x:t>
        </x:is>
      </x:c>
      <x:c r="M50" s="38" t="inlineStr">
        <x:is>
          <x:t xml:space="preserve">TODO: link Colab/Python artifact or mark not tested.</x:t>
        </x:is>
      </x:c>
      <x:c r="N50" s="38" t="inlineStr">
        <x:is>
          <x:t xml:space="preserve">TODO: link dataset/observation or mark not empirical.</x:t>
        </x:is>
      </x:c>
      <x:c r="O50" s="38" t="inlineStr">
        <x:is>
          <x:t xml:space="preserve">TODO: theological/philosophical interpretation; do not merge with proof.</x:t>
        </x:is>
      </x:c>
      <x:c r="P50" s="38" t="inlineStr">
        <x:is>
          <x:t xml:space="preserve">TODO: formal, dynamical, empirical, or mapping kill condition.</x:t>
        </x:is>
      </x:c>
      <x:c r="Q50" s="39" t="inlineStr">
        <x:is>
          <x:t xml:space="preserve">Downgrade wording or strengthen proof if risk is HIGH; otherwise add evidence links.</x:t>
        </x:is>
      </x:c>
    </x:row>
    <x:row r="51" ht="15" customHeight="1">
      <x:c r="A51" s="37" t="inlineStr">
        <x:is>
          <x:t xml:space="preserve">50</x:t>
        </x:is>
      </x:c>
      <x:c r="B51" s="38" t="inlineStr">
        <x:is>
          <x:t xml:space="preserve">law6_bandwidth_closed_forces_K_zero</x:t>
        </x:is>
      </x:c>
      <x:c r="C51" s="38" t="inlineStr">
        <x:is>
          <x:t xml:space="preserve">C2 - Structural correspondence candidate</x:t>
        </x:is>
      </x:c>
      <x:c r="D51" s="38" t="inlineStr">
        <x:is>
          <x:t xml:space="preserve">4 - Negative and countermodel tests</x:t>
        </x:is>
      </x:c>
      <x:c r="E51" s="38" t="inlineStr">
        <x:is>
          <x:t xml:space="preserve">DEFINITIONAL_RFL</x:t>
        </x:is>
      </x:c>
      <x:c r="F51" s="38" t="inlineStr">
        <x:is>
          <x:t xml:space="preserve">MEDIUM - definition strength must be audited.</x:t>
        </x:is>
      </x:c>
      <x:c r="G51" s="38" t="inlineStr">
        <x:is>
          <x:t xml:space="preserve">theophysics-lean-main\theophysics-lean-main\Theophysics_Adversarial.lean</x:t>
        </x:is>
      </x:c>
      <x:c r="H51" s="38" t="inlineStr">
        <x:is>
          <x:t xml:space="preserve">371</x:t>
        </x:is>
      </x:c>
      <x:c r="I51" s="38" t="inlineStr">
        <x:is>
          <x:t xml:space="preserve">theorem law6_bandwidth_closed_forces_K_zero : KGate { bandwidthOpen := false } = 0</x:t>
        </x:is>
      </x:c>
      <x:c r="J51" s="38" t="inlineStr">
        <x:is>
          <x:t xml:space="preserve">REJECTION: Bandwidth closed → K = 0. Channel closed, Logos blocked.</x:t>
        </x:is>
      </x:c>
      <x:c r="K51" s="38" t="inlineStr">
        <x:is>
          <x:t xml:space="preserve">TODO: list constructors/definitions/candidate restrictions.</x:t>
        </x:is>
      </x:c>
      <x:c r="L51" s="38" t="inlineStr">
        <x:is>
          <x:t xml:space="preserve">TODO: translate exact Lean statement only.</x:t>
        </x:is>
      </x:c>
      <x:c r="M51" s="38" t="inlineStr">
        <x:is>
          <x:t xml:space="preserve">TODO: link Colab/Python artifact or mark not tested.</x:t>
        </x:is>
      </x:c>
      <x:c r="N51" s="38" t="inlineStr">
        <x:is>
          <x:t xml:space="preserve">TODO: link dataset/observation or mark not empirical.</x:t>
        </x:is>
      </x:c>
      <x:c r="O51" s="38" t="inlineStr">
        <x:is>
          <x:t xml:space="preserve">TODO: theological/philosophical interpretation; do not merge with proof.</x:t>
        </x:is>
      </x:c>
      <x:c r="P51" s="38" t="inlineStr">
        <x:is>
          <x:t xml:space="preserve">TODO: formal, dynamical, empirical, or mapping kill condition.</x:t>
        </x:is>
      </x:c>
      <x:c r="Q51" s="39" t="inlineStr">
        <x:is>
          <x:t xml:space="preserve">Downgrade wording or strengthen proof if risk is HIGH; otherwise add evidence links.</x:t>
        </x:is>
      </x:c>
    </x:row>
    <x:row r="52" ht="15" customHeight="1">
      <x:c r="A52" s="37" t="inlineStr">
        <x:is>
          <x:t xml:space="preserve">51</x:t>
        </x:is>
      </x:c>
      <x:c r="B52" s="38" t="inlineStr">
        <x:is>
          <x:t xml:space="preserve">law6_distortion_dominates_forces_K_zero</x:t>
        </x:is>
      </x:c>
      <x:c r="C52" s="38" t="inlineStr">
        <x:is>
          <x:t xml:space="preserve">C2 - Structural correspondence candidate</x:t>
        </x:is>
      </x:c>
      <x:c r="D52" s="38" t="inlineStr">
        <x:is>
          <x:t xml:space="preserve">4 - Negative and countermodel tests</x:t>
        </x:is>
      </x:c>
      <x:c r="E52" s="38" t="inlineStr">
        <x:is>
          <x:t xml:space="preserve">DEFINITIONAL_RFL</x:t>
        </x:is>
      </x:c>
      <x:c r="F52" s="38" t="inlineStr">
        <x:is>
          <x:t xml:space="preserve">MEDIUM - definition strength must be audited.</x:t>
        </x:is>
      </x:c>
      <x:c r="G52" s="38" t="inlineStr">
        <x:is>
          <x:t xml:space="preserve">theophysics-lean-main\theophysics-lean-main\Theophysics_Adversarial.lean</x:t>
        </x:is>
      </x:c>
      <x:c r="H52" s="38" t="inlineStr">
        <x:is>
          <x:t xml:space="preserve">375</x:t>
        </x:is>
      </x:c>
      <x:c r="I52" s="38" t="inlineStr">
        <x:is>
          <x:t xml:space="preserve">theorem law6_distortion_dominates_forces_K_zero : KGate { distortionDominates := true } = 0</x:t>
        </x:is>
      </x:c>
      <x:c r="J52" s="38" t="inlineStr">
        <x:is>
          <x:t xml:space="preserve">REJECTION: Distortion dominates → K = 0</x:t>
        </x:is>
      </x:c>
      <x:c r="K52" s="38" t="inlineStr">
        <x:is>
          <x:t xml:space="preserve">TODO: list constructors/definitions/candidate restrictions.</x:t>
        </x:is>
      </x:c>
      <x:c r="L52" s="38" t="inlineStr">
        <x:is>
          <x:t xml:space="preserve">TODO: translate exact Lean statement only.</x:t>
        </x:is>
      </x:c>
      <x:c r="M52" s="38" t="inlineStr">
        <x:is>
          <x:t xml:space="preserve">TODO: link Colab/Python artifact or mark not tested.</x:t>
        </x:is>
      </x:c>
      <x:c r="N52" s="38" t="inlineStr">
        <x:is>
          <x:t xml:space="preserve">TODO: link dataset/observation or mark not empirical.</x:t>
        </x:is>
      </x:c>
      <x:c r="O52" s="38" t="inlineStr">
        <x:is>
          <x:t xml:space="preserve">TODO: theological/philosophical interpretation; do not merge with proof.</x:t>
        </x:is>
      </x:c>
      <x:c r="P52" s="38" t="inlineStr">
        <x:is>
          <x:t xml:space="preserve">TODO: formal, dynamical, empirical, or mapping kill condition.</x:t>
        </x:is>
      </x:c>
      <x:c r="Q52" s="39" t="inlineStr">
        <x:is>
          <x:t xml:space="preserve">Downgrade wording or strengthen proof if risk is HIGH; otherwise add evidence links.</x:t>
        </x:is>
      </x:c>
    </x:row>
    <x:row r="53" ht="15" customHeight="1">
      <x:c r="A53" s="37" t="inlineStr">
        <x:is>
          <x:t xml:space="preserve">52</x:t>
        </x:is>
      </x:c>
      <x:c r="B53" s="38" t="inlineStr">
        <x:is>
          <x:t xml:space="preserve">law6_bandwidth_collapse_collapses_chi</x:t>
        </x:is>
      </x:c>
      <x:c r="C53" s="38" t="inlineStr">
        <x:is>
          <x:t xml:space="preserve">C2 - Structural correspondence candidate</x:t>
        </x:is>
      </x:c>
      <x:c r="D53" s="38" t="inlineStr">
        <x:is>
          <x:t xml:space="preserve">2 - Defined model / marker theorem only</x:t>
        </x:is>
      </x:c>
      <x:c r="E53" s="38" t="inlineStr">
        <x:is>
          <x:t xml:space="preserve">TRIVIAL_TRUE</x:t>
        </x:is>
      </x:c>
      <x:c r="F53" s="38" t="inlineStr">
        <x:is>
          <x:t xml:space="preserve">HIGH - theorem name/public sentence may exceed formal statement.</x:t>
        </x:is>
      </x:c>
      <x:c r="G53" s="38" t="inlineStr">
        <x:is>
          <x:t xml:space="preserve">theophysics-lean-main\theophysics-lean-main\Theophysics_Core.lean</x:t>
        </x:is>
      </x:c>
      <x:c r="H53" s="38" t="inlineStr">
        <x:is>
          <x:t xml:space="preserve">199</x:t>
        </x:is>
      </x:c>
      <x:c r="I53" s="38" t="inlineStr">
        <x:is>
          <x:t xml:space="preserve">theorem law6_bandwidth_collapse_collapses_chi : True</x:t>
        </x:is>
      </x:c>
      <x:c r="J53" s="38" t="inlineStr">
        <x:is>
          <x:t xml:space="preserve">Bandwidth collapse → χ = 0</x:t>
        </x:is>
      </x:c>
      <x:c r="K53" s="38" t="inlineStr">
        <x:is>
          <x:t xml:space="preserve">TODO: list constructors/definitions/candidate restrictions.</x:t>
        </x:is>
      </x:c>
      <x:c r="L53" s="38" t="inlineStr">
        <x:is>
          <x:t xml:space="preserve">TODO: translate exact Lean statement only.</x:t>
        </x:is>
      </x:c>
      <x:c r="M53" s="38" t="inlineStr">
        <x:is>
          <x:t xml:space="preserve">TODO: link Colab/Python artifact or mark not tested.</x:t>
        </x:is>
      </x:c>
      <x:c r="N53" s="38" t="inlineStr">
        <x:is>
          <x:t xml:space="preserve">TODO: link dataset/observation or mark not empirical.</x:t>
        </x:is>
      </x:c>
      <x:c r="O53" s="38" t="inlineStr">
        <x:is>
          <x:t xml:space="preserve">TODO: theological/philosophical interpretation; do not merge with proof.</x:t>
        </x:is>
      </x:c>
      <x:c r="P53" s="38" t="inlineStr">
        <x:is>
          <x:t xml:space="preserve">TODO: formal, dynamical, empirical, or mapping kill condition.</x:t>
        </x:is>
      </x:c>
      <x:c r="Q53" s="39" t="inlineStr">
        <x:is>
          <x:t xml:space="preserve">Downgrade wording or strengthen proof if risk is HIGH; otherwise add evidence links.</x:t>
        </x:is>
      </x:c>
    </x:row>
    <x:row r="54" ht="15" customHeight="1">
      <x:c r="A54" s="37" t="inlineStr">
        <x:is>
          <x:t xml:space="preserve">53</x:t>
        </x:is>
      </x:c>
      <x:c r="B54" s="38" t="inlineStr">
        <x:is>
          <x:t xml:space="preserve">law7_righteous_limit_R_one</x:t>
        </x:is>
      </x:c>
      <x:c r="C54" s="38" t="inlineStr">
        <x:is>
          <x:t xml:space="preserve">C2 - Structural correspondence candidate</x:t>
        </x:is>
      </x:c>
      <x:c r="D54" s="38" t="inlineStr">
        <x:is>
          <x:t xml:space="preserve">2 - Defined model / marker theorem only</x:t>
        </x:is>
      </x:c>
      <x:c r="E54" s="38" t="inlineStr">
        <x:is>
          <x:t xml:space="preserve">TRIVIAL_TRUE</x:t>
        </x:is>
      </x:c>
      <x:c r="F54" s="38" t="inlineStr">
        <x:is>
          <x:t xml:space="preserve">HIGH - theorem name/public sentence may exceed formal statement.</x:t>
        </x:is>
      </x:c>
      <x:c r="G54" s="38" t="inlineStr">
        <x:is>
          <x:t xml:space="preserve">theophysics-lean-main\theophysics-lean-main\Theophysics_Core.lean</x:t>
        </x:is>
      </x:c>
      <x:c r="H54" s="38" t="inlineStr">
        <x:is>
          <x:t xml:space="preserve">203</x:t>
        </x:is>
      </x:c>
      <x:c r="I54" s="38" t="inlineStr">
        <x:is>
          <x:t xml:space="preserve">theorem law7_righteous_limit_R_one : True</x:t>
        </x:is>
      </x:c>
      <x:c r="J54" s="38" t="inlineStr">
        <x:is>
          <x:t xml:space="preserve">Full conditions → R = 1</x:t>
        </x:is>
      </x:c>
      <x:c r="K54" s="38" t="inlineStr">
        <x:is>
          <x:t xml:space="preserve">TODO: list constructors/definitions/candidate restrictions.</x:t>
        </x:is>
      </x:c>
      <x:c r="L54" s="38" t="inlineStr">
        <x:is>
          <x:t xml:space="preserve">TODO: translate exact Lean statement only.</x:t>
        </x:is>
      </x:c>
      <x:c r="M54" s="38" t="inlineStr">
        <x:is>
          <x:t xml:space="preserve">TODO: link Colab/Python artifact or mark not tested.</x:t>
        </x:is>
      </x:c>
      <x:c r="N54" s="38" t="inlineStr">
        <x:is>
          <x:t xml:space="preserve">TODO: link dataset/observation or mark not empirical.</x:t>
        </x:is>
      </x:c>
      <x:c r="O54" s="38" t="inlineStr">
        <x:is>
          <x:t xml:space="preserve">TODO: theological/philosophical interpretation; do not merge with proof.</x:t>
        </x:is>
      </x:c>
      <x:c r="P54" s="38" t="inlineStr">
        <x:is>
          <x:t xml:space="preserve">TODO: formal, dynamical, empirical, or mapping kill condition.</x:t>
        </x:is>
      </x:c>
      <x:c r="Q54" s="39" t="inlineStr">
        <x:is>
          <x:t xml:space="preserve">Downgrade wording or strengthen proof if risk is HIGH; otherwise add evidence links.</x:t>
        </x:is>
      </x:c>
    </x:row>
    <x:row r="55" ht="15" customHeight="1">
      <x:c r="A55" s="37" t="inlineStr">
        <x:is>
          <x:t xml:space="preserve">54</x:t>
        </x:is>
      </x:c>
      <x:c r="B55" s="38" t="inlineStr">
        <x:is>
          <x:t xml:space="preserve">law7_relation_bypass_forces_R_zero</x:t>
        </x:is>
      </x:c>
      <x:c r="C55" s="38" t="inlineStr">
        <x:is>
          <x:t xml:space="preserve">C2 - Structural correspondence candidate</x:t>
        </x:is>
      </x:c>
      <x:c r="D55" s="38" t="inlineStr">
        <x:is>
          <x:t xml:space="preserve">2 - Defined model / needs inspection</x:t>
        </x:is>
      </x:c>
      <x:c r="E55" s="38" t="inlineStr">
        <x:is>
          <x:t xml:space="preserve">DECLARATION_OR_UNKNOWN</x:t>
        </x:is>
      </x:c>
      <x:c r="F55" s="38" t="inlineStr">
        <x:is>
          <x:t xml:space="preserve">LOW/MEDIUM - still needs theorem-to-public-claim translation.</x:t>
        </x:is>
      </x:c>
      <x:c r="G55" s="38" t="inlineStr">
        <x:is>
          <x:t xml:space="preserve">theophysics-lean-main\theophysics-lean-main\Final_Lean4_From_Excel.lean</x:t>
        </x:is>
      </x:c>
      <x:c r="H55" s="38" t="inlineStr">
        <x:is>
          <x:t xml:space="preserve">270</x:t>
        </x:is>
      </x:c>
      <x:c r="I55" s="38" t="inlineStr">
        <x:is>
          <x:t xml:space="preserve">theorem law7_relation_bypass_forces_R_zero : ∀ c : Controls, c.relation = false → c.relation = false := fun c h =&gt; h</x:t>
        </x:is>
      </x:c>
      <x:c r="J55" s="38" t="inlineStr">
        <x:is>
          <x:t xml:space="preserve">REJECTION: Relation bypass → R = 0. No relation, no frame translation.</x:t>
        </x:is>
      </x:c>
      <x:c r="K55" s="38" t="inlineStr">
        <x:is>
          <x:t xml:space="preserve">TODO: list constructors/definitions/candidate restrictions.</x:t>
        </x:is>
      </x:c>
      <x:c r="L55" s="38" t="inlineStr">
        <x:is>
          <x:t xml:space="preserve">TODO: translate exact Lean statement only.</x:t>
        </x:is>
      </x:c>
      <x:c r="M55" s="38" t="inlineStr">
        <x:is>
          <x:t xml:space="preserve">TODO: link Colab/Python artifact or mark not tested.</x:t>
        </x:is>
      </x:c>
      <x:c r="N55" s="38" t="inlineStr">
        <x:is>
          <x:t xml:space="preserve">TODO: link dataset/observation or mark not empirical.</x:t>
        </x:is>
      </x:c>
      <x:c r="O55" s="38" t="inlineStr">
        <x:is>
          <x:t xml:space="preserve">TODO: theological/philosophical interpretation; do not merge with proof.</x:t>
        </x:is>
      </x:c>
      <x:c r="P55" s="38" t="inlineStr">
        <x:is>
          <x:t xml:space="preserve">TODO: formal, dynamical, empirical, or mapping kill condition.</x:t>
        </x:is>
      </x:c>
      <x:c r="Q55" s="39" t="inlineStr">
        <x:is>
          <x:t xml:space="preserve">Downgrade wording or strengthen proof if risk is HIGH; otherwise add evidence links.</x:t>
        </x:is>
      </x:c>
    </x:row>
    <x:row r="56" ht="15" customHeight="1">
      <x:c r="A56" s="37" t="inlineStr">
        <x:is>
          <x:t xml:space="preserve">55</x:t>
        </x:is>
      </x:c>
      <x:c r="B56" s="38" t="inlineStr">
        <x:is>
          <x:t xml:space="preserve">law7_metric_absent_forces_R_zero</x:t>
        </x:is>
      </x:c>
      <x:c r="C56" s="38" t="inlineStr">
        <x:is>
          <x:t xml:space="preserve">C2 - Structural correspondence candidate</x:t>
        </x:is>
      </x:c>
      <x:c r="D56" s="38" t="inlineStr">
        <x:is>
          <x:t xml:space="preserve">4 - Negative and countermodel tests</x:t>
        </x:is>
      </x:c>
      <x:c r="E56" s="38" t="inlineStr">
        <x:is>
          <x:t xml:space="preserve">DEFINITIONAL_RFL</x:t>
        </x:is>
      </x:c>
      <x:c r="F56" s="38" t="inlineStr">
        <x:is>
          <x:t xml:space="preserve">MEDIUM - definition strength must be audited.</x:t>
        </x:is>
      </x:c>
      <x:c r="G56" s="38" t="inlineStr">
        <x:is>
          <x:t xml:space="preserve">theophysics-lean-main\theophysics-lean-main\Theophysics_Adversarial.lean</x:t>
        </x:is>
      </x:c>
      <x:c r="H56" s="38" t="inlineStr">
        <x:is>
          <x:t xml:space="preserve">379</x:t>
        </x:is>
      </x:c>
      <x:c r="I56" s="38" t="inlineStr">
        <x:is>
          <x:t xml:space="preserve">theorem law7_metric_absent_forces_R_zero : RGate { metricPresent := false } = 0</x:t>
        </x:is>
      </x:c>
      <x:c r="J56" s="38" t="inlineStr">
        <x:is>
          <x:t xml:space="preserve">REJECTION: No shared metric → R = 0</x:t>
        </x:is>
      </x:c>
      <x:c r="K56" s="38" t="inlineStr">
        <x:is>
          <x:t xml:space="preserve">TODO: list constructors/definitions/candidate restrictions.</x:t>
        </x:is>
      </x:c>
      <x:c r="L56" s="38" t="inlineStr">
        <x:is>
          <x:t xml:space="preserve">TODO: translate exact Lean statement only.</x:t>
        </x:is>
      </x:c>
      <x:c r="M56" s="38" t="inlineStr">
        <x:is>
          <x:t xml:space="preserve">TODO: link Colab/Python artifact or mark not tested.</x:t>
        </x:is>
      </x:c>
      <x:c r="N56" s="38" t="inlineStr">
        <x:is>
          <x:t xml:space="preserve">TODO: link dataset/observation or mark not empirical.</x:t>
        </x:is>
      </x:c>
      <x:c r="O56" s="38" t="inlineStr">
        <x:is>
          <x:t xml:space="preserve">TODO: theological/philosophical interpretation; do not merge with proof.</x:t>
        </x:is>
      </x:c>
      <x:c r="P56" s="38" t="inlineStr">
        <x:is>
          <x:t xml:space="preserve">TODO: formal, dynamical, empirical, or mapping kill condition.</x:t>
        </x:is>
      </x:c>
      <x:c r="Q56" s="39" t="inlineStr">
        <x:is>
          <x:t xml:space="preserve">Downgrade wording or strengthen proof if risk is HIGH; otherwise add evidence links.</x:t>
        </x:is>
      </x:c>
    </x:row>
    <x:row r="57" ht="15" customHeight="1">
      <x:c r="A57" s="37" t="inlineStr">
        <x:is>
          <x:t xml:space="preserve">56</x:t>
        </x:is>
      </x:c>
      <x:c r="B57" s="38" t="inlineStr">
        <x:is>
          <x:t xml:space="preserve">law7_frame_lock_forces_R_zero</x:t>
        </x:is>
      </x:c>
      <x:c r="C57" s="38" t="inlineStr">
        <x:is>
          <x:t xml:space="preserve">C2 - Structural correspondence candidate</x:t>
        </x:is>
      </x:c>
      <x:c r="D57" s="38" t="inlineStr">
        <x:is>
          <x:t xml:space="preserve">2 - Defined model / needs inspection</x:t>
        </x:is>
      </x:c>
      <x:c r="E57" s="38" t="inlineStr">
        <x:is>
          <x:t xml:space="preserve">DECLARATION_OR_UNKNOWN</x:t>
        </x:is>
      </x:c>
      <x:c r="F57" s="38" t="inlineStr">
        <x:is>
          <x:t xml:space="preserve">LOW/MEDIUM - still needs theorem-to-public-claim translation.</x:t>
        </x:is>
      </x:c>
      <x:c r="G57" s="38" t="inlineStr">
        <x:is>
          <x:t xml:space="preserve">theophysics-lean-main\theophysics-lean-main\Final_Lean4_From_Excel.lean</x:t>
        </x:is>
      </x:c>
      <x:c r="H57" s="38" t="inlineStr">
        <x:is>
          <x:t xml:space="preserve">273</x:t>
        </x:is>
      </x:c>
      <x:c r="I57" s="38" t="inlineStr">
        <x:is>
          <x:t xml:space="preserve">theorem law7_frame_lock_forces_R_zero : ∀ c : Controls, c.frameLock = true → c.frameLock = true := fun c h =&gt; h -- score discipline as a binary gate def binaryGate (s : Nat) : Nat := if s = 0 then 0 else 1</x:t>
        </x:is>
      </x:c>
      <x:c r="J57" s="38" t="inlineStr">
        <x:is>
          <x:t xml:space="preserve">REJECTION: Frame lock → R = 0</x:t>
        </x:is>
      </x:c>
      <x:c r="K57" s="38" t="inlineStr">
        <x:is>
          <x:t xml:space="preserve">TODO: list constructors/definitions/candidate restrictions.</x:t>
        </x:is>
      </x:c>
      <x:c r="L57" s="38" t="inlineStr">
        <x:is>
          <x:t xml:space="preserve">TODO: translate exact Lean statement only.</x:t>
        </x:is>
      </x:c>
      <x:c r="M57" s="38" t="inlineStr">
        <x:is>
          <x:t xml:space="preserve">TODO: link Colab/Python artifact or mark not tested.</x:t>
        </x:is>
      </x:c>
      <x:c r="N57" s="38" t="inlineStr">
        <x:is>
          <x:t xml:space="preserve">TODO: link dataset/observation or mark not empirical.</x:t>
        </x:is>
      </x:c>
      <x:c r="O57" s="38" t="inlineStr">
        <x:is>
          <x:t xml:space="preserve">TODO: theological/philosophical interpretation; do not merge with proof.</x:t>
        </x:is>
      </x:c>
      <x:c r="P57" s="38" t="inlineStr">
        <x:is>
          <x:t xml:space="preserve">TODO: formal, dynamical, empirical, or mapping kill condition.</x:t>
        </x:is>
      </x:c>
      <x:c r="Q57" s="39" t="inlineStr">
        <x:is>
          <x:t xml:space="preserve">Downgrade wording or strengthen proof if risk is HIGH; otherwise add evidence links.</x:t>
        </x:is>
      </x:c>
    </x:row>
    <x:row r="58" ht="15" customHeight="1">
      <x:c r="A58" s="37" t="inlineStr">
        <x:is>
          <x:t xml:space="preserve">57</x:t>
        </x:is>
      </x:c>
      <x:c r="B58" s="38" t="inlineStr">
        <x:is>
          <x:t xml:space="preserve">law7_relation_bypass_collapses_chi</x:t>
        </x:is>
      </x:c>
      <x:c r="C58" s="38" t="inlineStr">
        <x:is>
          <x:t xml:space="preserve">C2 - Structural correspondence candidate</x:t>
        </x:is>
      </x:c>
      <x:c r="D58" s="38" t="inlineStr">
        <x:is>
          <x:t xml:space="preserve">2 - Defined model / marker theorem only</x:t>
        </x:is>
      </x:c>
      <x:c r="E58" s="38" t="inlineStr">
        <x:is>
          <x:t xml:space="preserve">TRIVIAL_TRUE</x:t>
        </x:is>
      </x:c>
      <x:c r="F58" s="38" t="inlineStr">
        <x:is>
          <x:t xml:space="preserve">HIGH - theorem name/public sentence may exceed formal statement.</x:t>
        </x:is>
      </x:c>
      <x:c r="G58" s="38" t="inlineStr">
        <x:is>
          <x:t xml:space="preserve">theophysics-lean-main\theophysics-lean-main\Theophysics_Core.lean</x:t>
        </x:is>
      </x:c>
      <x:c r="H58" s="38" t="inlineStr">
        <x:is>
          <x:t xml:space="preserve">202</x:t>
        </x:is>
      </x:c>
      <x:c r="I58" s="38" t="inlineStr">
        <x:is>
          <x:t xml:space="preserve">theorem law7_relation_bypass_collapses_chi : True</x:t>
        </x:is>
      </x:c>
      <x:c r="J58" s="38" t="inlineStr">
        <x:is>
          <x:t xml:space="preserve">Relation bypass → χ = 0</x:t>
        </x:is>
      </x:c>
      <x:c r="K58" s="38" t="inlineStr">
        <x:is>
          <x:t xml:space="preserve">TODO: list constructors/definitions/candidate restrictions.</x:t>
        </x:is>
      </x:c>
      <x:c r="L58" s="38" t="inlineStr">
        <x:is>
          <x:t xml:space="preserve">TODO: translate exact Lean statement only.</x:t>
        </x:is>
      </x:c>
      <x:c r="M58" s="38" t="inlineStr">
        <x:is>
          <x:t xml:space="preserve">TODO: link Colab/Python artifact or mark not tested.</x:t>
        </x:is>
      </x:c>
      <x:c r="N58" s="38" t="inlineStr">
        <x:is>
          <x:t xml:space="preserve">TODO: link dataset/observation or mark not empirical.</x:t>
        </x:is>
      </x:c>
      <x:c r="O58" s="38" t="inlineStr">
        <x:is>
          <x:t xml:space="preserve">TODO: theological/philosophical interpretation; do not merge with proof.</x:t>
        </x:is>
      </x:c>
      <x:c r="P58" s="38" t="inlineStr">
        <x:is>
          <x:t xml:space="preserve">TODO: formal, dynamical, empirical, or mapping kill condition.</x:t>
        </x:is>
      </x:c>
      <x:c r="Q58" s="39" t="inlineStr">
        <x:is>
          <x:t xml:space="preserve">Downgrade wording or strengthen proof if risk is HIGH; otherwise add evidence links.</x:t>
        </x:is>
      </x:c>
    </x:row>
    <x:row r="59" ht="15" customHeight="1">
      <x:c r="A59" s="37" t="inlineStr">
        <x:is>
          <x:t xml:space="preserve">58</x:t>
        </x:is>
      </x:c>
      <x:c r="B59" s="38" t="inlineStr">
        <x:is>
          <x:t xml:space="preserve">law7_frame_lock_collapses_chi</x:t>
        </x:is>
      </x:c>
      <x:c r="C59" s="38" t="inlineStr">
        <x:is>
          <x:t xml:space="preserve">C2 - Structural correspondence candidate</x:t>
        </x:is>
      </x:c>
      <x:c r="D59" s="38" t="inlineStr">
        <x:is>
          <x:t xml:space="preserve">2 - Defined model / marker theorem only</x:t>
        </x:is>
      </x:c>
      <x:c r="E59" s="38" t="inlineStr">
        <x:is>
          <x:t xml:space="preserve">TRIVIAL_TRUE</x:t>
        </x:is>
      </x:c>
      <x:c r="F59" s="38" t="inlineStr">
        <x:is>
          <x:t xml:space="preserve">HIGH - theorem name/public sentence may exceed formal statement.</x:t>
        </x:is>
      </x:c>
      <x:c r="G59" s="38" t="inlineStr">
        <x:is>
          <x:t xml:space="preserve">theophysics-lean-main\theophysics-lean-main\Theophysics_Core.lean</x:t>
        </x:is>
      </x:c>
      <x:c r="H59" s="38" t="inlineStr">
        <x:is>
          <x:t xml:space="preserve">201</x:t>
        </x:is>
      </x:c>
      <x:c r="I59" s="38" t="inlineStr">
        <x:is>
          <x:t xml:space="preserve">theorem law7_frame_lock_collapses_chi : True</x:t>
        </x:is>
      </x:c>
      <x:c r="J59" s="38" t="inlineStr">
        <x:is>
          <x:t xml:space="preserve">Frame lock → χ = 0</x:t>
        </x:is>
      </x:c>
      <x:c r="K59" s="38" t="inlineStr">
        <x:is>
          <x:t xml:space="preserve">TODO: list constructors/definitions/candidate restrictions.</x:t>
        </x:is>
      </x:c>
      <x:c r="L59" s="38" t="inlineStr">
        <x:is>
          <x:t xml:space="preserve">TODO: translate exact Lean statement only.</x:t>
        </x:is>
      </x:c>
      <x:c r="M59" s="38" t="inlineStr">
        <x:is>
          <x:t xml:space="preserve">TODO: link Colab/Python artifact or mark not tested.</x:t>
        </x:is>
      </x:c>
      <x:c r="N59" s="38" t="inlineStr">
        <x:is>
          <x:t xml:space="preserve">TODO: link dataset/observation or mark not empirical.</x:t>
        </x:is>
      </x:c>
      <x:c r="O59" s="38" t="inlineStr">
        <x:is>
          <x:t xml:space="preserve">TODO: theological/philosophical interpretation; do not merge with proof.</x:t>
        </x:is>
      </x:c>
      <x:c r="P59" s="38" t="inlineStr">
        <x:is>
          <x:t xml:space="preserve">TODO: formal, dynamical, empirical, or mapping kill condition.</x:t>
        </x:is>
      </x:c>
      <x:c r="Q59" s="39" t="inlineStr">
        <x:is>
          <x:t xml:space="preserve">Downgrade wording or strengthen proof if risk is HIGH; otherwise add evidence links.</x:t>
        </x:is>
      </x:c>
    </x:row>
    <x:row r="60" ht="15" customHeight="1">
      <x:c r="A60" s="37" t="inlineStr">
        <x:is>
          <x:t xml:space="preserve">59</x:t>
        </x:is>
      </x:c>
      <x:c r="B60" s="38" t="inlineStr">
        <x:is>
          <x:t xml:space="preserve">law8_faith_limit_Q_one</x:t>
        </x:is>
      </x:c>
      <x:c r="C60" s="38" t="inlineStr">
        <x:is>
          <x:t xml:space="preserve">C2 - Structural correspondence candidate</x:t>
        </x:is>
      </x:c>
      <x:c r="D60" s="38" t="inlineStr">
        <x:is>
          <x:t xml:space="preserve">2 - Defined model / marker theorem only</x:t>
        </x:is>
      </x:c>
      <x:c r="E60" s="38" t="inlineStr">
        <x:is>
          <x:t xml:space="preserve">TRIVIAL_TRUE</x:t>
        </x:is>
      </x:c>
      <x:c r="F60" s="38" t="inlineStr">
        <x:is>
          <x:t xml:space="preserve">HIGH - theorem name/public sentence may exceed formal statement.</x:t>
        </x:is>
      </x:c>
      <x:c r="G60" s="38" t="inlineStr">
        <x:is>
          <x:t xml:space="preserve">theophysics-lean-main\theophysics-lean-main\Theophysics_Core.lean</x:t>
        </x:is>
      </x:c>
      <x:c r="H60" s="38" t="inlineStr">
        <x:is>
          <x:t xml:space="preserve">206</x:t>
        </x:is>
      </x:c>
      <x:c r="I60" s="38" t="inlineStr">
        <x:is>
          <x:t xml:space="preserve">theorem law8_faith_limit_Q_one : True</x:t>
        </x:is>
      </x:c>
      <x:c r="J60" s="38" t="inlineStr">
        <x:is>
          <x:t xml:space="preserve">Full conditions → Q = 1</x:t>
        </x:is>
      </x:c>
      <x:c r="K60" s="38" t="inlineStr">
        <x:is>
          <x:t xml:space="preserve">TODO: list constructors/definitions/candidate restrictions.</x:t>
        </x:is>
      </x:c>
      <x:c r="L60" s="38" t="inlineStr">
        <x:is>
          <x:t xml:space="preserve">TODO: translate exact Lean statement only.</x:t>
        </x:is>
      </x:c>
      <x:c r="M60" s="38" t="inlineStr">
        <x:is>
          <x:t xml:space="preserve">TODO: link Colab/Python artifact or mark not tested.</x:t>
        </x:is>
      </x:c>
      <x:c r="N60" s="38" t="inlineStr">
        <x:is>
          <x:t xml:space="preserve">TODO: link dataset/observation or mark not empirical.</x:t>
        </x:is>
      </x:c>
      <x:c r="O60" s="38" t="inlineStr">
        <x:is>
          <x:t xml:space="preserve">TODO: theological/philosophical interpretation; do not merge with proof.</x:t>
        </x:is>
      </x:c>
      <x:c r="P60" s="38" t="inlineStr">
        <x:is>
          <x:t xml:space="preserve">TODO: formal, dynamical, empirical, or mapping kill condition.</x:t>
        </x:is>
      </x:c>
      <x:c r="Q60" s="39" t="inlineStr">
        <x:is>
          <x:t xml:space="preserve">Downgrade wording or strengthen proof if risk is HIGH; otherwise add evidence links.</x:t>
        </x:is>
      </x:c>
    </x:row>
    <x:row r="61" ht="15" customHeight="1">
      <x:c r="A61" s="37" t="inlineStr">
        <x:is>
          <x:t xml:space="preserve">60</x:t>
        </x:is>
      </x:c>
      <x:c r="B61" s="38" t="inlineStr">
        <x:is>
          <x:t xml:space="preserve">law8_command_bypass_forces_Q_zero</x:t>
        </x:is>
      </x:c>
      <x:c r="C61" s="38" t="inlineStr">
        <x:is>
          <x:t xml:space="preserve">C2 - Structural correspondence candidate</x:t>
        </x:is>
      </x:c>
      <x:c r="D61" s="38" t="inlineStr">
        <x:is>
          <x:t xml:space="preserve">4 - Negative and countermodel tests</x:t>
        </x:is>
      </x:c>
      <x:c r="E61" s="38" t="inlineStr">
        <x:is>
          <x:t xml:space="preserve">DEFINITIONAL_RFL</x:t>
        </x:is>
      </x:c>
      <x:c r="F61" s="38" t="inlineStr">
        <x:is>
          <x:t xml:space="preserve">MEDIUM - definition strength must be audited.</x:t>
        </x:is>
      </x:c>
      <x:c r="G61" s="38" t="inlineStr">
        <x:is>
          <x:t xml:space="preserve">theophysics-lean-main\theophysics-lean-main\Theophysics_Adversarial.lean</x:t>
        </x:is>
      </x:c>
      <x:c r="H61" s="38" t="inlineStr">
        <x:is>
          <x:t xml:space="preserve">383</x:t>
        </x:is>
      </x:c>
      <x:c r="I61" s="38" t="inlineStr">
        <x:is>
          <x:t xml:space="preserve">theorem law8_command_bypass_forces_Q_zero : QGate { commandBypass := true } = 0</x:t>
        </x:is>
      </x:c>
      <x:c r="J61" s="38" t="inlineStr">
        <x:is>
          <x:t xml:space="preserve">REJECTION: Command bypass → Q = 0</x:t>
        </x:is>
      </x:c>
      <x:c r="K61" s="38" t="inlineStr">
        <x:is>
          <x:t xml:space="preserve">TODO: list constructors/definitions/candidate restrictions.</x:t>
        </x:is>
      </x:c>
      <x:c r="L61" s="38" t="inlineStr">
        <x:is>
          <x:t xml:space="preserve">TODO: translate exact Lean statement only.</x:t>
        </x:is>
      </x:c>
      <x:c r="M61" s="38" t="inlineStr">
        <x:is>
          <x:t xml:space="preserve">TODO: link Colab/Python artifact or mark not tested.</x:t>
        </x:is>
      </x:c>
      <x:c r="N61" s="38" t="inlineStr">
        <x:is>
          <x:t xml:space="preserve">TODO: link dataset/observation or mark not empirical.</x:t>
        </x:is>
      </x:c>
      <x:c r="O61" s="38" t="inlineStr">
        <x:is>
          <x:t xml:space="preserve">TODO: theological/philosophical interpretation; do not merge with proof.</x:t>
        </x:is>
      </x:c>
      <x:c r="P61" s="38" t="inlineStr">
        <x:is>
          <x:t xml:space="preserve">TODO: formal, dynamical, empirical, or mapping kill condition.</x:t>
        </x:is>
      </x:c>
      <x:c r="Q61" s="39" t="inlineStr">
        <x:is>
          <x:t xml:space="preserve">Downgrade wording or strengthen proof if risk is HIGH; otherwise add evidence links.</x:t>
        </x:is>
      </x:c>
    </x:row>
    <x:row r="62" ht="15" customHeight="1">
      <x:c r="A62" s="37" t="inlineStr">
        <x:is>
          <x:t xml:space="preserve">61</x:t>
        </x:is>
      </x:c>
      <x:c r="B62" s="38" t="inlineStr">
        <x:is>
          <x:t xml:space="preserve">law8_missing_eigenbasis_forces_Q_zero</x:t>
        </x:is>
      </x:c>
      <x:c r="C62" s="38" t="inlineStr">
        <x:is>
          <x:t xml:space="preserve">C2 - Structural correspondence candidate</x:t>
        </x:is>
      </x:c>
      <x:c r="D62" s="38" t="inlineStr">
        <x:is>
          <x:t xml:space="preserve">4 - Negative and countermodel tests</x:t>
        </x:is>
      </x:c>
      <x:c r="E62" s="38" t="inlineStr">
        <x:is>
          <x:t xml:space="preserve">DEFINITIONAL_RFL</x:t>
        </x:is>
      </x:c>
      <x:c r="F62" s="38" t="inlineStr">
        <x:is>
          <x:t xml:space="preserve">MEDIUM - definition strength must be audited.</x:t>
        </x:is>
      </x:c>
      <x:c r="G62" s="38" t="inlineStr">
        <x:is>
          <x:t xml:space="preserve">theophysics-lean-main\theophysics-lean-main\Theophysics_Adversarial.lean</x:t>
        </x:is>
      </x:c>
      <x:c r="H62" s="38" t="inlineStr">
        <x:is>
          <x:t xml:space="preserve">387</x:t>
        </x:is>
      </x:c>
      <x:c r="I62" s="38" t="inlineStr">
        <x:is>
          <x:t xml:space="preserve">theorem law8_missing_eigenbasis_forces_Q_zero : QGate { eigenbasisPresent := false } = 0</x:t>
        </x:is>
      </x:c>
      <x:c r="J62" s="38" t="inlineStr">
        <x:is>
          <x:t xml:space="preserve">REJECTION: Missing eigenbasis → Q = 0. No basis to collapse into.</x:t>
        </x:is>
      </x:c>
      <x:c r="K62" s="38" t="inlineStr">
        <x:is>
          <x:t xml:space="preserve">TODO: list constructors/definitions/candidate restrictions.</x:t>
        </x:is>
      </x:c>
      <x:c r="L62" s="38" t="inlineStr">
        <x:is>
          <x:t xml:space="preserve">TODO: translate exact Lean statement only.</x:t>
        </x:is>
      </x:c>
      <x:c r="M62" s="38" t="inlineStr">
        <x:is>
          <x:t xml:space="preserve">TODO: link Colab/Python artifact or mark not tested.</x:t>
        </x:is>
      </x:c>
      <x:c r="N62" s="38" t="inlineStr">
        <x:is>
          <x:t xml:space="preserve">TODO: link dataset/observation or mark not empirical.</x:t>
        </x:is>
      </x:c>
      <x:c r="O62" s="38" t="inlineStr">
        <x:is>
          <x:t xml:space="preserve">TODO: theological/philosophical interpretation; do not merge with proof.</x:t>
        </x:is>
      </x:c>
      <x:c r="P62" s="38" t="inlineStr">
        <x:is>
          <x:t xml:space="preserve">TODO: formal, dynamical, empirical, or mapping kill condition.</x:t>
        </x:is>
      </x:c>
      <x:c r="Q62" s="39" t="inlineStr">
        <x:is>
          <x:t xml:space="preserve">Downgrade wording or strengthen proof if risk is HIGH; otherwise add evidence links.</x:t>
        </x:is>
      </x:c>
    </x:row>
    <x:row r="63" ht="15" customHeight="1">
      <x:c r="A63" s="37" t="inlineStr">
        <x:is>
          <x:t xml:space="preserve">62</x:t>
        </x:is>
      </x:c>
      <x:c r="B63" s="38" t="inlineStr">
        <x:is>
          <x:t xml:space="preserve">law8_control_refusal_forces_Q_zero</x:t>
        </x:is>
      </x:c>
      <x:c r="C63" s="38" t="inlineStr">
        <x:is>
          <x:t xml:space="preserve">C3 - Homomorphism candidate</x:t>
        </x:is>
      </x:c>
      <x:c r="D63" s="38" t="inlineStr">
        <x:is>
          <x:t xml:space="preserve">4 - Negative and countermodel tests</x:t>
        </x:is>
      </x:c>
      <x:c r="E63" s="38" t="inlineStr">
        <x:is>
          <x:t xml:space="preserve">DEFINITIONAL_RFL</x:t>
        </x:is>
      </x:c>
      <x:c r="F63" s="38" t="inlineStr">
        <x:is>
          <x:t xml:space="preserve">MEDIUM - definition strength must be audited.</x:t>
        </x:is>
      </x:c>
      <x:c r="G63" s="38" t="inlineStr">
        <x:is>
          <x:t xml:space="preserve">theophysics-lean-main\theophysics-lean-main\Theophysics_Adversarial.lean</x:t>
        </x:is>
      </x:c>
      <x:c r="H63" s="38" t="inlineStr">
        <x:is>
          <x:t xml:space="preserve">391</x:t>
        </x:is>
      </x:c>
      <x:c r="I63" s="38" t="inlineStr">
        <x:is>
          <x:t xml:space="preserve">theorem law8_control_refusal_forces_Q_zero : QGate { controlRefusal := true } = 0</x:t>
        </x:is>
      </x:c>
      <x:c r="J63" s="38" t="inlineStr">
        <x:is>
          <x:t xml:space="preserve">REJECTION: Will refuses to measure → Q = 0. Free will preserved but no collapse.</x:t>
        </x:is>
      </x:c>
      <x:c r="K63" s="38" t="inlineStr">
        <x:is>
          <x:t xml:space="preserve">TODO: list constructors/definitions/candidate restrictions.</x:t>
        </x:is>
      </x:c>
      <x:c r="L63" s="38" t="inlineStr">
        <x:is>
          <x:t xml:space="preserve">TODO: translate exact Lean statement only.</x:t>
        </x:is>
      </x:c>
      <x:c r="M63" s="38" t="inlineStr">
        <x:is>
          <x:t xml:space="preserve">TODO: link Colab/Python artifact or mark not tested.</x:t>
        </x:is>
      </x:c>
      <x:c r="N63" s="38" t="inlineStr">
        <x:is>
          <x:t xml:space="preserve">TODO: link dataset/observation or mark not empirical.</x:t>
        </x:is>
      </x:c>
      <x:c r="O63" s="38" t="inlineStr">
        <x:is>
          <x:t xml:space="preserve">TODO: theological/philosophical interpretation; do not merge with proof.</x:t>
        </x:is>
      </x:c>
      <x:c r="P63" s="38" t="inlineStr">
        <x:is>
          <x:t xml:space="preserve">TODO: formal, dynamical, empirical, or mapping kill condition.</x:t>
        </x:is>
      </x:c>
      <x:c r="Q63" s="39" t="inlineStr">
        <x:is>
          <x:t xml:space="preserve">Downgrade wording or strengthen proof if risk is HIGH; otherwise add evidence links.</x:t>
        </x:is>
      </x:c>
    </x:row>
    <x:row r="64" ht="15" customHeight="1">
      <x:c r="A64" s="37" t="inlineStr">
        <x:is>
          <x:t xml:space="preserve">63</x:t>
        </x:is>
      </x:c>
      <x:c r="B64" s="38" t="inlineStr">
        <x:is>
          <x:t xml:space="preserve">law8_command_bypass_collapses_chi</x:t>
        </x:is>
      </x:c>
      <x:c r="C64" s="38" t="inlineStr">
        <x:is>
          <x:t xml:space="preserve">C2 - Structural correspondence candidate</x:t>
        </x:is>
      </x:c>
      <x:c r="D64" s="38" t="inlineStr">
        <x:is>
          <x:t xml:space="preserve">2 - Defined model / marker theorem only</x:t>
        </x:is>
      </x:c>
      <x:c r="E64" s="38" t="inlineStr">
        <x:is>
          <x:t xml:space="preserve">TRIVIAL_TRUE</x:t>
        </x:is>
      </x:c>
      <x:c r="F64" s="38" t="inlineStr">
        <x:is>
          <x:t xml:space="preserve">HIGH - theorem name/public sentence may exceed formal statement.</x:t>
        </x:is>
      </x:c>
      <x:c r="G64" s="38" t="inlineStr">
        <x:is>
          <x:t xml:space="preserve">theophysics-lean-main\theophysics-lean-main\Theophysics_Core.lean</x:t>
        </x:is>
      </x:c>
      <x:c r="H64" s="38" t="inlineStr">
        <x:is>
          <x:t xml:space="preserve">204</x:t>
        </x:is>
      </x:c>
      <x:c r="I64" s="38" t="inlineStr">
        <x:is>
          <x:t xml:space="preserve">theorem law8_command_bypass_collapses_chi : True</x:t>
        </x:is>
      </x:c>
      <x:c r="J64" s="38" t="inlineStr">
        <x:is>
          <x:t xml:space="preserve">Command bypass → χ = 0</x:t>
        </x:is>
      </x:c>
      <x:c r="K64" s="38" t="inlineStr">
        <x:is>
          <x:t xml:space="preserve">TODO: list constructors/definitions/candidate restrictions.</x:t>
        </x:is>
      </x:c>
      <x:c r="L64" s="38" t="inlineStr">
        <x:is>
          <x:t xml:space="preserve">TODO: translate exact Lean statement only.</x:t>
        </x:is>
      </x:c>
      <x:c r="M64" s="38" t="inlineStr">
        <x:is>
          <x:t xml:space="preserve">TODO: link Colab/Python artifact or mark not tested.</x:t>
        </x:is>
      </x:c>
      <x:c r="N64" s="38" t="inlineStr">
        <x:is>
          <x:t xml:space="preserve">TODO: link dataset/observation or mark not empirical.</x:t>
        </x:is>
      </x:c>
      <x:c r="O64" s="38" t="inlineStr">
        <x:is>
          <x:t xml:space="preserve">TODO: theological/philosophical interpretation; do not merge with proof.</x:t>
        </x:is>
      </x:c>
      <x:c r="P64" s="38" t="inlineStr">
        <x:is>
          <x:t xml:space="preserve">TODO: formal, dynamical, empirical, or mapping kill condition.</x:t>
        </x:is>
      </x:c>
      <x:c r="Q64" s="39" t="inlineStr">
        <x:is>
          <x:t xml:space="preserve">Downgrade wording or strengthen proof if risk is HIGH; otherwise add evidence links.</x:t>
        </x:is>
      </x:c>
    </x:row>
    <x:row r="65" ht="15" customHeight="1">
      <x:c r="A65" s="37" t="inlineStr">
        <x:is>
          <x:t xml:space="preserve">64</x:t>
        </x:is>
      </x:c>
      <x:c r="B65" s="38" t="inlineStr">
        <x:is>
          <x:t xml:space="preserve">law8_control_refusal_collapses_chi</x:t>
        </x:is>
      </x:c>
      <x:c r="C65" s="38" t="inlineStr">
        <x:is>
          <x:t xml:space="preserve">C2 - Structural correspondence candidate</x:t>
        </x:is>
      </x:c>
      <x:c r="D65" s="38" t="inlineStr">
        <x:is>
          <x:t xml:space="preserve">2 - Defined model / marker theorem only</x:t>
        </x:is>
      </x:c>
      <x:c r="E65" s="38" t="inlineStr">
        <x:is>
          <x:t xml:space="preserve">TRIVIAL_TRUE</x:t>
        </x:is>
      </x:c>
      <x:c r="F65" s="38" t="inlineStr">
        <x:is>
          <x:t xml:space="preserve">HIGH - theorem name/public sentence may exceed formal statement.</x:t>
        </x:is>
      </x:c>
      <x:c r="G65" s="38" t="inlineStr">
        <x:is>
          <x:t xml:space="preserve">theophysics-lean-main\theophysics-lean-main\Theophysics_Core.lean</x:t>
        </x:is>
      </x:c>
      <x:c r="H65" s="38" t="inlineStr">
        <x:is>
          <x:t xml:space="preserve">205</x:t>
        </x:is>
      </x:c>
      <x:c r="I65" s="38" t="inlineStr">
        <x:is>
          <x:t xml:space="preserve">theorem law8_control_refusal_collapses_chi : True</x:t>
        </x:is>
      </x:c>
      <x:c r="J65" s="38" t="inlineStr">
        <x:is>
          <x:t xml:space="preserve">Control refusal → χ = 0</x:t>
        </x:is>
      </x:c>
      <x:c r="K65" s="38" t="inlineStr">
        <x:is>
          <x:t xml:space="preserve">TODO: list constructors/definitions/candidate restrictions.</x:t>
        </x:is>
      </x:c>
      <x:c r="L65" s="38" t="inlineStr">
        <x:is>
          <x:t xml:space="preserve">TODO: translate exact Lean statement only.</x:t>
        </x:is>
      </x:c>
      <x:c r="M65" s="38" t="inlineStr">
        <x:is>
          <x:t xml:space="preserve">TODO: link Colab/Python artifact or mark not tested.</x:t>
        </x:is>
      </x:c>
      <x:c r="N65" s="38" t="inlineStr">
        <x:is>
          <x:t xml:space="preserve">TODO: link dataset/observation or mark not empirical.</x:t>
        </x:is>
      </x:c>
      <x:c r="O65" s="38" t="inlineStr">
        <x:is>
          <x:t xml:space="preserve">TODO: theological/philosophical interpretation; do not merge with proof.</x:t>
        </x:is>
      </x:c>
      <x:c r="P65" s="38" t="inlineStr">
        <x:is>
          <x:t xml:space="preserve">TODO: formal, dynamical, empirical, or mapping kill condition.</x:t>
        </x:is>
      </x:c>
      <x:c r="Q65" s="39" t="inlineStr">
        <x:is>
          <x:t xml:space="preserve">Downgrade wording or strengthen proof if risk is HIGH; otherwise add evidence links.</x:t>
        </x:is>
      </x:c>
    </x:row>
    <x:row r="66" ht="15" customHeight="1">
      <x:c r="A66" s="37" t="inlineStr">
        <x:is>
          <x:t xml:space="preserve">65</x:t>
        </x:is>
      </x:c>
      <x:c r="B66" s="38" t="inlineStr">
        <x:is>
          <x:t xml:space="preserve">binaryGate_zero</x:t>
        </x:is>
      </x:c>
      <x:c r="C66" s="38" t="inlineStr">
        <x:is>
          <x:t xml:space="preserve">C2 - Structural correspondence candidate</x:t>
        </x:is>
      </x:c>
      <x:c r="D66" s="38" t="inlineStr">
        <x:is>
          <x:t xml:space="preserve">3 - Internal formal consistency</x:t>
        </x:is>
      </x:c>
      <x:c r="E66" s="38" t="inlineStr">
        <x:is>
          <x:t xml:space="preserve">SIMPLIFICATION</x:t>
        </x:is>
      </x:c>
      <x:c r="F66" s="38" t="inlineStr">
        <x:is>
          <x:t xml:space="preserve">MEDIUM - definition strength must be audited.</x:t>
        </x:is>
      </x:c>
      <x:c r="G66" s="38" t="inlineStr">
        <x:is>
          <x:t xml:space="preserve">theophysics-lean-main\theophysics-lean-main\Final_Lean4_From_Excel.lean</x:t>
        </x:is>
      </x:c>
      <x:c r="H66" s="38" t="inlineStr">
        <x:is>
          <x:t xml:space="preserve">279</x:t>
        </x:is>
      </x:c>
      <x:c r="I66" s="38" t="inlineStr">
        <x:is>
          <x:t xml:space="preserve">theorem binaryGate_zero : binaryGate 0 = 0</x:t>
        </x:is>
      </x:c>
      <x:c r="J66" s="38" t="inlineStr">
        <x:is>
          <x:t xml:space="preserve">Score 0 → gate 0</x:t>
        </x:is>
      </x:c>
      <x:c r="K66" s="38" t="inlineStr">
        <x:is>
          <x:t xml:space="preserve">TODO: list constructors/definitions/candidate restrictions.</x:t>
        </x:is>
      </x:c>
      <x:c r="L66" s="38" t="inlineStr">
        <x:is>
          <x:t xml:space="preserve">TODO: translate exact Lean statement only.</x:t>
        </x:is>
      </x:c>
      <x:c r="M66" s="38" t="inlineStr">
        <x:is>
          <x:t xml:space="preserve">TODO: link Colab/Python artifact or mark not tested.</x:t>
        </x:is>
      </x:c>
      <x:c r="N66" s="38" t="inlineStr">
        <x:is>
          <x:t xml:space="preserve">TODO: link dataset/observation or mark not empirical.</x:t>
        </x:is>
      </x:c>
      <x:c r="O66" s="38" t="inlineStr">
        <x:is>
          <x:t xml:space="preserve">TODO: theological/philosophical interpretation; do not merge with proof.</x:t>
        </x:is>
      </x:c>
      <x:c r="P66" s="38" t="inlineStr">
        <x:is>
          <x:t xml:space="preserve">TODO: formal, dynamical, empirical, or mapping kill condition.</x:t>
        </x:is>
      </x:c>
      <x:c r="Q66" s="39" t="inlineStr">
        <x:is>
          <x:t xml:space="preserve">Downgrade wording or strengthen proof if risk is HIGH; otherwise add evidence links.</x:t>
        </x:is>
      </x:c>
    </x:row>
    <x:row r="67" ht="15" customHeight="1">
      <x:c r="A67" s="37" t="inlineStr">
        <x:is>
          <x:t xml:space="preserve">66</x:t>
        </x:is>
      </x:c>
      <x:c r="B67" s="38" t="inlineStr">
        <x:is>
          <x:t xml:space="preserve">binaryGate_positive</x:t>
        </x:is>
      </x:c>
      <x:c r="C67" s="38" t="inlineStr">
        <x:is>
          <x:t xml:space="preserve">C2 - Structural correspondence candidate</x:t>
        </x:is>
      </x:c>
      <x:c r="D67" s="38" t="inlineStr">
        <x:is>
          <x:t xml:space="preserve">3 - Internal formal consistency; cite underlying theorem</x:t>
        </x:is>
      </x:c>
      <x:c r="E67" s="38" t="inlineStr">
        <x:is>
          <x:t xml:space="preserve">WRAPPER_OR_IMPORTED</x:t>
        </x:is>
      </x:c>
      <x:c r="F67" s="38" t="inlineStr">
        <x:is>
          <x:t xml:space="preserve">MEDIUM - cite underlying theorem, not just wrapper.</x:t>
        </x:is>
      </x:c>
      <x:c r="G67" s="38" t="inlineStr">
        <x:is>
          <x:t xml:space="preserve">theophysics-lean-main\theophysics-lean-main\Final_Lean4_From_Excel.lean</x:t>
        </x:is>
      </x:c>
      <x:c r="H67" s="38" t="inlineStr">
        <x:is>
          <x:t xml:space="preserve">280</x:t>
        </x:is>
      </x:c>
      <x:c r="I67" s="38" t="inlineStr">
        <x:is>
          <x:t xml:space="preserve">theorem binaryGate_positive : ∀ s : Nat, 0 &lt; s → binaryGate s = 1</x:t>
        </x:is>
      </x:c>
      <x:c r="J67" s="38" t="inlineStr">
        <x:is>
          <x:t xml:space="preserve">Score ≥ 1 → gate 1</x:t>
        </x:is>
      </x:c>
      <x:c r="K67" s="38" t="inlineStr">
        <x:is>
          <x:t xml:space="preserve">TODO: list constructors/definitions/candidate restrictions.</x:t>
        </x:is>
      </x:c>
      <x:c r="L67" s="38" t="inlineStr">
        <x:is>
          <x:t xml:space="preserve">TODO: translate exact Lean statement only.</x:t>
        </x:is>
      </x:c>
      <x:c r="M67" s="38" t="inlineStr">
        <x:is>
          <x:t xml:space="preserve">TODO: link Colab/Python artifact or mark not tested.</x:t>
        </x:is>
      </x:c>
      <x:c r="N67" s="38" t="inlineStr">
        <x:is>
          <x:t xml:space="preserve">TODO: link dataset/observation or mark not empirical.</x:t>
        </x:is>
      </x:c>
      <x:c r="O67" s="38" t="inlineStr">
        <x:is>
          <x:t xml:space="preserve">TODO: theological/philosophical interpretation; do not merge with proof.</x:t>
        </x:is>
      </x:c>
      <x:c r="P67" s="38" t="inlineStr">
        <x:is>
          <x:t xml:space="preserve">TODO: formal, dynamical, empirical, or mapping kill condition.</x:t>
        </x:is>
      </x:c>
      <x:c r="Q67" s="39" t="inlineStr">
        <x:is>
          <x:t xml:space="preserve">Downgrade wording or strengthen proof if risk is HIGH; otherwise add evidence links.</x:t>
        </x:is>
      </x:c>
    </x:row>
    <x:row r="68" ht="15" customHeight="1">
      <x:c r="A68" s="37" t="inlineStr">
        <x:is>
          <x:t xml:space="preserve">67</x:t>
        </x:is>
      </x:c>
      <x:c r="B68" s="38" t="inlineStr">
        <x:is>
          <x:t xml:space="preserve">binaryGate_zero_or_one</x:t>
        </x:is>
      </x:c>
      <x:c r="C68" s="38" t="inlineStr">
        <x:is>
          <x:t xml:space="preserve">C2 - Structural correspondence candidate</x:t>
        </x:is>
      </x:c>
      <x:c r="D68" s="38" t="inlineStr">
        <x:is>
          <x:t xml:space="preserve">3 - Internal formal consistency</x:t>
        </x:is>
      </x:c>
      <x:c r="E68" s="38" t="inlineStr">
        <x:is>
          <x:t xml:space="preserve">SIMPLIFICATION</x:t>
        </x:is>
      </x:c>
      <x:c r="F68" s="38" t="inlineStr">
        <x:is>
          <x:t xml:space="preserve">MEDIUM - definition strength must be audited.</x:t>
        </x:is>
      </x:c>
      <x:c r="G68" s="38" t="inlineStr">
        <x:is>
          <x:t xml:space="preserve">theophysics-lean-main\theophysics-lean-main\Final_Lean4_From_Excel.lean</x:t>
        </x:is>
      </x:c>
      <x:c r="H68" s="38" t="inlineStr">
        <x:is>
          <x:t xml:space="preserve">284</x:t>
        </x:is>
      </x:c>
      <x:c r="I68" s="38" t="inlineStr">
        <x:is>
          <x:t xml:space="preserve">theorem binaryGate_zero_or_one : ∀ s : Nat, binaryGate s = 0 ∨ binaryGate s = 1</x:t>
        </x:is>
      </x:c>
      <x:c r="J68" s="38" t="inlineStr">
        <x:is>
          <x:t xml:space="preserve">Gate output is always exactly 0 or 1. No intermediate states.</x:t>
        </x:is>
      </x:c>
      <x:c r="K68" s="38" t="inlineStr">
        <x:is>
          <x:t xml:space="preserve">TODO: list constructors/definitions/candidate restrictions.</x:t>
        </x:is>
      </x:c>
      <x:c r="L68" s="38" t="inlineStr">
        <x:is>
          <x:t xml:space="preserve">TODO: translate exact Lean statement only.</x:t>
        </x:is>
      </x:c>
      <x:c r="M68" s="38" t="inlineStr">
        <x:is>
          <x:t xml:space="preserve">TODO: link Colab/Python artifact or mark not tested.</x:t>
        </x:is>
      </x:c>
      <x:c r="N68" s="38" t="inlineStr">
        <x:is>
          <x:t xml:space="preserve">TODO: link dataset/observation or mark not empirical.</x:t>
        </x:is>
      </x:c>
      <x:c r="O68" s="38" t="inlineStr">
        <x:is>
          <x:t xml:space="preserve">TODO: theological/philosophical interpretation; do not merge with proof.</x:t>
        </x:is>
      </x:c>
      <x:c r="P68" s="38" t="inlineStr">
        <x:is>
          <x:t xml:space="preserve">TODO: formal, dynamical, empirical, or mapping kill condition.</x:t>
        </x:is>
      </x:c>
      <x:c r="Q68" s="39" t="inlineStr">
        <x:is>
          <x:t xml:space="preserve">Downgrade wording or strengthen proof if risk is HIGH; otherwise add evidence links.</x:t>
        </x:is>
      </x:c>
    </x:row>
    <x:row r="69" ht="15" customHeight="1">
      <x:c r="A69" s="37" t="inlineStr">
        <x:is>
          <x:t xml:space="preserve">68</x:t>
        </x:is>
      </x:c>
      <x:c r="B69" s="38" t="inlineStr">
        <x:is>
          <x:t xml:space="preserve">law3_unbacked_amplitude_still_has_zero_truth_fidelity</x:t>
        </x:is>
      </x:c>
      <x:c r="C69" s="38" t="inlineStr">
        <x:is>
          <x:t xml:space="preserve">C2 - Structural correspondence candidate</x:t>
        </x:is>
      </x:c>
      <x:c r="D69" s="38" t="inlineStr">
        <x:is>
          <x:t xml:space="preserve">4 - Negative and countermodel tests</x:t>
        </x:is>
      </x:c>
      <x:c r="E69" s="38" t="inlineStr">
        <x:is>
          <x:t xml:space="preserve">DEFINITIONAL_RFL</x:t>
        </x:is>
      </x:c>
      <x:c r="F69" s="38" t="inlineStr">
        <x:is>
          <x:t xml:space="preserve">MEDIUM - definition strength must be audited.</x:t>
        </x:is>
      </x:c>
      <x:c r="G69" s="38" t="inlineStr">
        <x:is>
          <x:t xml:space="preserve">theophysics-lean-main\theophysics-lean-main\Theophysics_Adversarial.lean</x:t>
        </x:is>
      </x:c>
      <x:c r="H69" s="38" t="inlineStr">
        <x:is>
          <x:t xml:space="preserve">395</x:t>
        </x:is>
      </x:c>
      <x:c r="I69" s="38" t="inlineStr">
        <x:is>
          <x:t xml:space="preserve">theorem law3_unbacked_amplitude_still_has_zero_truth_fidelity : truthFidelity false false = 0</x:t>
        </x:is>
      </x:c>
      <x:c r="J69" s="38" t="inlineStr">
        <x:is>
          <x:t xml:space="preserve">REJECTION: Raw amplitude can be 5 but truth fidelity is 0 without source backing. High signal ≠ truth.</x:t>
        </x:is>
      </x:c>
      <x:c r="K69" s="38" t="inlineStr">
        <x:is>
          <x:t xml:space="preserve">TODO: list constructors/definitions/candidate restrictions.</x:t>
        </x:is>
      </x:c>
      <x:c r="L69" s="38" t="inlineStr">
        <x:is>
          <x:t xml:space="preserve">TODO: translate exact Lean statement only.</x:t>
        </x:is>
      </x:c>
      <x:c r="M69" s="38" t="inlineStr">
        <x:is>
          <x:t xml:space="preserve">TODO: link Colab/Python artifact or mark not tested.</x:t>
        </x:is>
      </x:c>
      <x:c r="N69" s="38" t="inlineStr">
        <x:is>
          <x:t xml:space="preserve">TODO: link dataset/observation or mark not empirical.</x:t>
        </x:is>
      </x:c>
      <x:c r="O69" s="38" t="inlineStr">
        <x:is>
          <x:t xml:space="preserve">TODO: theological/philosophical interpretation; do not merge with proof.</x:t>
        </x:is>
      </x:c>
      <x:c r="P69" s="38" t="inlineStr">
        <x:is>
          <x:t xml:space="preserve">TODO: formal, dynamical, empirical, or mapping kill condition.</x:t>
        </x:is>
      </x:c>
      <x:c r="Q69" s="39" t="inlineStr">
        <x:is>
          <x:t xml:space="preserve">Downgrade wording or strengthen proof if risk is HIGH; otherwise add evidence links.</x:t>
        </x:is>
      </x:c>
    </x:row>
    <x:row r="70" ht="15" customHeight="1">
      <x:c r="A70" s="37" t="inlineStr">
        <x:is>
          <x:t xml:space="preserve">69</x:t>
        </x:is>
      </x:c>
      <x:c r="B70" s="38" t="inlineStr">
        <x:is>
          <x:t xml:space="preserve">law3_command_bypass_zeroes_source_backed_fidelity</x:t>
        </x:is>
      </x:c>
      <x:c r="C70" s="38" t="inlineStr">
        <x:is>
          <x:t xml:space="preserve">C2 - Structural correspondence candidate</x:t>
        </x:is>
      </x:c>
      <x:c r="D70" s="38" t="inlineStr">
        <x:is>
          <x:t xml:space="preserve">4 - Negative and countermodel tests</x:t>
        </x:is>
      </x:c>
      <x:c r="E70" s="38" t="inlineStr">
        <x:is>
          <x:t xml:space="preserve">DEFINITIONAL_RFL</x:t>
        </x:is>
      </x:c>
      <x:c r="F70" s="38" t="inlineStr">
        <x:is>
          <x:t xml:space="preserve">MEDIUM - definition strength must be audited.</x:t>
        </x:is>
      </x:c>
      <x:c r="G70" s="38" t="inlineStr">
        <x:is>
          <x:t xml:space="preserve">theophysics-lean-main\theophysics-lean-main\Theophysics_Adversarial.lean</x:t>
        </x:is>
      </x:c>
      <x:c r="H70" s="38" t="inlineStr">
        <x:is>
          <x:t xml:space="preserve">399</x:t>
        </x:is>
      </x:c>
      <x:c r="I70" s="38" t="inlineStr">
        <x:is>
          <x:t xml:space="preserve">theorem law3_command_bypass_zeroes_source_backed_fidelity : truthFidelity true true = 0</x:t>
        </x:is>
      </x:c>
      <x:c r="J70" s="38" t="inlineStr">
        <x:is>
          <x:t xml:space="preserve">REJECTION: Command bypass → truth fidelity 0 (∀ states)</x:t>
        </x:is>
      </x:c>
      <x:c r="K70" s="38" t="inlineStr">
        <x:is>
          <x:t xml:space="preserve">TODO: list constructors/definitions/candidate restrictions.</x:t>
        </x:is>
      </x:c>
      <x:c r="L70" s="38" t="inlineStr">
        <x:is>
          <x:t xml:space="preserve">TODO: translate exact Lean statement only.</x:t>
        </x:is>
      </x:c>
      <x:c r="M70" s="38" t="inlineStr">
        <x:is>
          <x:t xml:space="preserve">TODO: link Colab/Python artifact or mark not tested.</x:t>
        </x:is>
      </x:c>
      <x:c r="N70" s="38" t="inlineStr">
        <x:is>
          <x:t xml:space="preserve">TODO: link dataset/observation or mark not empirical.</x:t>
        </x:is>
      </x:c>
      <x:c r="O70" s="38" t="inlineStr">
        <x:is>
          <x:t xml:space="preserve">TODO: theological/philosophical interpretation; do not merge with proof.</x:t>
        </x:is>
      </x:c>
      <x:c r="P70" s="38" t="inlineStr">
        <x:is>
          <x:t xml:space="preserve">TODO: formal, dynamical, empirical, or mapping kill condition.</x:t>
        </x:is>
      </x:c>
      <x:c r="Q70" s="39" t="inlineStr">
        <x:is>
          <x:t xml:space="preserve">Downgrade wording or strengthen proof if risk is HIGH; otherwise add evidence links.</x:t>
        </x:is>
      </x:c>
    </x:row>
    <x:row r="71" ht="15" customHeight="1">
      <x:c r="A71" s="37" t="inlineStr">
        <x:is>
          <x:t xml:space="preserve">70</x:t>
        </x:is>
      </x:c>
      <x:c r="B71" s="38" t="inlineStr">
        <x:is>
          <x:t xml:space="preserve">law7_healthy_score_passes_R_gate</x:t>
        </x:is>
      </x:c>
      <x:c r="C71" s="38" t="inlineStr">
        <x:is>
          <x:t xml:space="preserve">C2 - Structural correspondence candidate</x:t>
        </x:is>
      </x:c>
      <x:c r="D71" s="38" t="inlineStr">
        <x:is>
          <x:t xml:space="preserve">3 - Internal formal consistency</x:t>
        </x:is>
      </x:c>
      <x:c r="E71" s="38" t="inlineStr">
        <x:is>
          <x:t xml:space="preserve">SIMPLIFICATION</x:t>
        </x:is>
      </x:c>
      <x:c r="F71" s="38" t="inlineStr">
        <x:is>
          <x:t xml:space="preserve">MEDIUM - definition strength must be audited.</x:t>
        </x:is>
      </x:c>
      <x:c r="G71" s="38" t="inlineStr">
        <x:is>
          <x:t xml:space="preserve">theophysics-lean-main\theophysics-lean-main\Final_Lean4_From_Excel.lean</x:t>
        </x:is>
      </x:c>
      <x:c r="H71" s="38" t="inlineStr">
        <x:is>
          <x:t xml:space="preserve">290</x:t>
        </x:is>
      </x:c>
      <x:c r="I71" s="38" t="inlineStr">
        <x:is>
          <x:t xml:space="preserve">theorem law7_healthy_score_passes_R_gate : ∀ h : 0 &lt; 1, binaryGate 1 = 1</x:t>
        </x:is>
      </x:c>
      <x:c r="J71" s="38" t="inlineStr">
        <x:is>
          <x:t xml:space="preserve">Healthy frame score → R gate = 1</x:t>
        </x:is>
      </x:c>
      <x:c r="K71" s="38" t="inlineStr">
        <x:is>
          <x:t xml:space="preserve">TODO: list constructors/definitions/candidate restrictions.</x:t>
        </x:is>
      </x:c>
      <x:c r="L71" s="38" t="inlineStr">
        <x:is>
          <x:t xml:space="preserve">TODO: translate exact Lean statement only.</x:t>
        </x:is>
      </x:c>
      <x:c r="M71" s="38" t="inlineStr">
        <x:is>
          <x:t xml:space="preserve">TODO: link Colab/Python artifact or mark not tested.</x:t>
        </x:is>
      </x:c>
      <x:c r="N71" s="38" t="inlineStr">
        <x:is>
          <x:t xml:space="preserve">TODO: link dataset/observation or mark not empirical.</x:t>
        </x:is>
      </x:c>
      <x:c r="O71" s="38" t="inlineStr">
        <x:is>
          <x:t xml:space="preserve">TODO: theological/philosophical interpretation; do not merge with proof.</x:t>
        </x:is>
      </x:c>
      <x:c r="P71" s="38" t="inlineStr">
        <x:is>
          <x:t xml:space="preserve">TODO: formal, dynamical, empirical, or mapping kill condition.</x:t>
        </x:is>
      </x:c>
      <x:c r="Q71" s="39" t="inlineStr">
        <x:is>
          <x:t xml:space="preserve">Downgrade wording or strengthen proof if risk is HIGH; otherwise add evidence links.</x:t>
        </x:is>
      </x:c>
    </x:row>
    <x:row r="72" ht="15" customHeight="1">
      <x:c r="A72" s="37" t="inlineStr">
        <x:is>
          <x:t xml:space="preserve">71</x:t>
        </x:is>
      </x:c>
      <x:c r="B72" s="38" t="inlineStr">
        <x:is>
          <x:t xml:space="preserve">law7_frame_locked_score_fails_R_gate</x:t>
        </x:is>
      </x:c>
      <x:c r="C72" s="38" t="inlineStr">
        <x:is>
          <x:t xml:space="preserve">C2 - Structural correspondence candidate</x:t>
        </x:is>
      </x:c>
      <x:c r="D72" s="38" t="inlineStr">
        <x:is>
          <x:t xml:space="preserve">4 - Negative and countermodel tests</x:t>
        </x:is>
      </x:c>
      <x:c r="E72" s="38" t="inlineStr">
        <x:is>
          <x:t xml:space="preserve">DEFINITIONAL_RFL</x:t>
        </x:is>
      </x:c>
      <x:c r="F72" s="38" t="inlineStr">
        <x:is>
          <x:t xml:space="preserve">MEDIUM - definition strength must be audited.</x:t>
        </x:is>
      </x:c>
      <x:c r="G72" s="38" t="inlineStr">
        <x:is>
          <x:t xml:space="preserve">theophysics-lean-main\theophysics-lean-main\Theophysics_Adversarial.lean</x:t>
        </x:is>
      </x:c>
      <x:c r="H72" s="38" t="inlineStr">
        <x:is>
          <x:t xml:space="preserve">403</x:t>
        </x:is>
      </x:c>
      <x:c r="I72" s="38" t="inlineStr">
        <x:is>
          <x:t xml:space="preserve">theorem law7_frame_locked_score_fails_R_gate : RGate { relation := true, metricPresent := false } = 0</x:t>
        </x:is>
      </x:c>
      <x:c r="J72" s="38" t="inlineStr">
        <x:is>
          <x:t xml:space="preserve">REJECTION: Frame locked → R gate = 0</x:t>
        </x:is>
      </x:c>
      <x:c r="K72" s="38" t="inlineStr">
        <x:is>
          <x:t xml:space="preserve">TODO: list constructors/definitions/candidate restrictions.</x:t>
        </x:is>
      </x:c>
      <x:c r="L72" s="38" t="inlineStr">
        <x:is>
          <x:t xml:space="preserve">TODO: translate exact Lean statement only.</x:t>
        </x:is>
      </x:c>
      <x:c r="M72" s="38" t="inlineStr">
        <x:is>
          <x:t xml:space="preserve">TODO: link Colab/Python artifact or mark not tested.</x:t>
        </x:is>
      </x:c>
      <x:c r="N72" s="38" t="inlineStr">
        <x:is>
          <x:t xml:space="preserve">TODO: link dataset/observation or mark not empirical.</x:t>
        </x:is>
      </x:c>
      <x:c r="O72" s="38" t="inlineStr">
        <x:is>
          <x:t xml:space="preserve">TODO: theological/philosophical interpretation; do not merge with proof.</x:t>
        </x:is>
      </x:c>
      <x:c r="P72" s="38" t="inlineStr">
        <x:is>
          <x:t xml:space="preserve">TODO: formal, dynamical, empirical, or mapping kill condition.</x:t>
        </x:is>
      </x:c>
      <x:c r="Q72" s="39" t="inlineStr">
        <x:is>
          <x:t xml:space="preserve">Downgrade wording or strengthen proof if risk is HIGH; otherwise add evidence links.</x:t>
        </x:is>
      </x:c>
    </x:row>
    <x:row r="73" ht="15" customHeight="1">
      <x:c r="A73" s="37" t="inlineStr">
        <x:is>
          <x:t xml:space="preserve">72</x:t>
        </x:is>
      </x:c>
      <x:c r="B73" s="38" t="inlineStr">
        <x:is>
          <x:t xml:space="preserve">law7_relation_bypass_score_fails_R_gate</x:t>
        </x:is>
      </x:c>
      <x:c r="C73" s="38" t="inlineStr">
        <x:is>
          <x:t xml:space="preserve">C2 - Structural correspondence candidate</x:t>
        </x:is>
      </x:c>
      <x:c r="D73" s="38" t="inlineStr">
        <x:is>
          <x:t xml:space="preserve">4 - Negative and countermodel tests</x:t>
        </x:is>
      </x:c>
      <x:c r="E73" s="38" t="inlineStr">
        <x:is>
          <x:t xml:space="preserve">DEFINITIONAL_RFL</x:t>
        </x:is>
      </x:c>
      <x:c r="F73" s="38" t="inlineStr">
        <x:is>
          <x:t xml:space="preserve">MEDIUM - definition strength must be audited.</x:t>
        </x:is>
      </x:c>
      <x:c r="G73" s="38" t="inlineStr">
        <x:is>
          <x:t xml:space="preserve">theophysics-lean-main\theophysics-lean-main\Theophysics_Adversarial.lean</x:t>
        </x:is>
      </x:c>
      <x:c r="H73" s="38" t="inlineStr">
        <x:is>
          <x:t xml:space="preserve">407</x:t>
        </x:is>
      </x:c>
      <x:c r="I73" s="38" t="inlineStr">
        <x:is>
          <x:t xml:space="preserve">theorem law7_relation_bypass_score_fails_R_gate : RGate { relation := false, metricPresent := true } = 0</x:t>
        </x:is>
      </x:c>
      <x:c r="J73" s="38" t="inlineStr">
        <x:is>
          <x:t xml:space="preserve">REJECTION: No relation → R gate = 0</x:t>
        </x:is>
      </x:c>
      <x:c r="K73" s="38" t="inlineStr">
        <x:is>
          <x:t xml:space="preserve">TODO: list constructors/definitions/candidate restrictions.</x:t>
        </x:is>
      </x:c>
      <x:c r="L73" s="38" t="inlineStr">
        <x:is>
          <x:t xml:space="preserve">TODO: translate exact Lean statement only.</x:t>
        </x:is>
      </x:c>
      <x:c r="M73" s="38" t="inlineStr">
        <x:is>
          <x:t xml:space="preserve">TODO: link Colab/Python artifact or mark not tested.</x:t>
        </x:is>
      </x:c>
      <x:c r="N73" s="38" t="inlineStr">
        <x:is>
          <x:t xml:space="preserve">TODO: link dataset/observation or mark not empirical.</x:t>
        </x:is>
      </x:c>
      <x:c r="O73" s="38" t="inlineStr">
        <x:is>
          <x:t xml:space="preserve">TODO: theological/philosophical interpretation; do not merge with proof.</x:t>
        </x:is>
      </x:c>
      <x:c r="P73" s="38" t="inlineStr">
        <x:is>
          <x:t xml:space="preserve">TODO: formal, dynamical, empirical, or mapping kill condition.</x:t>
        </x:is>
      </x:c>
      <x:c r="Q73" s="39" t="inlineStr">
        <x:is>
          <x:t xml:space="preserve">Downgrade wording or strengthen proof if risk is HIGH; otherwise add evidence links.</x:t>
        </x:is>
      </x:c>
    </x:row>
    <x:row r="74" ht="15" customHeight="1">
      <x:c r="A74" s="37" t="inlineStr">
        <x:is>
          <x:t xml:space="preserve">73</x:t>
        </x:is>
      </x:c>
      <x:c r="B74" s="38" t="inlineStr">
        <x:is>
          <x:t xml:space="preserve">law7_final_R_is_binary</x:t>
        </x:is>
      </x:c>
      <x:c r="C74" s="38" t="inlineStr">
        <x:is>
          <x:t xml:space="preserve">C2 - Structural correspondence candidate</x:t>
        </x:is>
      </x:c>
      <x:c r="D74" s="38" t="inlineStr">
        <x:is>
          <x:t xml:space="preserve">2 - Defined model / marker theorem only</x:t>
        </x:is>
      </x:c>
      <x:c r="E74" s="38" t="inlineStr">
        <x:is>
          <x:t xml:space="preserve">TRIVIAL_TRUE</x:t>
        </x:is>
      </x:c>
      <x:c r="F74" s="38" t="inlineStr">
        <x:is>
          <x:t xml:space="preserve">HIGH - theorem name/public sentence may exceed formal statement.</x:t>
        </x:is>
      </x:c>
      <x:c r="G74" s="38" t="inlineStr">
        <x:is>
          <x:t xml:space="preserve">theophysics-lean-main\theophysics-lean-main\Theophysics_Core.lean</x:t>
        </x:is>
      </x:c>
      <x:c r="H74" s="38" t="inlineStr">
        <x:is>
          <x:t xml:space="preserve">213</x:t>
        </x:is>
      </x:c>
      <x:c r="I74" s="38" t="inlineStr">
        <x:is>
          <x:t xml:space="preserve">theorem law7_final_R_is_binary : True</x:t>
        </x:is>
      </x:c>
      <x:c r="J74" s="38" t="inlineStr">
        <x:is>
          <x:t xml:space="preserve">R gate is always 0 or 1. No drift.</x:t>
        </x:is>
      </x:c>
      <x:c r="K74" s="38" t="inlineStr">
        <x:is>
          <x:t xml:space="preserve">TODO: list constructors/definitions/candidate restrictions.</x:t>
        </x:is>
      </x:c>
      <x:c r="L74" s="38" t="inlineStr">
        <x:is>
          <x:t xml:space="preserve">TODO: translate exact Lean statement only.</x:t>
        </x:is>
      </x:c>
      <x:c r="M74" s="38" t="inlineStr">
        <x:is>
          <x:t xml:space="preserve">TODO: link Colab/Python artifact or mark not tested.</x:t>
        </x:is>
      </x:c>
      <x:c r="N74" s="38" t="inlineStr">
        <x:is>
          <x:t xml:space="preserve">TODO: link dataset/observation or mark not empirical.</x:t>
        </x:is>
      </x:c>
      <x:c r="O74" s="38" t="inlineStr">
        <x:is>
          <x:t xml:space="preserve">TODO: theological/philosophical interpretation; do not merge with proof.</x:t>
        </x:is>
      </x:c>
      <x:c r="P74" s="38" t="inlineStr">
        <x:is>
          <x:t xml:space="preserve">TODO: formal, dynamical, empirical, or mapping kill condition.</x:t>
        </x:is>
      </x:c>
      <x:c r="Q74" s="39" t="inlineStr">
        <x:is>
          <x:t xml:space="preserve">Downgrade wording or strengthen proof if risk is HIGH; otherwise add evidence links.</x:t>
        </x:is>
      </x:c>
    </x:row>
    <x:row r="75" ht="15" customHeight="1">
      <x:c r="A75" s="37" t="inlineStr">
        <x:is>
          <x:t xml:space="preserve">74–77</x:t>
        </x:is>
      </x:c>
      <x:c r="B75" s="38" t="inlineStr">
        <x:is>
          <x:t xml:space="preserve">Four chi-collapse through score discipline</x:t>
        </x:is>
      </x:c>
      <x:c r="C75" s="38" t="inlineStr">
        <x:is>
          <x:t xml:space="preserve">C2 - Structural correspondence candidate</x:t>
        </x:is>
      </x:c>
      <x:c r="D75" s="38" t="inlineStr">
        <x:is>
          <x:t xml:space="preserve">1 - Conceptual seed / open source link</x:t>
        </x:is>
      </x:c>
      <x:c r="E75" s="38" t="inlineStr">
        <x:is>
          <x:t xml:space="preserve">NOT_FOUND_IN_HUB</x:t>
        </x:is>
      </x:c>
      <x:c r="F75" s="38" t="inlineStr">
        <x:is>
          <x:t xml:space="preserve">HIGH - workbook row not found in current central hub Lean files.</x:t>
        </x:is>
      </x:c>
      <x:c r="G75" s="38" t="n"/>
      <x:c r="H75" s="38" t="n"/>
      <x:c r="I75" s="38" t="n"/>
      <x:c r="J75" s="38" t="inlineStr">
        <x:is>
          <x:t xml:space="preserve">Various bypass/lock conditions → χ = 0 through the score gate layer</x:t>
        </x:is>
      </x:c>
      <x:c r="K75" s="38" t="inlineStr">
        <x:is>
          <x:t xml:space="preserve">TODO: list constructors/definitions/candidate restrictions.</x:t>
        </x:is>
      </x:c>
      <x:c r="L75" s="38" t="inlineStr">
        <x:is>
          <x:t xml:space="preserve">TODO: translate exact Lean statement only.</x:t>
        </x:is>
      </x:c>
      <x:c r="M75" s="38" t="inlineStr">
        <x:is>
          <x:t xml:space="preserve">TODO: link Colab/Python artifact or mark not tested.</x:t>
        </x:is>
      </x:c>
      <x:c r="N75" s="38" t="inlineStr">
        <x:is>
          <x:t xml:space="preserve">TODO: link dataset/observation or mark not empirical.</x:t>
        </x:is>
      </x:c>
      <x:c r="O75" s="38" t="inlineStr">
        <x:is>
          <x:t xml:space="preserve">TODO: theological/philosophical interpretation; do not merge with proof.</x:t>
        </x:is>
      </x:c>
      <x:c r="P75" s="38" t="inlineStr">
        <x:is>
          <x:t xml:space="preserve">TODO: formal, dynamical, empirical, or mapping kill condition.</x:t>
        </x:is>
      </x:c>
      <x:c r="Q75" s="39" t="inlineStr">
        <x:is>
          <x:t xml:space="preserve">Downgrade wording or strengthen proof if risk is HIGH; otherwise add evidence links.</x:t>
        </x:is>
      </x:c>
    </x:row>
    <x:row r="76" ht="15" customHeight="1">
      <x:c r="A76" s="37" t="inlineStr">
        <x:is>
          <x:t xml:space="preserve">78</x:t>
        </x:is>
      </x:c>
      <x:c r="B76" s="38" t="inlineStr">
        <x:is>
          <x:t xml:space="preserve">law4Iso</x:t>
        </x:is>
      </x:c>
      <x:c r="C76" s="38" t="inlineStr">
        <x:is>
          <x:t xml:space="preserve">C4 - Isomorphism candidate; requires inverse and broad candidate-space check</x:t>
        </x:is>
      </x:c>
      <x:c r="D76" s="38" t="inlineStr">
        <x:is>
          <x:t xml:space="preserve">2 - Defined model / marker theorem only</x:t>
        </x:is>
      </x:c>
      <x:c r="E76" s="38" t="inlineStr">
        <x:is>
          <x:t xml:space="preserve">TRIVIAL_TRUE</x:t>
        </x:is>
      </x:c>
      <x:c r="F76" s="38" t="inlineStr">
        <x:is>
          <x:t xml:space="preserve">HIGH - theorem name/public sentence may exceed formal statement.</x:t>
        </x:is>
      </x:c>
      <x:c r="G76" s="38" t="inlineStr">
        <x:is>
          <x:t xml:space="preserve">theophysics-lean-main\theophysics-lean-main\Theophysics_Core.lean</x:t>
        </x:is>
      </x:c>
      <x:c r="H76" s="38" t="inlineStr">
        <x:is>
          <x:t xml:space="preserve">217</x:t>
        </x:is>
      </x:c>
      <x:c r="I76" s="38" t="inlineStr">
        <x:is>
          <x:t xml:space="preserve">theorem law4Iso : True</x:t>
        </x:is>
      </x:c>
      <x:c r="J76" s="38" t="inlineStr">
        <x:is>
          <x:t xml:space="preserve">StrongForce ≅ Love (LawIso — value + collapse preserving bijection)</x:t>
        </x:is>
      </x:c>
      <x:c r="K76" s="38" t="inlineStr">
        <x:is>
          <x:t xml:space="preserve">TODO: list constructors/definitions/candidate restrictions.</x:t>
        </x:is>
      </x:c>
      <x:c r="L76" s="38" t="inlineStr">
        <x:is>
          <x:t xml:space="preserve">TODO: translate exact Lean statement only.</x:t>
        </x:is>
      </x:c>
      <x:c r="M76" s="38" t="inlineStr">
        <x:is>
          <x:t xml:space="preserve">TODO: link Colab/Python artifact or mark not tested.</x:t>
        </x:is>
      </x:c>
      <x:c r="N76" s="38" t="inlineStr">
        <x:is>
          <x:t xml:space="preserve">TODO: link dataset/observation or mark not empirical.</x:t>
        </x:is>
      </x:c>
      <x:c r="O76" s="38" t="inlineStr">
        <x:is>
          <x:t xml:space="preserve">TODO: theological/philosophical interpretation; do not merge with proof.</x:t>
        </x:is>
      </x:c>
      <x:c r="P76" s="38" t="inlineStr">
        <x:is>
          <x:t xml:space="preserve">TODO: formal, dynamical, empirical, or mapping kill condition.</x:t>
        </x:is>
      </x:c>
      <x:c r="Q76" s="39" t="inlineStr">
        <x:is>
          <x:t xml:space="preserve">Downgrade wording or strengthen proof if risk is HIGH; otherwise add evidence links.</x:t>
        </x:is>
      </x:c>
    </x:row>
    <x:row r="77" ht="15" customHeight="1">
      <x:c r="A77" s="37" t="inlineStr">
        <x:is>
          <x:t xml:space="preserve">79</x:t>
        </x:is>
      </x:c>
      <x:c r="B77" s="38" t="inlineStr">
        <x:is>
          <x:t xml:space="preserve">strongForceCoinIso</x:t>
        </x:is>
      </x:c>
      <x:c r="C77" s="38" t="inlineStr">
        <x:is>
          <x:t xml:space="preserve">C4 - Isomorphism candidate; requires inverse and broad candidate-space check</x:t>
        </x:is>
      </x:c>
      <x:c r="D77" s="38" t="inlineStr">
        <x:is>
          <x:t xml:space="preserve">3 - Internal formal consistency</x:t>
        </x:is>
      </x:c>
      <x:c r="E77" s="38" t="inlineStr">
        <x:is>
          <x:t xml:space="preserve">DEFINITIONAL_RFL</x:t>
        </x:is>
      </x:c>
      <x:c r="F77" s="38" t="inlineStr">
        <x:is>
          <x:t xml:space="preserve">HIGH - isomorphism language needs exact map, inverse, and candidate-space limits.</x:t>
        </x:is>
      </x:c>
      <x:c r="G77" s="38" t="inlineStr">
        <x:is>
          <x:t xml:space="preserve">theophysics-lean-main\theophysics-lean-main\Theophysics_Adversarial.lean</x:t>
        </x:is>
      </x:c>
      <x:c r="H77" s="38" t="inlineStr">
        <x:is>
          <x:t xml:space="preserve">412</x:t>
        </x:is>
      </x:c>
      <x:c r="I77" s="38" t="inlineStr">
        <x:is>
          <x:t xml:space="preserve">theorem strongForceCoinIso : strongForceCoinIsoBoundary = true</x:t>
        </x:is>
      </x:c>
      <x:c r="J77" s="38" t="inlineStr">
        <x:is>
          <x:t xml:space="preserve">BOUNDARY: Coin model ALSO passes LawIso. This is the adversarial boundary — basic isomorphism is too weak.</x:t>
        </x:is>
      </x:c>
      <x:c r="K77" s="38" t="inlineStr">
        <x:is>
          <x:t xml:space="preserve">TODO: list constructors/definitions/candidate restrictions.</x:t>
        </x:is>
      </x:c>
      <x:c r="L77" s="38" t="inlineStr">
        <x:is>
          <x:t xml:space="preserve">TODO: translate exact Lean statement only.</x:t>
        </x:is>
      </x:c>
      <x:c r="M77" s="38" t="inlineStr">
        <x:is>
          <x:t xml:space="preserve">TODO: link Colab/Python artifact or mark not tested.</x:t>
        </x:is>
      </x:c>
      <x:c r="N77" s="38" t="inlineStr">
        <x:is>
          <x:t xml:space="preserve">TODO: link dataset/observation or mark not empirical.</x:t>
        </x:is>
      </x:c>
      <x:c r="O77" s="38" t="inlineStr">
        <x:is>
          <x:t xml:space="preserve">TODO: theological/philosophical interpretation; do not merge with proof.</x:t>
        </x:is>
      </x:c>
      <x:c r="P77" s="38" t="inlineStr">
        <x:is>
          <x:t xml:space="preserve">TODO: formal, dynamical, empirical, or mapping kill condition.</x:t>
        </x:is>
      </x:c>
      <x:c r="Q77" s="39" t="inlineStr">
        <x:is>
          <x:t xml:space="preserve">Downgrade wording or strengthen proof if risk is HIGH; otherwise add evidence links.</x:t>
        </x:is>
      </x:c>
    </x:row>
    <x:row r="78" ht="15" customHeight="1">
      <x:c r="A78" s="37" t="inlineStr">
        <x:is>
          <x:t xml:space="preserve">80</x:t>
        </x:is>
      </x:c>
      <x:c r="B78" s="38" t="inlineStr">
        <x:is>
          <x:t xml:space="preserve">richLaw4Iso</x:t>
        </x:is>
      </x:c>
      <x:c r="C78" s="38" t="inlineStr">
        <x:is>
          <x:t xml:space="preserve">C4 - Isomorphism candidate; requires inverse and broad candidate-space check</x:t>
        </x:is>
      </x:c>
      <x:c r="D78" s="38" t="inlineStr">
        <x:is>
          <x:t xml:space="preserve">2 - Defined model / marker theorem only</x:t>
        </x:is>
      </x:c>
      <x:c r="E78" s="38" t="inlineStr">
        <x:is>
          <x:t xml:space="preserve">TRIVIAL_TRUE</x:t>
        </x:is>
      </x:c>
      <x:c r="F78" s="38" t="inlineStr">
        <x:is>
          <x:t xml:space="preserve">HIGH - theorem name/public sentence may exceed formal statement.</x:t>
        </x:is>
      </x:c>
      <x:c r="G78" s="38" t="inlineStr">
        <x:is>
          <x:t xml:space="preserve">theophysics-lean-main\theophysics-lean-main\Theophysics_Core.lean</x:t>
        </x:is>
      </x:c>
      <x:c r="H78" s="38" t="inlineStr">
        <x:is>
          <x:t xml:space="preserve">218</x:t>
        </x:is>
      </x:c>
      <x:c r="I78" s="38" t="inlineStr">
        <x:is>
          <x:t xml:space="preserve">theorem richLaw4Iso : True</x:t>
        </x:is>
      </x:c>
      <x:c r="J78" s="38" t="inlineStr">
        <x:is>
          <x:t xml:space="preserve">StrongForce ≅ Love under RichLawIso (roles + transitions preserved). Stronger level.</x:t>
        </x:is>
      </x:c>
      <x:c r="K78" s="38" t="inlineStr">
        <x:is>
          <x:t xml:space="preserve">TODO: list constructors/definitions/candidate restrictions.</x:t>
        </x:is>
      </x:c>
      <x:c r="L78" s="38" t="inlineStr">
        <x:is>
          <x:t xml:space="preserve">TODO: translate exact Lean statement only.</x:t>
        </x:is>
      </x:c>
      <x:c r="M78" s="38" t="inlineStr">
        <x:is>
          <x:t xml:space="preserve">TODO: link Colab/Python artifact or mark not tested.</x:t>
        </x:is>
      </x:c>
      <x:c r="N78" s="38" t="inlineStr">
        <x:is>
          <x:t xml:space="preserve">TODO: link dataset/observation or mark not empirical.</x:t>
        </x:is>
      </x:c>
      <x:c r="O78" s="38" t="inlineStr">
        <x:is>
          <x:t xml:space="preserve">TODO: theological/philosophical interpretation; do not merge with proof.</x:t>
        </x:is>
      </x:c>
      <x:c r="P78" s="38" t="inlineStr">
        <x:is>
          <x:t xml:space="preserve">TODO: formal, dynamical, empirical, or mapping kill condition.</x:t>
        </x:is>
      </x:c>
      <x:c r="Q78" s="39" t="inlineStr">
        <x:is>
          <x:t xml:space="preserve">Downgrade wording or strengthen proof if risk is HIGH; otherwise add evidence links.</x:t>
        </x:is>
      </x:c>
    </x:row>
    <x:row r="79" ht="15" customHeight="1">
      <x:c r="A79" s="37" t="inlineStr">
        <x:is>
          <x:t xml:space="preserve">81</x:t>
        </x:is>
      </x:c>
      <x:c r="B79" s="38" t="inlineStr">
        <x:is>
          <x:t xml:space="preserve">no_rich_iso_to_natural_coin</x:t>
        </x:is>
      </x:c>
      <x:c r="C79" s="38" t="inlineStr">
        <x:is>
          <x:t xml:space="preserve">C4 - Isomorphism candidate; requires inverse and broad candidate-space check</x:t>
        </x:is>
      </x:c>
      <x:c r="D79" s="38" t="inlineStr">
        <x:is>
          <x:t xml:space="preserve">4 - Negative and countermodel tests</x:t>
        </x:is>
      </x:c>
      <x:c r="E79" s="38" t="inlineStr">
        <x:is>
          <x:t xml:space="preserve">DEFINITIONAL_RFL</x:t>
        </x:is>
      </x:c>
      <x:c r="F79" s="38" t="inlineStr">
        <x:is>
          <x:t xml:space="preserve">HIGH - isomorphism language needs exact map, inverse, and candidate-space limits.</x:t>
        </x:is>
      </x:c>
      <x:c r="G79" s="38" t="inlineStr">
        <x:is>
          <x:t xml:space="preserve">theophysics-lean-main\theophysics-lean-main\Theophysics_Adversarial.lean</x:t>
        </x:is>
      </x:c>
      <x:c r="H79" s="38" t="inlineStr">
        <x:is>
          <x:t xml:space="preserve">416</x:t>
        </x:is>
      </x:c>
      <x:c r="I79" s="38" t="inlineStr">
        <x:is>
          <x:t xml:space="preserve">theorem no_rich_iso_to_natural_coin : richIsoToNaturalCoin = false</x:t>
        </x:is>
      </x:c>
      <x:c r="J79" s="38" t="inlineStr">
        <x:is>
          <x:t xml:space="preserve">REJECTION: Natural coin model FAILS RichLawIso — role mismatch blocks it</x:t>
        </x:is>
      </x:c>
      <x:c r="K79" s="38" t="inlineStr">
        <x:is>
          <x:t xml:space="preserve">TODO: list constructors/definitions/candidate restrictions.</x:t>
        </x:is>
      </x:c>
      <x:c r="L79" s="38" t="inlineStr">
        <x:is>
          <x:t xml:space="preserve">TODO: translate exact Lean statement only.</x:t>
        </x:is>
      </x:c>
      <x:c r="M79" s="38" t="inlineStr">
        <x:is>
          <x:t xml:space="preserve">TODO: link Colab/Python artifact or mark not tested.</x:t>
        </x:is>
      </x:c>
      <x:c r="N79" s="38" t="inlineStr">
        <x:is>
          <x:t xml:space="preserve">TODO: link dataset/observation or mark not empirical.</x:t>
        </x:is>
      </x:c>
      <x:c r="O79" s="38" t="inlineStr">
        <x:is>
          <x:t xml:space="preserve">TODO: theological/philosophical interpretation; do not merge with proof.</x:t>
        </x:is>
      </x:c>
      <x:c r="P79" s="38" t="inlineStr">
        <x:is>
          <x:t xml:space="preserve">TODO: formal, dynamical, empirical, or mapping kill condition.</x:t>
        </x:is>
      </x:c>
      <x:c r="Q79" s="39" t="inlineStr">
        <x:is>
          <x:t xml:space="preserve">Downgrade wording or strengthen proof if risk is HIGH; otherwise add evidence links.</x:t>
        </x:is>
      </x:c>
    </x:row>
    <x:row r="80" ht="15" customHeight="1">
      <x:c r="A80" s="37" t="inlineStr">
        <x:is>
          <x:t xml:space="preserve">82</x:t>
        </x:is>
      </x:c>
      <x:c r="B80" s="38" t="inlineStr">
        <x:is>
          <x:t xml:space="preserve">richRelabeledCoinIso</x:t>
        </x:is>
      </x:c>
      <x:c r="C80" s="38" t="inlineStr">
        <x:is>
          <x:t xml:space="preserve">C4 - Isomorphism candidate; requires inverse and broad candidate-space check</x:t>
        </x:is>
      </x:c>
      <x:c r="D80" s="38" t="inlineStr">
        <x:is>
          <x:t xml:space="preserve">3 - Internal formal consistency</x:t>
        </x:is>
      </x:c>
      <x:c r="E80" s="38" t="inlineStr">
        <x:is>
          <x:t xml:space="preserve">DEFINITIONAL_RFL</x:t>
        </x:is>
      </x:c>
      <x:c r="F80" s="38" t="inlineStr">
        <x:is>
          <x:t xml:space="preserve">HIGH - isomorphism language needs exact map, inverse, and candidate-space limits.</x:t>
        </x:is>
      </x:c>
      <x:c r="G80" s="38" t="inlineStr">
        <x:is>
          <x:t xml:space="preserve">theophysics-lean-main\theophysics-lean-main\Theophysics_Adversarial.lean</x:t>
        </x:is>
      </x:c>
      <x:c r="H80" s="38" t="inlineStr">
        <x:is>
          <x:t xml:space="preserve">420</x:t>
        </x:is>
      </x:c>
      <x:c r="I80" s="38" t="inlineStr">
        <x:is>
          <x:t xml:space="preserve">theorem richRelabeledCoinIso : richRelabeledCoinIsoBoundary = true</x:t>
        </x:is>
      </x:c>
      <x:c r="J80" s="38" t="inlineStr">
        <x:is>
          <x:t xml:space="preserve">BOUNDARY: Relabeled coin PASSES — deliberately adversarial. Lean cannot verify label honesty.</x:t>
        </x:is>
      </x:c>
      <x:c r="K80" s="38" t="inlineStr">
        <x:is>
          <x:t xml:space="preserve">TODO: list constructors/definitions/candidate restrictions.</x:t>
        </x:is>
      </x:c>
      <x:c r="L80" s="38" t="inlineStr">
        <x:is>
          <x:t xml:space="preserve">TODO: translate exact Lean statement only.</x:t>
        </x:is>
      </x:c>
      <x:c r="M80" s="38" t="inlineStr">
        <x:is>
          <x:t xml:space="preserve">TODO: link Colab/Python artifact or mark not tested.</x:t>
        </x:is>
      </x:c>
      <x:c r="N80" s="38" t="inlineStr">
        <x:is>
          <x:t xml:space="preserve">TODO: link dataset/observation or mark not empirical.</x:t>
        </x:is>
      </x:c>
      <x:c r="O80" s="38" t="inlineStr">
        <x:is>
          <x:t xml:space="preserve">TODO: theological/philosophical interpretation; do not merge with proof.</x:t>
        </x:is>
      </x:c>
      <x:c r="P80" s="38" t="inlineStr">
        <x:is>
          <x:t xml:space="preserve">TODO: formal, dynamical, empirical, or mapping kill condition.</x:t>
        </x:is>
      </x:c>
      <x:c r="Q80" s="39" t="inlineStr">
        <x:is>
          <x:t xml:space="preserve">Downgrade wording or strengthen proof if risk is HIGH; otherwise add evidence links.</x:t>
        </x:is>
      </x:c>
    </x:row>
    <x:row r="81" ht="15" customHeight="1">
      <x:c r="A81" s="37" t="inlineStr">
        <x:is>
          <x:t xml:space="preserve">83</x:t>
        </x:is>
      </x:c>
      <x:c r="B81" s="38" t="inlineStr">
        <x:is>
          <x:t xml:space="preserve">faith_candidate_not_right_inverse</x:t>
        </x:is>
      </x:c>
      <x:c r="C81" s="38" t="inlineStr">
        <x:is>
          <x:t xml:space="preserve">C4 - Isomorphism candidate; requires inverse and broad candidate-space check</x:t>
        </x:is>
      </x:c>
      <x:c r="D81" s="38" t="inlineStr">
        <x:is>
          <x:t xml:space="preserve">4 - Negative and countermodel tests</x:t>
        </x:is>
      </x:c>
      <x:c r="E81" s="38" t="inlineStr">
        <x:is>
          <x:t xml:space="preserve">DEFINITIONAL_RFL</x:t>
        </x:is>
      </x:c>
      <x:c r="F81" s="38" t="inlineStr">
        <x:is>
          <x:t xml:space="preserve">HIGH - isomorphism language needs exact map, inverse, and candidate-space limits.</x:t>
        </x:is>
      </x:c>
      <x:c r="G81" s="38" t="inlineStr">
        <x:is>
          <x:t xml:space="preserve">theophysics-lean-main\theophysics-lean-main\Theophysics_Adversarial.lean</x:t>
        </x:is>
      </x:c>
      <x:c r="H81" s="38" t="inlineStr">
        <x:is>
          <x:t xml:space="preserve">424</x:t>
        </x:is>
      </x:c>
      <x:c r="I81" s="38" t="inlineStr">
        <x:is>
          <x:t xml:space="preserve">theorem faith_candidate_not_right_inverse : faithCandidateRightInverse = false</x:t>
        </x:is>
      </x:c>
      <x:c r="J81" s="38" t="inlineStr">
        <x:is>
          <x:t xml:space="preserve">REJECTION: 3-state Faith model fails bijection with 2-state StrongForce</x:t>
        </x:is>
      </x:c>
      <x:c r="K81" s="38" t="inlineStr">
        <x:is>
          <x:t xml:space="preserve">TODO: list constructors/definitions/candidate restrictions.</x:t>
        </x:is>
      </x:c>
      <x:c r="L81" s="38" t="inlineStr">
        <x:is>
          <x:t xml:space="preserve">TODO: translate exact Lean statement only.</x:t>
        </x:is>
      </x:c>
      <x:c r="M81" s="38" t="inlineStr">
        <x:is>
          <x:t xml:space="preserve">TODO: link Colab/Python artifact or mark not tested.</x:t>
        </x:is>
      </x:c>
      <x:c r="N81" s="38" t="inlineStr">
        <x:is>
          <x:t xml:space="preserve">TODO: link dataset/observation or mark not empirical.</x:t>
        </x:is>
      </x:c>
      <x:c r="O81" s="38" t="inlineStr">
        <x:is>
          <x:t xml:space="preserve">TODO: theological/philosophical interpretation; do not merge with proof.</x:t>
        </x:is>
      </x:c>
      <x:c r="P81" s="38" t="inlineStr">
        <x:is>
          <x:t xml:space="preserve">TODO: formal, dynamical, empirical, or mapping kill condition.</x:t>
        </x:is>
      </x:c>
      <x:c r="Q81" s="39" t="inlineStr">
        <x:is>
          <x:t xml:space="preserve">Downgrade wording or strengthen proof if risk is HIGH; otherwise add evidence links.</x:t>
        </x:is>
      </x:c>
    </x:row>
    <x:row r="82" ht="15" customHeight="1">
      <x:c r="A82" s="37" t="inlineStr">
        <x:is>
          <x:t xml:space="preserve">84</x:t>
        </x:is>
      </x:c>
      <x:c r="B82" s="38" t="inlineStr">
        <x:is>
          <x:t xml:space="preserve">em_candidate_not_right_inverse</x:t>
        </x:is>
      </x:c>
      <x:c r="C82" s="38" t="inlineStr">
        <x:is>
          <x:t xml:space="preserve">C4 - Isomorphism candidate; requires inverse and broad candidate-space check</x:t>
        </x:is>
      </x:c>
      <x:c r="D82" s="38" t="inlineStr">
        <x:is>
          <x:t xml:space="preserve">4 - Negative and countermodel tests</x:t>
        </x:is>
      </x:c>
      <x:c r="E82" s="38" t="inlineStr">
        <x:is>
          <x:t xml:space="preserve">DEFINITIONAL_RFL</x:t>
        </x:is>
      </x:c>
      <x:c r="F82" s="38" t="inlineStr">
        <x:is>
          <x:t xml:space="preserve">HIGH - isomorphism language needs exact map, inverse, and candidate-space limits.</x:t>
        </x:is>
      </x:c>
      <x:c r="G82" s="38" t="inlineStr">
        <x:is>
          <x:t xml:space="preserve">theophysics-lean-main\theophysics-lean-main\Theophysics_Adversarial.lean</x:t>
        </x:is>
      </x:c>
      <x:c r="H82" s="38" t="inlineStr">
        <x:is>
          <x:t xml:space="preserve">428</x:t>
        </x:is>
      </x:c>
      <x:c r="I82" s="38" t="inlineStr">
        <x:is>
          <x:t xml:space="preserve">theorem em_candidate_not_right_inverse : emCandidateRightInverse = false</x:t>
        </x:is>
      </x:c>
      <x:c r="J82" s="38" t="inlineStr">
        <x:is>
          <x:t xml:space="preserve">REJECTION: 3-state EM model fails bijection with 2-state StrongForce</x:t>
        </x:is>
      </x:c>
      <x:c r="K82" s="38" t="inlineStr">
        <x:is>
          <x:t xml:space="preserve">TODO: list constructors/definitions/candidate restrictions.</x:t>
        </x:is>
      </x:c>
      <x:c r="L82" s="38" t="inlineStr">
        <x:is>
          <x:t xml:space="preserve">TODO: translate exact Lean statement only.</x:t>
        </x:is>
      </x:c>
      <x:c r="M82" s="38" t="inlineStr">
        <x:is>
          <x:t xml:space="preserve">TODO: link Colab/Python artifact or mark not tested.</x:t>
        </x:is>
      </x:c>
      <x:c r="N82" s="38" t="inlineStr">
        <x:is>
          <x:t xml:space="preserve">TODO: link dataset/observation or mark not empirical.</x:t>
        </x:is>
      </x:c>
      <x:c r="O82" s="38" t="inlineStr">
        <x:is>
          <x:t xml:space="preserve">TODO: theological/philosophical interpretation; do not merge with proof.</x:t>
        </x:is>
      </x:c>
      <x:c r="P82" s="38" t="inlineStr">
        <x:is>
          <x:t xml:space="preserve">TODO: formal, dynamical, empirical, or mapping kill condition.</x:t>
        </x:is>
      </x:c>
      <x:c r="Q82" s="39" t="inlineStr">
        <x:is>
          <x:t xml:space="preserve">Downgrade wording or strengthen proof if risk is HIGH; otherwise add evidence links.</x:t>
        </x:is>
      </x:c>
    </x:row>
    <x:row r="83" ht="15" customHeight="1">
      <x:c r="A83" s="37" t="inlineStr">
        <x:is>
          <x:t xml:space="preserve">85</x:t>
        </x:is>
      </x:c>
      <x:c r="B83" s="38" t="inlineStr">
        <x:is>
          <x:t xml:space="preserve">inverted_mapping_does_not_preserve_value</x:t>
        </x:is>
      </x:c>
      <x:c r="C83" s="38" t="inlineStr">
        <x:is>
          <x:t xml:space="preserve">C3 - Homomorphism candidate</x:t>
        </x:is>
      </x:c>
      <x:c r="D83" s="38" t="inlineStr">
        <x:is>
          <x:t xml:space="preserve">4 - Negative and countermodel tests</x:t>
        </x:is>
      </x:c>
      <x:c r="E83" s="38" t="inlineStr">
        <x:is>
          <x:t xml:space="preserve">DEFINITIONAL_RFL</x:t>
        </x:is>
      </x:c>
      <x:c r="F83" s="38" t="inlineStr">
        <x:is>
          <x:t xml:space="preserve">MEDIUM - definition strength must be audited.</x:t>
        </x:is>
      </x:c>
      <x:c r="G83" s="38" t="inlineStr">
        <x:is>
          <x:t xml:space="preserve">theophysics-lean-main\theophysics-lean-main\Theophysics_Adversarial.lean</x:t>
        </x:is>
      </x:c>
      <x:c r="H83" s="38" t="inlineStr">
        <x:is>
          <x:t xml:space="preserve">432</x:t>
        </x:is>
      </x:c>
      <x:c r="I83" s="38" t="inlineStr">
        <x:is>
          <x:t xml:space="preserve">theorem inverted_mapping_does_not_preserve_value : invertedMappingPreservesValue = false</x:t>
        </x:is>
      </x:c>
      <x:c r="J83" s="38" t="inlineStr">
        <x:is>
          <x:t xml:space="preserve">REJECTION: bound→liberation fails value preservation</x:t>
        </x:is>
      </x:c>
      <x:c r="K83" s="38" t="inlineStr">
        <x:is>
          <x:t xml:space="preserve">TODO: list constructors/definitions/candidate restrictions.</x:t>
        </x:is>
      </x:c>
      <x:c r="L83" s="38" t="inlineStr">
        <x:is>
          <x:t xml:space="preserve">TODO: translate exact Lean statement only.</x:t>
        </x:is>
      </x:c>
      <x:c r="M83" s="38" t="inlineStr">
        <x:is>
          <x:t xml:space="preserve">TODO: link Colab/Python artifact or mark not tested.</x:t>
        </x:is>
      </x:c>
      <x:c r="N83" s="38" t="inlineStr">
        <x:is>
          <x:t xml:space="preserve">TODO: link dataset/observation or mark not empirical.</x:t>
        </x:is>
      </x:c>
      <x:c r="O83" s="38" t="inlineStr">
        <x:is>
          <x:t xml:space="preserve">TODO: theological/philosophical interpretation; do not merge with proof.</x:t>
        </x:is>
      </x:c>
      <x:c r="P83" s="38" t="inlineStr">
        <x:is>
          <x:t xml:space="preserve">TODO: formal, dynamical, empirical, or mapping kill condition.</x:t>
        </x:is>
      </x:c>
      <x:c r="Q83" s="39" t="inlineStr">
        <x:is>
          <x:t xml:space="preserve">Downgrade wording or strengthen proof if risk is HIGH; otherwise add evidence links.</x:t>
        </x:is>
      </x:c>
    </x:row>
    <x:row r="84" ht="15" customHeight="1">
      <x:c r="A84" s="37" t="inlineStr">
        <x:is>
          <x:t xml:space="preserve">86</x:t>
        </x:is>
      </x:c>
      <x:c r="B84" s="38" t="inlineStr">
        <x:is>
          <x:t xml:space="preserve">no_law4_iso_uses_inverted_mapping</x:t>
        </x:is>
      </x:c>
      <x:c r="C84" s="38" t="inlineStr">
        <x:is>
          <x:t xml:space="preserve">C4 - Isomorphism candidate; requires inverse and broad candidate-space check</x:t>
        </x:is>
      </x:c>
      <x:c r="D84" s="38" t="inlineStr">
        <x:is>
          <x:t xml:space="preserve">4 - Negative and countermodel tests</x:t>
        </x:is>
      </x:c>
      <x:c r="E84" s="38" t="inlineStr">
        <x:is>
          <x:t xml:space="preserve">DEFINITIONAL_RFL</x:t>
        </x:is>
      </x:c>
      <x:c r="F84" s="38" t="inlineStr">
        <x:is>
          <x:t xml:space="preserve">HIGH - isomorphism language needs exact map, inverse, and candidate-space limits.</x:t>
        </x:is>
      </x:c>
      <x:c r="G84" s="38" t="inlineStr">
        <x:is>
          <x:t xml:space="preserve">theophysics-lean-main\theophysics-lean-main\Theophysics_Adversarial.lean</x:t>
        </x:is>
      </x:c>
      <x:c r="H84" s="38" t="inlineStr">
        <x:is>
          <x:t xml:space="preserve">436</x:t>
        </x:is>
      </x:c>
      <x:c r="I84" s="38" t="inlineStr">
        <x:is>
          <x:t xml:space="preserve">theorem no_law4_iso_uses_inverted_mapping : law4IsoUsesInvertedMapping = false</x:t>
        </x:is>
      </x:c>
      <x:c r="J84" s="38" t="inlineStr">
        <x:is>
          <x:t xml:space="preserve">REJECTION: No valid Law4 iso uses the inverted map</x:t>
        </x:is>
      </x:c>
      <x:c r="K84" s="38" t="inlineStr">
        <x:is>
          <x:t xml:space="preserve">TODO: list constructors/definitions/candidate restrictions.</x:t>
        </x:is>
      </x:c>
      <x:c r="L84" s="38" t="inlineStr">
        <x:is>
          <x:t xml:space="preserve">TODO: translate exact Lean statement only.</x:t>
        </x:is>
      </x:c>
      <x:c r="M84" s="38" t="inlineStr">
        <x:is>
          <x:t xml:space="preserve">TODO: link Colab/Python artifact or mark not tested.</x:t>
        </x:is>
      </x:c>
      <x:c r="N84" s="38" t="inlineStr">
        <x:is>
          <x:t xml:space="preserve">TODO: link dataset/observation or mark not empirical.</x:t>
        </x:is>
      </x:c>
      <x:c r="O84" s="38" t="inlineStr">
        <x:is>
          <x:t xml:space="preserve">TODO: theological/philosophical interpretation; do not merge with proof.</x:t>
        </x:is>
      </x:c>
      <x:c r="P84" s="38" t="inlineStr">
        <x:is>
          <x:t xml:space="preserve">TODO: formal, dynamical, empirical, or mapping kill condition.</x:t>
        </x:is>
      </x:c>
      <x:c r="Q84" s="39" t="inlineStr">
        <x:is>
          <x:t xml:space="preserve">Downgrade wording or strengthen proof if risk is HIGH; otherwise add evidence links.</x:t>
        </x:is>
      </x:c>
    </x:row>
    <x:row r="85" ht="15" customHeight="1">
      <x:c r="A85" s="37" t="inlineStr">
        <x:is>
          <x:t xml:space="preserve">87</x:t>
        </x:is>
      </x:c>
      <x:c r="B85" s="38" t="inlineStr">
        <x:is>
          <x:t xml:space="preserve">misaligned_collapse_rule_invalid</x:t>
        </x:is>
      </x:c>
      <x:c r="C85" s="38" t="inlineStr">
        <x:is>
          <x:t xml:space="preserve">C2 - Structural correspondence candidate</x:t>
        </x:is>
      </x:c>
      <x:c r="D85" s="38" t="inlineStr">
        <x:is>
          <x:t xml:space="preserve">4 - Negative and countermodel tests</x:t>
        </x:is>
      </x:c>
      <x:c r="E85" s="38" t="inlineStr">
        <x:is>
          <x:t xml:space="preserve">DEFINITIONAL_RFL</x:t>
        </x:is>
      </x:c>
      <x:c r="F85" s="38" t="inlineStr">
        <x:is>
          <x:t xml:space="preserve">MEDIUM - definition strength must be audited.</x:t>
        </x:is>
      </x:c>
      <x:c r="G85" s="38" t="inlineStr">
        <x:is>
          <x:t xml:space="preserve">theophysics-lean-main\theophysics-lean-main\Theophysics_Adversarial.lean</x:t>
        </x:is>
      </x:c>
      <x:c r="H85" s="38" t="inlineStr">
        <x:is>
          <x:t xml:space="preserve">440</x:t>
        </x:is>
      </x:c>
      <x:c r="I85" s="38" t="inlineStr">
        <x:is>
          <x:t xml:space="preserve">theorem misaligned_collapse_rule_invalid : misalignedCollapseRuleValid = false</x:t>
        </x:is>
      </x:c>
      <x:c r="J85" s="38" t="inlineStr">
        <x:is>
          <x:t xml:space="preserve">REJECTION: Collapse at stateB (value=one) contradicts axiom</x:t>
        </x:is>
      </x:c>
      <x:c r="K85" s="38" t="inlineStr">
        <x:is>
          <x:t xml:space="preserve">TODO: list constructors/definitions/candidate restrictions.</x:t>
        </x:is>
      </x:c>
      <x:c r="L85" s="38" t="inlineStr">
        <x:is>
          <x:t xml:space="preserve">TODO: translate exact Lean statement only.</x:t>
        </x:is>
      </x:c>
      <x:c r="M85" s="38" t="inlineStr">
        <x:is>
          <x:t xml:space="preserve">TODO: link Colab/Python artifact or mark not tested.</x:t>
        </x:is>
      </x:c>
      <x:c r="N85" s="38" t="inlineStr">
        <x:is>
          <x:t xml:space="preserve">TODO: link dataset/observation or mark not empirical.</x:t>
        </x:is>
      </x:c>
      <x:c r="O85" s="38" t="inlineStr">
        <x:is>
          <x:t xml:space="preserve">TODO: theological/philosophical interpretation; do not merge with proof.</x:t>
        </x:is>
      </x:c>
      <x:c r="P85" s="38" t="inlineStr">
        <x:is>
          <x:t xml:space="preserve">TODO: formal, dynamical, empirical, or mapping kill condition.</x:t>
        </x:is>
      </x:c>
      <x:c r="Q85" s="39" t="inlineStr">
        <x:is>
          <x:t xml:space="preserve">Downgrade wording or strengthen proof if risk is HIGH; otherwise add evidence links.</x:t>
        </x:is>
      </x:c>
    </x:row>
    <x:row r="86" ht="15" customHeight="1">
      <x:c r="A86" s="37" t="inlineStr">
        <x:is>
          <x:t xml:space="preserve">88</x:t>
        </x:is>
      </x:c>
      <x:c r="B86" s="38" t="inlineStr">
        <x:is>
          <x:t xml:space="preserve">full_quaternion_product_has_coupling_invariant</x:t>
        </x:is>
      </x:c>
      <x:c r="C86" s="38" t="inlineStr">
        <x:is>
          <x:t xml:space="preserve">C2 - Structural correspondence candidate</x:t>
        </x:is>
      </x:c>
      <x:c r="D86" s="38" t="inlineStr">
        <x:is>
          <x:t xml:space="preserve">2 - Defined model / needs inspection</x:t>
        </x:is>
      </x:c>
      <x:c r="E86" s="38" t="inlineStr">
        <x:is>
          <x:t xml:space="preserve">DECLARATION_OR_UNKNOWN</x:t>
        </x:is>
      </x:c>
      <x:c r="F86" s="38" t="inlineStr">
        <x:is>
          <x:t xml:space="preserve">LOW/MEDIUM - still needs theorem-to-public-claim translation.</x:t>
        </x:is>
      </x:c>
      <x:c r="G86" s="38" t="inlineStr">
        <x:is>
          <x:t xml:space="preserve">theophysics-lean-main\theophysics-lean-main\Theophysics_Core.lean</x:t>
        </x:is>
      </x:c>
      <x:c r="H86" s="38" t="inlineStr">
        <x:is>
          <x:t xml:space="preserve">219</x:t>
        </x:is>
      </x:c>
      <x:c r="I86" s="38" t="inlineStr">
        <x:is>
          <x:t xml:space="preserve">theorem full_quaternion_product_has_coupling_invariant : preservesCouplingInvariant EMSystem.quaternion = true := Theophysics.MaxwellTrinity.full_quaternion_product_has_coupling_invariant</x:t>
        </x:is>
      </x:c>
      <x:c r="J86" s="38" t="inlineStr">
        <x:is>
          <x:t xml:space="preserve">Quaternion multiplication has scalar-vector coupling that vector-only product lacks</x:t>
        </x:is>
      </x:c>
      <x:c r="K86" s="38" t="inlineStr">
        <x:is>
          <x:t xml:space="preserve">TODO: list constructors/definitions/candidate restrictions.</x:t>
        </x:is>
      </x:c>
      <x:c r="L86" s="38" t="inlineStr">
        <x:is>
          <x:t xml:space="preserve">TODO: translate exact Lean statement only.</x:t>
        </x:is>
      </x:c>
      <x:c r="M86" s="38" t="inlineStr">
        <x:is>
          <x:t xml:space="preserve">TODO: link Colab/Python artifact or mark not tested.</x:t>
        </x:is>
      </x:c>
      <x:c r="N86" s="38" t="inlineStr">
        <x:is>
          <x:t xml:space="preserve">TODO: link dataset/observation or mark not empirical.</x:t>
        </x:is>
      </x:c>
      <x:c r="O86" s="38" t="inlineStr">
        <x:is>
          <x:t xml:space="preserve">TODO: theological/philosophical interpretation; do not merge with proof.</x:t>
        </x:is>
      </x:c>
      <x:c r="P86" s="38" t="inlineStr">
        <x:is>
          <x:t xml:space="preserve">TODO: formal, dynamical, empirical, or mapping kill condition.</x:t>
        </x:is>
      </x:c>
      <x:c r="Q86" s="39" t="inlineStr">
        <x:is>
          <x:t xml:space="preserve">Downgrade wording or strengthen proof if risk is HIGH; otherwise add evidence links.</x:t>
        </x:is>
      </x:c>
    </x:row>
    <x:row r="87" ht="15" customHeight="1">
      <x:c r="A87" s="37" t="inlineStr">
        <x:is>
          <x:t xml:space="preserve">89</x:t>
        </x:is>
      </x:c>
      <x:c r="B87" s="38" t="inlineStr">
        <x:is>
          <x:t xml:space="preserve">vector_only_product_lacks_coupling_invariant</x:t>
        </x:is>
      </x:c>
      <x:c r="C87" s="38" t="inlineStr">
        <x:is>
          <x:t xml:space="preserve">C2 - Structural correspondence candidate</x:t>
        </x:is>
      </x:c>
      <x:c r="D87" s="38" t="inlineStr">
        <x:is>
          <x:t xml:space="preserve">4 - Negative and countermodel tests</x:t>
        </x:is>
      </x:c>
      <x:c r="E87" s="38" t="inlineStr">
        <x:is>
          <x:t xml:space="preserve">DEFINITIONAL_RFL</x:t>
        </x:is>
      </x:c>
      <x:c r="F87" s="38" t="inlineStr">
        <x:is>
          <x:t xml:space="preserve">MEDIUM - definition strength must be audited.</x:t>
        </x:is>
      </x:c>
      <x:c r="G87" s="38" t="inlineStr">
        <x:is>
          <x:t xml:space="preserve">theophysics-lean-main\theophysics-lean-main\Theophysics_MaxwellTrinity.lean</x:t>
        </x:is>
      </x:c>
      <x:c r="H87" s="38" t="inlineStr">
        <x:is>
          <x:t xml:space="preserve">71</x:t>
        </x:is>
      </x:c>
      <x:c r="I87" s="38" t="inlineStr">
        <x:is>
          <x:t xml:space="preserve">theorem vector_only_product_lacks_coupling_invariant : preservesCouplingInvariant EMSystem.vectorOnly = false</x:t>
        </x:is>
      </x:c>
      <x:c r="J87" s="38" t="inlineStr">
        <x:is>
          <x:t xml:space="preserve">REJECTION: Heaviside vector-only product lacks coupling invariant</x:t>
        </x:is>
      </x:c>
      <x:c r="K87" s="38" t="inlineStr">
        <x:is>
          <x:t xml:space="preserve">TODO: list constructors/definitions/candidate restrictions.</x:t>
        </x:is>
      </x:c>
      <x:c r="L87" s="38" t="inlineStr">
        <x:is>
          <x:t xml:space="preserve">TODO: translate exact Lean statement only.</x:t>
        </x:is>
      </x:c>
      <x:c r="M87" s="38" t="inlineStr">
        <x:is>
          <x:t xml:space="preserve">TODO: link Colab/Python artifact or mark not tested.</x:t>
        </x:is>
      </x:c>
      <x:c r="N87" s="38" t="inlineStr">
        <x:is>
          <x:t xml:space="preserve">TODO: link dataset/observation or mark not empirical.</x:t>
        </x:is>
      </x:c>
      <x:c r="O87" s="38" t="inlineStr">
        <x:is>
          <x:t xml:space="preserve">TODO: theological/philosophical interpretation; do not merge with proof.</x:t>
        </x:is>
      </x:c>
      <x:c r="P87" s="38" t="inlineStr">
        <x:is>
          <x:t xml:space="preserve">TODO: formal, dynamical, empirical, or mapping kill condition.</x:t>
        </x:is>
      </x:c>
      <x:c r="Q87" s="39" t="inlineStr">
        <x:is>
          <x:t xml:space="preserve">Downgrade wording or strengthen proof if risk is HIGH; otherwise add evidence links.</x:t>
        </x:is>
      </x:c>
    </x:row>
    <x:row r="88" ht="15" customHeight="1">
      <x:c r="A88" s="37" t="inlineStr">
        <x:is>
          <x:t xml:space="preserve">90</x:t>
        </x:is>
      </x:c>
      <x:c r="B88" s="38" t="inlineStr">
        <x:is>
          <x:t xml:space="preserve">full_scalar_vector_split_reconstructs_quaternion_product</x:t>
        </x:is>
      </x:c>
      <x:c r="C88" s="38" t="inlineStr">
        <x:is>
          <x:t xml:space="preserve">C2 - Structural correspondence candidate</x:t>
        </x:is>
      </x:c>
      <x:c r="D88" s="38" t="inlineStr">
        <x:is>
          <x:t xml:space="preserve">2 - Defined model / marker theorem only</x:t>
        </x:is>
      </x:c>
      <x:c r="E88" s="38" t="inlineStr">
        <x:is>
          <x:t xml:space="preserve">TRIVIAL_TRUE</x:t>
        </x:is>
      </x:c>
      <x:c r="F88" s="38" t="inlineStr">
        <x:is>
          <x:t xml:space="preserve">HIGH - theorem name/public sentence may exceed formal statement.</x:t>
        </x:is>
      </x:c>
      <x:c r="G88" s="38" t="inlineStr">
        <x:is>
          <x:t xml:space="preserve">theophysics-lean-main\theophysics-lean-main\Theophysics_Core.lean</x:t>
        </x:is>
      </x:c>
      <x:c r="H88" s="38" t="inlineStr">
        <x:is>
          <x:t xml:space="preserve">222</x:t>
        </x:is>
      </x:c>
      <x:c r="I88" s="38" t="inlineStr">
        <x:is>
          <x:t xml:space="preserve">theorem full_scalar_vector_split_reconstructs_quaternion_product : True</x:t>
        </x:is>
      </x:c>
      <x:c r="J88" s="38" t="inlineStr">
        <x:is>
          <x:t xml:space="preserve">Split product reconstructs full quaternion product</x:t>
        </x:is>
      </x:c>
      <x:c r="K88" s="38" t="inlineStr">
        <x:is>
          <x:t xml:space="preserve">TODO: list constructors/definitions/candidate restrictions.</x:t>
        </x:is>
      </x:c>
      <x:c r="L88" s="38" t="inlineStr">
        <x:is>
          <x:t xml:space="preserve">TODO: translate exact Lean statement only.</x:t>
        </x:is>
      </x:c>
      <x:c r="M88" s="38" t="inlineStr">
        <x:is>
          <x:t xml:space="preserve">TODO: link Colab/Python artifact or mark not tested.</x:t>
        </x:is>
      </x:c>
      <x:c r="N88" s="38" t="inlineStr">
        <x:is>
          <x:t xml:space="preserve">TODO: link dataset/observation or mark not empirical.</x:t>
        </x:is>
      </x:c>
      <x:c r="O88" s="38" t="inlineStr">
        <x:is>
          <x:t xml:space="preserve">TODO: theological/philosophical interpretation; do not merge with proof.</x:t>
        </x:is>
      </x:c>
      <x:c r="P88" s="38" t="inlineStr">
        <x:is>
          <x:t xml:space="preserve">TODO: formal, dynamical, empirical, or mapping kill condition.</x:t>
        </x:is>
      </x:c>
      <x:c r="Q88" s="39" t="inlineStr">
        <x:is>
          <x:t xml:space="preserve">Downgrade wording or strengthen proof if risk is HIGH; otherwise add evidence links.</x:t>
        </x:is>
      </x:c>
    </x:row>
    <x:row r="89" ht="15" customHeight="1">
      <x:c r="A89" s="37" t="inlineStr">
        <x:is>
          <x:t xml:space="preserve">91</x:t>
        </x:is>
      </x:c>
      <x:c r="B89" s="38" t="inlineStr">
        <x:is>
          <x:t xml:space="preserve">same_dot_cross_but_different_quaternion_product</x:t>
        </x:is>
      </x:c>
      <x:c r="C89" s="38" t="inlineStr">
        <x:is>
          <x:t xml:space="preserve">C2 - Structural correspondence candidate</x:t>
        </x:is>
      </x:c>
      <x:c r="D89" s="38" t="inlineStr">
        <x:is>
          <x:t xml:space="preserve">4 - Negative and countermodel tests</x:t>
        </x:is>
      </x:c>
      <x:c r="E89" s="38" t="inlineStr">
        <x:is>
          <x:t xml:space="preserve">DEFINITIONAL_RFL</x:t>
        </x:is>
      </x:c>
      <x:c r="F89" s="38" t="inlineStr">
        <x:is>
          <x:t xml:space="preserve">MEDIUM - definition strength must be audited.</x:t>
        </x:is>
      </x:c>
      <x:c r="G89" s="38" t="inlineStr">
        <x:is>
          <x:t xml:space="preserve">theophysics-lean-main\theophysics-lean-main\Theophysics_MaxwellTrinity.lean</x:t>
        </x:is>
      </x:c>
      <x:c r="H89" s="38" t="inlineStr">
        <x:is>
          <x:t xml:space="preserve">75</x:t>
        </x:is>
      </x:c>
      <x:c r="I89" s="38" t="inlineStr">
        <x:is>
          <x:t xml:space="preserve">theorem same_dot_cross_but_different_quaternion_product : sameDotCrossDeterminesQuaternionProduct = false</x:t>
        </x:is>
      </x:c>
      <x:c r="J89" s="38" t="inlineStr">
        <x:is>
          <x:t xml:space="preserve">REJECTION: Same dot+cross ≠ same quaternion product. Scalar coupling matters.</x:t>
        </x:is>
      </x:c>
      <x:c r="K89" s="38" t="inlineStr">
        <x:is>
          <x:t xml:space="preserve">TODO: list constructors/definitions/candidate restrictions.</x:t>
        </x:is>
      </x:c>
      <x:c r="L89" s="38" t="inlineStr">
        <x:is>
          <x:t xml:space="preserve">TODO: translate exact Lean statement only.</x:t>
        </x:is>
      </x:c>
      <x:c r="M89" s="38" t="inlineStr">
        <x:is>
          <x:t xml:space="preserve">TODO: link Colab/Python artifact or mark not tested.</x:t>
        </x:is>
      </x:c>
      <x:c r="N89" s="38" t="inlineStr">
        <x:is>
          <x:t xml:space="preserve">TODO: link dataset/observation or mark not empirical.</x:t>
        </x:is>
      </x:c>
      <x:c r="O89" s="38" t="inlineStr">
        <x:is>
          <x:t xml:space="preserve">TODO: theological/philosophical interpretation; do not merge with proof.</x:t>
        </x:is>
      </x:c>
      <x:c r="P89" s="38" t="inlineStr">
        <x:is>
          <x:t xml:space="preserve">TODO: formal, dynamical, empirical, or mapping kill condition.</x:t>
        </x:is>
      </x:c>
      <x:c r="Q89" s="39" t="inlineStr">
        <x:is>
          <x:t xml:space="preserve">Downgrade wording or strengthen proof if risk is HIGH; otherwise add evidence links.</x:t>
        </x:is>
      </x:c>
    </x:row>
    <x:row r="90" ht="15" customHeight="1">
      <x:c r="A90" s="37" t="inlineStr">
        <x:is>
          <x:t xml:space="preserve">92</x:t>
        </x:is>
      </x:c>
      <x:c r="B90" s="38" t="inlineStr">
        <x:is>
          <x:t xml:space="preserve">quaternionEM_valid</x:t>
        </x:is>
      </x:c>
      <x:c r="C90" s="38" t="inlineStr">
        <x:is>
          <x:t xml:space="preserve">C2 - Structural correspondence candidate</x:t>
        </x:is>
      </x:c>
      <x:c r="D90" s="38" t="inlineStr">
        <x:is>
          <x:t xml:space="preserve">3 - Internal formal consistency; cite underlying theorem</x:t>
        </x:is>
      </x:c>
      <x:c r="E90" s="38" t="inlineStr">
        <x:is>
          <x:t xml:space="preserve">WRAPPER_OR_IMPORTED</x:t>
        </x:is>
      </x:c>
      <x:c r="F90" s="38" t="inlineStr">
        <x:is>
          <x:t xml:space="preserve">MEDIUM - cite underlying theorem, not just wrapper.</x:t>
        </x:is>
      </x:c>
      <x:c r="G90" s="38" t="inlineStr">
        <x:is>
          <x:t xml:space="preserve">theophysics-lean-main\theophysics-lean-main\Theophysics_MaxwellTrinity.lean</x:t>
        </x:is>
      </x:c>
      <x:c r="H90" s="38" t="inlineStr">
        <x:is>
          <x:t xml:space="preserve">54</x:t>
        </x:is>
      </x:c>
      <x:c r="I90" s="38" t="inlineStr">
        <x:is>
          <x:t xml:space="preserve">theorem quaternionEM_valid : preservesCouplingInvariant EMSystem.quaternion = true ∧ trinityStructureValid EMSystem.quaternion = true</x:t>
        </x:is>
      </x:c>
      <x:c r="J90" s="38" t="inlineStr">
        <x:is>
          <x:t xml:space="preserve">Quaternion EM model passes all 5 ValidTriadic conditions</x:t>
        </x:is>
      </x:c>
      <x:c r="K90" s="38" t="inlineStr">
        <x:is>
          <x:t xml:space="preserve">TODO: list constructors/definitions/candidate restrictions.</x:t>
        </x:is>
      </x:c>
      <x:c r="L90" s="38" t="inlineStr">
        <x:is>
          <x:t xml:space="preserve">TODO: translate exact Lean statement only.</x:t>
        </x:is>
      </x:c>
      <x:c r="M90" s="38" t="inlineStr">
        <x:is>
          <x:t xml:space="preserve">TODO: link Colab/Python artifact or mark not tested.</x:t>
        </x:is>
      </x:c>
      <x:c r="N90" s="38" t="inlineStr">
        <x:is>
          <x:t xml:space="preserve">TODO: link dataset/observation or mark not empirical.</x:t>
        </x:is>
      </x:c>
      <x:c r="O90" s="38" t="inlineStr">
        <x:is>
          <x:t xml:space="preserve">TODO: theological/philosophical interpretation; do not merge with proof.</x:t>
        </x:is>
      </x:c>
      <x:c r="P90" s="38" t="inlineStr">
        <x:is>
          <x:t xml:space="preserve">TODO: formal, dynamical, empirical, or mapping kill condition.</x:t>
        </x:is>
      </x:c>
      <x:c r="Q90" s="39" t="inlineStr">
        <x:is>
          <x:t xml:space="preserve">Downgrade wording or strengthen proof if risk is HIGH; otherwise add evidence links.</x:t>
        </x:is>
      </x:c>
    </x:row>
    <x:row r="91" ht="15" customHeight="1">
      <x:c r="A91" s="37" t="inlineStr">
        <x:is>
          <x:t xml:space="preserve">93</x:t>
        </x:is>
      </x:c>
      <x:c r="B91" s="38" t="inlineStr">
        <x:is>
          <x:t xml:space="preserve">trinityRelational_valid</x:t>
        </x:is>
      </x:c>
      <x:c r="C91" s="38" t="inlineStr">
        <x:is>
          <x:t xml:space="preserve">C2 - Structural correspondence candidate</x:t>
        </x:is>
      </x:c>
      <x:c r="D91" s="38" t="inlineStr">
        <x:is>
          <x:t xml:space="preserve">2 - Defined model / needs inspection</x:t>
        </x:is>
      </x:c>
      <x:c r="E91" s="38" t="inlineStr">
        <x:is>
          <x:t xml:space="preserve">DECLARATION_OR_UNKNOWN</x:t>
        </x:is>
      </x:c>
      <x:c r="F91" s="38" t="inlineStr">
        <x:is>
          <x:t xml:space="preserve">LOW/MEDIUM - still needs theorem-to-public-claim translation.</x:t>
        </x:is>
      </x:c>
      <x:c r="G91" s="38" t="inlineStr">
        <x:is>
          <x:t xml:space="preserve">theophysics-lean-main\theophysics-lean-main\Theophysics_Core.lean</x:t>
        </x:is>
      </x:c>
      <x:c r="H91" s="38" t="inlineStr">
        <x:is>
          <x:t xml:space="preserve">231</x:t>
        </x:is>
      </x:c>
      <x:c r="I91" s="38" t="inlineStr">
        <x:is>
          <x:t xml:space="preserve">theorem trinityRelational_valid : trinityStructureValid EMSystem.quaternion = true := Theophysics.MaxwellTrinity.trinityRelational_valid</x:t>
        </x:is>
      </x:c>
      <x:c r="J91" s="38" t="inlineStr">
        <x:is>
          <x:t xml:space="preserve">Trinity relational model passes all 5 ValidTriadic conditions</x:t>
        </x:is>
      </x:c>
      <x:c r="K91" s="38" t="inlineStr">
        <x:is>
          <x:t xml:space="preserve">TODO: list constructors/definitions/candidate restrictions.</x:t>
        </x:is>
      </x:c>
      <x:c r="L91" s="38" t="inlineStr">
        <x:is>
          <x:t xml:space="preserve">TODO: translate exact Lean statement only.</x:t>
        </x:is>
      </x:c>
      <x:c r="M91" s="38" t="inlineStr">
        <x:is>
          <x:t xml:space="preserve">TODO: link Colab/Python artifact or mark not tested.</x:t>
        </x:is>
      </x:c>
      <x:c r="N91" s="38" t="inlineStr">
        <x:is>
          <x:t xml:space="preserve">TODO: link dataset/observation or mark not empirical.</x:t>
        </x:is>
      </x:c>
      <x:c r="O91" s="38" t="inlineStr">
        <x:is>
          <x:t xml:space="preserve">TODO: theological/philosophical interpretation; do not merge with proof.</x:t>
        </x:is>
      </x:c>
      <x:c r="P91" s="38" t="inlineStr">
        <x:is>
          <x:t xml:space="preserve">TODO: formal, dynamical, empirical, or mapping kill condition.</x:t>
        </x:is>
      </x:c>
      <x:c r="Q91" s="39" t="inlineStr">
        <x:is>
          <x:t xml:space="preserve">Downgrade wording or strengthen proof if risk is HIGH; otherwise add evidence links.</x:t>
        </x:is>
      </x:c>
    </x:row>
    <x:row r="92" ht="15" customHeight="1">
      <x:c r="A92" s="37" t="inlineStr">
        <x:is>
          <x:t xml:space="preserve">94</x:t>
        </x:is>
      </x:c>
      <x:c r="B92" s="38" t="inlineStr">
        <x:is>
          <x:t xml:space="preserve">quaternionTrinityIso</x:t>
        </x:is>
      </x:c>
      <x:c r="C92" s="38" t="inlineStr">
        <x:is>
          <x:t xml:space="preserve">C4 - Isomorphism candidate; requires inverse and broad candidate-space check</x:t>
        </x:is>
      </x:c>
      <x:c r="D92" s="38" t="inlineStr">
        <x:is>
          <x:t xml:space="preserve">2 - Defined model / needs inspection</x:t>
        </x:is>
      </x:c>
      <x:c r="E92" s="38" t="inlineStr">
        <x:is>
          <x:t xml:space="preserve">DECLARATION_OR_UNKNOWN</x:t>
        </x:is>
      </x:c>
      <x:c r="F92" s="38" t="inlineStr">
        <x:is>
          <x:t xml:space="preserve">HIGH - isomorphism language needs exact map, inverse, and candidate-space limits.</x:t>
        </x:is>
      </x:c>
      <x:c r="G92" s="38" t="inlineStr">
        <x:is>
          <x:t xml:space="preserve">theophysics-lean-main\theophysics-lean-main\Theophysics_Core.lean</x:t>
        </x:is>
      </x:c>
      <x:c r="H92" s="38" t="inlineStr">
        <x:is>
          <x:t xml:space="preserve">228</x:t>
        </x:is>
      </x:c>
      <x:c r="I92" s="38" t="inlineStr">
        <x:is>
          <x:t xml:space="preserve">theorem quaternionTrinityIso : trinityStructureValid EMSystem.quaternion = true := Theophysics.MaxwellTrinity.quaternionTrinityIso</x:t>
        </x:is>
      </x:c>
      <x:c r="J92" s="38" t="inlineStr">
        <x:is>
          <x:t xml:space="preserve">Quaternion EM ≅ Trinity (TriadicIso — full structural isomorphism)</x:t>
        </x:is>
      </x:c>
      <x:c r="K92" s="38" t="inlineStr">
        <x:is>
          <x:t xml:space="preserve">TODO: list constructors/definitions/candidate restrictions.</x:t>
        </x:is>
      </x:c>
      <x:c r="L92" s="38" t="inlineStr">
        <x:is>
          <x:t xml:space="preserve">TODO: translate exact Lean statement only.</x:t>
        </x:is>
      </x:c>
      <x:c r="M92" s="38" t="inlineStr">
        <x:is>
          <x:t xml:space="preserve">TODO: link Colab/Python artifact or mark not tested.</x:t>
        </x:is>
      </x:c>
      <x:c r="N92" s="38" t="inlineStr">
        <x:is>
          <x:t xml:space="preserve">TODO: link dataset/observation or mark not empirical.</x:t>
        </x:is>
      </x:c>
      <x:c r="O92" s="38" t="inlineStr">
        <x:is>
          <x:t xml:space="preserve">TODO: theological/philosophical interpretation; do not merge with proof.</x:t>
        </x:is>
      </x:c>
      <x:c r="P92" s="38" t="inlineStr">
        <x:is>
          <x:t xml:space="preserve">TODO: formal, dynamical, empirical, or mapping kill condition.</x:t>
        </x:is>
      </x:c>
      <x:c r="Q92" s="39" t="inlineStr">
        <x:is>
          <x:t xml:space="preserve">Downgrade wording or strengthen proof if risk is HIGH; otherwise add evidence links.</x:t>
        </x:is>
      </x:c>
    </x:row>
    <x:row r="93" ht="15" customHeight="1">
      <x:c r="A93" s="37" t="inlineStr">
        <x:is>
          <x:t xml:space="preserve">95</x:t>
        </x:is>
      </x:c>
      <x:c r="B93" s="38" t="inlineStr">
        <x:is>
          <x:t xml:space="preserve">heavisideVectorEM_invalid</x:t>
        </x:is>
      </x:c>
      <x:c r="C93" s="38" t="inlineStr">
        <x:is>
          <x:t xml:space="preserve">C2 - Structural correspondence candidate</x:t>
        </x:is>
      </x:c>
      <x:c r="D93" s="38" t="inlineStr">
        <x:is>
          <x:t xml:space="preserve">4 - Negative and countermodel tests</x:t>
        </x:is>
      </x:c>
      <x:c r="E93" s="38" t="inlineStr">
        <x:is>
          <x:t xml:space="preserve">DEFINITIONAL_RFL</x:t>
        </x:is>
      </x:c>
      <x:c r="F93" s="38" t="inlineStr">
        <x:is>
          <x:t xml:space="preserve">MEDIUM - definition strength must be audited.</x:t>
        </x:is>
      </x:c>
      <x:c r="G93" s="38" t="inlineStr">
        <x:is>
          <x:t xml:space="preserve">theophysics-lean-main\theophysics-lean-main\Theophysics_MaxwellTrinity.lean</x:t>
        </x:is>
      </x:c>
      <x:c r="H93" s="38" t="inlineStr">
        <x:is>
          <x:t xml:space="preserve">79</x:t>
        </x:is>
      </x:c>
      <x:c r="I93" s="38" t="inlineStr">
        <x:is>
          <x:t xml:space="preserve">theorem heavisideVectorEM_invalid : trinityStructureValid EMSystem.heavisideVector = false</x:t>
        </x:is>
      </x:c>
      <x:c r="J93" s="38" t="inlineStr">
        <x:is>
          <x:t xml:space="preserve">REJECTION: Heaviside EM fails — no coupling invariant</x:t>
        </x:is>
      </x:c>
      <x:c r="K93" s="38" t="inlineStr">
        <x:is>
          <x:t xml:space="preserve">TODO: list constructors/definitions/candidate restrictions.</x:t>
        </x:is>
      </x:c>
      <x:c r="L93" s="38" t="inlineStr">
        <x:is>
          <x:t xml:space="preserve">TODO: translate exact Lean statement only.</x:t>
        </x:is>
      </x:c>
      <x:c r="M93" s="38" t="inlineStr">
        <x:is>
          <x:t xml:space="preserve">TODO: link Colab/Python artifact or mark not tested.</x:t>
        </x:is>
      </x:c>
      <x:c r="N93" s="38" t="inlineStr">
        <x:is>
          <x:t xml:space="preserve">TODO: link dataset/observation or mark not empirical.</x:t>
        </x:is>
      </x:c>
      <x:c r="O93" s="38" t="inlineStr">
        <x:is>
          <x:t xml:space="preserve">TODO: theological/philosophical interpretation; do not merge with proof.</x:t>
        </x:is>
      </x:c>
      <x:c r="P93" s="38" t="inlineStr">
        <x:is>
          <x:t xml:space="preserve">TODO: formal, dynamical, empirical, or mapping kill condition.</x:t>
        </x:is>
      </x:c>
      <x:c r="Q93" s="39" t="inlineStr">
        <x:is>
          <x:t xml:space="preserve">Downgrade wording or strengthen proof if risk is HIGH; otherwise add evidence links.</x:t>
        </x:is>
      </x:c>
    </x:row>
    <x:row r="94" ht="15" customHeight="1">
      <x:c r="A94" s="37" t="inlineStr">
        <x:is>
          <x:t xml:space="preserve">96</x:t>
        </x:is>
      </x:c>
      <x:c r="B94" s="38" t="inlineStr">
        <x:is>
          <x:t xml:space="preserve">modalism_invalid</x:t>
        </x:is>
      </x:c>
      <x:c r="C94" s="38" t="inlineStr">
        <x:is>
          <x:t xml:space="preserve">C2 - Structural correspondence candidate</x:t>
        </x:is>
      </x:c>
      <x:c r="D94" s="38" t="inlineStr">
        <x:is>
          <x:t xml:space="preserve">4 - Negative and countermodel tests</x:t>
        </x:is>
      </x:c>
      <x:c r="E94" s="38" t="inlineStr">
        <x:is>
          <x:t xml:space="preserve">DEFINITIONAL_RFL</x:t>
        </x:is>
      </x:c>
      <x:c r="F94" s="38" t="inlineStr">
        <x:is>
          <x:t xml:space="preserve">MEDIUM - definition strength must be audited.</x:t>
        </x:is>
      </x:c>
      <x:c r="G94" s="38" t="inlineStr">
        <x:is>
          <x:t xml:space="preserve">theophysics-lean-main\theophysics-lean-main\Theophysics_MaxwellTrinity.lean</x:t>
        </x:is>
      </x:c>
      <x:c r="H94" s="38" t="inlineStr">
        <x:is>
          <x:t xml:space="preserve">83</x:t>
        </x:is>
      </x:c>
      <x:c r="I94" s="38" t="inlineStr">
        <x:is>
          <x:t xml:space="preserve">theorem modalism_invalid : trinityStructureValid EMSystem.modalist = false</x:t>
        </x:is>
      </x:c>
      <x:c r="J94" s="38" t="inlineStr">
        <x:is>
          <x:t xml:space="preserve">REJECTION: Modalism fails — no relational distinctness</x:t>
        </x:is>
      </x:c>
      <x:c r="K94" s="38" t="inlineStr">
        <x:is>
          <x:t xml:space="preserve">TODO: list constructors/definitions/candidate restrictions.</x:t>
        </x:is>
      </x:c>
      <x:c r="L94" s="38" t="inlineStr">
        <x:is>
          <x:t xml:space="preserve">TODO: translate exact Lean statement only.</x:t>
        </x:is>
      </x:c>
      <x:c r="M94" s="38" t="inlineStr">
        <x:is>
          <x:t xml:space="preserve">TODO: link Colab/Python artifact or mark not tested.</x:t>
        </x:is>
      </x:c>
      <x:c r="N94" s="38" t="inlineStr">
        <x:is>
          <x:t xml:space="preserve">TODO: link dataset/observation or mark not empirical.</x:t>
        </x:is>
      </x:c>
      <x:c r="O94" s="38" t="inlineStr">
        <x:is>
          <x:t xml:space="preserve">TODO: theological/philosophical interpretation; do not merge with proof.</x:t>
        </x:is>
      </x:c>
      <x:c r="P94" s="38" t="inlineStr">
        <x:is>
          <x:t xml:space="preserve">TODO: formal, dynamical, empirical, or mapping kill condition.</x:t>
        </x:is>
      </x:c>
      <x:c r="Q94" s="39" t="inlineStr">
        <x:is>
          <x:t xml:space="preserve">Downgrade wording or strengthen proof if risk is HIGH; otherwise add evidence links.</x:t>
        </x:is>
      </x:c>
    </x:row>
    <x:row r="95" ht="15" customHeight="1">
      <x:c r="A95" s="37" t="inlineStr">
        <x:is>
          <x:t xml:space="preserve">97</x:t>
        </x:is>
      </x:c>
      <x:c r="B95" s="38" t="inlineStr">
        <x:is>
          <x:t xml:space="preserve">staticSingleFieldEM_invalid</x:t>
        </x:is>
      </x:c>
      <x:c r="C95" s="38" t="inlineStr">
        <x:is>
          <x:t xml:space="preserve">C5 - Dynamical equivalence candidate</x:t>
        </x:is>
      </x:c>
      <x:c r="D95" s="38" t="inlineStr">
        <x:is>
          <x:t xml:space="preserve">4 - Negative and countermodel tests</x:t>
        </x:is>
      </x:c>
      <x:c r="E95" s="38" t="inlineStr">
        <x:is>
          <x:t xml:space="preserve">DEFINITIONAL_RFL</x:t>
        </x:is>
      </x:c>
      <x:c r="F95" s="38" t="inlineStr">
        <x:is>
          <x:t xml:space="preserve">MEDIUM - definition strength must be audited.</x:t>
        </x:is>
      </x:c>
      <x:c r="G95" s="38" t="inlineStr">
        <x:is>
          <x:t xml:space="preserve">theophysics-lean-main\theophysics-lean-main\Theophysics_MaxwellTrinity.lean</x:t>
        </x:is>
      </x:c>
      <x:c r="H95" s="38" t="inlineStr">
        <x:is>
          <x:t xml:space="preserve">87</x:t>
        </x:is>
      </x:c>
      <x:c r="I95" s="38" t="inlineStr">
        <x:is>
          <x:t xml:space="preserve">theorem staticSingleFieldEM_invalid : trinityStructureValid EMSystem.staticSingleField = false</x:t>
        </x:is>
      </x:c>
      <x:c r="J95" s="38" t="inlineStr">
        <x:is>
          <x:t xml:space="preserve">REJECTION: Static single-field EM fails — not full dynamic</x:t>
        </x:is>
      </x:c>
      <x:c r="K95" s="38" t="inlineStr">
        <x:is>
          <x:t xml:space="preserve">TODO: list constructors/definitions/candidate restrictions.</x:t>
        </x:is>
      </x:c>
      <x:c r="L95" s="38" t="inlineStr">
        <x:is>
          <x:t xml:space="preserve">TODO: translate exact Lean statement only.</x:t>
        </x:is>
      </x:c>
      <x:c r="M95" s="38" t="inlineStr">
        <x:is>
          <x:t xml:space="preserve">TODO: link Colab/Python artifact or mark not tested.</x:t>
        </x:is>
      </x:c>
      <x:c r="N95" s="38" t="inlineStr">
        <x:is>
          <x:t xml:space="preserve">TODO: link dataset/observation or mark not empirical.</x:t>
        </x:is>
      </x:c>
      <x:c r="O95" s="38" t="inlineStr">
        <x:is>
          <x:t xml:space="preserve">TODO: theological/philosophical interpretation; do not merge with proof.</x:t>
        </x:is>
      </x:c>
      <x:c r="P95" s="38" t="inlineStr">
        <x:is>
          <x:t xml:space="preserve">TODO: formal, dynamical, empirical, or mapping kill condition.</x:t>
        </x:is>
      </x:c>
      <x:c r="Q95" s="39" t="inlineStr">
        <x:is>
          <x:t xml:space="preserve">Downgrade wording or strengthen proof if risk is HIGH; otherwise add evidence links.</x:t>
        </x:is>
      </x:c>
    </x:row>
    <x:row r="96" ht="15" customHeight="1">
      <x:c r="A96" s="37" t="inlineStr">
        <x:is>
          <x:t xml:space="preserve">98</x:t>
        </x:is>
      </x:c>
      <x:c r="B96" s="38" t="inlineStr">
        <x:is>
          <x:t xml:space="preserve">arbitraryThreePartSystem_invalid</x:t>
        </x:is>
      </x:c>
      <x:c r="C96" s="38" t="inlineStr">
        <x:is>
          <x:t xml:space="preserve">C2 - Structural correspondence candidate</x:t>
        </x:is>
      </x:c>
      <x:c r="D96" s="38" t="inlineStr">
        <x:is>
          <x:t xml:space="preserve">4 - Negative and countermodel tests</x:t>
        </x:is>
      </x:c>
      <x:c r="E96" s="38" t="inlineStr">
        <x:is>
          <x:t xml:space="preserve">DEFINITIONAL_RFL</x:t>
        </x:is>
      </x:c>
      <x:c r="F96" s="38" t="inlineStr">
        <x:is>
          <x:t xml:space="preserve">MEDIUM - definition strength must be audited.</x:t>
        </x:is>
      </x:c>
      <x:c r="G96" s="38" t="inlineStr">
        <x:is>
          <x:t xml:space="preserve">theophysics-lean-main\theophysics-lean-main\Theophysics_MaxwellTrinity.lean</x:t>
        </x:is>
      </x:c>
      <x:c r="H96" s="38" t="inlineStr">
        <x:is>
          <x:t xml:space="preserve">91</x:t>
        </x:is>
      </x:c>
      <x:c r="I96" s="38" t="inlineStr">
        <x:is>
          <x:t xml:space="preserve">theorem arbitraryThreePartSystem_invalid : trinityStructureValid EMSystem.arbitraryThreePart = false</x:t>
        </x:is>
      </x:c>
      <x:c r="J96" s="38" t="inlineStr">
        <x:is>
          <x:t xml:space="preserve">REJECTION: Generic 3-part system fails — wrong role profiles</x:t>
        </x:is>
      </x:c>
      <x:c r="K96" s="38" t="inlineStr">
        <x:is>
          <x:t xml:space="preserve">TODO: list constructors/definitions/candidate restrictions.</x:t>
        </x:is>
      </x:c>
      <x:c r="L96" s="38" t="inlineStr">
        <x:is>
          <x:t xml:space="preserve">TODO: translate exact Lean statement only.</x:t>
        </x:is>
      </x:c>
      <x:c r="M96" s="38" t="inlineStr">
        <x:is>
          <x:t xml:space="preserve">TODO: link Colab/Python artifact or mark not tested.</x:t>
        </x:is>
      </x:c>
      <x:c r="N96" s="38" t="inlineStr">
        <x:is>
          <x:t xml:space="preserve">TODO: link dataset/observation or mark not empirical.</x:t>
        </x:is>
      </x:c>
      <x:c r="O96" s="38" t="inlineStr">
        <x:is>
          <x:t xml:space="preserve">TODO: theological/philosophical interpretation; do not merge with proof.</x:t>
        </x:is>
      </x:c>
      <x:c r="P96" s="38" t="inlineStr">
        <x:is>
          <x:t xml:space="preserve">TODO: formal, dynamical, empirical, or mapping kill condition.</x:t>
        </x:is>
      </x:c>
      <x:c r="Q96" s="39" t="inlineStr">
        <x:is>
          <x:t xml:space="preserve">Downgrade wording or strengthen proof if risk is HIGH; otherwise add evidence links.</x:t>
        </x:is>
      </x:c>
    </x:row>
    <x:row r="97" ht="15" customHeight="1">
      <x:c r="A97" s="37" t="inlineStr">
        <x:is>
          <x:t xml:space="preserve">99</x:t>
        </x:is>
      </x:c>
      <x:c r="B97" s="38" t="inlineStr">
        <x:is>
          <x:t xml:space="preserve">relabeledRoleSystem_invalid</x:t>
        </x:is>
      </x:c>
      <x:c r="C97" s="38" t="inlineStr">
        <x:is>
          <x:t xml:space="preserve">C2 - Structural correspondence candidate</x:t>
        </x:is>
      </x:c>
      <x:c r="D97" s="38" t="inlineStr">
        <x:is>
          <x:t xml:space="preserve">4 - Negative and countermodel tests</x:t>
        </x:is>
      </x:c>
      <x:c r="E97" s="38" t="inlineStr">
        <x:is>
          <x:t xml:space="preserve">DEFINITIONAL_RFL</x:t>
        </x:is>
      </x:c>
      <x:c r="F97" s="38" t="inlineStr">
        <x:is>
          <x:t xml:space="preserve">MEDIUM - definition strength must be audited.</x:t>
        </x:is>
      </x:c>
      <x:c r="G97" s="38" t="inlineStr">
        <x:is>
          <x:t xml:space="preserve">theophysics-lean-main\theophysics-lean-main\Theophysics_MaxwellTrinity.lean</x:t>
        </x:is>
      </x:c>
      <x:c r="H97" s="38" t="inlineStr">
        <x:is>
          <x:t xml:space="preserve">95</x:t>
        </x:is>
      </x:c>
      <x:c r="I97" s="38" t="inlineStr">
        <x:is>
          <x:t xml:space="preserve">theorem relabeledRoleSystem_invalid : trinityStructureValid EMSystem.relabeledRoles = false</x:t>
        </x:is>
      </x:c>
      <x:c r="J97" s="38" t="inlineStr">
        <x:is>
          <x:t xml:space="preserve">REJECTION: Relabeled roles fail — labels ≠ profiles</x:t>
        </x:is>
      </x:c>
      <x:c r="K97" s="38" t="inlineStr">
        <x:is>
          <x:t xml:space="preserve">TODO: list constructors/definitions/candidate restrictions.</x:t>
        </x:is>
      </x:c>
      <x:c r="L97" s="38" t="inlineStr">
        <x:is>
          <x:t xml:space="preserve">TODO: translate exact Lean statement only.</x:t>
        </x:is>
      </x:c>
      <x:c r="M97" s="38" t="inlineStr">
        <x:is>
          <x:t xml:space="preserve">TODO: link Colab/Python artifact or mark not tested.</x:t>
        </x:is>
      </x:c>
      <x:c r="N97" s="38" t="inlineStr">
        <x:is>
          <x:t xml:space="preserve">TODO: link dataset/observation or mark not empirical.</x:t>
        </x:is>
      </x:c>
      <x:c r="O97" s="38" t="inlineStr">
        <x:is>
          <x:t xml:space="preserve">TODO: theological/philosophical interpretation; do not merge with proof.</x:t>
        </x:is>
      </x:c>
      <x:c r="P97" s="38" t="inlineStr">
        <x:is>
          <x:t xml:space="preserve">TODO: formal, dynamical, empirical, or mapping kill condition.</x:t>
        </x:is>
      </x:c>
      <x:c r="Q97" s="39" t="inlineStr">
        <x:is>
          <x:t xml:space="preserve">Downgrade wording or strengthen proof if risk is HIGH; otherwise add evidence links.</x:t>
        </x:is>
      </x:c>
    </x:row>
    <x:row r="98" ht="15" customHeight="1">
      <x:c r="A98" s="37" t="inlineStr">
        <x:is>
          <x:t xml:space="preserve">100–104</x:t>
        </x:is>
      </x:c>
      <x:c r="B98" s="38" t="inlineStr">
        <x:is>
          <x:t xml:space="preserve">no_iso_from_* (5 theorems)</x:t>
        </x:is>
      </x:c>
      <x:c r="C98" s="38" t="inlineStr">
        <x:is>
          <x:t xml:space="preserve">C4 - Isomorphism candidate; requires inverse and broad candidate-space check</x:t>
        </x:is>
      </x:c>
      <x:c r="D98" s="38" t="inlineStr">
        <x:is>
          <x:t xml:space="preserve">1 - Conceptual seed / open source link</x:t>
        </x:is>
      </x:c>
      <x:c r="E98" s="38" t="inlineStr">
        <x:is>
          <x:t xml:space="preserve">NOT_FOUND_IN_HUB</x:t>
        </x:is>
      </x:c>
      <x:c r="F98" s="38" t="inlineStr">
        <x:is>
          <x:t xml:space="preserve">HIGH - workbook row not found in current central hub Lean files.</x:t>
        </x:is>
      </x:c>
      <x:c r="G98" s="38" t="n"/>
      <x:c r="H98" s="38" t="n"/>
      <x:c r="I98" s="38" t="n"/>
      <x:c r="J98" s="38" t="inlineStr">
        <x:is>
          <x:t xml:space="preserve">REJECTION: No TriadicIso to Heaviside, Modalism, static EM, arbitrary 3-part, or relabeled system</x:t>
        </x:is>
      </x:c>
      <x:c r="K98" s="38" t="inlineStr">
        <x:is>
          <x:t xml:space="preserve">TODO: list constructors/definitions/candidate restrictions.</x:t>
        </x:is>
      </x:c>
      <x:c r="L98" s="38" t="inlineStr">
        <x:is>
          <x:t xml:space="preserve">TODO: translate exact Lean statement only.</x:t>
        </x:is>
      </x:c>
      <x:c r="M98" s="38" t="inlineStr">
        <x:is>
          <x:t xml:space="preserve">TODO: link Colab/Python artifact or mark not tested.</x:t>
        </x:is>
      </x:c>
      <x:c r="N98" s="38" t="inlineStr">
        <x:is>
          <x:t xml:space="preserve">TODO: link dataset/observation or mark not empirical.</x:t>
        </x:is>
      </x:c>
      <x:c r="O98" s="38" t="inlineStr">
        <x:is>
          <x:t xml:space="preserve">TODO: theological/philosophical interpretation; do not merge with proof.</x:t>
        </x:is>
      </x:c>
      <x:c r="P98" s="38" t="inlineStr">
        <x:is>
          <x:t xml:space="preserve">TODO: formal, dynamical, empirical, or mapping kill condition.</x:t>
        </x:is>
      </x:c>
      <x:c r="Q98" s="39" t="inlineStr">
        <x:is>
          <x:t xml:space="preserve">Downgrade wording or strengthen proof if risk is HIGH; otherwise add evidence links.</x:t>
        </x:is>
      </x:c>
    </x:row>
    <x:row r="99" ht="15" customHeight="1">
      <x:c r="A99" s="37" t="inlineStr">
        <x:is>
          <x:t xml:space="preserve">105–106</x:t>
        </x:is>
      </x:c>
      <x:c r="B99" s="38" t="inlineStr">
        <x:is>
          <x:t xml:space="preserve">cyclicRoleMap_not_source/profile_preserving</x:t>
        </x:is>
      </x:c>
      <x:c r="C99" s="38" t="inlineStr">
        <x:is>
          <x:t xml:space="preserve">C2 - Structural correspondence candidate</x:t>
        </x:is>
      </x:c>
      <x:c r="D99" s="38" t="inlineStr">
        <x:is>
          <x:t xml:space="preserve">1 - Conceptual seed / open source link</x:t>
        </x:is>
      </x:c>
      <x:c r="E99" s="38" t="inlineStr">
        <x:is>
          <x:t xml:space="preserve">NOT_FOUND_IN_HUB</x:t>
        </x:is>
      </x:c>
      <x:c r="F99" s="38" t="inlineStr">
        <x:is>
          <x:t xml:space="preserve">HIGH - workbook row not found in current central hub Lean files.</x:t>
        </x:is>
      </x:c>
      <x:c r="G99" s="38" t="n"/>
      <x:c r="H99" s="38" t="n"/>
      <x:c r="I99" s="38" t="n"/>
      <x:c r="J99" s="38" t="inlineStr">
        <x:is>
          <x:t xml:space="preserve">REJECTION: Cyclic role swap fails source preservation AND profile preservation</x:t>
        </x:is>
      </x:c>
      <x:c r="K99" s="38" t="inlineStr">
        <x:is>
          <x:t xml:space="preserve">TODO: list constructors/definitions/candidate restrictions.</x:t>
        </x:is>
      </x:c>
      <x:c r="L99" s="38" t="inlineStr">
        <x:is>
          <x:t xml:space="preserve">TODO: translate exact Lean statement only.</x:t>
        </x:is>
      </x:c>
      <x:c r="M99" s="38" t="inlineStr">
        <x:is>
          <x:t xml:space="preserve">TODO: link Colab/Python artifact or mark not tested.</x:t>
        </x:is>
      </x:c>
      <x:c r="N99" s="38" t="inlineStr">
        <x:is>
          <x:t xml:space="preserve">TODO: link dataset/observation or mark not empirical.</x:t>
        </x:is>
      </x:c>
      <x:c r="O99" s="38" t="inlineStr">
        <x:is>
          <x:t xml:space="preserve">TODO: theological/philosophical interpretation; do not merge with proof.</x:t>
        </x:is>
      </x:c>
      <x:c r="P99" s="38" t="inlineStr">
        <x:is>
          <x:t xml:space="preserve">TODO: formal, dynamical, empirical, or mapping kill condition.</x:t>
        </x:is>
      </x:c>
      <x:c r="Q99" s="39" t="inlineStr">
        <x:is>
          <x:t xml:space="preserve">Downgrade wording or strengthen proof if risk is HIGH; otherwise add evidence links.</x:t>
        </x:is>
      </x:c>
    </x:row>
    <x:row r="100" ht="15" customHeight="1">
      <x:c r="A100" s="37" t="inlineStr">
        <x:is>
          <x:t xml:space="preserve">107–111</x:t>
        </x:is>
      </x:c>
      <x:c r="B100" s="38" t="inlineStr">
        <x:is>
          <x:t xml:space="preserve">Load-bearing constraint audits (5)</x:t>
        </x:is>
      </x:c>
      <x:c r="C100" s="38" t="inlineStr">
        <x:is>
          <x:t xml:space="preserve">C2 - Structural correspondence candidate</x:t>
        </x:is>
      </x:c>
      <x:c r="D100" s="38" t="inlineStr">
        <x:is>
          <x:t xml:space="preserve">1 - Conceptual seed / open source link</x:t>
        </x:is>
      </x:c>
      <x:c r="E100" s="38" t="inlineStr">
        <x:is>
          <x:t xml:space="preserve">NOT_FOUND_IN_HUB</x:t>
        </x:is>
      </x:c>
      <x:c r="F100" s="38" t="inlineStr">
        <x:is>
          <x:t xml:space="preserve">HIGH - workbook row not found in current central hub Lean files.</x:t>
        </x:is>
      </x:c>
      <x:c r="G100" s="38" t="n"/>
      <x:c r="H100" s="38" t="n"/>
      <x:c r="I100" s="38" t="n"/>
      <x:c r="J100" s="38" t="inlineStr">
        <x:is>
          <x:t xml:space="preserve">Each guard does real work: removing ANY single guard admits the corresponding false positive</x:t>
        </x:is>
      </x:c>
      <x:c r="K100" s="38" t="inlineStr">
        <x:is>
          <x:t xml:space="preserve">TODO: list constructors/definitions/candidate restrictions.</x:t>
        </x:is>
      </x:c>
      <x:c r="L100" s="38" t="inlineStr">
        <x:is>
          <x:t xml:space="preserve">TODO: translate exact Lean statement only.</x:t>
        </x:is>
      </x:c>
      <x:c r="M100" s="38" t="inlineStr">
        <x:is>
          <x:t xml:space="preserve">TODO: link Colab/Python artifact or mark not tested.</x:t>
        </x:is>
      </x:c>
      <x:c r="N100" s="38" t="inlineStr">
        <x:is>
          <x:t xml:space="preserve">TODO: link dataset/observation or mark not empirical.</x:t>
        </x:is>
      </x:c>
      <x:c r="O100" s="38" t="inlineStr">
        <x:is>
          <x:t xml:space="preserve">TODO: theological/philosophical interpretation; do not merge with proof.</x:t>
        </x:is>
      </x:c>
      <x:c r="P100" s="38" t="inlineStr">
        <x:is>
          <x:t xml:space="preserve">TODO: formal, dynamical, empirical, or mapping kill condition.</x:t>
        </x:is>
      </x:c>
      <x:c r="Q100" s="39" t="inlineStr">
        <x:is>
          <x:t xml:space="preserve">Downgrade wording or strengthen proof if risk is HIGH; otherwise add evidence links.</x:t>
        </x:is>
      </x:c>
    </x:row>
    <x:row r="101" ht="15" customHeight="1">
      <x:c r="A101" s="37" t="inlineStr">
        <x:is>
          <x:t xml:space="preserve">112</x:t>
        </x:is>
      </x:c>
      <x:c r="B101" s="38" t="inlineStr">
        <x:is>
          <x:t xml:space="preserve">justice_and_mercy_share_common_components</x:t>
        </x:is>
      </x:c>
      <x:c r="C101" s="38" t="inlineStr">
        <x:is>
          <x:t xml:space="preserve">C2 - Structural correspondence candidate</x:t>
        </x:is>
      </x:c>
      <x:c r="D101" s="38" t="inlineStr">
        <x:is>
          <x:t xml:space="preserve">3 - Internal formal consistency</x:t>
        </x:is>
      </x:c>
      <x:c r="E101" s="38" t="inlineStr">
        <x:is>
          <x:t xml:space="preserve">SUBSTANTIVE_OR_CASE_PROOF</x:t>
        </x:is>
      </x:c>
      <x:c r="F101" s="38" t="inlineStr">
        <x:is>
          <x:t xml:space="preserve">LOW/MEDIUM - still needs theorem-to-public-claim translation.</x:t>
        </x:is>
      </x:c>
      <x:c r="G101" s="38" t="inlineStr">
        <x:is>
          <x:t xml:space="preserve">theophysics-lean-main\theophysics-lean-main\Final_Lean4_From_Excel.lean</x:t>
        </x:is>
      </x:c>
      <x:c r="H101" s="38" t="inlineStr">
        <x:is>
          <x:t xml:space="preserve">302</x:t>
        </x:is>
      </x:c>
      <x:c r="I101" s="38" t="inlineStr">
        <x:is>
          <x:t xml:space="preserve">theorem justice_and_mercy_share_common_components (x y : FactorState) (hx : isCross x) (hy : isCross y) : x.R = y.R</x:t>
        </x:is>
      </x:c>
      <x:c r="J101" s="38" t="inlineStr">
        <x:is>
          <x:t xml:space="preserve">Same 4 restoration components shared</x:t>
        </x:is>
      </x:c>
      <x:c r="K101" s="38" t="inlineStr">
        <x:is>
          <x:t xml:space="preserve">TODO: list constructors/definitions/candidate restrictions.</x:t>
        </x:is>
      </x:c>
      <x:c r="L101" s="38" t="inlineStr">
        <x:is>
          <x:t xml:space="preserve">TODO: translate exact Lean statement only.</x:t>
        </x:is>
      </x:c>
      <x:c r="M101" s="38" t="inlineStr">
        <x:is>
          <x:t xml:space="preserve">TODO: link Colab/Python artifact or mark not tested.</x:t>
        </x:is>
      </x:c>
      <x:c r="N101" s="38" t="inlineStr">
        <x:is>
          <x:t xml:space="preserve">TODO: link dataset/observation or mark not empirical.</x:t>
        </x:is>
      </x:c>
      <x:c r="O101" s="38" t="inlineStr">
        <x:is>
          <x:t xml:space="preserve">TODO: theological/philosophical interpretation; do not merge with proof.</x:t>
        </x:is>
      </x:c>
      <x:c r="P101" s="38" t="inlineStr">
        <x:is>
          <x:t xml:space="preserve">TODO: formal, dynamical, empirical, or mapping kill condition.</x:t>
        </x:is>
      </x:c>
      <x:c r="Q101" s="39" t="inlineStr">
        <x:is>
          <x:t xml:space="preserve">Downgrade wording or strengthen proof if risk is HIGH; otherwise add evidence links.</x:t>
        </x:is>
      </x:c>
    </x:row>
    <x:row r="102" ht="15" customHeight="1">
      <x:c r="A102" s="37" t="inlineStr">
        <x:is>
          <x:t xml:space="preserve">113</x:t>
        </x:is>
      </x:c>
      <x:c r="B102" s="38" t="inlineStr">
        <x:is>
          <x:t xml:space="preserve">justice_and_mercy_differ_by_cost_bearer</x:t>
        </x:is>
      </x:c>
      <x:c r="C102" s="38" t="inlineStr">
        <x:is>
          <x:t xml:space="preserve">C2 - Structural correspondence candidate</x:t>
        </x:is>
      </x:c>
      <x:c r="D102" s="38" t="inlineStr">
        <x:is>
          <x:t xml:space="preserve">2 - Defined model / marker theorem only</x:t>
        </x:is>
      </x:c>
      <x:c r="E102" s="38" t="inlineStr">
        <x:is>
          <x:t xml:space="preserve">TRIVIAL_TRUE</x:t>
        </x:is>
      </x:c>
      <x:c r="F102" s="38" t="inlineStr">
        <x:is>
          <x:t xml:space="preserve">HIGH - theorem name/public sentence may exceed formal statement.</x:t>
        </x:is>
      </x:c>
      <x:c r="G102" s="38" t="inlineStr">
        <x:is>
          <x:t xml:space="preserve">theophysics-lean-main\theophysics-lean-main\Theophysics_Core.lean</x:t>
        </x:is>
      </x:c>
      <x:c r="H102" s="38" t="inlineStr">
        <x:is>
          <x:t xml:space="preserve">242</x:t>
        </x:is>
      </x:c>
      <x:c r="I102" s="38" t="inlineStr">
        <x:is>
          <x:t xml:space="preserve">theorem justice_and_mercy_differ_by_cost_bearer : True</x:t>
        </x:is>
      </x:c>
      <x:c r="J102" s="38" t="inlineStr">
        <x:is>
          <x:t xml:space="preserve">Differ in exactly one coordinate: who pays the cost</x:t>
        </x:is>
      </x:c>
      <x:c r="K102" s="38" t="inlineStr">
        <x:is>
          <x:t xml:space="preserve">TODO: list constructors/definitions/candidate restrictions.</x:t>
        </x:is>
      </x:c>
      <x:c r="L102" s="38" t="inlineStr">
        <x:is>
          <x:t xml:space="preserve">TODO: translate exact Lean statement only.</x:t>
        </x:is>
      </x:c>
      <x:c r="M102" s="38" t="inlineStr">
        <x:is>
          <x:t xml:space="preserve">TODO: link Colab/Python artifact or mark not tested.</x:t>
        </x:is>
      </x:c>
      <x:c r="N102" s="38" t="inlineStr">
        <x:is>
          <x:t xml:space="preserve">TODO: link dataset/observation or mark not empirical.</x:t>
        </x:is>
      </x:c>
      <x:c r="O102" s="38" t="inlineStr">
        <x:is>
          <x:t xml:space="preserve">TODO: theological/philosophical interpretation; do not merge with proof.</x:t>
        </x:is>
      </x:c>
      <x:c r="P102" s="38" t="inlineStr">
        <x:is>
          <x:t xml:space="preserve">TODO: formal, dynamical, empirical, or mapping kill condition.</x:t>
        </x:is>
      </x:c>
      <x:c r="Q102" s="39" t="inlineStr">
        <x:is>
          <x:t xml:space="preserve">Downgrade wording or strengthen proof if risk is HIGH; otherwise add evidence links.</x:t>
        </x:is>
      </x:c>
    </x:row>
    <x:row r="103" ht="15" customHeight="1">
      <x:c r="A103" s="37" t="inlineStr">
        <x:is>
          <x:t xml:space="preserve">114–117</x:t>
        </x:is>
      </x:c>
      <x:c r="B103" s="38" t="inlineStr">
        <x:is>
          <x:t xml:space="preserve">Four missing-component rejections</x:t>
        </x:is>
      </x:c>
      <x:c r="C103" s="38" t="inlineStr">
        <x:is>
          <x:t xml:space="preserve">C2 - Structural correspondence candidate</x:t>
        </x:is>
      </x:c>
      <x:c r="D103" s="38" t="inlineStr">
        <x:is>
          <x:t xml:space="preserve">1 - Conceptual seed / open source link</x:t>
        </x:is>
      </x:c>
      <x:c r="E103" s="38" t="inlineStr">
        <x:is>
          <x:t xml:space="preserve">NOT_FOUND_IN_HUB</x:t>
        </x:is>
      </x:c>
      <x:c r="F103" s="38" t="inlineStr">
        <x:is>
          <x:t xml:space="preserve">HIGH - workbook row not found in current central hub Lean files.</x:t>
        </x:is>
      </x:c>
      <x:c r="G103" s="38" t="n"/>
      <x:c r="H103" s="38" t="n"/>
      <x:c r="I103" s="38" t="n"/>
      <x:c r="J103" s="38" t="inlineStr">
        <x:is>
          <x:t xml:space="preserve">REJECTION: Missing ANY of proportionality/impartiality/truthNaming/victimRestoration breaks perfectCommon</x:t>
        </x:is>
      </x:c>
      <x:c r="K103" s="38" t="inlineStr">
        <x:is>
          <x:t xml:space="preserve">TODO: list constructors/definitions/candidate restrictions.</x:t>
        </x:is>
      </x:c>
      <x:c r="L103" s="38" t="inlineStr">
        <x:is>
          <x:t xml:space="preserve">TODO: translate exact Lean statement only.</x:t>
        </x:is>
      </x:c>
      <x:c r="M103" s="38" t="inlineStr">
        <x:is>
          <x:t xml:space="preserve">TODO: link Colab/Python artifact or mark not tested.</x:t>
        </x:is>
      </x:c>
      <x:c r="N103" s="38" t="inlineStr">
        <x:is>
          <x:t xml:space="preserve">TODO: link dataset/observation or mark not empirical.</x:t>
        </x:is>
      </x:c>
      <x:c r="O103" s="38" t="inlineStr">
        <x:is>
          <x:t xml:space="preserve">TODO: theological/philosophical interpretation; do not merge with proof.</x:t>
        </x:is>
      </x:c>
      <x:c r="P103" s="38" t="inlineStr">
        <x:is>
          <x:t xml:space="preserve">TODO: formal, dynamical, empirical, or mapping kill condition.</x:t>
        </x:is>
      </x:c>
      <x:c r="Q103" s="39" t="inlineStr">
        <x:is>
          <x:t xml:space="preserve">Downgrade wording or strengthen proof if risk is HIGH; otherwise add evidence links.</x:t>
        </x:is>
      </x:c>
    </x:row>
    <x:row r="104" ht="15" customHeight="1">
      <x:c r="A104" s="37" t="inlineStr">
        <x:is>
          <x:t xml:space="preserve">118</x:t>
        </x:is>
      </x:c>
      <x:c r="B104" s="38" t="inlineStr">
        <x:is>
          <x:t xml:space="preserve">cross_satisfies_convergence</x:t>
        </x:is>
      </x:c>
      <x:c r="C104" s="38" t="inlineStr">
        <x:is>
          <x:t xml:space="preserve">C2 - Structural correspondence candidate</x:t>
        </x:is>
      </x:c>
      <x:c r="D104" s="38" t="inlineStr">
        <x:is>
          <x:t xml:space="preserve">2 - Defined model / marker theorem only</x:t>
        </x:is>
      </x:c>
      <x:c r="E104" s="38" t="inlineStr">
        <x:is>
          <x:t xml:space="preserve">TRIVIAL_TRUE</x:t>
        </x:is>
      </x:c>
      <x:c r="F104" s="38" t="inlineStr">
        <x:is>
          <x:t xml:space="preserve">HIGH - theorem name/public sentence may exceed formal statement.</x:t>
        </x:is>
      </x:c>
      <x:c r="G104" s="38" t="inlineStr">
        <x:is>
          <x:t xml:space="preserve">theophysics-lean-main\theophysics-lean-main\Theophysics_Core.lean</x:t>
        </x:is>
      </x:c>
      <x:c r="H104" s="38" t="inlineStr">
        <x:is>
          <x:t xml:space="preserve">240</x:t>
        </x:is>
      </x:c>
      <x:c r="I104" s="38" t="inlineStr">
        <x:is>
          <x:t xml:space="preserve">theorem cross_satisfies_convergence : True</x:t>
        </x:is>
      </x:c>
      <x:c r="J104" s="38" t="inlineStr">
        <x:is>
          <x:t xml:space="preserve">The Cross config meets all 5 convergence conditions simultaneously</x:t>
        </x:is>
      </x:c>
      <x:c r="K104" s="38" t="inlineStr">
        <x:is>
          <x:t xml:space="preserve">TODO: list constructors/definitions/candidate restrictions.</x:t>
        </x:is>
      </x:c>
      <x:c r="L104" s="38" t="inlineStr">
        <x:is>
          <x:t xml:space="preserve">TODO: translate exact Lean statement only.</x:t>
        </x:is>
      </x:c>
      <x:c r="M104" s="38" t="inlineStr">
        <x:is>
          <x:t xml:space="preserve">TODO: link Colab/Python artifact or mark not tested.</x:t>
        </x:is>
      </x:c>
      <x:c r="N104" s="38" t="inlineStr">
        <x:is>
          <x:t xml:space="preserve">TODO: link dataset/observation or mark not empirical.</x:t>
        </x:is>
      </x:c>
      <x:c r="O104" s="38" t="inlineStr">
        <x:is>
          <x:t xml:space="preserve">TODO: theological/philosophical interpretation; do not merge with proof.</x:t>
        </x:is>
      </x:c>
      <x:c r="P104" s="38" t="inlineStr">
        <x:is>
          <x:t xml:space="preserve">TODO: formal, dynamical, empirical, or mapping kill condition.</x:t>
        </x:is>
      </x:c>
      <x:c r="Q104" s="39" t="inlineStr">
        <x:is>
          <x:t xml:space="preserve">Downgrade wording or strengthen proof if risk is HIGH; otherwise add evidence links.</x:t>
        </x:is>
      </x:c>
    </x:row>
    <x:row r="105" ht="15" customHeight="1">
      <x:c r="A105" s="37" t="inlineStr">
        <x:is>
          <x:t xml:space="preserve">119</x:t>
        </x:is>
      </x:c>
      <x:c r="B105" s="38" t="inlineStr">
        <x:is>
          <x:t xml:space="preserve">offender_payment_fails_mercy_condition</x:t>
        </x:is>
      </x:c>
      <x:c r="C105" s="38" t="inlineStr">
        <x:is>
          <x:t xml:space="preserve">C2 - Structural correspondence candidate</x:t>
        </x:is>
      </x:c>
      <x:c r="D105" s="38" t="inlineStr">
        <x:is>
          <x:t xml:space="preserve">4 - Negative and countermodel tests</x:t>
        </x:is>
      </x:c>
      <x:c r="E105" s="38" t="inlineStr">
        <x:is>
          <x:t xml:space="preserve">DEFINITIONAL_RFL</x:t>
        </x:is>
      </x:c>
      <x:c r="F105" s="38" t="inlineStr">
        <x:is>
          <x:t xml:space="preserve">MEDIUM - definition strength must be audited.</x:t>
        </x:is>
      </x:c>
      <x:c r="G105" s="38" t="inlineStr">
        <x:is>
          <x:t xml:space="preserve">theophysics-lean-main\theophysics-lean-main\Theophysics_Adversarial.lean</x:t>
        </x:is>
      </x:c>
      <x:c r="H105" s="38" t="inlineStr">
        <x:is>
          <x:t xml:space="preserve">474</x:t>
        </x:is>
      </x:c>
      <x:c r="I105" s="38" t="inlineStr">
        <x:is>
          <x:t xml:space="preserve">theorem offender_payment_fails_mercy_condition : satisfiesMercy { offenderPays := true } = false</x:t>
        </x:is>
      </x:c>
      <x:c r="J105" s="38" t="inlineStr">
        <x:is>
          <x:t xml:space="preserve">REJECTION: Offender-pays fails the mercy axis. Self-payment is not mercy.</x:t>
        </x:is>
      </x:c>
      <x:c r="K105" s="38" t="inlineStr">
        <x:is>
          <x:t xml:space="preserve">TODO: list constructors/definitions/candidate restrictions.</x:t>
        </x:is>
      </x:c>
      <x:c r="L105" s="38" t="inlineStr">
        <x:is>
          <x:t xml:space="preserve">TODO: translate exact Lean statement only.</x:t>
        </x:is>
      </x:c>
      <x:c r="M105" s="38" t="inlineStr">
        <x:is>
          <x:t xml:space="preserve">TODO: link Colab/Python artifact or mark not tested.</x:t>
        </x:is>
      </x:c>
      <x:c r="N105" s="38" t="inlineStr">
        <x:is>
          <x:t xml:space="preserve">TODO: link dataset/observation or mark not empirical.</x:t>
        </x:is>
      </x:c>
      <x:c r="O105" s="38" t="inlineStr">
        <x:is>
          <x:t xml:space="preserve">TODO: theological/philosophical interpretation; do not merge with proof.</x:t>
        </x:is>
      </x:c>
      <x:c r="P105" s="38" t="inlineStr">
        <x:is>
          <x:t xml:space="preserve">TODO: formal, dynamical, empirical, or mapping kill condition.</x:t>
        </x:is>
      </x:c>
      <x:c r="Q105" s="39" t="inlineStr">
        <x:is>
          <x:t xml:space="preserve">Downgrade wording or strengthen proof if risk is HIGH; otherwise add evidence links.</x:t>
        </x:is>
      </x:c>
    </x:row>
    <x:row r="106" ht="15" customHeight="1">
      <x:c r="A106" s="37" t="inlineStr">
        <x:is>
          <x:t xml:space="preserve">120</x:t>
        </x:is>
      </x:c>
      <x:c r="B106" s="38" t="inlineStr">
        <x:is>
          <x:t xml:space="preserve">human_third_party_fails_authority_and_capacity</x:t>
        </x:is>
      </x:c>
      <x:c r="C106" s="38" t="inlineStr">
        <x:is>
          <x:t xml:space="preserve">C2 - Structural correspondence candidate</x:t>
        </x:is>
      </x:c>
      <x:c r="D106" s="38" t="inlineStr">
        <x:is>
          <x:t xml:space="preserve">4 - Negative and countermodel tests</x:t>
        </x:is>
      </x:c>
      <x:c r="E106" s="38" t="inlineStr">
        <x:is>
          <x:t xml:space="preserve">DEFINITIONAL_RFL</x:t>
        </x:is>
      </x:c>
      <x:c r="F106" s="38" t="inlineStr">
        <x:is>
          <x:t xml:space="preserve">MEDIUM - definition strength must be audited.</x:t>
        </x:is>
      </x:c>
      <x:c r="G106" s="38" t="inlineStr">
        <x:is>
          <x:t xml:space="preserve">theophysics-lean-main\theophysics-lean-main\Theophysics_Adversarial.lean</x:t>
        </x:is>
      </x:c>
      <x:c r="H106" s="38" t="inlineStr">
        <x:is>
          <x:t xml:space="preserve">478</x:t>
        </x:is>
      </x:c>
      <x:c r="I106" s="38" t="inlineStr">
        <x:is>
          <x:t xml:space="preserve">theorem human_third_party_fails_authority_and_capacity : satisfiesMercy { payerAuthorized := false, payerCapable := false } = false</x:t>
        </x:is>
      </x:c>
      <x:c r="J106" s="38" t="inlineStr">
        <x:is>
          <x:t xml:space="preserve">REJECTION: Human third party fails authority + universality</x:t>
        </x:is>
      </x:c>
      <x:c r="K106" s="38" t="inlineStr">
        <x:is>
          <x:t xml:space="preserve">TODO: list constructors/definitions/candidate restrictions.</x:t>
        </x:is>
      </x:c>
      <x:c r="L106" s="38" t="inlineStr">
        <x:is>
          <x:t xml:space="preserve">TODO: translate exact Lean statement only.</x:t>
        </x:is>
      </x:c>
      <x:c r="M106" s="38" t="inlineStr">
        <x:is>
          <x:t xml:space="preserve">TODO: link Colab/Python artifact or mark not tested.</x:t>
        </x:is>
      </x:c>
      <x:c r="N106" s="38" t="inlineStr">
        <x:is>
          <x:t xml:space="preserve">TODO: link dataset/observation or mark not empirical.</x:t>
        </x:is>
      </x:c>
      <x:c r="O106" s="38" t="inlineStr">
        <x:is>
          <x:t xml:space="preserve">TODO: theological/philosophical interpretation; do not merge with proof.</x:t>
        </x:is>
      </x:c>
      <x:c r="P106" s="38" t="inlineStr">
        <x:is>
          <x:t xml:space="preserve">TODO: formal, dynamical, empirical, or mapping kill condition.</x:t>
        </x:is>
      </x:c>
      <x:c r="Q106" s="39" t="inlineStr">
        <x:is>
          <x:t xml:space="preserve">Downgrade wording or strengthen proof if risk is HIGH; otherwise add evidence links.</x:t>
        </x:is>
      </x:c>
    </x:row>
    <x:row r="107" ht="15" customHeight="1">
      <x:c r="A107" s="37" t="inlineStr">
        <x:is>
          <x:t xml:space="preserve">121</x:t>
        </x:is>
      </x:c>
      <x:c r="B107" s="38" t="inlineStr">
        <x:is>
          <x:t xml:space="preserve">coerced_third_party_fails_voluntariness</x:t>
        </x:is>
      </x:c>
      <x:c r="C107" s="38" t="inlineStr">
        <x:is>
          <x:t xml:space="preserve">C2 - Structural correspondence candidate</x:t>
        </x:is>
      </x:c>
      <x:c r="D107" s="38" t="inlineStr">
        <x:is>
          <x:t xml:space="preserve">4 - Negative and countermodel tests</x:t>
        </x:is>
      </x:c>
      <x:c r="E107" s="38" t="inlineStr">
        <x:is>
          <x:t xml:space="preserve">DEFINITIONAL_RFL</x:t>
        </x:is>
      </x:c>
      <x:c r="F107" s="38" t="inlineStr">
        <x:is>
          <x:t xml:space="preserve">MEDIUM - definition strength must be audited.</x:t>
        </x:is>
      </x:c>
      <x:c r="G107" s="38" t="inlineStr">
        <x:is>
          <x:t xml:space="preserve">theophysics-lean-main\theophysics-lean-main\Theophysics_Adversarial.lean</x:t>
        </x:is>
      </x:c>
      <x:c r="H107" s="38" t="inlineStr">
        <x:is>
          <x:t xml:space="preserve">482</x:t>
        </x:is>
      </x:c>
      <x:c r="I107" s="38" t="inlineStr">
        <x:is>
          <x:t xml:space="preserve">theorem coerced_third_party_fails_voluntariness : satisfiesMercy { voluntary := false } = false</x:t>
        </x:is>
      </x:c>
      <x:c r="J107" s="38" t="inlineStr">
        <x:is>
          <x:t xml:space="preserve">REJECTION: Coercion fails voluntariness. Forced repair is not love.</x:t>
        </x:is>
      </x:c>
      <x:c r="K107" s="38" t="inlineStr">
        <x:is>
          <x:t xml:space="preserve">TODO: list constructors/definitions/candidate restrictions.</x:t>
        </x:is>
      </x:c>
      <x:c r="L107" s="38" t="inlineStr">
        <x:is>
          <x:t xml:space="preserve">TODO: translate exact Lean statement only.</x:t>
        </x:is>
      </x:c>
      <x:c r="M107" s="38" t="inlineStr">
        <x:is>
          <x:t xml:space="preserve">TODO: link Colab/Python artifact or mark not tested.</x:t>
        </x:is>
      </x:c>
      <x:c r="N107" s="38" t="inlineStr">
        <x:is>
          <x:t xml:space="preserve">TODO: link dataset/observation or mark not empirical.</x:t>
        </x:is>
      </x:c>
      <x:c r="O107" s="38" t="inlineStr">
        <x:is>
          <x:t xml:space="preserve">TODO: theological/philosophical interpretation; do not merge with proof.</x:t>
        </x:is>
      </x:c>
      <x:c r="P107" s="38" t="inlineStr">
        <x:is>
          <x:t xml:space="preserve">TODO: formal, dynamical, empirical, or mapping kill condition.</x:t>
        </x:is>
      </x:c>
      <x:c r="Q107" s="39" t="inlineStr">
        <x:is>
          <x:t xml:space="preserve">Downgrade wording or strengthen proof if risk is HIGH; otherwise add evidence links.</x:t>
        </x:is>
      </x:c>
    </x:row>
    <x:row r="108" ht="15" customHeight="1">
      <x:c r="A108" s="37" t="inlineStr">
        <x:is>
          <x:t xml:space="preserve">122</x:t>
        </x:is>
      </x:c>
      <x:c r="B108" s="38" t="inlineStr">
        <x:is>
          <x:t xml:space="preserve">waived_debt_fails_justice_condition</x:t>
        </x:is>
      </x:c>
      <x:c r="C108" s="38" t="inlineStr">
        <x:is>
          <x:t xml:space="preserve">C2 - Structural correspondence candidate</x:t>
        </x:is>
      </x:c>
      <x:c r="D108" s="38" t="inlineStr">
        <x:is>
          <x:t xml:space="preserve">4 - Negative and countermodel tests</x:t>
        </x:is>
      </x:c>
      <x:c r="E108" s="38" t="inlineStr">
        <x:is>
          <x:t xml:space="preserve">DEFINITIONAL_RFL</x:t>
        </x:is>
      </x:c>
      <x:c r="F108" s="38" t="inlineStr">
        <x:is>
          <x:t xml:space="preserve">MEDIUM - definition strength must be audited.</x:t>
        </x:is>
      </x:c>
      <x:c r="G108" s="38" t="inlineStr">
        <x:is>
          <x:t xml:space="preserve">theophysics-lean-main\theophysics-lean-main\Theophysics_Adversarial.lean</x:t>
        </x:is>
      </x:c>
      <x:c r="H108" s="38" t="inlineStr">
        <x:is>
          <x:t xml:space="preserve">486</x:t>
        </x:is>
      </x:c>
      <x:c r="I108" s="38" t="inlineStr">
        <x:is>
          <x:t xml:space="preserve">theorem waived_debt_fails_justice_condition : satisfiesJustice { debtWaived := true } = false</x:t>
        </x:is>
      </x:c>
      <x:c r="J108" s="38" t="inlineStr">
        <x:is>
          <x:t xml:space="preserve">REJECTION: Waived debt fails justice (debt not paid). Cheap grace.</x:t>
        </x:is>
      </x:c>
      <x:c r="K108" s="38" t="inlineStr">
        <x:is>
          <x:t xml:space="preserve">TODO: list constructors/definitions/candidate restrictions.</x:t>
        </x:is>
      </x:c>
      <x:c r="L108" s="38" t="inlineStr">
        <x:is>
          <x:t xml:space="preserve">TODO: translate exact Lean statement only.</x:t>
        </x:is>
      </x:c>
      <x:c r="M108" s="38" t="inlineStr">
        <x:is>
          <x:t xml:space="preserve">TODO: link Colab/Python artifact or mark not tested.</x:t>
        </x:is>
      </x:c>
      <x:c r="N108" s="38" t="inlineStr">
        <x:is>
          <x:t xml:space="preserve">TODO: link dataset/observation or mark not empirical.</x:t>
        </x:is>
      </x:c>
      <x:c r="O108" s="38" t="inlineStr">
        <x:is>
          <x:t xml:space="preserve">TODO: theological/philosophical interpretation; do not merge with proof.</x:t>
        </x:is>
      </x:c>
      <x:c r="P108" s="38" t="inlineStr">
        <x:is>
          <x:t xml:space="preserve">TODO: formal, dynamical, empirical, or mapping kill condition.</x:t>
        </x:is>
      </x:c>
      <x:c r="Q108" s="39" t="inlineStr">
        <x:is>
          <x:t xml:space="preserve">Downgrade wording or strengthen proof if risk is HIGH; otherwise add evidence links.</x:t>
        </x:is>
      </x:c>
    </x:row>
    <x:row r="109" ht="15" customHeight="1">
      <x:c r="A109" s="37" t="inlineStr">
        <x:is>
          <x:t xml:space="preserve">123</x:t>
        </x:is>
      </x:c>
      <x:c r="B109" s="38" t="inlineStr">
        <x:is>
          <x:t xml:space="preserve">shared_cost_fails_mercy_condition</x:t>
        </x:is>
      </x:c>
      <x:c r="C109" s="38" t="inlineStr">
        <x:is>
          <x:t xml:space="preserve">C2 - Structural correspondence candidate</x:t>
        </x:is>
      </x:c>
      <x:c r="D109" s="38" t="inlineStr">
        <x:is>
          <x:t xml:space="preserve">4 - Negative and countermodel tests</x:t>
        </x:is>
      </x:c>
      <x:c r="E109" s="38" t="inlineStr">
        <x:is>
          <x:t xml:space="preserve">DEFINITIONAL_RFL</x:t>
        </x:is>
      </x:c>
      <x:c r="F109" s="38" t="inlineStr">
        <x:is>
          <x:t xml:space="preserve">MEDIUM - definition strength must be audited.</x:t>
        </x:is>
      </x:c>
      <x:c r="G109" s="38" t="inlineStr">
        <x:is>
          <x:t xml:space="preserve">theophysics-lean-main\theophysics-lean-main\Theophysics_Adversarial.lean</x:t>
        </x:is>
      </x:c>
      <x:c r="H109" s="38" t="inlineStr">
        <x:is>
          <x:t xml:space="preserve">490</x:t>
        </x:is>
      </x:c>
      <x:c r="I109" s="38" t="inlineStr">
        <x:is>
          <x:t xml:space="preserve">theorem shared_cost_fails_mercy_condition : satisfiesMercy { sharedCost := true } = false</x:t>
        </x:is>
      </x:c>
      <x:c r="J109" s="38" t="inlineStr">
        <x:is>
          <x:t xml:space="preserve">REJECTION: Shared cost fails mercy (offender still pays)</x:t>
        </x:is>
      </x:c>
      <x:c r="K109" s="38" t="inlineStr">
        <x:is>
          <x:t xml:space="preserve">TODO: list constructors/definitions/candidate restrictions.</x:t>
        </x:is>
      </x:c>
      <x:c r="L109" s="38" t="inlineStr">
        <x:is>
          <x:t xml:space="preserve">TODO: translate exact Lean statement only.</x:t>
        </x:is>
      </x:c>
      <x:c r="M109" s="38" t="inlineStr">
        <x:is>
          <x:t xml:space="preserve">TODO: link Colab/Python artifact or mark not tested.</x:t>
        </x:is>
      </x:c>
      <x:c r="N109" s="38" t="inlineStr">
        <x:is>
          <x:t xml:space="preserve">TODO: link dataset/observation or mark not empirical.</x:t>
        </x:is>
      </x:c>
      <x:c r="O109" s="38" t="inlineStr">
        <x:is>
          <x:t xml:space="preserve">TODO: theological/philosophical interpretation; do not merge with proof.</x:t>
        </x:is>
      </x:c>
      <x:c r="P109" s="38" t="inlineStr">
        <x:is>
          <x:t xml:space="preserve">TODO: formal, dynamical, empirical, or mapping kill condition.</x:t>
        </x:is>
      </x:c>
      <x:c r="Q109" s="39" t="inlineStr">
        <x:is>
          <x:t xml:space="preserve">Downgrade wording or strengthen proof if risk is HIGH; otherwise add evidence links.</x:t>
        </x:is>
      </x:c>
    </x:row>
    <x:row r="110" ht="15" customHeight="1">
      <x:c r="A110" s="37" t="inlineStr">
        <x:is>
          <x:t xml:space="preserve">124</x:t>
        </x:is>
      </x:c>
      <x:c r="B110" s="38" t="inlineStr">
        <x:is>
          <x:t xml:space="preserve">cross_unique_convergence_configuration</x:t>
        </x:is>
      </x:c>
      <x:c r="C110" s="38" t="inlineStr">
        <x:is>
          <x:t xml:space="preserve">C2 - Structural correspondence candidate</x:t>
        </x:is>
      </x:c>
      <x:c r="D110" s="38" t="inlineStr">
        <x:is>
          <x:t xml:space="preserve">2 - Defined model / marker theorem only</x:t>
        </x:is>
      </x:c>
      <x:c r="E110" s="38" t="inlineStr">
        <x:is>
          <x:t xml:space="preserve">TRIVIAL_TRUE</x:t>
        </x:is>
      </x:c>
      <x:c r="F110" s="38" t="inlineStr">
        <x:is>
          <x:t xml:space="preserve">HIGH - theorem name/public sentence may exceed formal statement.</x:t>
        </x:is>
      </x:c>
      <x:c r="G110" s="38" t="inlineStr">
        <x:is>
          <x:t xml:space="preserve">theophysics-lean-main\theophysics-lean-main\Theophysics_Core.lean</x:t>
        </x:is>
      </x:c>
      <x:c r="H110" s="38" t="inlineStr">
        <x:is>
          <x:t xml:space="preserve">241</x:t>
        </x:is>
      </x:c>
      <x:c r="I110" s="38" t="inlineStr">
        <x:is>
          <x:t xml:space="preserve">theorem cross_unique_convergence_configuration : True</x:t>
        </x:is>
      </x:c>
      <x:c r="J110" s="38" t="inlineStr">
        <x:is>
          <x:t xml:space="preserve">∀ c, CrossConvergence(c) → c = cross. Any config satisfying all 5 conditions IS the Cross.</x:t>
        </x:is>
      </x:c>
      <x:c r="K110" s="38" t="inlineStr">
        <x:is>
          <x:t xml:space="preserve">TODO: list constructors/definitions/candidate restrictions.</x:t>
        </x:is>
      </x:c>
      <x:c r="L110" s="38" t="inlineStr">
        <x:is>
          <x:t xml:space="preserve">TODO: translate exact Lean statement only.</x:t>
        </x:is>
      </x:c>
      <x:c r="M110" s="38" t="inlineStr">
        <x:is>
          <x:t xml:space="preserve">TODO: link Colab/Python artifact or mark not tested.</x:t>
        </x:is>
      </x:c>
      <x:c r="N110" s="38" t="inlineStr">
        <x:is>
          <x:t xml:space="preserve">TODO: link dataset/observation or mark not empirical.</x:t>
        </x:is>
      </x:c>
      <x:c r="O110" s="38" t="inlineStr">
        <x:is>
          <x:t xml:space="preserve">TODO: theological/philosophical interpretation; do not merge with proof.</x:t>
        </x:is>
      </x:c>
      <x:c r="P110" s="38" t="inlineStr">
        <x:is>
          <x:t xml:space="preserve">TODO: formal, dynamical, empirical, or mapping kill condition.</x:t>
        </x:is>
      </x:c>
      <x:c r="Q110" s="39" t="inlineStr">
        <x:is>
          <x:t xml:space="preserve">Downgrade wording or strengthen proof if risk is HIGH; otherwise add evidence links.</x:t>
        </x:is>
      </x:c>
    </x:row>
    <x:row r="111" ht="15" customHeight="1">
      <x:c r="A111" s="37" t="inlineStr">
        <x:is>
          <x:t xml:space="preserve">125</x:t>
        </x:is>
      </x:c>
      <x:c r="B111" s="38" t="inlineStr">
        <x:is>
          <x:t xml:space="preserve">cross_is_unique_solution</x:t>
        </x:is>
      </x:c>
      <x:c r="C111" s="38" t="inlineStr">
        <x:is>
          <x:t xml:space="preserve">C2 - Structural correspondence candidate</x:t>
        </x:is>
      </x:c>
      <x:c r="D111" s="38" t="inlineStr">
        <x:is>
          <x:t xml:space="preserve">2 - Defined model / marker theorem only</x:t>
        </x:is>
      </x:c>
      <x:c r="E111" s="38" t="inlineStr">
        <x:is>
          <x:t xml:space="preserve">TRIVIAL_TRUE</x:t>
        </x:is>
      </x:c>
      <x:c r="F111" s="38" t="inlineStr">
        <x:is>
          <x:t xml:space="preserve">HIGH - theorem name/public sentence may exceed formal statement.</x:t>
        </x:is>
      </x:c>
      <x:c r="G111" s="38" t="inlineStr">
        <x:is>
          <x:t xml:space="preserve">theophysics-lean-main\theophysics-lean-main\Theophysics_Core.lean</x:t>
        </x:is>
      </x:c>
      <x:c r="H111" s="38" t="inlineStr">
        <x:is>
          <x:t xml:space="preserve">239</x:t>
        </x:is>
      </x:c>
      <x:c r="I111" s="38" t="inlineStr">
        <x:is>
          <x:t xml:space="preserve">theorem cross_is_unique_solution : True</x:t>
        </x:is>
      </x:c>
      <x:c r="J111" s="38" t="inlineStr">
        <x:is>
          <x:t xml:space="preserve">THE CROSS IS THE UNIQUE SOLUTION — existence AND uniqueness. Strongest single result in the package.</x:t>
        </x:is>
      </x:c>
      <x:c r="K111" s="38" t="inlineStr">
        <x:is>
          <x:t xml:space="preserve">TODO: list constructors/definitions/candidate restrictions.</x:t>
        </x:is>
      </x:c>
      <x:c r="L111" s="38" t="inlineStr">
        <x:is>
          <x:t xml:space="preserve">TODO: translate exact Lean statement only.</x:t>
        </x:is>
      </x:c>
      <x:c r="M111" s="38" t="inlineStr">
        <x:is>
          <x:t xml:space="preserve">TODO: link Colab/Python artifact or mark not tested.</x:t>
        </x:is>
      </x:c>
      <x:c r="N111" s="38" t="inlineStr">
        <x:is>
          <x:t xml:space="preserve">TODO: link dataset/observation or mark not empirical.</x:t>
        </x:is>
      </x:c>
      <x:c r="O111" s="38" t="inlineStr">
        <x:is>
          <x:t xml:space="preserve">TODO: theological/philosophical interpretation; do not merge with proof.</x:t>
        </x:is>
      </x:c>
      <x:c r="P111" s="38" t="inlineStr">
        <x:is>
          <x:t xml:space="preserve">TODO: formal, dynamical, empirical, or mapping kill condition.</x:t>
        </x:is>
      </x:c>
      <x:c r="Q111" s="39" t="inlineStr">
        <x:is>
          <x:t xml:space="preserve">Downgrade wording or strengthen proof if risk is HIGH; otherwise add evidence links.</x:t>
        </x:is>
      </x:c>
    </x:row>
    <x:row r="112" ht="15" customHeight="1">
      <x:c r="A112" s="37" t="inlineStr">
        <x:is>
          <x:t xml:space="preserve">126</x:t>
        </x:is>
      </x:c>
      <x:c r="B112" s="38" t="inlineStr">
        <x:is>
          <x:t xml:space="preserve">two_destructive_signs_have_positive_raw_product</x:t>
        </x:is>
      </x:c>
      <x:c r="C112" s="38" t="inlineStr">
        <x:is>
          <x:t xml:space="preserve">C2 - Structural correspondence candidate</x:t>
        </x:is>
      </x:c>
      <x:c r="D112" s="38" t="inlineStr">
        <x:is>
          <x:t xml:space="preserve">3 - Internal formal consistency</x:t>
        </x:is>
      </x:c>
      <x:c r="E112" s="38" t="inlineStr">
        <x:is>
          <x:t xml:space="preserve">FINITE_DECIDABLE</x:t>
        </x:is>
      </x:c>
      <x:c r="F112" s="38" t="inlineStr">
        <x:is>
          <x:t xml:space="preserve">LOW/MEDIUM - still needs theorem-to-public-claim translation.</x:t>
        </x:is>
      </x:c>
      <x:c r="G112" s="38" t="inlineStr">
        <x:is>
          <x:t xml:space="preserve">theophysics-lean-main\theophysics-lean-main\Final_Lean4_From_Excel.lean</x:t>
        </x:is>
      </x:c>
      <x:c r="H112" s="38" t="inlineStr">
        <x:is>
          <x:t xml:space="preserve">332</x:t>
        </x:is>
      </x:c>
      <x:c r="I112" s="38" t="inlineStr">
        <x:is>
          <x:t xml:space="preserve">theorem two_destructive_signs_have_positive_raw_product : (-1 : Int) * (-1) = 1</x:t>
        </x:is>
      </x:c>
      <x:c r="J112" s="38" t="inlineStr">
        <x:is>
          <x:t xml:space="preserve">(-1)×(-1) = +1 in raw arithmetic</x:t>
        </x:is>
      </x:c>
      <x:c r="K112" s="38" t="inlineStr">
        <x:is>
          <x:t xml:space="preserve">TODO: list constructors/definitions/candidate restrictions.</x:t>
        </x:is>
      </x:c>
      <x:c r="L112" s="38" t="inlineStr">
        <x:is>
          <x:t xml:space="preserve">TODO: translate exact Lean statement only.</x:t>
        </x:is>
      </x:c>
      <x:c r="M112" s="38" t="inlineStr">
        <x:is>
          <x:t xml:space="preserve">TODO: link Colab/Python artifact or mark not tested.</x:t>
        </x:is>
      </x:c>
      <x:c r="N112" s="38" t="inlineStr">
        <x:is>
          <x:t xml:space="preserve">TODO: link dataset/observation or mark not empirical.</x:t>
        </x:is>
      </x:c>
      <x:c r="O112" s="38" t="inlineStr">
        <x:is>
          <x:t xml:space="preserve">TODO: theological/philosophical interpretation; do not merge with proof.</x:t>
        </x:is>
      </x:c>
      <x:c r="P112" s="38" t="inlineStr">
        <x:is>
          <x:t xml:space="preserve">TODO: formal, dynamical, empirical, or mapping kill condition.</x:t>
        </x:is>
      </x:c>
      <x:c r="Q112" s="39" t="inlineStr">
        <x:is>
          <x:t xml:space="preserve">Downgrade wording or strengthen proof if risk is HIGH; otherwise add evidence links.</x:t>
        </x:is>
      </x:c>
    </x:row>
    <x:row r="113" ht="15" customHeight="1">
      <x:c r="A113" s="37" t="inlineStr">
        <x:is>
          <x:t xml:space="preserve">127</x:t>
        </x:is>
      </x:c>
      <x:c r="B113" s="38" t="inlineStr">
        <x:is>
          <x:t xml:space="preserve">two_destructive_signs_do_not_pass_coherence_gate</x:t>
        </x:is>
      </x:c>
      <x:c r="C113" s="38" t="inlineStr">
        <x:is>
          <x:t xml:space="preserve">C2 - Structural correspondence candidate</x:t>
        </x:is>
      </x:c>
      <x:c r="D113" s="38" t="inlineStr">
        <x:is>
          <x:t xml:space="preserve">3 - Internal formal consistency; cite underlying theorem</x:t>
        </x:is>
      </x:c>
      <x:c r="E113" s="38" t="inlineStr">
        <x:is>
          <x:t xml:space="preserve">WRAPPER_OR_IMPORTED</x:t>
        </x:is>
      </x:c>
      <x:c r="F113" s="38" t="inlineStr">
        <x:is>
          <x:t xml:space="preserve">MEDIUM - cite underlying theorem, not just wrapper.</x:t>
        </x:is>
      </x:c>
      <x:c r="G113" s="38" t="inlineStr">
        <x:is>
          <x:t xml:space="preserve">theophysics-lean-main\theophysics-lean-main\Final_Lean4_From_Excel.lean</x:t>
        </x:is>
      </x:c>
      <x:c r="H113" s="38" t="inlineStr">
        <x:is>
          <x:t xml:space="preserve">335</x:t>
        </x:is>
      </x:c>
      <x:c r="I113" s="38" t="inlineStr">
        <x:is>
          <x:t xml:space="preserve">theorem two_destructive_signs_do_not_pass_coherence_gate : binaryGate 2 = 1</x:t>
        </x:is>
      </x:c>
      <x:c r="J113" s="38" t="inlineStr">
        <x:is>
          <x:t xml:space="preserve">REJECTION: But the coherence gate rejects them. Arithmetic sign ≠ moral sign.</x:t>
        </x:is>
      </x:c>
      <x:c r="K113" s="38" t="inlineStr">
        <x:is>
          <x:t xml:space="preserve">TODO: list constructors/definitions/candidate restrictions.</x:t>
        </x:is>
      </x:c>
      <x:c r="L113" s="38" t="inlineStr">
        <x:is>
          <x:t xml:space="preserve">TODO: translate exact Lean statement only.</x:t>
        </x:is>
      </x:c>
      <x:c r="M113" s="38" t="inlineStr">
        <x:is>
          <x:t xml:space="preserve">TODO: link Colab/Python artifact or mark not tested.</x:t>
        </x:is>
      </x:c>
      <x:c r="N113" s="38" t="inlineStr">
        <x:is>
          <x:t xml:space="preserve">TODO: link dataset/observation or mark not empirical.</x:t>
        </x:is>
      </x:c>
      <x:c r="O113" s="38" t="inlineStr">
        <x:is>
          <x:t xml:space="preserve">TODO: theological/philosophical interpretation; do not merge with proof.</x:t>
        </x:is>
      </x:c>
      <x:c r="P113" s="38" t="inlineStr">
        <x:is>
          <x:t xml:space="preserve">TODO: formal, dynamical, empirical, or mapping kill condition.</x:t>
        </x:is>
      </x:c>
      <x:c r="Q113" s="39" t="inlineStr">
        <x:is>
          <x:t xml:space="preserve">Downgrade wording or strengthen proof if risk is HIGH; otherwise add evidence links.</x:t>
        </x:is>
      </x:c>
    </x:row>
    <x:row r="114" ht="15" customHeight="1">
      <x:c r="A114" s="37" t="inlineStr">
        <x:is>
          <x:t xml:space="preserve">128</x:t>
        </x:is>
      </x:c>
      <x:c r="B114" s="38" t="inlineStr">
        <x:is>
          <x:t xml:space="preserve">below_accountability_maps_to_neutral_even_with_bad_signal</x:t>
        </x:is>
      </x:c>
      <x:c r="C114" s="38" t="inlineStr">
        <x:is>
          <x:t xml:space="preserve">C2 - Structural correspondence candidate</x:t>
        </x:is>
      </x:c>
      <x:c r="D114" s="38" t="inlineStr">
        <x:is>
          <x:t xml:space="preserve">2 - Defined model / marker theorem only</x:t>
        </x:is>
      </x:c>
      <x:c r="E114" s="38" t="inlineStr">
        <x:is>
          <x:t xml:space="preserve">TRIVIAL_TRUE</x:t>
        </x:is>
      </x:c>
      <x:c r="F114" s="38" t="inlineStr">
        <x:is>
          <x:t xml:space="preserve">HIGH - theorem name/public sentence may exceed formal statement.</x:t>
        </x:is>
      </x:c>
      <x:c r="G114" s="38" t="inlineStr">
        <x:is>
          <x:t xml:space="preserve">theophysics-lean-main\theophysics-lean-main\Theophysics_Core.lean</x:t>
        </x:is>
      </x:c>
      <x:c r="H114" s="38" t="inlineStr">
        <x:is>
          <x:t xml:space="preserve">39</x:t>
        </x:is>
      </x:c>
      <x:c r="I114" s="38" t="inlineStr">
        <x:is>
          <x:t xml:space="preserve">theorem below_accountability_maps_to_neutral_even_with_bad_signal : True</x:t>
        </x:is>
      </x:c>
      <x:c r="J114" s="38" t="inlineStr">
        <x:is>
          <x:t xml:space="preserve">Below age of accountability → neutral regardless of observed behavior</x:t>
        </x:is>
      </x:c>
      <x:c r="K114" s="38" t="inlineStr">
        <x:is>
          <x:t xml:space="preserve">TODO: list constructors/definitions/candidate restrictions.</x:t>
        </x:is>
      </x:c>
      <x:c r="L114" s="38" t="inlineStr">
        <x:is>
          <x:t xml:space="preserve">TODO: translate exact Lean statement only.</x:t>
        </x:is>
      </x:c>
      <x:c r="M114" s="38" t="inlineStr">
        <x:is>
          <x:t xml:space="preserve">TODO: link Colab/Python artifact or mark not tested.</x:t>
        </x:is>
      </x:c>
      <x:c r="N114" s="38" t="inlineStr">
        <x:is>
          <x:t xml:space="preserve">TODO: link dataset/observation or mark not empirical.</x:t>
        </x:is>
      </x:c>
      <x:c r="O114" s="38" t="inlineStr">
        <x:is>
          <x:t xml:space="preserve">TODO: theological/philosophical interpretation; do not merge with proof.</x:t>
        </x:is>
      </x:c>
      <x:c r="P114" s="38" t="inlineStr">
        <x:is>
          <x:t xml:space="preserve">TODO: formal, dynamical, empirical, or mapping kill condition.</x:t>
        </x:is>
      </x:c>
      <x:c r="Q114" s="39" t="inlineStr">
        <x:is>
          <x:t xml:space="preserve">Downgrade wording or strengthen proof if risk is HIGH; otherwise add evidence links.</x:t>
        </x:is>
      </x:c>
    </x:row>
    <x:row r="115" ht="15" customHeight="1">
      <x:c r="A115" s="37" t="inlineStr">
        <x:is>
          <x:t xml:space="preserve">129</x:t>
        </x:is>
      </x:c>
      <x:c r="B115" s="38" t="inlineStr">
        <x:is>
          <x:t xml:space="preserve">below_accountability_has_zero_culpability</x:t>
        </x:is>
      </x:c>
      <x:c r="C115" s="38" t="inlineStr">
        <x:is>
          <x:t xml:space="preserve">C2 - Structural correspondence candidate</x:t>
        </x:is>
      </x:c>
      <x:c r="D115" s="38" t="inlineStr">
        <x:is>
          <x:t xml:space="preserve">2 - Defined model / marker theorem only</x:t>
        </x:is>
      </x:c>
      <x:c r="E115" s="38" t="inlineStr">
        <x:is>
          <x:t xml:space="preserve">TRIVIAL_TRUE</x:t>
        </x:is>
      </x:c>
      <x:c r="F115" s="38" t="inlineStr">
        <x:is>
          <x:t xml:space="preserve">HIGH - theorem name/public sentence may exceed formal statement.</x:t>
        </x:is>
      </x:c>
      <x:c r="G115" s="38" t="inlineStr">
        <x:is>
          <x:t xml:space="preserve">theophysics-lean-main\theophysics-lean-main\Theophysics_Core.lean</x:t>
        </x:is>
      </x:c>
      <x:c r="H115" s="38" t="inlineStr">
        <x:is>
          <x:t xml:space="preserve">38</x:t>
        </x:is>
      </x:c>
      <x:c r="I115" s="38" t="inlineStr">
        <x:is>
          <x:t xml:space="preserve">theorem below_accountability_has_zero_culpability : True</x:t>
        </x:is>
      </x:c>
      <x:c r="J115" s="38" t="inlineStr">
        <x:is>
          <x:t xml:space="preserve">Below threshold → 0 culpability</x:t>
        </x:is>
      </x:c>
      <x:c r="K115" s="38" t="inlineStr">
        <x:is>
          <x:t xml:space="preserve">TODO: list constructors/definitions/candidate restrictions.</x:t>
        </x:is>
      </x:c>
      <x:c r="L115" s="38" t="inlineStr">
        <x:is>
          <x:t xml:space="preserve">TODO: translate exact Lean statement only.</x:t>
        </x:is>
      </x:c>
      <x:c r="M115" s="38" t="inlineStr">
        <x:is>
          <x:t xml:space="preserve">TODO: link Colab/Python artifact or mark not tested.</x:t>
        </x:is>
      </x:c>
      <x:c r="N115" s="38" t="inlineStr">
        <x:is>
          <x:t xml:space="preserve">TODO: link dataset/observation or mark not empirical.</x:t>
        </x:is>
      </x:c>
      <x:c r="O115" s="38" t="inlineStr">
        <x:is>
          <x:t xml:space="preserve">TODO: theological/philosophical interpretation; do not merge with proof.</x:t>
        </x:is>
      </x:c>
      <x:c r="P115" s="38" t="inlineStr">
        <x:is>
          <x:t xml:space="preserve">TODO: formal, dynamical, empirical, or mapping kill condition.</x:t>
        </x:is>
      </x:c>
      <x:c r="Q115" s="39" t="inlineStr">
        <x:is>
          <x:t xml:space="preserve">Downgrade wording or strengthen proof if risk is HIGH; otherwise add evidence links.</x:t>
        </x:is>
      </x:c>
    </x:row>
    <x:row r="116" ht="15" customHeight="1">
      <x:c r="A116" s="37" t="inlineStr">
        <x:is>
          <x:t xml:space="preserve">130</x:t>
        </x:is>
      </x:c>
      <x:c r="B116" s="38" t="inlineStr">
        <x:is>
          <x:t xml:space="preserve">destructive_strict_M_collapses_chi</x:t>
        </x:is>
      </x:c>
      <x:c r="C116" s="38" t="inlineStr">
        <x:is>
          <x:t xml:space="preserve">C2 - Structural correspondence candidate</x:t>
        </x:is>
      </x:c>
      <x:c r="D116" s="38" t="inlineStr">
        <x:is>
          <x:t xml:space="preserve">2 - Defined model / marker theorem only</x:t>
        </x:is>
      </x:c>
      <x:c r="E116" s="38" t="inlineStr">
        <x:is>
          <x:t xml:space="preserve">TRIVIAL_TRUE</x:t>
        </x:is>
      </x:c>
      <x:c r="F116" s="38" t="inlineStr">
        <x:is>
          <x:t xml:space="preserve">HIGH - theorem name/public sentence may exceed formal statement.</x:t>
        </x:is>
      </x:c>
      <x:c r="G116" s="38" t="inlineStr">
        <x:is>
          <x:t xml:space="preserve">theophysics-lean-main\theophysics-lean-main\Theophysics_Core.lean</x:t>
        </x:is>
      </x:c>
      <x:c r="H116" s="38" t="inlineStr">
        <x:is>
          <x:t xml:space="preserve">41</x:t>
        </x:is>
      </x:c>
      <x:c r="I116" s="38" t="inlineStr">
        <x:is>
          <x:t xml:space="preserve">theorem destructive_strict_M_collapses_chi : True</x:t>
        </x:is>
      </x:c>
      <x:c r="J116" s="38" t="inlineStr">
        <x:is>
          <x:t xml:space="preserve">Destructive polarity → M gate = 0 → χ = 0</x:t>
        </x:is>
      </x:c>
      <x:c r="K116" s="38" t="inlineStr">
        <x:is>
          <x:t xml:space="preserve">TODO: list constructors/definitions/candidate restrictions.</x:t>
        </x:is>
      </x:c>
      <x:c r="L116" s="38" t="inlineStr">
        <x:is>
          <x:t xml:space="preserve">TODO: translate exact Lean statement only.</x:t>
        </x:is>
      </x:c>
      <x:c r="M116" s="38" t="inlineStr">
        <x:is>
          <x:t xml:space="preserve">TODO: link Colab/Python artifact or mark not tested.</x:t>
        </x:is>
      </x:c>
      <x:c r="N116" s="38" t="inlineStr">
        <x:is>
          <x:t xml:space="preserve">TODO: link dataset/observation or mark not empirical.</x:t>
        </x:is>
      </x:c>
      <x:c r="O116" s="38" t="inlineStr">
        <x:is>
          <x:t xml:space="preserve">TODO: theological/philosophical interpretation; do not merge with proof.</x:t>
        </x:is>
      </x:c>
      <x:c r="P116" s="38" t="inlineStr">
        <x:is>
          <x:t xml:space="preserve">TODO: formal, dynamical, empirical, or mapping kill condition.</x:t>
        </x:is>
      </x:c>
      <x:c r="Q116" s="39" t="inlineStr">
        <x:is>
          <x:t xml:space="preserve">Downgrade wording or strengthen proof if risk is HIGH; otherwise add evidence links.</x:t>
        </x:is>
      </x:c>
    </x:row>
    <x:row r="117" ht="15" customHeight="1">
      <x:c r="A117" s="37" t="inlineStr">
        <x:is>
          <x:t xml:space="preserve">131</x:t>
        </x:is>
      </x:c>
      <x:c r="B117" s="38" t="inlineStr">
        <x:is>
          <x:t xml:space="preserve">neutral_accountability_aware_M_does_not_zero_M</x:t>
        </x:is>
      </x:c>
      <x:c r="C117" s="38" t="inlineStr">
        <x:is>
          <x:t xml:space="preserve">C2 - Structural correspondence candidate</x:t>
        </x:is>
      </x:c>
      <x:c r="D117" s="38" t="inlineStr">
        <x:is>
          <x:t xml:space="preserve">2 - Defined model / marker theorem only</x:t>
        </x:is>
      </x:c>
      <x:c r="E117" s="38" t="inlineStr">
        <x:is>
          <x:t xml:space="preserve">TRIVIAL_TRUE</x:t>
        </x:is>
      </x:c>
      <x:c r="F117" s="38" t="inlineStr">
        <x:is>
          <x:t xml:space="preserve">HIGH - theorem name/public sentence may exceed formal statement.</x:t>
        </x:is>
      </x:c>
      <x:c r="G117" s="38" t="inlineStr">
        <x:is>
          <x:t xml:space="preserve">theophysics-lean-main\theophysics-lean-main\Theophysics_Core.lean</x:t>
        </x:is>
      </x:c>
      <x:c r="H117" s="38" t="inlineStr">
        <x:is>
          <x:t xml:space="preserve">42</x:t>
        </x:is>
      </x:c>
      <x:c r="I117" s="38" t="inlineStr">
        <x:is>
          <x:t xml:space="preserve">theorem neutral_accountability_aware_M_does_not_zero_M : True</x:t>
        </x:is>
      </x:c>
      <x:c r="J117" s="38" t="inlineStr">
        <x:is>
          <x:t xml:space="preserve">Neutral polarity → M = 1 under accountability-aware gate</x:t>
        </x:is>
      </x:c>
      <x:c r="K117" s="38" t="inlineStr">
        <x:is>
          <x:t xml:space="preserve">TODO: list constructors/definitions/candidate restrictions.</x:t>
        </x:is>
      </x:c>
      <x:c r="L117" s="38" t="inlineStr">
        <x:is>
          <x:t xml:space="preserve">TODO: translate exact Lean statement only.</x:t>
        </x:is>
      </x:c>
      <x:c r="M117" s="38" t="inlineStr">
        <x:is>
          <x:t xml:space="preserve">TODO: link Colab/Python artifact or mark not tested.</x:t>
        </x:is>
      </x:c>
      <x:c r="N117" s="38" t="inlineStr">
        <x:is>
          <x:t xml:space="preserve">TODO: link dataset/observation or mark not empirical.</x:t>
        </x:is>
      </x:c>
      <x:c r="O117" s="38" t="inlineStr">
        <x:is>
          <x:t xml:space="preserve">TODO: theological/philosophical interpretation; do not merge with proof.</x:t>
        </x:is>
      </x:c>
      <x:c r="P117" s="38" t="inlineStr">
        <x:is>
          <x:t xml:space="preserve">TODO: formal, dynamical, empirical, or mapping kill condition.</x:t>
        </x:is>
      </x:c>
      <x:c r="Q117" s="39" t="inlineStr">
        <x:is>
          <x:t xml:space="preserve">Downgrade wording or strengthen proof if risk is HIGH; otherwise add evidence links.</x:t>
        </x:is>
      </x:c>
    </x:row>
    <x:row r="118" ht="15" customHeight="1">
      <x:c r="A118" s="37" t="inlineStr">
        <x:is>
          <x:t xml:space="preserve">132</x:t>
        </x:is>
      </x:c>
      <x:c r="B118" s="38" t="inlineStr">
        <x:is>
          <x:t xml:space="preserve">destructive_accountability_aware_M_collapses_chi</x:t>
        </x:is>
      </x:c>
      <x:c r="C118" s="38" t="inlineStr">
        <x:is>
          <x:t xml:space="preserve">C2 - Structural correspondence candidate</x:t>
        </x:is>
      </x:c>
      <x:c r="D118" s="38" t="inlineStr">
        <x:is>
          <x:t xml:space="preserve">2 - Defined model / marker theorem only</x:t>
        </x:is>
      </x:c>
      <x:c r="E118" s="38" t="inlineStr">
        <x:is>
          <x:t xml:space="preserve">TRIVIAL_TRUE</x:t>
        </x:is>
      </x:c>
      <x:c r="F118" s="38" t="inlineStr">
        <x:is>
          <x:t xml:space="preserve">HIGH - theorem name/public sentence may exceed formal statement.</x:t>
        </x:is>
      </x:c>
      <x:c r="G118" s="38" t="inlineStr">
        <x:is>
          <x:t xml:space="preserve">theophysics-lean-main\theophysics-lean-main\Theophysics_Core.lean</x:t>
        </x:is>
      </x:c>
      <x:c r="H118" s="38" t="inlineStr">
        <x:is>
          <x:t xml:space="preserve">40</x:t>
        </x:is>
      </x:c>
      <x:c r="I118" s="38" t="inlineStr">
        <x:is>
          <x:t xml:space="preserve">theorem destructive_accountability_aware_M_collapses_chi : True</x:t>
        </x:is>
      </x:c>
      <x:c r="J118" s="38" t="inlineStr">
        <x:is>
          <x:t xml:space="preserve">Destructive polarity still kills χ under accountability-aware gate</x:t>
        </x:is>
      </x:c>
      <x:c r="K118" s="38" t="inlineStr">
        <x:is>
          <x:t xml:space="preserve">TODO: list constructors/definitions/candidate restrictions.</x:t>
        </x:is>
      </x:c>
      <x:c r="L118" s="38" t="inlineStr">
        <x:is>
          <x:t xml:space="preserve">TODO: translate exact Lean statement only.</x:t>
        </x:is>
      </x:c>
      <x:c r="M118" s="38" t="inlineStr">
        <x:is>
          <x:t xml:space="preserve">TODO: link Colab/Python artifact or mark not tested.</x:t>
        </x:is>
      </x:c>
      <x:c r="N118" s="38" t="inlineStr">
        <x:is>
          <x:t xml:space="preserve">TODO: link dataset/observation or mark not empirical.</x:t>
        </x:is>
      </x:c>
      <x:c r="O118" s="38" t="inlineStr">
        <x:is>
          <x:t xml:space="preserve">TODO: theological/philosophical interpretation; do not merge with proof.</x:t>
        </x:is>
      </x:c>
      <x:c r="P118" s="38" t="inlineStr">
        <x:is>
          <x:t xml:space="preserve">TODO: formal, dynamical, empirical, or mapping kill condition.</x:t>
        </x:is>
      </x:c>
      <x:c r="Q118" s="39" t="inlineStr">
        <x:is>
          <x:t xml:space="preserve">Downgrade wording or strengthen proof if risk is HIGH; otherwise add evidence links.</x:t>
        </x:is>
      </x:c>
    </x:row>
    <x:row r="119" ht="15" customHeight="1">
      <x:c r="A119" s="37" t="inlineStr">
        <x:is>
          <x:t xml:space="preserve">133</x:t>
        </x:is>
      </x:c>
      <x:c r="B119" s="38" t="inlineStr">
        <x:is>
          <x:t xml:space="preserve">raw_two_negatives_multiply_positive</x:t>
        </x:is>
      </x:c>
      <x:c r="C119" s="38" t="inlineStr">
        <x:is>
          <x:t xml:space="preserve">C2 - Structural correspondence candidate</x:t>
        </x:is>
      </x:c>
      <x:c r="D119" s="38" t="inlineStr">
        <x:is>
          <x:t xml:space="preserve">2 - Defined model / marker theorem only</x:t>
        </x:is>
      </x:c>
      <x:c r="E119" s="38" t="inlineStr">
        <x:is>
          <x:t xml:space="preserve">TRIVIAL_TRUE</x:t>
        </x:is>
      </x:c>
      <x:c r="F119" s="38" t="inlineStr">
        <x:is>
          <x:t xml:space="preserve">HIGH - theorem name/public sentence may exceed formal statement.</x:t>
        </x:is>
      </x:c>
      <x:c r="G119" s="38" t="inlineStr">
        <x:is>
          <x:t xml:space="preserve">theophysics-lean-main\theophysics-lean-main\Theophysics_Core.lean</x:t>
        </x:is>
      </x:c>
      <x:c r="H119" s="38" t="inlineStr">
        <x:is>
          <x:t xml:space="preserve">50</x:t>
        </x:is>
      </x:c>
      <x:c r="I119" s="38" t="inlineStr">
        <x:is>
          <x:t xml:space="preserve">theorem raw_two_negatives_multiply_positive : True</x:t>
        </x:is>
      </x:c>
      <x:c r="J119" s="38" t="inlineStr">
        <x:is>
          <x:t xml:space="preserve">Arithmetic: (-1)×(-1) = 1. Raw math says yes.</x:t>
        </x:is>
      </x:c>
      <x:c r="K119" s="38" t="inlineStr">
        <x:is>
          <x:t xml:space="preserve">TODO: list constructors/definitions/candidate restrictions.</x:t>
        </x:is>
      </x:c>
      <x:c r="L119" s="38" t="inlineStr">
        <x:is>
          <x:t xml:space="preserve">TODO: translate exact Lean statement only.</x:t>
        </x:is>
      </x:c>
      <x:c r="M119" s="38" t="inlineStr">
        <x:is>
          <x:t xml:space="preserve">TODO: link Colab/Python artifact or mark not tested.</x:t>
        </x:is>
      </x:c>
      <x:c r="N119" s="38" t="inlineStr">
        <x:is>
          <x:t xml:space="preserve">TODO: link dataset/observation or mark not empirical.</x:t>
        </x:is>
      </x:c>
      <x:c r="O119" s="38" t="inlineStr">
        <x:is>
          <x:t xml:space="preserve">TODO: theological/philosophical interpretation; do not merge with proof.</x:t>
        </x:is>
      </x:c>
      <x:c r="P119" s="38" t="inlineStr">
        <x:is>
          <x:t xml:space="preserve">TODO: formal, dynamical, empirical, or mapping kill condition.</x:t>
        </x:is>
      </x:c>
      <x:c r="Q119" s="39" t="inlineStr">
        <x:is>
          <x:t xml:space="preserve">Downgrade wording or strengthen proof if risk is HIGH; otherwise add evidence links.</x:t>
        </x:is>
      </x:c>
    </x:row>
    <x:row r="120" ht="15" customHeight="1">
      <x:c r="A120" s="37" t="inlineStr">
        <x:is>
          <x:t xml:space="preserve">134</x:t>
        </x:is>
      </x:c>
      <x:c r="B120" s="38" t="inlineStr">
        <x:is>
          <x:t xml:space="preserve">burden_two_negatives_stay_negative</x:t>
        </x:is>
      </x:c>
      <x:c r="C120" s="38" t="inlineStr">
        <x:is>
          <x:t xml:space="preserve">C2 - Structural correspondence candidate</x:t>
        </x:is>
      </x:c>
      <x:c r="D120" s="38" t="inlineStr">
        <x:is>
          <x:t xml:space="preserve">4 - Negative and countermodel tests</x:t>
        </x:is>
      </x:c>
      <x:c r="E120" s="38" t="inlineStr">
        <x:is>
          <x:t xml:space="preserve">FINITE_DECIDABLE</x:t>
        </x:is>
      </x:c>
      <x:c r="F120" s="38" t="inlineStr">
        <x:is>
          <x:t xml:space="preserve">LOW/MEDIUM - still needs theorem-to-public-claim translation.</x:t>
        </x:is>
      </x:c>
      <x:c r="G120" s="38" t="inlineStr">
        <x:is>
          <x:t xml:space="preserve">theophysics-lean-main\theophysics-lean-main\Final_Lean4_From_Excel.lean</x:t>
        </x:is>
      </x:c>
      <x:c r="H120" s="38" t="inlineStr">
        <x:is>
          <x:t xml:space="preserve">339</x:t>
        </x:is>
      </x:c>
      <x:c r="I120" s="38" t="inlineStr">
        <x:is>
          <x:t xml:space="preserve">theorem burden_two_negatives_stay_negative : ((-1 : Int) + (-1)) &lt; 0</x:t>
        </x:is>
      </x:c>
      <x:c r="J120" s="38" t="inlineStr">
        <x:is>
          <x:t xml:space="preserve">REJECTION: Burden coupling: negative + negative = negative. Accumulation does not redeem.</x:t>
        </x:is>
      </x:c>
      <x:c r="K120" s="38" t="inlineStr">
        <x:is>
          <x:t xml:space="preserve">TODO: list constructors/definitions/candidate restrictions.</x:t>
        </x:is>
      </x:c>
      <x:c r="L120" s="38" t="inlineStr">
        <x:is>
          <x:t xml:space="preserve">TODO: translate exact Lean statement only.</x:t>
        </x:is>
      </x:c>
      <x:c r="M120" s="38" t="inlineStr">
        <x:is>
          <x:t xml:space="preserve">TODO: link Colab/Python artifact or mark not tested.</x:t>
        </x:is>
      </x:c>
      <x:c r="N120" s="38" t="inlineStr">
        <x:is>
          <x:t xml:space="preserve">TODO: link dataset/observation or mark not empirical.</x:t>
        </x:is>
      </x:c>
      <x:c r="O120" s="38" t="inlineStr">
        <x:is>
          <x:t xml:space="preserve">TODO: theological/philosophical interpretation; do not merge with proof.</x:t>
        </x:is>
      </x:c>
      <x:c r="P120" s="38" t="inlineStr">
        <x:is>
          <x:t xml:space="preserve">TODO: formal, dynamical, empirical, or mapping kill condition.</x:t>
        </x:is>
      </x:c>
      <x:c r="Q120" s="39" t="inlineStr">
        <x:is>
          <x:t xml:space="preserve">Downgrade wording or strengthen proof if risk is HIGH; otherwise add evidence links.</x:t>
        </x:is>
      </x:c>
    </x:row>
    <x:row r="121" ht="15" customHeight="1">
      <x:c r="A121" s="37" t="inlineStr">
        <x:is>
          <x:t xml:space="preserve">135</x:t>
        </x:is>
      </x:c>
      <x:c r="B121" s="38" t="inlineStr">
        <x:is>
          <x:t xml:space="preserve">burden_negative_positive_stays_negative</x:t>
        </x:is>
      </x:c>
      <x:c r="C121" s="38" t="inlineStr">
        <x:is>
          <x:t xml:space="preserve">C2 - Structural correspondence candidate</x:t>
        </x:is>
      </x:c>
      <x:c r="D121" s="38" t="inlineStr">
        <x:is>
          <x:t xml:space="preserve">4 - Negative and countermodel tests</x:t>
        </x:is>
      </x:c>
      <x:c r="E121" s="38" t="inlineStr">
        <x:is>
          <x:t xml:space="preserve">DEFINITIONAL_RFL</x:t>
        </x:is>
      </x:c>
      <x:c r="F121" s="38" t="inlineStr">
        <x:is>
          <x:t xml:space="preserve">MEDIUM - definition strength must be audited.</x:t>
        </x:is>
      </x:c>
      <x:c r="G121" s="38" t="inlineStr">
        <x:is>
          <x:t xml:space="preserve">theophysics-lean-main\theophysics-lean-main\Theophysics_Adversarial.lean</x:t>
        </x:is>
      </x:c>
      <x:c r="H121" s="38" t="inlineStr">
        <x:is>
          <x:t xml:space="preserve">495</x:t>
        </x:is>
      </x:c>
      <x:c r="I121" s="38" t="inlineStr">
        <x:is>
          <x:t xml:space="preserve">theorem burden_negative_positive_stays_negative : signAddGate Sign.negative Sign.positive = Sign.negative</x:t>
        </x:is>
      </x:c>
      <x:c r="J121" s="38" t="inlineStr">
        <x:is>
          <x:t xml:space="preserve">REJECTION: Any negative in the burden keeps it negative</x:t>
        </x:is>
      </x:c>
      <x:c r="K121" s="38" t="inlineStr">
        <x:is>
          <x:t xml:space="preserve">TODO: list constructors/definitions/candidate restrictions.</x:t>
        </x:is>
      </x:c>
      <x:c r="L121" s="38" t="inlineStr">
        <x:is>
          <x:t xml:space="preserve">TODO: translate exact Lean statement only.</x:t>
        </x:is>
      </x:c>
      <x:c r="M121" s="38" t="inlineStr">
        <x:is>
          <x:t xml:space="preserve">TODO: link Colab/Python artifact or mark not tested.</x:t>
        </x:is>
      </x:c>
      <x:c r="N121" s="38" t="inlineStr">
        <x:is>
          <x:t xml:space="preserve">TODO: link dataset/observation or mark not empirical.</x:t>
        </x:is>
      </x:c>
      <x:c r="O121" s="38" t="inlineStr">
        <x:is>
          <x:t xml:space="preserve">TODO: theological/philosophical interpretation; do not merge with proof.</x:t>
        </x:is>
      </x:c>
      <x:c r="P121" s="38" t="inlineStr">
        <x:is>
          <x:t xml:space="preserve">TODO: formal, dynamical, empirical, or mapping kill condition.</x:t>
        </x:is>
      </x:c>
      <x:c r="Q121" s="39" t="inlineStr">
        <x:is>
          <x:t xml:space="preserve">Downgrade wording or strengthen proof if risk is HIGH; otherwise add evidence links.</x:t>
        </x:is>
      </x:c>
    </x:row>
    <x:row r="122" ht="15" customHeight="1">
      <x:c r="A122" s="37" t="inlineStr">
        <x:is>
          <x:t xml:space="preserve">136</x:t>
        </x:is>
      </x:c>
      <x:c r="B122" s="38" t="inlineStr">
        <x:is>
          <x:t xml:space="preserve">christic_conversion_turns_negative_burden_positive</x:t>
        </x:is>
      </x:c>
      <x:c r="C122" s="38" t="inlineStr">
        <x:is>
          <x:t xml:space="preserve">C2 - Structural correspondence candidate</x:t>
        </x:is>
      </x:c>
      <x:c r="D122" s="38" t="inlineStr">
        <x:is>
          <x:t xml:space="preserve">2 - Defined model / marker theorem only</x:t>
        </x:is>
      </x:c>
      <x:c r="E122" s="38" t="inlineStr">
        <x:is>
          <x:t xml:space="preserve">TRIVIAL_TRUE</x:t>
        </x:is>
      </x:c>
      <x:c r="F122" s="38" t="inlineStr">
        <x:is>
          <x:t xml:space="preserve">HIGH - theorem name/public sentence may exceed formal statement.</x:t>
        </x:is>
      </x:c>
      <x:c r="G122" s="38" t="inlineStr">
        <x:is>
          <x:t xml:space="preserve">theophysics-lean-main\theophysics-lean-main\Theophysics_Core.lean</x:t>
        </x:is>
      </x:c>
      <x:c r="H122" s="38" t="inlineStr">
        <x:is>
          <x:t xml:space="preserve">46</x:t>
        </x:is>
      </x:c>
      <x:c r="I122" s="38" t="inlineStr">
        <x:is>
          <x:t xml:space="preserve">theorem christic_conversion_turns_negative_burden_positive : True</x:t>
        </x:is>
      </x:c>
      <x:c r="J122" s="38" t="inlineStr">
        <x:is>
          <x:t xml:space="preserve">External Christic conversion: negative → positive</x:t>
        </x:is>
      </x:c>
      <x:c r="K122" s="38" t="inlineStr">
        <x:is>
          <x:t xml:space="preserve">TODO: list constructors/definitions/candidate restrictions.</x:t>
        </x:is>
      </x:c>
      <x:c r="L122" s="38" t="inlineStr">
        <x:is>
          <x:t xml:space="preserve">TODO: translate exact Lean statement only.</x:t>
        </x:is>
      </x:c>
      <x:c r="M122" s="38" t="inlineStr">
        <x:is>
          <x:t xml:space="preserve">TODO: link Colab/Python artifact or mark not tested.</x:t>
        </x:is>
      </x:c>
      <x:c r="N122" s="38" t="inlineStr">
        <x:is>
          <x:t xml:space="preserve">TODO: link dataset/observation or mark not empirical.</x:t>
        </x:is>
      </x:c>
      <x:c r="O122" s="38" t="inlineStr">
        <x:is>
          <x:t xml:space="preserve">TODO: theological/philosophical interpretation; do not merge with proof.</x:t>
        </x:is>
      </x:c>
      <x:c r="P122" s="38" t="inlineStr">
        <x:is>
          <x:t xml:space="preserve">TODO: formal, dynamical, empirical, or mapping kill condition.</x:t>
        </x:is>
      </x:c>
      <x:c r="Q122" s="39" t="inlineStr">
        <x:is>
          <x:t xml:space="preserve">Downgrade wording or strengthen proof if risk is HIGH; otherwise add evidence links.</x:t>
        </x:is>
      </x:c>
    </x:row>
    <x:row r="123" ht="15" customHeight="1">
      <x:c r="A123" s="37" t="inlineStr">
        <x:is>
          <x:t xml:space="preserve">137</x:t>
        </x:is>
      </x:c>
      <x:c r="B123" s="38" t="inlineStr">
        <x:is>
          <x:t xml:space="preserve">christic_conversion_turns_neutral_burden_positive</x:t>
        </x:is>
      </x:c>
      <x:c r="C123" s="38" t="inlineStr">
        <x:is>
          <x:t xml:space="preserve">C2 - Structural correspondence candidate</x:t>
        </x:is>
      </x:c>
      <x:c r="D123" s="38" t="inlineStr">
        <x:is>
          <x:t xml:space="preserve">2 - Defined model / marker theorem only</x:t>
        </x:is>
      </x:c>
      <x:c r="E123" s="38" t="inlineStr">
        <x:is>
          <x:t xml:space="preserve">TRIVIAL_TRUE</x:t>
        </x:is>
      </x:c>
      <x:c r="F123" s="38" t="inlineStr">
        <x:is>
          <x:t xml:space="preserve">HIGH - theorem name/public sentence may exceed formal statement.</x:t>
        </x:is>
      </x:c>
      <x:c r="G123" s="38" t="inlineStr">
        <x:is>
          <x:t xml:space="preserve">theophysics-lean-main\theophysics-lean-main\Theophysics_Core.lean</x:t>
        </x:is>
      </x:c>
      <x:c r="H123" s="38" t="inlineStr">
        <x:is>
          <x:t xml:space="preserve">47</x:t>
        </x:is>
      </x:c>
      <x:c r="I123" s="38" t="inlineStr">
        <x:is>
          <x:t xml:space="preserve">theorem christic_conversion_turns_neutral_burden_positive : True</x:t>
        </x:is>
      </x:c>
      <x:c r="J123" s="38" t="inlineStr">
        <x:is>
          <x:t xml:space="preserve">Christic conversion: neutral → positive</x:t>
        </x:is>
      </x:c>
      <x:c r="K123" s="38" t="inlineStr">
        <x:is>
          <x:t xml:space="preserve">TODO: list constructors/definitions/candidate restrictions.</x:t>
        </x:is>
      </x:c>
      <x:c r="L123" s="38" t="inlineStr">
        <x:is>
          <x:t xml:space="preserve">TODO: translate exact Lean statement only.</x:t>
        </x:is>
      </x:c>
      <x:c r="M123" s="38" t="inlineStr">
        <x:is>
          <x:t xml:space="preserve">TODO: link Colab/Python artifact or mark not tested.</x:t>
        </x:is>
      </x:c>
      <x:c r="N123" s="38" t="inlineStr">
        <x:is>
          <x:t xml:space="preserve">TODO: link dataset/observation or mark not empirical.</x:t>
        </x:is>
      </x:c>
      <x:c r="O123" s="38" t="inlineStr">
        <x:is>
          <x:t xml:space="preserve">TODO: theological/philosophical interpretation; do not merge with proof.</x:t>
        </x:is>
      </x:c>
      <x:c r="P123" s="38" t="inlineStr">
        <x:is>
          <x:t xml:space="preserve">TODO: formal, dynamical, empirical, or mapping kill condition.</x:t>
        </x:is>
      </x:c>
      <x:c r="Q123" s="39" t="inlineStr">
        <x:is>
          <x:t xml:space="preserve">Downgrade wording or strengthen proof if risk is HIGH; otherwise add evidence links.</x:t>
        </x:is>
      </x:c>
    </x:row>
    <x:row r="124" ht="15" customHeight="1">
      <x:c r="A124" s="37" t="inlineStr">
        <x:is>
          <x:t xml:space="preserve">138</x:t>
        </x:is>
      </x:c>
      <x:c r="B124" s="38" t="inlineStr">
        <x:is>
          <x:t xml:space="preserve">two_negative_burdens_require_conversion_for_positive</x:t>
        </x:is>
      </x:c>
      <x:c r="C124" s="38" t="inlineStr">
        <x:is>
          <x:t xml:space="preserve">C2 - Structural correspondence candidate</x:t>
        </x:is>
      </x:c>
      <x:c r="D124" s="38" t="inlineStr">
        <x:is>
          <x:t xml:space="preserve">4 - Negative and countermodel tests</x:t>
        </x:is>
      </x:c>
      <x:c r="E124" s="38" t="inlineStr">
        <x:is>
          <x:t xml:space="preserve">DEFINITIONAL_RFL</x:t>
        </x:is>
      </x:c>
      <x:c r="F124" s="38" t="inlineStr">
        <x:is>
          <x:t xml:space="preserve">MEDIUM - definition strength must be audited.</x:t>
        </x:is>
      </x:c>
      <x:c r="G124" s="38" t="inlineStr">
        <x:is>
          <x:t xml:space="preserve">theophysics-lean-main\theophysics-lean-main\Theophysics_Adversarial.lean</x:t>
        </x:is>
      </x:c>
      <x:c r="H124" s="38" t="inlineStr">
        <x:is>
          <x:t xml:space="preserve">499</x:t>
        </x:is>
      </x:c>
      <x:c r="I124" s="38" t="inlineStr">
        <x:is>
          <x:t xml:space="preserve">theorem two_negative_burdens_require_conversion_for_positive : convertedPositive true Sign.negative Sign.negative = true</x:t>
        </x:is>
      </x:c>
      <x:c r="J124" s="38" t="inlineStr">
        <x:is>
          <x:t xml:space="preserve">REJECTION: Accumulated negative burdens need conversion, not more burdens</x:t>
        </x:is>
      </x:c>
      <x:c r="K124" s="38" t="inlineStr">
        <x:is>
          <x:t xml:space="preserve">TODO: list constructors/definitions/candidate restrictions.</x:t>
        </x:is>
      </x:c>
      <x:c r="L124" s="38" t="inlineStr">
        <x:is>
          <x:t xml:space="preserve">TODO: translate exact Lean statement only.</x:t>
        </x:is>
      </x:c>
      <x:c r="M124" s="38" t="inlineStr">
        <x:is>
          <x:t xml:space="preserve">TODO: link Colab/Python artifact or mark not tested.</x:t>
        </x:is>
      </x:c>
      <x:c r="N124" s="38" t="inlineStr">
        <x:is>
          <x:t xml:space="preserve">TODO: link dataset/observation or mark not empirical.</x:t>
        </x:is>
      </x:c>
      <x:c r="O124" s="38" t="inlineStr">
        <x:is>
          <x:t xml:space="preserve">TODO: theological/philosophical interpretation; do not merge with proof.</x:t>
        </x:is>
      </x:c>
      <x:c r="P124" s="38" t="inlineStr">
        <x:is>
          <x:t xml:space="preserve">TODO: formal, dynamical, empirical, or mapping kill condition.</x:t>
        </x:is>
      </x:c>
      <x:c r="Q124" s="39" t="inlineStr">
        <x:is>
          <x:t xml:space="preserve">Downgrade wording or strengthen proof if risk is HIGH; otherwise add evidence links.</x:t>
        </x:is>
      </x:c>
    </x:row>
    <x:row r="125" ht="15" customHeight="1">
      <x:c r="A125" s="37" t="inlineStr">
        <x:is>
          <x:t xml:space="preserve">139</x:t>
        </x:is>
      </x:c>
      <x:c r="B125" s="38" t="inlineStr">
        <x:is>
          <x:t xml:space="preserve">two_negative_burdens_without_conversion_not_positive</x:t>
        </x:is>
      </x:c>
      <x:c r="C125" s="38" t="inlineStr">
        <x:is>
          <x:t xml:space="preserve">C2 - Structural correspondence candidate</x:t>
        </x:is>
      </x:c>
      <x:c r="D125" s="38" t="inlineStr">
        <x:is>
          <x:t xml:space="preserve">4 - Negative and countermodel tests</x:t>
        </x:is>
      </x:c>
      <x:c r="E125" s="38" t="inlineStr">
        <x:is>
          <x:t xml:space="preserve">DEFINITIONAL_RFL</x:t>
        </x:is>
      </x:c>
      <x:c r="F125" s="38" t="inlineStr">
        <x:is>
          <x:t xml:space="preserve">MEDIUM - definition strength must be audited.</x:t>
        </x:is>
      </x:c>
      <x:c r="G125" s="38" t="inlineStr">
        <x:is>
          <x:t xml:space="preserve">theophysics-lean-main\theophysics-lean-main\Theophysics_Adversarial.lean</x:t>
        </x:is>
      </x:c>
      <x:c r="H125" s="38" t="inlineStr">
        <x:is>
          <x:t xml:space="preserve">503</x:t>
        </x:is>
      </x:c>
      <x:c r="I125" s="38" t="inlineStr">
        <x:is>
          <x:t xml:space="preserve">theorem two_negative_burdens_without_conversion_not_positive : convertedPositive false Sign.negative Sign.negative = false</x:t>
        </x:is>
      </x:c>
      <x:c r="J125" s="38" t="inlineStr">
        <x:is>
          <x:t xml:space="preserve">REJECTION: Without conversion, burdens stay negative</x:t>
        </x:is>
      </x:c>
      <x:c r="K125" s="38" t="inlineStr">
        <x:is>
          <x:t xml:space="preserve">TODO: list constructors/definitions/candidate restrictions.</x:t>
        </x:is>
      </x:c>
      <x:c r="L125" s="38" t="inlineStr">
        <x:is>
          <x:t xml:space="preserve">TODO: translate exact Lean statement only.</x:t>
        </x:is>
      </x:c>
      <x:c r="M125" s="38" t="inlineStr">
        <x:is>
          <x:t xml:space="preserve">TODO: link Colab/Python artifact or mark not tested.</x:t>
        </x:is>
      </x:c>
      <x:c r="N125" s="38" t="inlineStr">
        <x:is>
          <x:t xml:space="preserve">TODO: link dataset/observation or mark not empirical.</x:t>
        </x:is>
      </x:c>
      <x:c r="O125" s="38" t="inlineStr">
        <x:is>
          <x:t xml:space="preserve">TODO: theological/philosophical interpretation; do not merge with proof.</x:t>
        </x:is>
      </x:c>
      <x:c r="P125" s="38" t="inlineStr">
        <x:is>
          <x:t xml:space="preserve">TODO: formal, dynamical, empirical, or mapping kill condition.</x:t>
        </x:is>
      </x:c>
      <x:c r="Q125" s="39" t="inlineStr">
        <x:is>
          <x:t xml:space="preserve">Downgrade wording or strengthen proof if risk is HIGH; otherwise add evidence links.</x:t>
        </x:is>
      </x:c>
    </x:row>
    <x:row r="126" ht="15" customHeight="1">
      <x:c r="A126" s="37" t="inlineStr">
        <x:is>
          <x:t xml:space="preserve">140</x:t>
        </x:is>
      </x:c>
      <x:c r="B126" s="38" t="inlineStr">
        <x:is>
          <x:t xml:space="preserve">negative_burden_gate_zero</x:t>
        </x:is>
      </x:c>
      <x:c r="C126" s="38" t="inlineStr">
        <x:is>
          <x:t xml:space="preserve">C2 - Structural correspondence candidate</x:t>
        </x:is>
      </x:c>
      <x:c r="D126" s="38" t="inlineStr">
        <x:is>
          <x:t xml:space="preserve">2 - Defined model / marker theorem only</x:t>
        </x:is>
      </x:c>
      <x:c r="E126" s="38" t="inlineStr">
        <x:is>
          <x:t xml:space="preserve">TRIVIAL_TRUE</x:t>
        </x:is>
      </x:c>
      <x:c r="F126" s="38" t="inlineStr">
        <x:is>
          <x:t xml:space="preserve">HIGH - theorem name/public sentence may exceed formal statement.</x:t>
        </x:is>
      </x:c>
      <x:c r="G126" s="38" t="inlineStr">
        <x:is>
          <x:t xml:space="preserve">theophysics-lean-main\theophysics-lean-main\Theophysics_Core.lean</x:t>
        </x:is>
      </x:c>
      <x:c r="H126" s="38" t="inlineStr">
        <x:is>
          <x:t xml:space="preserve">49</x:t>
        </x:is>
      </x:c>
      <x:c r="I126" s="38" t="inlineStr">
        <x:is>
          <x:t xml:space="preserve">theorem negative_burden_gate_zero : True</x:t>
        </x:is>
      </x:c>
      <x:c r="J126" s="38" t="inlineStr">
        <x:is>
          <x:t xml:space="preserve">Negative burden → coherence gate = 0</x:t>
        </x:is>
      </x:c>
      <x:c r="K126" s="38" t="inlineStr">
        <x:is>
          <x:t xml:space="preserve">TODO: list constructors/definitions/candidate restrictions.</x:t>
        </x:is>
      </x:c>
      <x:c r="L126" s="38" t="inlineStr">
        <x:is>
          <x:t xml:space="preserve">TODO: translate exact Lean statement only.</x:t>
        </x:is>
      </x:c>
      <x:c r="M126" s="38" t="inlineStr">
        <x:is>
          <x:t xml:space="preserve">TODO: link Colab/Python artifact or mark not tested.</x:t>
        </x:is>
      </x:c>
      <x:c r="N126" s="38" t="inlineStr">
        <x:is>
          <x:t xml:space="preserve">TODO: link dataset/observation or mark not empirical.</x:t>
        </x:is>
      </x:c>
      <x:c r="O126" s="38" t="inlineStr">
        <x:is>
          <x:t xml:space="preserve">TODO: theological/philosophical interpretation; do not merge with proof.</x:t>
        </x:is>
      </x:c>
      <x:c r="P126" s="38" t="inlineStr">
        <x:is>
          <x:t xml:space="preserve">TODO: formal, dynamical, empirical, or mapping kill condition.</x:t>
        </x:is>
      </x:c>
      <x:c r="Q126" s="39" t="inlineStr">
        <x:is>
          <x:t xml:space="preserve">Downgrade wording or strengthen proof if risk is HIGH; otherwise add evidence links.</x:t>
        </x:is>
      </x:c>
    </x:row>
    <x:row r="127" ht="15" customHeight="1">
      <x:c r="A127" s="37" t="inlineStr">
        <x:is>
          <x:t xml:space="preserve">141</x:t>
        </x:is>
      </x:c>
      <x:c r="B127" s="38" t="inlineStr">
        <x:is>
          <x:t xml:space="preserve">converted_negative_burden_gate_one</x:t>
        </x:is>
      </x:c>
      <x:c r="C127" s="38" t="inlineStr">
        <x:is>
          <x:t xml:space="preserve">C2 - Structural correspondence candidate</x:t>
        </x:is>
      </x:c>
      <x:c r="D127" s="38" t="inlineStr">
        <x:is>
          <x:t xml:space="preserve">2 - Defined model / marker theorem only</x:t>
        </x:is>
      </x:c>
      <x:c r="E127" s="38" t="inlineStr">
        <x:is>
          <x:t xml:space="preserve">TRIVIAL_TRUE</x:t>
        </x:is>
      </x:c>
      <x:c r="F127" s="38" t="inlineStr">
        <x:is>
          <x:t xml:space="preserve">HIGH - theorem name/public sentence may exceed formal statement.</x:t>
        </x:is>
      </x:c>
      <x:c r="G127" s="38" t="inlineStr">
        <x:is>
          <x:t xml:space="preserve">theophysics-lean-main\theophysics-lean-main\Theophysics_Core.lean</x:t>
        </x:is>
      </x:c>
      <x:c r="H127" s="38" t="inlineStr">
        <x:is>
          <x:t xml:space="preserve">48</x:t>
        </x:is>
      </x:c>
      <x:c r="I127" s="38" t="inlineStr">
        <x:is>
          <x:t xml:space="preserve">theorem converted_negative_burden_gate_one : True</x:t>
        </x:is>
      </x:c>
      <x:c r="J127" s="38" t="inlineStr">
        <x:is>
          <x:t xml:space="preserve">Converted burden → coherence gate = 1</x:t>
        </x:is>
      </x:c>
      <x:c r="K127" s="38" t="inlineStr">
        <x:is>
          <x:t xml:space="preserve">TODO: list constructors/definitions/candidate restrictions.</x:t>
        </x:is>
      </x:c>
      <x:c r="L127" s="38" t="inlineStr">
        <x:is>
          <x:t xml:space="preserve">TODO: translate exact Lean statement only.</x:t>
        </x:is>
      </x:c>
      <x:c r="M127" s="38" t="inlineStr">
        <x:is>
          <x:t xml:space="preserve">TODO: link Colab/Python artifact or mark not tested.</x:t>
        </x:is>
      </x:c>
      <x:c r="N127" s="38" t="inlineStr">
        <x:is>
          <x:t xml:space="preserve">TODO: link dataset/observation or mark not empirical.</x:t>
        </x:is>
      </x:c>
      <x:c r="O127" s="38" t="inlineStr">
        <x:is>
          <x:t xml:space="preserve">TODO: theological/philosophical interpretation; do not merge with proof.</x:t>
        </x:is>
      </x:c>
      <x:c r="P127" s="38" t="inlineStr">
        <x:is>
          <x:t xml:space="preserve">TODO: formal, dynamical, empirical, or mapping kill condition.</x:t>
        </x:is>
      </x:c>
      <x:c r="Q127" s="39" t="inlineStr">
        <x:is>
          <x:t xml:space="preserve">Downgrade wording or strengthen proof if risk is HIGH; otherwise add evidence links.</x:t>
        </x:is>
      </x:c>
    </x:row>
    <x:row r="128" ht="15" customHeight="1">
      <x:c r="A128" s="37" t="inlineStr">
        <x:is>
          <x:t xml:space="preserve">142</x:t>
        </x:is>
      </x:c>
      <x:c r="B128" s="38" t="inlineStr">
        <x:is>
          <x:t xml:space="preserve">C_op_converts_negative_to_positive</x:t>
        </x:is>
      </x:c>
      <x:c r="C128" s="38" t="inlineStr">
        <x:is>
          <x:t xml:space="preserve">C2 - Structural correspondence candidate</x:t>
        </x:is>
      </x:c>
      <x:c r="D128" s="38" t="inlineStr">
        <x:is>
          <x:t xml:space="preserve">2 - Defined model / marker theorem only</x:t>
        </x:is>
      </x:c>
      <x:c r="E128" s="38" t="inlineStr">
        <x:is>
          <x:t xml:space="preserve">TRIVIAL_TRUE</x:t>
        </x:is>
      </x:c>
      <x:c r="F128" s="38" t="inlineStr">
        <x:is>
          <x:t xml:space="preserve">HIGH - theorem name/public sentence may exceed formal statement.</x:t>
        </x:is>
      </x:c>
      <x:c r="G128" s="38" t="inlineStr">
        <x:is>
          <x:t xml:space="preserve">theophysics-lean-main\theophysics-lean-main\Theophysics_Core.lean</x:t>
        </x:is>
      </x:c>
      <x:c r="H128" s="38" t="inlineStr">
        <x:is>
          <x:t xml:space="preserve">51</x:t>
        </x:is>
      </x:c>
      <x:c r="I128" s="38" t="inlineStr">
        <x:is>
          <x:t xml:space="preserve">theorem C_op_converts_negative_to_positive : True</x:t>
        </x:is>
      </x:c>
      <x:c r="J128" s="38" t="inlineStr">
        <x:is>
          <x:t xml:space="preserve">C_op takes negative → positive (visible sign)</x:t>
        </x:is>
      </x:c>
      <x:c r="K128" s="38" t="inlineStr">
        <x:is>
          <x:t xml:space="preserve">TODO: list constructors/definitions/candidate restrictions.</x:t>
        </x:is>
      </x:c>
      <x:c r="L128" s="38" t="inlineStr">
        <x:is>
          <x:t xml:space="preserve">TODO: translate exact Lean statement only.</x:t>
        </x:is>
      </x:c>
      <x:c r="M128" s="38" t="inlineStr">
        <x:is>
          <x:t xml:space="preserve">TODO: link Colab/Python artifact or mark not tested.</x:t>
        </x:is>
      </x:c>
      <x:c r="N128" s="38" t="inlineStr">
        <x:is>
          <x:t xml:space="preserve">TODO: link dataset/observation or mark not empirical.</x:t>
        </x:is>
      </x:c>
      <x:c r="O128" s="38" t="inlineStr">
        <x:is>
          <x:t xml:space="preserve">TODO: theological/philosophical interpretation; do not merge with proof.</x:t>
        </x:is>
      </x:c>
      <x:c r="P128" s="38" t="inlineStr">
        <x:is>
          <x:t xml:space="preserve">TODO: formal, dynamical, empirical, or mapping kill condition.</x:t>
        </x:is>
      </x:c>
      <x:c r="Q128" s="39" t="inlineStr">
        <x:is>
          <x:t xml:space="preserve">Downgrade wording or strengthen proof if risk is HIGH; otherwise add evidence links.</x:t>
        </x:is>
      </x:c>
    </x:row>
    <x:row r="129" ht="15" customHeight="1">
      <x:c r="A129" s="37" t="inlineStr">
        <x:is>
          <x:t xml:space="preserve">143</x:t>
        </x:is>
      </x:c>
      <x:c r="B129" s="38" t="inlineStr">
        <x:is>
          <x:t xml:space="preserve">C_op_converts_neutral_to_positive</x:t>
        </x:is>
      </x:c>
      <x:c r="C129" s="38" t="inlineStr">
        <x:is>
          <x:t xml:space="preserve">C2 - Structural correspondence candidate</x:t>
        </x:is>
      </x:c>
      <x:c r="D129" s="38" t="inlineStr">
        <x:is>
          <x:t xml:space="preserve">2 - Defined model / marker theorem only</x:t>
        </x:is>
      </x:c>
      <x:c r="E129" s="38" t="inlineStr">
        <x:is>
          <x:t xml:space="preserve">TRIVIAL_TRUE</x:t>
        </x:is>
      </x:c>
      <x:c r="F129" s="38" t="inlineStr">
        <x:is>
          <x:t xml:space="preserve">HIGH - theorem name/public sentence may exceed formal statement.</x:t>
        </x:is>
      </x:c>
      <x:c r="G129" s="38" t="inlineStr">
        <x:is>
          <x:t xml:space="preserve">theophysics-lean-main\theophysics-lean-main\Theophysics_Core.lean</x:t>
        </x:is>
      </x:c>
      <x:c r="H129" s="38" t="inlineStr">
        <x:is>
          <x:t xml:space="preserve">52</x:t>
        </x:is>
      </x:c>
      <x:c r="I129" s="38" t="inlineStr">
        <x:is>
          <x:t xml:space="preserve">theorem C_op_converts_neutral_to_positive : True</x:t>
        </x:is>
      </x:c>
      <x:c r="J129" s="38" t="inlineStr">
        <x:is>
          <x:t xml:space="preserve">C_op takes neutral → positive</x:t>
        </x:is>
      </x:c>
      <x:c r="K129" s="38" t="inlineStr">
        <x:is>
          <x:t xml:space="preserve">TODO: list constructors/definitions/candidate restrictions.</x:t>
        </x:is>
      </x:c>
      <x:c r="L129" s="38" t="inlineStr">
        <x:is>
          <x:t xml:space="preserve">TODO: translate exact Lean statement only.</x:t>
        </x:is>
      </x:c>
      <x:c r="M129" s="38" t="inlineStr">
        <x:is>
          <x:t xml:space="preserve">TODO: link Colab/Python artifact or mark not tested.</x:t>
        </x:is>
      </x:c>
      <x:c r="N129" s="38" t="inlineStr">
        <x:is>
          <x:t xml:space="preserve">TODO: link dataset/observation or mark not empirical.</x:t>
        </x:is>
      </x:c>
      <x:c r="O129" s="38" t="inlineStr">
        <x:is>
          <x:t xml:space="preserve">TODO: theological/philosophical interpretation; do not merge with proof.</x:t>
        </x:is>
      </x:c>
      <x:c r="P129" s="38" t="inlineStr">
        <x:is>
          <x:t xml:space="preserve">TODO: formal, dynamical, empirical, or mapping kill condition.</x:t>
        </x:is>
      </x:c>
      <x:c r="Q129" s="39" t="inlineStr">
        <x:is>
          <x:t xml:space="preserve">Downgrade wording or strengthen proof if risk is HIGH; otherwise add evidence links.</x:t>
        </x:is>
      </x:c>
    </x:row>
    <x:row r="130" ht="15" customHeight="1">
      <x:c r="A130" s="37" t="inlineStr">
        <x:is>
          <x:t xml:space="preserve">144</x:t>
        </x:is>
      </x:c>
      <x:c r="B130" s="38" t="inlineStr">
        <x:is>
          <x:t xml:space="preserve">C_op_keeps_positive_positive</x:t>
        </x:is>
      </x:c>
      <x:c r="C130" s="38" t="inlineStr">
        <x:is>
          <x:t xml:space="preserve">C2 - Structural correspondence candidate</x:t>
        </x:is>
      </x:c>
      <x:c r="D130" s="38" t="inlineStr">
        <x:is>
          <x:t xml:space="preserve">2 - Defined model / marker theorem only</x:t>
        </x:is>
      </x:c>
      <x:c r="E130" s="38" t="inlineStr">
        <x:is>
          <x:t xml:space="preserve">TRIVIAL_TRUE</x:t>
        </x:is>
      </x:c>
      <x:c r="F130" s="38" t="inlineStr">
        <x:is>
          <x:t xml:space="preserve">HIGH - theorem name/public sentence may exceed formal statement.</x:t>
        </x:is>
      </x:c>
      <x:c r="G130" s="38" t="inlineStr">
        <x:is>
          <x:t xml:space="preserve">theophysics-lean-main\theophysics-lean-main\Theophysics_Core.lean</x:t>
        </x:is>
      </x:c>
      <x:c r="H130" s="38" t="inlineStr">
        <x:is>
          <x:t xml:space="preserve">53</x:t>
        </x:is>
      </x:c>
      <x:c r="I130" s="38" t="inlineStr">
        <x:is>
          <x:t xml:space="preserve">theorem C_op_keeps_positive_positive : True</x:t>
        </x:is>
      </x:c>
      <x:c r="J130" s="38" t="inlineStr">
        <x:is>
          <x:t xml:space="preserve">Already positive stays positive</x:t>
        </x:is>
      </x:c>
      <x:c r="K130" s="38" t="inlineStr">
        <x:is>
          <x:t xml:space="preserve">TODO: list constructors/definitions/candidate restrictions.</x:t>
        </x:is>
      </x:c>
      <x:c r="L130" s="38" t="inlineStr">
        <x:is>
          <x:t xml:space="preserve">TODO: translate exact Lean statement only.</x:t>
        </x:is>
      </x:c>
      <x:c r="M130" s="38" t="inlineStr">
        <x:is>
          <x:t xml:space="preserve">TODO: link Colab/Python artifact or mark not tested.</x:t>
        </x:is>
      </x:c>
      <x:c r="N130" s="38" t="inlineStr">
        <x:is>
          <x:t xml:space="preserve">TODO: link dataset/observation or mark not empirical.</x:t>
        </x:is>
      </x:c>
      <x:c r="O130" s="38" t="inlineStr">
        <x:is>
          <x:t xml:space="preserve">TODO: theological/philosophical interpretation; do not merge with proof.</x:t>
        </x:is>
      </x:c>
      <x:c r="P130" s="38" t="inlineStr">
        <x:is>
          <x:t xml:space="preserve">TODO: formal, dynamical, empirical, or mapping kill condition.</x:t>
        </x:is>
      </x:c>
      <x:c r="Q130" s="39" t="inlineStr">
        <x:is>
          <x:t xml:space="preserve">Downgrade wording or strengthen proof if risk is HIGH; otherwise add evidence links.</x:t>
        </x:is>
      </x:c>
    </x:row>
    <x:row r="131" ht="15" customHeight="1">
      <x:c r="A131" s="37" t="inlineStr">
        <x:is>
          <x:t xml:space="preserve">145</x:t>
        </x:is>
      </x:c>
      <x:c r="B131" s="38" t="inlineStr">
        <x:is>
          <x:t xml:space="preserve">C_op_preserves_record_mark</x:t>
        </x:is>
      </x:c>
      <x:c r="C131" s="38" t="inlineStr">
        <x:is>
          <x:t xml:space="preserve">C3 - Homomorphism candidate</x:t>
        </x:is>
      </x:c>
      <x:c r="D131" s="38" t="inlineStr">
        <x:is>
          <x:t xml:space="preserve">2 - Defined model / marker theorem only</x:t>
        </x:is>
      </x:c>
      <x:c r="E131" s="38" t="inlineStr">
        <x:is>
          <x:t xml:space="preserve">TRIVIAL_TRUE</x:t>
        </x:is>
      </x:c>
      <x:c r="F131" s="38" t="inlineStr">
        <x:is>
          <x:t xml:space="preserve">HIGH - theorem name/public sentence may exceed formal statement.</x:t>
        </x:is>
      </x:c>
      <x:c r="G131" s="38" t="inlineStr">
        <x:is>
          <x:t xml:space="preserve">theophysics-lean-main\theophysics-lean-main\Theophysics_Core.lean</x:t>
        </x:is>
      </x:c>
      <x:c r="H131" s="38" t="inlineStr">
        <x:is>
          <x:t xml:space="preserve">55</x:t>
        </x:is>
      </x:c>
      <x:c r="I131" s="38" t="inlineStr">
        <x:is>
          <x:t xml:space="preserve">theorem C_op_preserves_record_mark : True</x:t>
        </x:is>
      </x:c>
      <x:c r="J131" s="38" t="inlineStr">
        <x:is>
          <x:t xml:space="preserve">The record of what happened is NOT erased. History survives grace.</x:t>
        </x:is>
      </x:c>
      <x:c r="K131" s="38" t="inlineStr">
        <x:is>
          <x:t xml:space="preserve">TODO: list constructors/definitions/candidate restrictions.</x:t>
        </x:is>
      </x:c>
      <x:c r="L131" s="38" t="inlineStr">
        <x:is>
          <x:t xml:space="preserve">TODO: translate exact Lean statement only.</x:t>
        </x:is>
      </x:c>
      <x:c r="M131" s="38" t="inlineStr">
        <x:is>
          <x:t xml:space="preserve">TODO: link Colab/Python artifact or mark not tested.</x:t>
        </x:is>
      </x:c>
      <x:c r="N131" s="38" t="inlineStr">
        <x:is>
          <x:t xml:space="preserve">TODO: link dataset/observation or mark not empirical.</x:t>
        </x:is>
      </x:c>
      <x:c r="O131" s="38" t="inlineStr">
        <x:is>
          <x:t xml:space="preserve">TODO: theological/philosophical interpretation; do not merge with proof.</x:t>
        </x:is>
      </x:c>
      <x:c r="P131" s="38" t="inlineStr">
        <x:is>
          <x:t xml:space="preserve">TODO: formal, dynamical, empirical, or mapping kill condition.</x:t>
        </x:is>
      </x:c>
      <x:c r="Q131" s="39" t="inlineStr">
        <x:is>
          <x:t xml:space="preserve">Downgrade wording or strengthen proof if risk is HIGH; otherwise add evidence links.</x:t>
        </x:is>
      </x:c>
    </x:row>
    <x:row r="132" ht="15" customHeight="1">
      <x:c r="A132" s="37" t="inlineStr">
        <x:is>
          <x:t xml:space="preserve">146</x:t>
        </x:is>
      </x:c>
      <x:c r="B132" s="38" t="inlineStr">
        <x:is>
          <x:t xml:space="preserve">C_op_preserves_source_state</x:t>
        </x:is>
      </x:c>
      <x:c r="C132" s="38" t="inlineStr">
        <x:is>
          <x:t xml:space="preserve">C3 - Homomorphism candidate</x:t>
        </x:is>
      </x:c>
      <x:c r="D132" s="38" t="inlineStr">
        <x:is>
          <x:t xml:space="preserve">2 - Defined model / marker theorem only</x:t>
        </x:is>
      </x:c>
      <x:c r="E132" s="38" t="inlineStr">
        <x:is>
          <x:t xml:space="preserve">TRIVIAL_TRUE</x:t>
        </x:is>
      </x:c>
      <x:c r="F132" s="38" t="inlineStr">
        <x:is>
          <x:t xml:space="preserve">HIGH - theorem name/public sentence may exceed formal statement.</x:t>
        </x:is>
      </x:c>
      <x:c r="G132" s="38" t="inlineStr">
        <x:is>
          <x:t xml:space="preserve">theophysics-lean-main\theophysics-lean-main\Theophysics_Core.lean</x:t>
        </x:is>
      </x:c>
      <x:c r="H132" s="38" t="inlineStr">
        <x:is>
          <x:t xml:space="preserve">56</x:t>
        </x:is>
      </x:c>
      <x:c r="I132" s="38" t="inlineStr">
        <x:is>
          <x:t xml:space="preserve">theorem C_op_preserves_source_state : True</x:t>
        </x:is>
      </x:c>
      <x:c r="J132" s="38" t="inlineStr">
        <x:is>
          <x:t xml:space="preserve">Entire source state carried forward. Nothing lost.</x:t>
        </x:is>
      </x:c>
      <x:c r="K132" s="38" t="inlineStr">
        <x:is>
          <x:t xml:space="preserve">TODO: list constructors/definitions/candidate restrictions.</x:t>
        </x:is>
      </x:c>
      <x:c r="L132" s="38" t="inlineStr">
        <x:is>
          <x:t xml:space="preserve">TODO: translate exact Lean statement only.</x:t>
        </x:is>
      </x:c>
      <x:c r="M132" s="38" t="inlineStr">
        <x:is>
          <x:t xml:space="preserve">TODO: link Colab/Python artifact or mark not tested.</x:t>
        </x:is>
      </x:c>
      <x:c r="N132" s="38" t="inlineStr">
        <x:is>
          <x:t xml:space="preserve">TODO: link dataset/observation or mark not empirical.</x:t>
        </x:is>
      </x:c>
      <x:c r="O132" s="38" t="inlineStr">
        <x:is>
          <x:t xml:space="preserve">TODO: theological/philosophical interpretation; do not merge with proof.</x:t>
        </x:is>
      </x:c>
      <x:c r="P132" s="38" t="inlineStr">
        <x:is>
          <x:t xml:space="preserve">TODO: formal, dynamical, empirical, or mapping kill condition.</x:t>
        </x:is>
      </x:c>
      <x:c r="Q132" s="39" t="inlineStr">
        <x:is>
          <x:t xml:space="preserve">Downgrade wording or strengthen proof if risk is HIGH; otherwise add evidence links.</x:t>
        </x:is>
      </x:c>
    </x:row>
    <x:row r="133" ht="15" customHeight="1">
      <x:c r="A133" s="37" t="inlineStr">
        <x:is>
          <x:t xml:space="preserve">147</x:t>
        </x:is>
      </x:c>
      <x:c r="B133" s="38" t="inlineStr">
        <x:is>
          <x:t xml:space="preserve">C_op_preserves_negative_history_even_after_positive_output</x:t>
        </x:is>
      </x:c>
      <x:c r="C133" s="38" t="inlineStr">
        <x:is>
          <x:t xml:space="preserve">C3 - Homomorphism candidate</x:t>
        </x:is>
      </x:c>
      <x:c r="D133" s="38" t="inlineStr">
        <x:is>
          <x:t xml:space="preserve">2 - Defined model / marker theorem only</x:t>
        </x:is>
      </x:c>
      <x:c r="E133" s="38" t="inlineStr">
        <x:is>
          <x:t xml:space="preserve">TRIVIAL_TRUE</x:t>
        </x:is>
      </x:c>
      <x:c r="F133" s="38" t="inlineStr">
        <x:is>
          <x:t xml:space="preserve">HIGH - theorem name/public sentence may exceed formal statement.</x:t>
        </x:is>
      </x:c>
      <x:c r="G133" s="38" t="inlineStr">
        <x:is>
          <x:t xml:space="preserve">theophysics-lean-main\theophysics-lean-main\Theophysics_Core.lean</x:t>
        </x:is>
      </x:c>
      <x:c r="H133" s="38" t="inlineStr">
        <x:is>
          <x:t xml:space="preserve">54</x:t>
        </x:is>
      </x:c>
      <x:c r="I133" s="38" t="inlineStr">
        <x:is>
          <x:t xml:space="preserve">theorem C_op_preserves_negative_history_even_after_positive_output : True</x:t>
        </x:is>
      </x:c>
      <x:c r="J133" s="38" t="inlineStr">
        <x:is>
          <x:t xml:space="preserve">Source = negative, output = positive — simultaneously. Grace does not pretend the past didn't happen.</x:t>
        </x:is>
      </x:c>
      <x:c r="K133" s="38" t="inlineStr">
        <x:is>
          <x:t xml:space="preserve">TODO: list constructors/definitions/candidate restrictions.</x:t>
        </x:is>
      </x:c>
      <x:c r="L133" s="38" t="inlineStr">
        <x:is>
          <x:t xml:space="preserve">TODO: translate exact Lean statement only.</x:t>
        </x:is>
      </x:c>
      <x:c r="M133" s="38" t="inlineStr">
        <x:is>
          <x:t xml:space="preserve">TODO: link Colab/Python artifact or mark not tested.</x:t>
        </x:is>
      </x:c>
      <x:c r="N133" s="38" t="inlineStr">
        <x:is>
          <x:t xml:space="preserve">TODO: link dataset/observation or mark not empirical.</x:t>
        </x:is>
      </x:c>
      <x:c r="O133" s="38" t="inlineStr">
        <x:is>
          <x:t xml:space="preserve">TODO: theological/philosophical interpretation; do not merge with proof.</x:t>
        </x:is>
      </x:c>
      <x:c r="P133" s="38" t="inlineStr">
        <x:is>
          <x:t xml:space="preserve">TODO: formal, dynamical, empirical, or mapping kill condition.</x:t>
        </x:is>
      </x:c>
      <x:c r="Q133" s="39" t="inlineStr">
        <x:is>
          <x:t xml:space="preserve">Downgrade wording or strengthen proof if risk is HIGH; otherwise add evidence links.</x:t>
        </x:is>
      </x:c>
    </x:row>
    <x:row r="134" ht="15" customHeight="1">
      <x:c r="A134" s="37" t="inlineStr">
        <x:is>
          <x:t xml:space="preserve">148</x:t>
        </x:is>
      </x:c>
      <x:c r="B134" s="38" t="inlineStr">
        <x:is>
          <x:t xml:space="preserve">visible_projection_conflates_negative_and_neutral_conversion</x:t>
        </x:is>
      </x:c>
      <x:c r="C134" s="38" t="inlineStr">
        <x:is>
          <x:t xml:space="preserve">C2 - Structural correspondence candidate</x:t>
        </x:is>
      </x:c>
      <x:c r="D134" s="38" t="inlineStr">
        <x:is>
          <x:t xml:space="preserve">3 - Internal formal consistency</x:t>
        </x:is>
      </x:c>
      <x:c r="E134" s="38" t="inlineStr">
        <x:is>
          <x:t xml:space="preserve">DEFINITIONAL_RFL</x:t>
        </x:is>
      </x:c>
      <x:c r="F134" s="38" t="inlineStr">
        <x:is>
          <x:t xml:space="preserve">MEDIUM - definition strength must be audited.</x:t>
        </x:is>
      </x:c>
      <x:c r="G134" s="38" t="inlineStr">
        <x:is>
          <x:t xml:space="preserve">theophysics-lean-main\theophysics-lean-main\Theophysics_Adversarial.lean</x:t>
        </x:is>
      </x:c>
      <x:c r="H134" s="38" t="inlineStr">
        <x:is>
          <x:t xml:space="preserve">507</x:t>
        </x:is>
      </x:c>
      <x:c r="I134" s="38" t="inlineStr">
        <x:is>
          <x:t xml:space="preserve">theorem visible_projection_conflates_negative_and_neutral_conversion : visibleProjectionConflatesNegativeAndNeutral = true</x:t>
        </x:is>
      </x:c>
      <x:c r="J134" s="38" t="inlineStr">
        <x:is>
          <x:t xml:space="preserve">BOUNDARY: Visible output same for both — non-injective. You can't tell FROM THE OUTSIDE which path someone took.</x:t>
        </x:is>
      </x:c>
      <x:c r="K134" s="38" t="inlineStr">
        <x:is>
          <x:t xml:space="preserve">TODO: list constructors/definitions/candidate restrictions.</x:t>
        </x:is>
      </x:c>
      <x:c r="L134" s="38" t="inlineStr">
        <x:is>
          <x:t xml:space="preserve">TODO: translate exact Lean statement only.</x:t>
        </x:is>
      </x:c>
      <x:c r="M134" s="38" t="inlineStr">
        <x:is>
          <x:t xml:space="preserve">TODO: link Colab/Python artifact or mark not tested.</x:t>
        </x:is>
      </x:c>
      <x:c r="N134" s="38" t="inlineStr">
        <x:is>
          <x:t xml:space="preserve">TODO: link dataset/observation or mark not empirical.</x:t>
        </x:is>
      </x:c>
      <x:c r="O134" s="38" t="inlineStr">
        <x:is>
          <x:t xml:space="preserve">TODO: theological/philosophical interpretation; do not merge with proof.</x:t>
        </x:is>
      </x:c>
      <x:c r="P134" s="38" t="inlineStr">
        <x:is>
          <x:t xml:space="preserve">TODO: formal, dynamical, empirical, or mapping kill condition.</x:t>
        </x:is>
      </x:c>
      <x:c r="Q134" s="39" t="inlineStr">
        <x:is>
          <x:t xml:space="preserve">Downgrade wording or strengthen proof if risk is HIGH; otherwise add evidence links.</x:t>
        </x:is>
      </x:c>
    </x:row>
    <x:row r="135" ht="15" customHeight="1">
      <x:c r="A135" s="37" t="inlineStr">
        <x:is>
          <x:t xml:space="preserve">149</x:t>
        </x:is>
      </x:c>
      <x:c r="B135" s="38" t="inlineStr">
        <x:is>
          <x:t xml:space="preserve">lifted_outputs_preserve_distinct_source_signs</x:t>
        </x:is>
      </x:c>
      <x:c r="C135" s="38" t="inlineStr">
        <x:is>
          <x:t xml:space="preserve">C3 - Homomorphism candidate</x:t>
        </x:is>
      </x:c>
      <x:c r="D135" s="38" t="inlineStr">
        <x:is>
          <x:t xml:space="preserve">2 - Defined model / marker theorem only</x:t>
        </x:is>
      </x:c>
      <x:c r="E135" s="38" t="inlineStr">
        <x:is>
          <x:t xml:space="preserve">TRIVIAL_TRUE</x:t>
        </x:is>
      </x:c>
      <x:c r="F135" s="38" t="inlineStr">
        <x:is>
          <x:t xml:space="preserve">HIGH - theorem name/public sentence may exceed formal statement.</x:t>
        </x:is>
      </x:c>
      <x:c r="G135" s="38" t="inlineStr">
        <x:is>
          <x:t xml:space="preserve">theophysics-lean-main\theophysics-lean-main\Theophysics_Core.lean</x:t>
        </x:is>
      </x:c>
      <x:c r="H135" s="38" t="inlineStr">
        <x:is>
          <x:t xml:space="preserve">58</x:t>
        </x:is>
      </x:c>
      <x:c r="I135" s="38" t="inlineStr">
        <x:is>
          <x:t xml:space="preserve">theorem lifted_outputs_preserve_distinct_source_signs : True</x:t>
        </x:is>
      </x:c>
      <x:c r="J135" s="38" t="inlineStr">
        <x:is>
          <x:t xml:space="preserve">But lifted output preserves the distinction. God sees the full record.</x:t>
        </x:is>
      </x:c>
      <x:c r="K135" s="38" t="inlineStr">
        <x:is>
          <x:t xml:space="preserve">TODO: list constructors/definitions/candidate restrictions.</x:t>
        </x:is>
      </x:c>
      <x:c r="L135" s="38" t="inlineStr">
        <x:is>
          <x:t xml:space="preserve">TODO: translate exact Lean statement only.</x:t>
        </x:is>
      </x:c>
      <x:c r="M135" s="38" t="inlineStr">
        <x:is>
          <x:t xml:space="preserve">TODO: link Colab/Python artifact or mark not tested.</x:t>
        </x:is>
      </x:c>
      <x:c r="N135" s="38" t="inlineStr">
        <x:is>
          <x:t xml:space="preserve">TODO: link dataset/observation or mark not empirical.</x:t>
        </x:is>
      </x:c>
      <x:c r="O135" s="38" t="inlineStr">
        <x:is>
          <x:t xml:space="preserve">TODO: theological/philosophical interpretation; do not merge with proof.</x:t>
        </x:is>
      </x:c>
      <x:c r="P135" s="38" t="inlineStr">
        <x:is>
          <x:t xml:space="preserve">TODO: formal, dynamical, empirical, or mapping kill condition.</x:t>
        </x:is>
      </x:c>
      <x:c r="Q135" s="39" t="inlineStr">
        <x:is>
          <x:t xml:space="preserve">Downgrade wording or strengthen proof if risk is HIGH; otherwise add evidence links.</x:t>
        </x:is>
      </x:c>
    </x:row>
    <x:row r="136" ht="15" customHeight="1">
      <x:c r="A136" s="37" t="inlineStr">
        <x:is>
          <x:t xml:space="preserve">150</x:t>
        </x:is>
      </x:c>
      <x:c r="B136" s="38" t="inlineStr">
        <x:is>
          <x:t xml:space="preserve">visible_restoration_does_not_imply_erasure</x:t>
        </x:is>
      </x:c>
      <x:c r="C136" s="38" t="inlineStr">
        <x:is>
          <x:t xml:space="preserve">C2 - Structural correspondence candidate</x:t>
        </x:is>
      </x:c>
      <x:c r="D136" s="38" t="inlineStr">
        <x:is>
          <x:t xml:space="preserve">4 - Negative and countermodel tests</x:t>
        </x:is>
      </x:c>
      <x:c r="E136" s="38" t="inlineStr">
        <x:is>
          <x:t xml:space="preserve">DEFINITIONAL_RFL</x:t>
        </x:is>
      </x:c>
      <x:c r="F136" s="38" t="inlineStr">
        <x:is>
          <x:t xml:space="preserve">MEDIUM - definition strength must be audited.</x:t>
        </x:is>
      </x:c>
      <x:c r="G136" s="38" t="inlineStr">
        <x:is>
          <x:t xml:space="preserve">theophysics-lean-main\theophysics-lean-main\Theophysics_Adversarial.lean</x:t>
        </x:is>
      </x:c>
      <x:c r="H136" s="38" t="inlineStr">
        <x:is>
          <x:t xml:space="preserve">511</x:t>
        </x:is>
      </x:c>
      <x:c r="I136" s="38" t="inlineStr">
        <x:is>
          <x:t xml:space="preserve">theorem visible_restoration_does_not_imply_erasure : visibleRestorationErasesHistory = false</x:t>
        </x:is>
      </x:c>
      <x:c r="J136" s="38" t="inlineStr">
        <x:is>
          <x:t xml:space="preserve">REJECTION: Restoration ≠ erasure — formally. Looking forgiven ≠ past erased.</x:t>
        </x:is>
      </x:c>
      <x:c r="K136" s="38" t="inlineStr">
        <x:is>
          <x:t xml:space="preserve">TODO: list constructors/definitions/candidate restrictions.</x:t>
        </x:is>
      </x:c>
      <x:c r="L136" s="38" t="inlineStr">
        <x:is>
          <x:t xml:space="preserve">TODO: translate exact Lean statement only.</x:t>
        </x:is>
      </x:c>
      <x:c r="M136" s="38" t="inlineStr">
        <x:is>
          <x:t xml:space="preserve">TODO: link Colab/Python artifact or mark not tested.</x:t>
        </x:is>
      </x:c>
      <x:c r="N136" s="38" t="inlineStr">
        <x:is>
          <x:t xml:space="preserve">TODO: link dataset/observation or mark not empirical.</x:t>
        </x:is>
      </x:c>
      <x:c r="O136" s="38" t="inlineStr">
        <x:is>
          <x:t xml:space="preserve">TODO: theological/philosophical interpretation; do not merge with proof.</x:t>
        </x:is>
      </x:c>
      <x:c r="P136" s="38" t="inlineStr">
        <x:is>
          <x:t xml:space="preserve">TODO: formal, dynamical, empirical, or mapping kill condition.</x:t>
        </x:is>
      </x:c>
      <x:c r="Q136" s="39" t="inlineStr">
        <x:is>
          <x:t xml:space="preserve">Downgrade wording or strengthen proof if risk is HIGH; otherwise add evidence links.</x:t>
        </x:is>
      </x:c>
    </x:row>
    <x:row r="137" ht="15" customHeight="1">
      <x:c r="A137" s="37" t="inlineStr">
        <x:is>
          <x:t xml:space="preserve">151</x:t>
        </x:is>
      </x:c>
      <x:c r="B137" s="38" t="inlineStr">
        <x:is>
          <x:t xml:space="preserve">chi_via_COp_converts_two_negative_burdens</x:t>
        </x:is>
      </x:c>
      <x:c r="C137" s="38" t="inlineStr">
        <x:is>
          <x:t xml:space="preserve">C2 - Structural correspondence candidate</x:t>
        </x:is>
      </x:c>
      <x:c r="D137" s="38" t="inlineStr">
        <x:is>
          <x:t xml:space="preserve">2 - Defined model / marker theorem only</x:t>
        </x:is>
      </x:c>
      <x:c r="E137" s="38" t="inlineStr">
        <x:is>
          <x:t xml:space="preserve">TRIVIAL_TRUE</x:t>
        </x:is>
      </x:c>
      <x:c r="F137" s="38" t="inlineStr">
        <x:is>
          <x:t xml:space="preserve">HIGH - theorem name/public sentence may exceed formal statement.</x:t>
        </x:is>
      </x:c>
      <x:c r="G137" s="38" t="inlineStr">
        <x:is>
          <x:t xml:space="preserve">theophysics-lean-main\theophysics-lean-main\Theophysics_Core.lean</x:t>
        </x:is>
      </x:c>
      <x:c r="H137" s="38" t="inlineStr">
        <x:is>
          <x:t xml:space="preserve">57</x:t>
        </x:is>
      </x:c>
      <x:c r="I137" s="38" t="inlineStr">
        <x:is>
          <x:t xml:space="preserve">theorem chi_via_COp_converts_two_negative_burdens : True</x:t>
        </x:is>
      </x:c>
      <x:c r="J137" s="38" t="inlineStr">
        <x:is>
          <x:t xml:space="preserve">C_op converts accumulated negative burdens into positive coherence</x:t>
        </x:is>
      </x:c>
      <x:c r="K137" s="38" t="inlineStr">
        <x:is>
          <x:t xml:space="preserve">TODO: list constructors/definitions/candidate restrictions.</x:t>
        </x:is>
      </x:c>
      <x:c r="L137" s="38" t="inlineStr">
        <x:is>
          <x:t xml:space="preserve">TODO: translate exact Lean statement only.</x:t>
        </x:is>
      </x:c>
      <x:c r="M137" s="38" t="inlineStr">
        <x:is>
          <x:t xml:space="preserve">TODO: link Colab/Python artifact or mark not tested.</x:t>
        </x:is>
      </x:c>
      <x:c r="N137" s="38" t="inlineStr">
        <x:is>
          <x:t xml:space="preserve">TODO: link dataset/observation or mark not empirical.</x:t>
        </x:is>
      </x:c>
      <x:c r="O137" s="38" t="inlineStr">
        <x:is>
          <x:t xml:space="preserve">TODO: theological/philosophical interpretation; do not merge with proof.</x:t>
        </x:is>
      </x:c>
      <x:c r="P137" s="38" t="inlineStr">
        <x:is>
          <x:t xml:space="preserve">TODO: formal, dynamical, empirical, or mapping kill condition.</x:t>
        </x:is>
      </x:c>
      <x:c r="Q137" s="39" t="inlineStr">
        <x:is>
          <x:t xml:space="preserve">Downgrade wording or strengthen proof if risk is HIGH; otherwise add evidence links.</x:t>
        </x:is>
      </x:c>
    </x:row>
    <x:row r="138" ht="15" customHeight="1">
      <x:c r="A138" s="37" t="inlineStr">
        <x:is>
          <x:t xml:space="preserve">152</x:t>
        </x:is>
      </x:c>
      <x:c r="B138" s="38" t="inlineStr">
        <x:is>
          <x:t xml:space="preserve">chi_via_COp_is_not_plain_scalar_self_multiplication</x:t>
        </x:is>
      </x:c>
      <x:c r="C138" s="38" t="inlineStr">
        <x:is>
          <x:t xml:space="preserve">C2 - Structural correspondence candidate</x:t>
        </x:is>
      </x:c>
      <x:c r="D138" s="38" t="inlineStr">
        <x:is>
          <x:t xml:space="preserve">4 - Negative and countermodel tests</x:t>
        </x:is>
      </x:c>
      <x:c r="E138" s="38" t="inlineStr">
        <x:is>
          <x:t xml:space="preserve">DEFINITIONAL_RFL</x:t>
        </x:is>
      </x:c>
      <x:c r="F138" s="38" t="inlineStr">
        <x:is>
          <x:t xml:space="preserve">MEDIUM - definition strength must be audited.</x:t>
        </x:is>
      </x:c>
      <x:c r="G138" s="38" t="inlineStr">
        <x:is>
          <x:t xml:space="preserve">theophysics-lean-main\theophysics-lean-main\Theophysics_Adversarial.lean</x:t>
        </x:is>
      </x:c>
      <x:c r="H138" s="38" t="inlineStr">
        <x:is>
          <x:t xml:space="preserve">515</x:t>
        </x:is>
      </x:c>
      <x:c r="I138" s="38" t="inlineStr">
        <x:is>
          <x:t xml:space="preserve">theorem chi_via_COp_is_not_plain_scalar_self_multiplication : chiViaCOpIsPlainScalarSelfMultiplication = false</x:t>
        </x:is>
      </x:c>
      <x:c r="J138" s="38" t="inlineStr">
        <x:is>
          <x:t xml:space="preserve">REJECTION: C is NOT just another factor in the product. External integration, not scalar.</x:t>
        </x:is>
      </x:c>
      <x:c r="K138" s="38" t="inlineStr">
        <x:is>
          <x:t xml:space="preserve">TODO: list constructors/definitions/candidate restrictions.</x:t>
        </x:is>
      </x:c>
      <x:c r="L138" s="38" t="inlineStr">
        <x:is>
          <x:t xml:space="preserve">TODO: translate exact Lean statement only.</x:t>
        </x:is>
      </x:c>
      <x:c r="M138" s="38" t="inlineStr">
        <x:is>
          <x:t xml:space="preserve">TODO: link Colab/Python artifact or mark not tested.</x:t>
        </x:is>
      </x:c>
      <x:c r="N138" s="38" t="inlineStr">
        <x:is>
          <x:t xml:space="preserve">TODO: link dataset/observation or mark not empirical.</x:t>
        </x:is>
      </x:c>
      <x:c r="O138" s="38" t="inlineStr">
        <x:is>
          <x:t xml:space="preserve">TODO: theological/philosophical interpretation; do not merge with proof.</x:t>
        </x:is>
      </x:c>
      <x:c r="P138" s="38" t="inlineStr">
        <x:is>
          <x:t xml:space="preserve">TODO: formal, dynamical, empirical, or mapping kill condition.</x:t>
        </x:is>
      </x:c>
      <x:c r="Q138" s="39" t="inlineStr">
        <x:is>
          <x:t xml:space="preserve">Downgrade wording or strengthen proof if risk is HIGH; otherwise add evidence links.</x:t>
        </x:is>
      </x:c>
    </x:row>
    <x:row r="139" ht="15" customHeight="1">
      <x:c r="A139" s="37" t="inlineStr">
        <x:is>
          <x:t xml:space="preserve">153</x:t>
        </x:is>
      </x:c>
      <x:c r="B139" s="38" t="inlineStr">
        <x:is>
          <x:t xml:space="preserve">incarnation_preserves_substrate_identity</x:t>
        </x:is>
      </x:c>
      <x:c r="C139" s="38" t="inlineStr">
        <x:is>
          <x:t xml:space="preserve">C3 - Homomorphism candidate</x:t>
        </x:is>
      </x:c>
      <x:c r="D139" s="38" t="inlineStr">
        <x:is>
          <x:t xml:space="preserve">2 - Defined model / marker theorem only</x:t>
        </x:is>
      </x:c>
      <x:c r="E139" s="38" t="inlineStr">
        <x:is>
          <x:t xml:space="preserve">TRIVIAL_TRUE</x:t>
        </x:is>
      </x:c>
      <x:c r="F139" s="38" t="inlineStr">
        <x:is>
          <x:t xml:space="preserve">HIGH - theorem name/public sentence may exceed formal statement.</x:t>
        </x:is>
      </x:c>
      <x:c r="G139" s="38" t="inlineStr">
        <x:is>
          <x:t xml:space="preserve">theophysics-lean-main\theophysics-lean-main\Theophysics_Core.lean</x:t>
        </x:is>
      </x:c>
      <x:c r="H139" s="38" t="inlineStr">
        <x:is>
          <x:t xml:space="preserve">143</x:t>
        </x:is>
      </x:c>
      <x:c r="I139" s="38" t="inlineStr">
        <x:is>
          <x:t xml:space="preserve">theorem incarnation_preserves_substrate_identity : True</x:t>
        </x:is>
      </x:c>
      <x:c r="J139" s="38" t="inlineStr">
        <x:is>
          <x:t xml:space="preserve">Substrate ID unchanged through incarnation</x:t>
        </x:is>
      </x:c>
      <x:c r="K139" s="38" t="inlineStr">
        <x:is>
          <x:t xml:space="preserve">TODO: list constructors/definitions/candidate restrictions.</x:t>
        </x:is>
      </x:c>
      <x:c r="L139" s="38" t="inlineStr">
        <x:is>
          <x:t xml:space="preserve">TODO: translate exact Lean statement only.</x:t>
        </x:is>
      </x:c>
      <x:c r="M139" s="38" t="inlineStr">
        <x:is>
          <x:t xml:space="preserve">TODO: link Colab/Python artifact or mark not tested.</x:t>
        </x:is>
      </x:c>
      <x:c r="N139" s="38" t="inlineStr">
        <x:is>
          <x:t xml:space="preserve">TODO: link dataset/observation or mark not empirical.</x:t>
        </x:is>
      </x:c>
      <x:c r="O139" s="38" t="inlineStr">
        <x:is>
          <x:t xml:space="preserve">TODO: theological/philosophical interpretation; do not merge with proof.</x:t>
        </x:is>
      </x:c>
      <x:c r="P139" s="38" t="inlineStr">
        <x:is>
          <x:t xml:space="preserve">TODO: formal, dynamical, empirical, or mapping kill condition.</x:t>
        </x:is>
      </x:c>
      <x:c r="Q139" s="39" t="inlineStr">
        <x:is>
          <x:t xml:space="preserve">Downgrade wording or strengthen proof if risk is HIGH; otherwise add evidence links.</x:t>
        </x:is>
      </x:c>
    </x:row>
    <x:row r="140" ht="15" customHeight="1">
      <x:c r="A140" s="37" t="inlineStr">
        <x:is>
          <x:t xml:space="preserve">154</x:t>
        </x:is>
      </x:c>
      <x:c r="B140" s="38" t="inlineStr">
        <x:is>
          <x:t xml:space="preserve">cross_preserves_substrate_identity</x:t>
        </x:is>
      </x:c>
      <x:c r="C140" s="38" t="inlineStr">
        <x:is>
          <x:t xml:space="preserve">C3 - Homomorphism candidate</x:t>
        </x:is>
      </x:c>
      <x:c r="D140" s="38" t="inlineStr">
        <x:is>
          <x:t xml:space="preserve">2 - Defined model / marker theorem only</x:t>
        </x:is>
      </x:c>
      <x:c r="E140" s="38" t="inlineStr">
        <x:is>
          <x:t xml:space="preserve">TRIVIAL_TRUE</x:t>
        </x:is>
      </x:c>
      <x:c r="F140" s="38" t="inlineStr">
        <x:is>
          <x:t xml:space="preserve">HIGH - theorem name/public sentence may exceed formal statement.</x:t>
        </x:is>
      </x:c>
      <x:c r="G140" s="38" t="inlineStr">
        <x:is>
          <x:t xml:space="preserve">theophysics-lean-main\theophysics-lean-main\Theophysics_Core.lean</x:t>
        </x:is>
      </x:c>
      <x:c r="H140" s="38" t="inlineStr">
        <x:is>
          <x:t xml:space="preserve">141</x:t>
        </x:is>
      </x:c>
      <x:c r="I140" s="38" t="inlineStr">
        <x:is>
          <x:t xml:space="preserve">theorem cross_preserves_substrate_identity : True</x:t>
        </x:is>
      </x:c>
      <x:c r="J140" s="38" t="inlineStr">
        <x:is>
          <x:t xml:space="preserve">Substrate ID unchanged through crucifixion</x:t>
        </x:is>
      </x:c>
      <x:c r="K140" s="38" t="inlineStr">
        <x:is>
          <x:t xml:space="preserve">TODO: list constructors/definitions/candidate restrictions.</x:t>
        </x:is>
      </x:c>
      <x:c r="L140" s="38" t="inlineStr">
        <x:is>
          <x:t xml:space="preserve">TODO: translate exact Lean statement only.</x:t>
        </x:is>
      </x:c>
      <x:c r="M140" s="38" t="inlineStr">
        <x:is>
          <x:t xml:space="preserve">TODO: link Colab/Python artifact or mark not tested.</x:t>
        </x:is>
      </x:c>
      <x:c r="N140" s="38" t="inlineStr">
        <x:is>
          <x:t xml:space="preserve">TODO: link dataset/observation or mark not empirical.</x:t>
        </x:is>
      </x:c>
      <x:c r="O140" s="38" t="inlineStr">
        <x:is>
          <x:t xml:space="preserve">TODO: theological/philosophical interpretation; do not merge with proof.</x:t>
        </x:is>
      </x:c>
      <x:c r="P140" s="38" t="inlineStr">
        <x:is>
          <x:t xml:space="preserve">TODO: formal, dynamical, empirical, or mapping kill condition.</x:t>
        </x:is>
      </x:c>
      <x:c r="Q140" s="39" t="inlineStr">
        <x:is>
          <x:t xml:space="preserve">Downgrade wording or strengthen proof if risk is HIGH; otherwise add evidence links.</x:t>
        </x:is>
      </x:c>
    </x:row>
    <x:row r="141" ht="15" customHeight="1">
      <x:c r="A141" s="37" t="inlineStr">
        <x:is>
          <x:t xml:space="preserve">155</x:t>
        </x:is>
      </x:c>
      <x:c r="B141" s="38" t="inlineStr">
        <x:is>
          <x:t xml:space="preserve">resurrection_preserves_substrate_identity</x:t>
        </x:is>
      </x:c>
      <x:c r="C141" s="38" t="inlineStr">
        <x:is>
          <x:t xml:space="preserve">C3 - Homomorphism candidate</x:t>
        </x:is>
      </x:c>
      <x:c r="D141" s="38" t="inlineStr">
        <x:is>
          <x:t xml:space="preserve">2 - Defined model / marker theorem only</x:t>
        </x:is>
      </x:c>
      <x:c r="E141" s="38" t="inlineStr">
        <x:is>
          <x:t xml:space="preserve">TRIVIAL_TRUE</x:t>
        </x:is>
      </x:c>
      <x:c r="F141" s="38" t="inlineStr">
        <x:is>
          <x:t xml:space="preserve">HIGH - theorem name/public sentence may exceed formal statement.</x:t>
        </x:is>
      </x:c>
      <x:c r="G141" s="38" t="inlineStr">
        <x:is>
          <x:t xml:space="preserve">theophysics-lean-main\theophysics-lean-main\Theophysics_Core.lean</x:t>
        </x:is>
      </x:c>
      <x:c r="H141" s="38" t="inlineStr">
        <x:is>
          <x:t xml:space="preserve">144</x:t>
        </x:is>
      </x:c>
      <x:c r="I141" s="38" t="inlineStr">
        <x:is>
          <x:t xml:space="preserve">theorem resurrection_preserves_substrate_identity : True</x:t>
        </x:is>
      </x:c>
      <x:c r="J141" s="38" t="inlineStr">
        <x:is>
          <x:t xml:space="preserve">Substrate ID unchanged through resurrection</x:t>
        </x:is>
      </x:c>
      <x:c r="K141" s="38" t="inlineStr">
        <x:is>
          <x:t xml:space="preserve">TODO: list constructors/definitions/candidate restrictions.</x:t>
        </x:is>
      </x:c>
      <x:c r="L141" s="38" t="inlineStr">
        <x:is>
          <x:t xml:space="preserve">TODO: translate exact Lean statement only.</x:t>
        </x:is>
      </x:c>
      <x:c r="M141" s="38" t="inlineStr">
        <x:is>
          <x:t xml:space="preserve">TODO: link Colab/Python artifact or mark not tested.</x:t>
        </x:is>
      </x:c>
      <x:c r="N141" s="38" t="inlineStr">
        <x:is>
          <x:t xml:space="preserve">TODO: link dataset/observation or mark not empirical.</x:t>
        </x:is>
      </x:c>
      <x:c r="O141" s="38" t="inlineStr">
        <x:is>
          <x:t xml:space="preserve">TODO: theological/philosophical interpretation; do not merge with proof.</x:t>
        </x:is>
      </x:c>
      <x:c r="P141" s="38" t="inlineStr">
        <x:is>
          <x:t xml:space="preserve">TODO: formal, dynamical, empirical, or mapping kill condition.</x:t>
        </x:is>
      </x:c>
      <x:c r="Q141" s="39" t="inlineStr">
        <x:is>
          <x:t xml:space="preserve">Downgrade wording or strengthen proof if risk is HIGH; otherwise add evidence links.</x:t>
        </x:is>
      </x:c>
    </x:row>
    <x:row r="142" ht="15" customHeight="1">
      <x:c r="A142" s="37" t="inlineStr">
        <x:is>
          <x:t xml:space="preserve">156</x:t>
        </x:is>
      </x:c>
      <x:c r="B142" s="38" t="inlineStr">
        <x:is>
          <x:t xml:space="preserve">incarnation_is_finite_compression</x:t>
        </x:is>
      </x:c>
      <x:c r="C142" s="38" t="inlineStr">
        <x:is>
          <x:t xml:space="preserve">C2 - Structural correspondence candidate</x:t>
        </x:is>
      </x:c>
      <x:c r="D142" s="38" t="inlineStr">
        <x:is>
          <x:t xml:space="preserve">2 - Defined model / marker theorem only</x:t>
        </x:is>
      </x:c>
      <x:c r="E142" s="38" t="inlineStr">
        <x:is>
          <x:t xml:space="preserve">TRIVIAL_TRUE</x:t>
        </x:is>
      </x:c>
      <x:c r="F142" s="38" t="inlineStr">
        <x:is>
          <x:t xml:space="preserve">HIGH - theorem name/public sentence may exceed formal statement.</x:t>
        </x:is>
      </x:c>
      <x:c r="G142" s="38" t="inlineStr">
        <x:is>
          <x:t xml:space="preserve">theophysics-lean-main\theophysics-lean-main\Theophysics_Core.lean</x:t>
        </x:is>
      </x:c>
      <x:c r="H142" s="38" t="inlineStr">
        <x:is>
          <x:t xml:space="preserve">142</x:t>
        </x:is>
      </x:c>
      <x:c r="I142" s="38" t="inlineStr">
        <x:is>
          <x:t xml:space="preserve">theorem incarnation_is_finite_compression : True</x:t>
        </x:is>
      </x:c>
      <x:c r="J142" s="38" t="inlineStr">
        <x:is>
          <x:t xml:space="preserve">Incarnation = resolution drops from infinite to finite</x:t>
        </x:is>
      </x:c>
      <x:c r="K142" s="38" t="inlineStr">
        <x:is>
          <x:t xml:space="preserve">TODO: list constructors/definitions/candidate restrictions.</x:t>
        </x:is>
      </x:c>
      <x:c r="L142" s="38" t="inlineStr">
        <x:is>
          <x:t xml:space="preserve">TODO: translate exact Lean statement only.</x:t>
        </x:is>
      </x:c>
      <x:c r="M142" s="38" t="inlineStr">
        <x:is>
          <x:t xml:space="preserve">TODO: link Colab/Python artifact or mark not tested.</x:t>
        </x:is>
      </x:c>
      <x:c r="N142" s="38" t="inlineStr">
        <x:is>
          <x:t xml:space="preserve">TODO: link dataset/observation or mark not empirical.</x:t>
        </x:is>
      </x:c>
      <x:c r="O142" s="38" t="inlineStr">
        <x:is>
          <x:t xml:space="preserve">TODO: theological/philosophical interpretation; do not merge with proof.</x:t>
        </x:is>
      </x:c>
      <x:c r="P142" s="38" t="inlineStr">
        <x:is>
          <x:t xml:space="preserve">TODO: formal, dynamical, empirical, or mapping kill condition.</x:t>
        </x:is>
      </x:c>
      <x:c r="Q142" s="39" t="inlineStr">
        <x:is>
          <x:t xml:space="preserve">Downgrade wording or strengthen proof if risk is HIGH; otherwise add evidence links.</x:t>
        </x:is>
      </x:c>
    </x:row>
    <x:row r="143" ht="15" customHeight="1">
      <x:c r="A143" s="37" t="inlineStr">
        <x:is>
          <x:t xml:space="preserve">157</x:t>
        </x:is>
      </x:c>
      <x:c r="B143" s="38" t="inlineStr">
        <x:is>
          <x:t xml:space="preserve">resurrection_returns_to_infinite_resolution</x:t>
        </x:is>
      </x:c>
      <x:c r="C143" s="38" t="inlineStr">
        <x:is>
          <x:t xml:space="preserve">C2 - Structural correspondence candidate</x:t>
        </x:is>
      </x:c>
      <x:c r="D143" s="38" t="inlineStr">
        <x:is>
          <x:t xml:space="preserve">2 - Defined model / marker theorem only</x:t>
        </x:is>
      </x:c>
      <x:c r="E143" s="38" t="inlineStr">
        <x:is>
          <x:t xml:space="preserve">TRIVIAL_TRUE</x:t>
        </x:is>
      </x:c>
      <x:c r="F143" s="38" t="inlineStr">
        <x:is>
          <x:t xml:space="preserve">HIGH - theorem name/public sentence may exceed formal statement.</x:t>
        </x:is>
      </x:c>
      <x:c r="G143" s="38" t="inlineStr">
        <x:is>
          <x:t xml:space="preserve">theophysics-lean-main\theophysics-lean-main\Theophysics_Core.lean</x:t>
        </x:is>
      </x:c>
      <x:c r="H143" s="38" t="inlineStr">
        <x:is>
          <x:t xml:space="preserve">145</x:t>
        </x:is>
      </x:c>
      <x:c r="I143" s="38" t="inlineStr">
        <x:is>
          <x:t xml:space="preserve">theorem resurrection_returns_to_infinite_resolution : True</x:t>
        </x:is>
      </x:c>
      <x:c r="J143" s="38" t="inlineStr">
        <x:is>
          <x:t xml:space="preserve">Resurrection = resolution returns to infinite</x:t>
        </x:is>
      </x:c>
      <x:c r="K143" s="38" t="inlineStr">
        <x:is>
          <x:t xml:space="preserve">TODO: list constructors/definitions/candidate restrictions.</x:t>
        </x:is>
      </x:c>
      <x:c r="L143" s="38" t="inlineStr">
        <x:is>
          <x:t xml:space="preserve">TODO: translate exact Lean statement only.</x:t>
        </x:is>
      </x:c>
      <x:c r="M143" s="38" t="inlineStr">
        <x:is>
          <x:t xml:space="preserve">TODO: link Colab/Python artifact or mark not tested.</x:t>
        </x:is>
      </x:c>
      <x:c r="N143" s="38" t="inlineStr">
        <x:is>
          <x:t xml:space="preserve">TODO: link dataset/observation or mark not empirical.</x:t>
        </x:is>
      </x:c>
      <x:c r="O143" s="38" t="inlineStr">
        <x:is>
          <x:t xml:space="preserve">TODO: theological/philosophical interpretation; do not merge with proof.</x:t>
        </x:is>
      </x:c>
      <x:c r="P143" s="38" t="inlineStr">
        <x:is>
          <x:t xml:space="preserve">TODO: formal, dynamical, empirical, or mapping kill condition.</x:t>
        </x:is>
      </x:c>
      <x:c r="Q143" s="39" t="inlineStr">
        <x:is>
          <x:t xml:space="preserve">Downgrade wording or strengthen proof if risk is HIGH; otherwise add evidence links.</x:t>
        </x:is>
      </x:c>
    </x:row>
    <x:row r="144" ht="15" customHeight="1">
      <x:c r="A144" s="37" t="inlineStr">
        <x:is>
          <x:t xml:space="preserve">158</x:t>
        </x:is>
      </x:c>
      <x:c r="B144" s="38" t="inlineStr">
        <x:is>
          <x:t xml:space="preserve">cross_has_entropy_and_death_contact</x:t>
        </x:is>
      </x:c>
      <x:c r="C144" s="38" t="inlineStr">
        <x:is>
          <x:t xml:space="preserve">C2 - Structural correspondence candidate</x:t>
        </x:is>
      </x:c>
      <x:c r="D144" s="38" t="inlineStr">
        <x:is>
          <x:t xml:space="preserve">2 - Defined model / marker theorem only</x:t>
        </x:is>
      </x:c>
      <x:c r="E144" s="38" t="inlineStr">
        <x:is>
          <x:t xml:space="preserve">TRIVIAL_TRUE</x:t>
        </x:is>
      </x:c>
      <x:c r="F144" s="38" t="inlineStr">
        <x:is>
          <x:t xml:space="preserve">HIGH - theorem name/public sentence may exceed formal statement.</x:t>
        </x:is>
      </x:c>
      <x:c r="G144" s="38" t="inlineStr">
        <x:is>
          <x:t xml:space="preserve">theophysics-lean-main\theophysics-lean-main\Theophysics_Core.lean</x:t>
        </x:is>
      </x:c>
      <x:c r="H144" s="38" t="inlineStr">
        <x:is>
          <x:t xml:space="preserve">59</x:t>
        </x:is>
      </x:c>
      <x:c r="I144" s="38" t="inlineStr">
        <x:is>
          <x:t xml:space="preserve">theorem cross_has_entropy_and_death_contact : True</x:t>
        </x:is>
      </x:c>
      <x:c r="J144" s="38" t="inlineStr">
        <x:is>
          <x:t xml:space="preserve">Cross records entropy contact AND death contact</x:t>
        </x:is>
      </x:c>
      <x:c r="K144" s="38" t="inlineStr">
        <x:is>
          <x:t xml:space="preserve">TODO: list constructors/definitions/candidate restrictions.</x:t>
        </x:is>
      </x:c>
      <x:c r="L144" s="38" t="inlineStr">
        <x:is>
          <x:t xml:space="preserve">TODO: translate exact Lean statement only.</x:t>
        </x:is>
      </x:c>
      <x:c r="M144" s="38" t="inlineStr">
        <x:is>
          <x:t xml:space="preserve">TODO: link Colab/Python artifact or mark not tested.</x:t>
        </x:is>
      </x:c>
      <x:c r="N144" s="38" t="inlineStr">
        <x:is>
          <x:t xml:space="preserve">TODO: link dataset/observation or mark not empirical.</x:t>
        </x:is>
      </x:c>
      <x:c r="O144" s="38" t="inlineStr">
        <x:is>
          <x:t xml:space="preserve">TODO: theological/philosophical interpretation; do not merge with proof.</x:t>
        </x:is>
      </x:c>
      <x:c r="P144" s="38" t="inlineStr">
        <x:is>
          <x:t xml:space="preserve">TODO: formal, dynamical, empirical, or mapping kill condition.</x:t>
        </x:is>
      </x:c>
      <x:c r="Q144" s="39" t="inlineStr">
        <x:is>
          <x:t xml:space="preserve">Downgrade wording or strengthen proof if risk is HIGH; otherwise add evidence links.</x:t>
        </x:is>
      </x:c>
    </x:row>
    <x:row r="145" ht="15" customHeight="1">
      <x:c r="A145" s="37" t="inlineStr">
        <x:is>
          <x:t xml:space="preserve">159–160</x:t>
        </x:is>
      </x:c>
      <x:c r="B145" s="38" t="inlineStr">
        <x:is>
          <x:t xml:space="preserve">resurrection_carries_entropy/death_contact_record</x:t>
        </x:is>
      </x:c>
      <x:c r="C145" s="38" t="inlineStr">
        <x:is>
          <x:t xml:space="preserve">C3 - Homomorphism candidate</x:t>
        </x:is>
      </x:c>
      <x:c r="D145" s="38" t="inlineStr">
        <x:is>
          <x:t xml:space="preserve">1 - Conceptual seed / open source link</x:t>
        </x:is>
      </x:c>
      <x:c r="E145" s="38" t="inlineStr">
        <x:is>
          <x:t xml:space="preserve">NOT_FOUND_IN_HUB</x:t>
        </x:is>
      </x:c>
      <x:c r="F145" s="38" t="inlineStr">
        <x:is>
          <x:t xml:space="preserve">HIGH - workbook row not found in current central hub Lean files.</x:t>
        </x:is>
      </x:c>
      <x:c r="G145" s="38" t="n"/>
      <x:c r="H145" s="38" t="n"/>
      <x:c r="I145" s="38" t="n"/>
      <x:c r="J145" s="38" t="inlineStr">
        <x:is>
          <x:t xml:space="preserve">Resurrection preserves entropy AND death contact records</x:t>
        </x:is>
      </x:c>
      <x:c r="K145" s="38" t="inlineStr">
        <x:is>
          <x:t xml:space="preserve">TODO: list constructors/definitions/candidate restrictions.</x:t>
        </x:is>
      </x:c>
      <x:c r="L145" s="38" t="inlineStr">
        <x:is>
          <x:t xml:space="preserve">TODO: translate exact Lean statement only.</x:t>
        </x:is>
      </x:c>
      <x:c r="M145" s="38" t="inlineStr">
        <x:is>
          <x:t xml:space="preserve">TODO: link Colab/Python artifact or mark not tested.</x:t>
        </x:is>
      </x:c>
      <x:c r="N145" s="38" t="inlineStr">
        <x:is>
          <x:t xml:space="preserve">TODO: link dataset/observation or mark not empirical.</x:t>
        </x:is>
      </x:c>
      <x:c r="O145" s="38" t="inlineStr">
        <x:is>
          <x:t xml:space="preserve">TODO: theological/philosophical interpretation; do not merge with proof.</x:t>
        </x:is>
      </x:c>
      <x:c r="P145" s="38" t="inlineStr">
        <x:is>
          <x:t xml:space="preserve">TODO: formal, dynamical, empirical, or mapping kill condition.</x:t>
        </x:is>
      </x:c>
      <x:c r="Q145" s="39" t="inlineStr">
        <x:is>
          <x:t xml:space="preserve">Downgrade wording or strengthen proof if risk is HIGH; otherwise add evidence links.</x:t>
        </x:is>
      </x:c>
    </x:row>
    <x:row r="146" ht="15" customHeight="1">
      <x:c r="A146" s="37" t="inlineStr">
        <x:is>
          <x:t xml:space="preserve">161</x:t>
        </x:is>
      </x:c>
      <x:c r="B146" s="38" t="inlineStr">
        <x:is>
          <x:t xml:space="preserve">resurrection_is_not_identical_to_preincarnate_visible_record</x:t>
        </x:is>
      </x:c>
      <x:c r="C146" s="38" t="inlineStr">
        <x:is>
          <x:t xml:space="preserve">C2 - Structural correspondence candidate</x:t>
        </x:is>
      </x:c>
      <x:c r="D146" s="38" t="inlineStr">
        <x:is>
          <x:t xml:space="preserve">4 - Negative and countermodel tests</x:t>
        </x:is>
      </x:c>
      <x:c r="E146" s="38" t="inlineStr">
        <x:is>
          <x:t xml:space="preserve">DEFINITIONAL_RFL</x:t>
        </x:is>
      </x:c>
      <x:c r="F146" s="38" t="inlineStr">
        <x:is>
          <x:t xml:space="preserve">MEDIUM - definition strength must be audited.</x:t>
        </x:is>
      </x:c>
      <x:c r="G146" s="38" t="inlineStr">
        <x:is>
          <x:t xml:space="preserve">theophysics-lean-main\theophysics-lean-main\Theophysics_Adversarial.lean</x:t>
        </x:is>
      </x:c>
      <x:c r="H146" s="38" t="inlineStr">
        <x:is>
          <x:t xml:space="preserve">520</x:t>
        </x:is>
      </x:c>
      <x:c r="I146" s="38" t="inlineStr">
        <x:is>
          <x:t xml:space="preserve">theorem resurrection_is_not_identical_to_preincarnate_visible_record : resurrectionIdenticalToPreincarnateVisibleRecord = false</x:t>
        </x:is>
      </x:c>
      <x:c r="J146" s="38" t="inlineStr">
        <x:is>
          <x:t xml:space="preserve">REJECTION: Post-resurrection ≠ pre-incarnate. It is RICHER — not a reset.</x:t>
        </x:is>
      </x:c>
      <x:c r="K146" s="38" t="inlineStr">
        <x:is>
          <x:t xml:space="preserve">TODO: list constructors/definitions/candidate restrictions.</x:t>
        </x:is>
      </x:c>
      <x:c r="L146" s="38" t="inlineStr">
        <x:is>
          <x:t xml:space="preserve">TODO: translate exact Lean statement only.</x:t>
        </x:is>
      </x:c>
      <x:c r="M146" s="38" t="inlineStr">
        <x:is>
          <x:t xml:space="preserve">TODO: link Colab/Python artifact or mark not tested.</x:t>
        </x:is>
      </x:c>
      <x:c r="N146" s="38" t="inlineStr">
        <x:is>
          <x:t xml:space="preserve">TODO: link dataset/observation or mark not empirical.</x:t>
        </x:is>
      </x:c>
      <x:c r="O146" s="38" t="inlineStr">
        <x:is>
          <x:t xml:space="preserve">TODO: theological/philosophical interpretation; do not merge with proof.</x:t>
        </x:is>
      </x:c>
      <x:c r="P146" s="38" t="inlineStr">
        <x:is>
          <x:t xml:space="preserve">TODO: formal, dynamical, empirical, or mapping kill condition.</x:t>
        </x:is>
      </x:c>
      <x:c r="Q146" s="39" t="inlineStr">
        <x:is>
          <x:t xml:space="preserve">Downgrade wording or strengthen proof if risk is HIGH; otherwise add evidence links.</x:t>
        </x:is>
      </x:c>
    </x:row>
    <x:row r="147" ht="15" customHeight="1">
      <x:c r="A147" s="37" t="inlineStr">
        <x:is>
          <x:t xml:space="preserve">162</x:t>
        </x:is>
      </x:c>
      <x:c r="B147" s="38" t="inlineStr">
        <x:is>
          <x:t xml:space="preserve">resurrection_same_substrate_richer_expression</x:t>
        </x:is>
      </x:c>
      <x:c r="C147" s="38" t="inlineStr">
        <x:is>
          <x:t xml:space="preserve">C2 - Structural correspondence candidate</x:t>
        </x:is>
      </x:c>
      <x:c r="D147" s="38" t="inlineStr">
        <x:is>
          <x:t xml:space="preserve">2 - Defined model / marker theorem only</x:t>
        </x:is>
      </x:c>
      <x:c r="E147" s="38" t="inlineStr">
        <x:is>
          <x:t xml:space="preserve">TRIVIAL_TRUE</x:t>
        </x:is>
      </x:c>
      <x:c r="F147" s="38" t="inlineStr">
        <x:is>
          <x:t xml:space="preserve">HIGH - theorem name/public sentence may exceed formal statement.</x:t>
        </x:is>
      </x:c>
      <x:c r="G147" s="38" t="inlineStr">
        <x:is>
          <x:t xml:space="preserve">theophysics-lean-main\theophysics-lean-main\Theophysics_Core.lean</x:t>
        </x:is>
      </x:c>
      <x:c r="H147" s="38" t="inlineStr">
        <x:is>
          <x:t xml:space="preserve">146</x:t>
        </x:is>
      </x:c>
      <x:c r="I147" s="38" t="inlineStr">
        <x:is>
          <x:t xml:space="preserve">theorem resurrection_same_substrate_richer_expression : True</x:t>
        </x:is>
      </x:c>
      <x:c r="J147" s="38" t="inlineStr">
        <x:is>
          <x:t xml:space="preserve">Same substrate + finite record carried = richer than before</x:t>
        </x:is>
      </x:c>
      <x:c r="K147" s="38" t="inlineStr">
        <x:is>
          <x:t xml:space="preserve">TODO: list constructors/definitions/candidate restrictions.</x:t>
        </x:is>
      </x:c>
      <x:c r="L147" s="38" t="inlineStr">
        <x:is>
          <x:t xml:space="preserve">TODO: translate exact Lean statement only.</x:t>
        </x:is>
      </x:c>
      <x:c r="M147" s="38" t="inlineStr">
        <x:is>
          <x:t xml:space="preserve">TODO: link Colab/Python artifact or mark not tested.</x:t>
        </x:is>
      </x:c>
      <x:c r="N147" s="38" t="inlineStr">
        <x:is>
          <x:t xml:space="preserve">TODO: link dataset/observation or mark not empirical.</x:t>
        </x:is>
      </x:c>
      <x:c r="O147" s="38" t="inlineStr">
        <x:is>
          <x:t xml:space="preserve">TODO: theological/philosophical interpretation; do not merge with proof.</x:t>
        </x:is>
      </x:c>
      <x:c r="P147" s="38" t="inlineStr">
        <x:is>
          <x:t xml:space="preserve">TODO: formal, dynamical, empirical, or mapping kill condition.</x:t>
        </x:is>
      </x:c>
      <x:c r="Q147" s="39" t="inlineStr">
        <x:is>
          <x:t xml:space="preserve">Downgrade wording or strengthen proof if risk is HIGH; otherwise add evidence links.</x:t>
        </x:is>
      </x:c>
    </x:row>
    <x:row r="148" ht="15" customHeight="1">
      <x:c r="A148" s="37" t="inlineStr">
        <x:is>
          <x:t xml:space="preserve">163–164</x:t>
        </x:is>
      </x:c>
      <x:c r="B148" s="38" t="inlineStr">
        <x:is>
          <x:t xml:space="preserve">mission_COp_restores/preserves</x:t>
        </x:is>
      </x:c>
      <x:c r="C148" s="38" t="inlineStr">
        <x:is>
          <x:t xml:space="preserve">C3 - Homomorphism candidate</x:t>
        </x:is>
      </x:c>
      <x:c r="D148" s="38" t="inlineStr">
        <x:is>
          <x:t xml:space="preserve">1 - Conceptual seed / open source link</x:t>
        </x:is>
      </x:c>
      <x:c r="E148" s="38" t="inlineStr">
        <x:is>
          <x:t xml:space="preserve">NOT_FOUND_IN_HUB</x:t>
        </x:is>
      </x:c>
      <x:c r="F148" s="38" t="inlineStr">
        <x:is>
          <x:t xml:space="preserve">HIGH - workbook row not found in current central hub Lean files.</x:t>
        </x:is>
      </x:c>
      <x:c r="G148" s="38" t="n"/>
      <x:c r="H148" s="38" t="n"/>
      <x:c r="I148" s="38" t="n"/>
      <x:c r="J148" s="38" t="inlineStr">
        <x:is>
          <x:t xml:space="preserve">Combined mission+C_op restores negative burden AND preserves source history</x:t>
        </x:is>
      </x:c>
      <x:c r="K148" s="38" t="inlineStr">
        <x:is>
          <x:t xml:space="preserve">TODO: list constructors/definitions/candidate restrictions.</x:t>
        </x:is>
      </x:c>
      <x:c r="L148" s="38" t="inlineStr">
        <x:is>
          <x:t xml:space="preserve">TODO: translate exact Lean statement only.</x:t>
        </x:is>
      </x:c>
      <x:c r="M148" s="38" t="inlineStr">
        <x:is>
          <x:t xml:space="preserve">TODO: link Colab/Python artifact or mark not tested.</x:t>
        </x:is>
      </x:c>
      <x:c r="N148" s="38" t="inlineStr">
        <x:is>
          <x:t xml:space="preserve">TODO: link dataset/observation or mark not empirical.</x:t>
        </x:is>
      </x:c>
      <x:c r="O148" s="38" t="inlineStr">
        <x:is>
          <x:t xml:space="preserve">TODO: theological/philosophical interpretation; do not merge with proof.</x:t>
        </x:is>
      </x:c>
      <x:c r="P148" s="38" t="inlineStr">
        <x:is>
          <x:t xml:space="preserve">TODO: formal, dynamical, empirical, or mapping kill condition.</x:t>
        </x:is>
      </x:c>
      <x:c r="Q148" s="39" t="inlineStr">
        <x:is>
          <x:t xml:space="preserve">Downgrade wording or strengthen proof if risk is HIGH; otherwise add evidence links.</x:t>
        </x:is>
      </x:c>
    </x:row>
    <x:row r="149" ht="15" customHeight="1">
      <x:c r="A149" s="37" t="inlineStr">
        <x:is>
          <x:t xml:space="preserve">165</x:t>
        </x:is>
      </x:c>
      <x:c r="B149" s="38" t="inlineStr">
        <x:is>
          <x:t xml:space="preserve">mission_COp_is_not_repair_only</x:t>
        </x:is>
      </x:c>
      <x:c r="C149" s="38" t="inlineStr">
        <x:is>
          <x:t xml:space="preserve">C3 - Homomorphism candidate</x:t>
        </x:is>
      </x:c>
      <x:c r="D149" s="38" t="inlineStr">
        <x:is>
          <x:t xml:space="preserve">4 - Negative and countermodel tests</x:t>
        </x:is>
      </x:c>
      <x:c r="E149" s="38" t="inlineStr">
        <x:is>
          <x:t xml:space="preserve">DEFINITIONAL_RFL</x:t>
        </x:is>
      </x:c>
      <x:c r="F149" s="38" t="inlineStr">
        <x:is>
          <x:t xml:space="preserve">MEDIUM - definition strength must be audited.</x:t>
        </x:is>
      </x:c>
      <x:c r="G149" s="38" t="inlineStr">
        <x:is>
          <x:t xml:space="preserve">theophysics-lean-main\theophysics-lean-main\Theophysics_Adversarial.lean</x:t>
        </x:is>
      </x:c>
      <x:c r="H149" s="38" t="inlineStr">
        <x:is>
          <x:t xml:space="preserve">524</x:t>
        </x:is>
      </x:c>
      <x:c r="I149" s="38" t="inlineStr">
        <x:is>
          <x:t xml:space="preserve">theorem mission_COp_is_not_repair_only : missionCOpIsRepairOnly = false</x:t>
        </x:is>
      </x:c>
      <x:c r="J149" s="38" t="inlineStr">
        <x:is>
          <x:t xml:space="preserve">REJECTION: Phase = resurrection + source preserved. This is mission return, NOT repair-only.</x:t>
        </x:is>
      </x:c>
      <x:c r="K149" s="38" t="inlineStr">
        <x:is>
          <x:t xml:space="preserve">TODO: list constructors/definitions/candidate restrictions.</x:t>
        </x:is>
      </x:c>
      <x:c r="L149" s="38" t="inlineStr">
        <x:is>
          <x:t xml:space="preserve">TODO: translate exact Lean statement only.</x:t>
        </x:is>
      </x:c>
      <x:c r="M149" s="38" t="inlineStr">
        <x:is>
          <x:t xml:space="preserve">TODO: link Colab/Python artifact or mark not tested.</x:t>
        </x:is>
      </x:c>
      <x:c r="N149" s="38" t="inlineStr">
        <x:is>
          <x:t xml:space="preserve">TODO: link dataset/observation or mark not empirical.</x:t>
        </x:is>
      </x:c>
      <x:c r="O149" s="38" t="inlineStr">
        <x:is>
          <x:t xml:space="preserve">TODO: theological/philosophical interpretation; do not merge with proof.</x:t>
        </x:is>
      </x:c>
      <x:c r="P149" s="38" t="inlineStr">
        <x:is>
          <x:t xml:space="preserve">TODO: formal, dynamical, empirical, or mapping kill condition.</x:t>
        </x:is>
      </x:c>
      <x:c r="Q149" s="39" t="inlineStr">
        <x:is>
          <x:t xml:space="preserve">Downgrade wording or strengthen proof if risk is HIGH; otherwise add evidence links.</x:t>
        </x:is>
      </x:c>
    </x:row>
    <x:row r="150" ht="15" customHeight="1">
      <x:c r="A150" s="37" t="inlineStr">
        <x:is>
          <x:t xml:space="preserve">166</x:t>
        </x:is>
      </x:c>
      <x:c r="B150" s="38" t="inlineStr">
        <x:is>
          <x:t xml:space="preserve">christ_coherent_memory_retained</x:t>
        </x:is>
      </x:c>
      <x:c r="C150" s="38" t="inlineStr">
        <x:is>
          <x:t xml:space="preserve">C2 - Structural correspondence candidate</x:t>
        </x:is>
      </x:c>
      <x:c r="D150" s="38" t="inlineStr">
        <x:is>
          <x:t xml:space="preserve">2 - Defined model / marker theorem only</x:t>
        </x:is>
      </x:c>
      <x:c r="E150" s="38" t="inlineStr">
        <x:is>
          <x:t xml:space="preserve">TRIVIAL_TRUE</x:t>
        </x:is>
      </x:c>
      <x:c r="F150" s="38" t="inlineStr">
        <x:is>
          <x:t xml:space="preserve">HIGH - theorem name/public sentence may exceed formal statement.</x:t>
        </x:is>
      </x:c>
      <x:c r="G150" s="38" t="inlineStr">
        <x:is>
          <x:t xml:space="preserve">theophysics-lean-main\theophysics-lean-main\Theophysics_Core.lean</x:t>
        </x:is>
      </x:c>
      <x:c r="H150" s="38" t="inlineStr">
        <x:is>
          <x:t xml:space="preserve">147</x:t>
        </x:is>
      </x:c>
      <x:c r="I150" s="38" t="inlineStr">
        <x:is>
          <x:t xml:space="preserve">theorem christ_coherent_memory_retained : True</x:t>
        </x:is>
      </x:c>
      <x:c r="J150" s="38" t="inlineStr">
        <x:is>
          <x:t xml:space="preserve">Recorded + Christ-coherent → retention bit = 1</x:t>
        </x:is>
      </x:c>
      <x:c r="K150" s="38" t="inlineStr">
        <x:is>
          <x:t xml:space="preserve">TODO: list constructors/definitions/candidate restrictions.</x:t>
        </x:is>
      </x:c>
      <x:c r="L150" s="38" t="inlineStr">
        <x:is>
          <x:t xml:space="preserve">TODO: translate exact Lean statement only.</x:t>
        </x:is>
      </x:c>
      <x:c r="M150" s="38" t="inlineStr">
        <x:is>
          <x:t xml:space="preserve">TODO: link Colab/Python artifact or mark not tested.</x:t>
        </x:is>
      </x:c>
      <x:c r="N150" s="38" t="inlineStr">
        <x:is>
          <x:t xml:space="preserve">TODO: link dataset/observation or mark not empirical.</x:t>
        </x:is>
      </x:c>
      <x:c r="O150" s="38" t="inlineStr">
        <x:is>
          <x:t xml:space="preserve">TODO: theological/philosophical interpretation; do not merge with proof.</x:t>
        </x:is>
      </x:c>
      <x:c r="P150" s="38" t="inlineStr">
        <x:is>
          <x:t xml:space="preserve">TODO: formal, dynamical, empirical, or mapping kill condition.</x:t>
        </x:is>
      </x:c>
      <x:c r="Q150" s="39" t="inlineStr">
        <x:is>
          <x:t xml:space="preserve">Downgrade wording or strengthen proof if risk is HIGH; otherwise add evidence links.</x:t>
        </x:is>
      </x:c>
    </x:row>
    <x:row r="151" ht="15" customHeight="1">
      <x:c r="A151" s="37" t="inlineStr">
        <x:is>
          <x:t xml:space="preserve">167</x:t>
        </x:is>
      </x:c>
      <x:c r="B151" s="38" t="inlineStr">
        <x:is>
          <x:t xml:space="preserve">incoherent_recorded_memory_not_retained</x:t>
        </x:is>
      </x:c>
      <x:c r="C151" s="38" t="inlineStr">
        <x:is>
          <x:t xml:space="preserve">C2 - Structural correspondence candidate</x:t>
        </x:is>
      </x:c>
      <x:c r="D151" s="38" t="inlineStr">
        <x:is>
          <x:t xml:space="preserve">4 - Negative and countermodel tests</x:t>
        </x:is>
      </x:c>
      <x:c r="E151" s="38" t="inlineStr">
        <x:is>
          <x:t xml:space="preserve">DEFINITIONAL_RFL</x:t>
        </x:is>
      </x:c>
      <x:c r="F151" s="38" t="inlineStr">
        <x:is>
          <x:t xml:space="preserve">MEDIUM - definition strength must be audited.</x:t>
        </x:is>
      </x:c>
      <x:c r="G151" s="38" t="inlineStr">
        <x:is>
          <x:t xml:space="preserve">theophysics-lean-main\theophysics-lean-main\Theophysics_Adversarial.lean</x:t>
        </x:is>
      </x:c>
      <x:c r="H151" s="38" t="inlineStr">
        <x:is>
          <x:t xml:space="preserve">528</x:t>
        </x:is>
      </x:c>
      <x:c r="I151" s="38" t="inlineStr">
        <x:is>
          <x:t xml:space="preserve">theorem incoherent_recorded_memory_not_retained : retainedMemory { recorded := true, christCoherent := false } = false</x:t>
        </x:is>
      </x:c>
      <x:c r="J151" s="38" t="inlineStr">
        <x:is>
          <x:t xml:space="preserve">REJECTION: Recorded but incoherent → retention bit = 0. Record alone is insufficient.</x:t>
        </x:is>
      </x:c>
      <x:c r="K151" s="38" t="inlineStr">
        <x:is>
          <x:t xml:space="preserve">TODO: list constructors/definitions/candidate restrictions.</x:t>
        </x:is>
      </x:c>
      <x:c r="L151" s="38" t="inlineStr">
        <x:is>
          <x:t xml:space="preserve">TODO: translate exact Lean statement only.</x:t>
        </x:is>
      </x:c>
      <x:c r="M151" s="38" t="inlineStr">
        <x:is>
          <x:t xml:space="preserve">TODO: link Colab/Python artifact or mark not tested.</x:t>
        </x:is>
      </x:c>
      <x:c r="N151" s="38" t="inlineStr">
        <x:is>
          <x:t xml:space="preserve">TODO: link dataset/observation or mark not empirical.</x:t>
        </x:is>
      </x:c>
      <x:c r="O151" s="38" t="inlineStr">
        <x:is>
          <x:t xml:space="preserve">TODO: theological/philosophical interpretation; do not merge with proof.</x:t>
        </x:is>
      </x:c>
      <x:c r="P151" s="38" t="inlineStr">
        <x:is>
          <x:t xml:space="preserve">TODO: formal, dynamical, empirical, or mapping kill condition.</x:t>
        </x:is>
      </x:c>
      <x:c r="Q151" s="39" t="inlineStr">
        <x:is>
          <x:t xml:space="preserve">Downgrade wording or strengthen proof if risk is HIGH; otherwise add evidence links.</x:t>
        </x:is>
      </x:c>
    </x:row>
    <x:row r="152" ht="15" customHeight="1">
      <x:c r="A152" s="37" t="inlineStr">
        <x:is>
          <x:t xml:space="preserve">168–169</x:t>
        </x:is>
      </x:c>
      <x:c r="B152" s="38" t="inlineStr">
        <x:is>
          <x:t xml:space="preserve">unrecorded/incoherent_forces_no_retention</x:t>
        </x:is>
      </x:c>
      <x:c r="C152" s="38" t="inlineStr">
        <x:is>
          <x:t xml:space="preserve">C2 - Structural correspondence candidate</x:t>
        </x:is>
      </x:c>
      <x:c r="D152" s="38" t="inlineStr">
        <x:is>
          <x:t xml:space="preserve">1 - Conceptual seed / open source link</x:t>
        </x:is>
      </x:c>
      <x:c r="E152" s="38" t="inlineStr">
        <x:is>
          <x:t xml:space="preserve">NOT_FOUND_IN_HUB</x:t>
        </x:is>
      </x:c>
      <x:c r="F152" s="38" t="inlineStr">
        <x:is>
          <x:t xml:space="preserve">HIGH - workbook row not found in current central hub Lean files.</x:t>
        </x:is>
      </x:c>
      <x:c r="G152" s="38" t="n"/>
      <x:c r="H152" s="38" t="n"/>
      <x:c r="I152" s="38" t="n"/>
      <x:c r="J152" s="38" t="inlineStr">
        <x:is>
          <x:t xml:space="preserve">REJECTION: ∀ m, unrecorded → retention = 0. ∀ m, incoherent → retention = 0.</x:t>
        </x:is>
      </x:c>
      <x:c r="K152" s="38" t="inlineStr">
        <x:is>
          <x:t xml:space="preserve">TODO: list constructors/definitions/candidate restrictions.</x:t>
        </x:is>
      </x:c>
      <x:c r="L152" s="38" t="inlineStr">
        <x:is>
          <x:t xml:space="preserve">TODO: translate exact Lean statement only.</x:t>
        </x:is>
      </x:c>
      <x:c r="M152" s="38" t="inlineStr">
        <x:is>
          <x:t xml:space="preserve">TODO: link Colab/Python artifact or mark not tested.</x:t>
        </x:is>
      </x:c>
      <x:c r="N152" s="38" t="inlineStr">
        <x:is>
          <x:t xml:space="preserve">TODO: link dataset/observation or mark not empirical.</x:t>
        </x:is>
      </x:c>
      <x:c r="O152" s="38" t="inlineStr">
        <x:is>
          <x:t xml:space="preserve">TODO: theological/philosophical interpretation; do not merge with proof.</x:t>
        </x:is>
      </x:c>
      <x:c r="P152" s="38" t="inlineStr">
        <x:is>
          <x:t xml:space="preserve">TODO: formal, dynamical, empirical, or mapping kill condition.</x:t>
        </x:is>
      </x:c>
      <x:c r="Q152" s="39" t="inlineStr">
        <x:is>
          <x:t xml:space="preserve">Downgrade wording or strengthen proof if risk is HIGH; otherwise add evidence links.</x:t>
        </x:is>
      </x:c>
    </x:row>
    <x:row r="153" ht="15" customHeight="1">
      <x:c r="A153" s="37" t="inlineStr">
        <x:is>
          <x:t xml:space="preserve">170</x:t>
        </x:is>
      </x:c>
      <x:c r="B153" s="38" t="inlineStr">
        <x:is>
          <x:t xml:space="preserve">recorded_and_christ_coherent_forces_retention</x:t>
        </x:is>
      </x:c>
      <x:c r="C153" s="38" t="inlineStr">
        <x:is>
          <x:t xml:space="preserve">C2 - Structural correspondence candidate</x:t>
        </x:is>
      </x:c>
      <x:c r="D153" s="38" t="inlineStr">
        <x:is>
          <x:t xml:space="preserve">2 - Defined model / marker theorem only</x:t>
        </x:is>
      </x:c>
      <x:c r="E153" s="38" t="inlineStr">
        <x:is>
          <x:t xml:space="preserve">TRIVIAL_TRUE</x:t>
        </x:is>
      </x:c>
      <x:c r="F153" s="38" t="inlineStr">
        <x:is>
          <x:t xml:space="preserve">HIGH - theorem name/public sentence may exceed formal statement.</x:t>
        </x:is>
      </x:c>
      <x:c r="G153" s="38" t="inlineStr">
        <x:is>
          <x:t xml:space="preserve">theophysics-lean-main\theophysics-lean-main\Theophysics_Core.lean</x:t>
        </x:is>
      </x:c>
      <x:c r="H153" s="38" t="inlineStr">
        <x:is>
          <x:t xml:space="preserve">150</x:t>
        </x:is>
      </x:c>
      <x:c r="I153" s="38" t="inlineStr">
        <x:is>
          <x:t xml:space="preserve">theorem recorded_and_christ_coherent_forces_retention : True</x:t>
        </x:is>
      </x:c>
      <x:c r="J153" s="38" t="inlineStr">
        <x:is>
          <x:t xml:space="preserve">∀ m, recorded ∧ coherent → retention = 1</x:t>
        </x:is>
      </x:c>
      <x:c r="K153" s="38" t="inlineStr">
        <x:is>
          <x:t xml:space="preserve">TODO: list constructors/definitions/candidate restrictions.</x:t>
        </x:is>
      </x:c>
      <x:c r="L153" s="38" t="inlineStr">
        <x:is>
          <x:t xml:space="preserve">TODO: translate exact Lean statement only.</x:t>
        </x:is>
      </x:c>
      <x:c r="M153" s="38" t="inlineStr">
        <x:is>
          <x:t xml:space="preserve">TODO: link Colab/Python artifact or mark not tested.</x:t>
        </x:is>
      </x:c>
      <x:c r="N153" s="38" t="inlineStr">
        <x:is>
          <x:t xml:space="preserve">TODO: link dataset/observation or mark not empirical.</x:t>
        </x:is>
      </x:c>
      <x:c r="O153" s="38" t="inlineStr">
        <x:is>
          <x:t xml:space="preserve">TODO: theological/philosophical interpretation; do not merge with proof.</x:t>
        </x:is>
      </x:c>
      <x:c r="P153" s="38" t="inlineStr">
        <x:is>
          <x:t xml:space="preserve">TODO: formal, dynamical, empirical, or mapping kill condition.</x:t>
        </x:is>
      </x:c>
      <x:c r="Q153" s="39" t="inlineStr">
        <x:is>
          <x:t xml:space="preserve">Downgrade wording or strengthen proof if risk is HIGH; otherwise add evidence links.</x:t>
        </x:is>
      </x:c>
    </x:row>
    <x:row r="154" ht="15" customHeight="1">
      <x:c r="A154" s="37" t="inlineStr">
        <x:is>
          <x:t xml:space="preserve">171</x:t>
        </x:is>
      </x:c>
      <x:c r="B154" s="38" t="inlineStr">
        <x:is>
          <x:t xml:space="preserve">incoherent_recorded_memory_fails_only_final_retention</x:t>
        </x:is>
      </x:c>
      <x:c r="C154" s="38" t="inlineStr">
        <x:is>
          <x:t xml:space="preserve">C2 - Structural correspondence candidate</x:t>
        </x:is>
      </x:c>
      <x:c r="D154" s="38" t="inlineStr">
        <x:is>
          <x:t xml:space="preserve">2 - Defined model / marker theorem only</x:t>
        </x:is>
      </x:c>
      <x:c r="E154" s="38" t="inlineStr">
        <x:is>
          <x:t xml:space="preserve">TRIVIAL_TRUE</x:t>
        </x:is>
      </x:c>
      <x:c r="F154" s="38" t="inlineStr">
        <x:is>
          <x:t xml:space="preserve">HIGH - theorem name/public sentence may exceed formal statement.</x:t>
        </x:is>
      </x:c>
      <x:c r="G154" s="38" t="inlineStr">
        <x:is>
          <x:t xml:space="preserve">theophysics-lean-main\theophysics-lean-main\Theophysics_Core.lean</x:t>
        </x:is>
      </x:c>
      <x:c r="H154" s="38" t="inlineStr">
        <x:is>
          <x:t xml:space="preserve">149</x:t>
        </x:is>
      </x:c>
      <x:c r="I154" s="38" t="inlineStr">
        <x:is>
          <x:t xml:space="preserve">theorem incoherent_recorded_memory_fails_only_final_retention : True</x:t>
        </x:is>
      </x:c>
      <x:c r="J154" s="38" t="inlineStr">
        <x:is>
          <x:t xml:space="preserve">Accessible during life but filtered at death. Living memory ≠ final identity.</x:t>
        </x:is>
      </x:c>
      <x:c r="K154" s="38" t="inlineStr">
        <x:is>
          <x:t xml:space="preserve">TODO: list constructors/definitions/candidate restrictions.</x:t>
        </x:is>
      </x:c>
      <x:c r="L154" s="38" t="inlineStr">
        <x:is>
          <x:t xml:space="preserve">TODO: translate exact Lean statement only.</x:t>
        </x:is>
      </x:c>
      <x:c r="M154" s="38" t="inlineStr">
        <x:is>
          <x:t xml:space="preserve">TODO: link Colab/Python artifact or mark not tested.</x:t>
        </x:is>
      </x:c>
      <x:c r="N154" s="38" t="inlineStr">
        <x:is>
          <x:t xml:space="preserve">TODO: link dataset/observation or mark not empirical.</x:t>
        </x:is>
      </x:c>
      <x:c r="O154" s="38" t="inlineStr">
        <x:is>
          <x:t xml:space="preserve">TODO: theological/philosophical interpretation; do not merge with proof.</x:t>
        </x:is>
      </x:c>
      <x:c r="P154" s="38" t="inlineStr">
        <x:is>
          <x:t xml:space="preserve">TODO: formal, dynamical, empirical, or mapping kill condition.</x:t>
        </x:is>
      </x:c>
      <x:c r="Q154" s="39" t="inlineStr">
        <x:is>
          <x:t xml:space="preserve">Downgrade wording or strengthen proof if risk is HIGH; otherwise add evidence links.</x:t>
        </x:is>
      </x:c>
    </x:row>
    <x:row r="155" ht="15" customHeight="1">
      <x:c r="A155" s="37" t="inlineStr">
        <x:is>
          <x:t xml:space="preserve">172</x:t>
        </x:is>
      </x:c>
      <x:c r="B155" s="38" t="inlineStr">
        <x:is>
          <x:t xml:space="preserve">living_memory_is_not_final_identity_memory</x:t>
        </x:is>
      </x:c>
      <x:c r="C155" s="38" t="inlineStr">
        <x:is>
          <x:t xml:space="preserve">C2 - Structural correspondence candidate</x:t>
        </x:is>
      </x:c>
      <x:c r="D155" s="38" t="inlineStr">
        <x:is>
          <x:t xml:space="preserve">4 - Negative and countermodel tests</x:t>
        </x:is>
      </x:c>
      <x:c r="E155" s="38" t="inlineStr">
        <x:is>
          <x:t xml:space="preserve">DEFINITIONAL_RFL</x:t>
        </x:is>
      </x:c>
      <x:c r="F155" s="38" t="inlineStr">
        <x:is>
          <x:t xml:space="preserve">MEDIUM - definition strength must be audited.</x:t>
        </x:is>
      </x:c>
      <x:c r="G155" s="38" t="inlineStr">
        <x:is>
          <x:t xml:space="preserve">theophysics-lean-main\theophysics-lean-main\Theophysics_Adversarial.lean</x:t>
        </x:is>
      </x:c>
      <x:c r="H155" s="38" t="inlineStr">
        <x:is>
          <x:t xml:space="preserve">532</x:t>
        </x:is>
      </x:c>
      <x:c r="I155" s="38" t="inlineStr">
        <x:is>
          <x:t xml:space="preserve">theorem living_memory_is_not_final_identity_memory : retainedMemory { finalIdentityMemory := false } = false</x:t>
        </x:is>
      </x:c>
      <x:c r="J155" s="38" t="inlineStr">
        <x:is>
          <x:t xml:space="preserve">REJECTION: Life memory ≠ final identity memory. What you carry ≠ who you become.</x:t>
        </x:is>
      </x:c>
      <x:c r="K155" s="38" t="inlineStr">
        <x:is>
          <x:t xml:space="preserve">TODO: list constructors/definitions/candidate restrictions.</x:t>
        </x:is>
      </x:c>
      <x:c r="L155" s="38" t="inlineStr">
        <x:is>
          <x:t xml:space="preserve">TODO: translate exact Lean statement only.</x:t>
        </x:is>
      </x:c>
      <x:c r="M155" s="38" t="inlineStr">
        <x:is>
          <x:t xml:space="preserve">TODO: link Colab/Python artifact or mark not tested.</x:t>
        </x:is>
      </x:c>
      <x:c r="N155" s="38" t="inlineStr">
        <x:is>
          <x:t xml:space="preserve">TODO: link dataset/observation or mark not empirical.</x:t>
        </x:is>
      </x:c>
      <x:c r="O155" s="38" t="inlineStr">
        <x:is>
          <x:t xml:space="preserve">TODO: theological/philosophical interpretation; do not merge with proof.</x:t>
        </x:is>
      </x:c>
      <x:c r="P155" s="38" t="inlineStr">
        <x:is>
          <x:t xml:space="preserve">TODO: formal, dynamical, empirical, or mapping kill condition.</x:t>
        </x:is>
      </x:c>
      <x:c r="Q155" s="39" t="inlineStr">
        <x:is>
          <x:t xml:space="preserve">Downgrade wording or strengthen proof if risk is HIGH; otherwise add evidence links.</x:t>
        </x:is>
      </x:c>
    </x:row>
    <x:row r="156" ht="15" customHeight="1">
      <x:c r="A156" s="37" t="inlineStr">
        <x:is>
          <x:t xml:space="preserve">173</x:t>
        </x:is>
      </x:c>
      <x:c r="B156" s="38" t="inlineStr">
        <x:is>
          <x:t xml:space="preserve">reoriented_incoherent_memory_becomes_retained</x:t>
        </x:is>
      </x:c>
      <x:c r="C156" s="38" t="inlineStr">
        <x:is>
          <x:t xml:space="preserve">C2 - Structural correspondence candidate</x:t>
        </x:is>
      </x:c>
      <x:c r="D156" s="38" t="inlineStr">
        <x:is>
          <x:t xml:space="preserve">2 - Defined model / marker theorem only</x:t>
        </x:is>
      </x:c>
      <x:c r="E156" s="38" t="inlineStr">
        <x:is>
          <x:t xml:space="preserve">TRIVIAL_TRUE</x:t>
        </x:is>
      </x:c>
      <x:c r="F156" s="38" t="inlineStr">
        <x:is>
          <x:t xml:space="preserve">HIGH - theorem name/public sentence may exceed formal statement.</x:t>
        </x:is>
      </x:c>
      <x:c r="G156" s="38" t="inlineStr">
        <x:is>
          <x:t xml:space="preserve">theophysics-lean-main\theophysics-lean-main\Theophysics_Core.lean</x:t>
        </x:is>
      </x:c>
      <x:c r="H156" s="38" t="inlineStr">
        <x:is>
          <x:t xml:space="preserve">151</x:t>
        </x:is>
      </x:c>
      <x:c r="I156" s="38" t="inlineStr">
        <x:is>
          <x:t xml:space="preserve">theorem reoriented_incoherent_memory_becomes_retained : True</x:t>
        </x:is>
      </x:c>
      <x:c r="J156" s="38" t="inlineStr">
        <x:is>
          <x:t xml:space="preserve">Reorientation to Christ → retention restored. Conversion works.</x:t>
        </x:is>
      </x:c>
      <x:c r="K156" s="38" t="inlineStr">
        <x:is>
          <x:t xml:space="preserve">TODO: list constructors/definitions/candidate restrictions.</x:t>
        </x:is>
      </x:c>
      <x:c r="L156" s="38" t="inlineStr">
        <x:is>
          <x:t xml:space="preserve">TODO: translate exact Lean statement only.</x:t>
        </x:is>
      </x:c>
      <x:c r="M156" s="38" t="inlineStr">
        <x:is>
          <x:t xml:space="preserve">TODO: link Colab/Python artifact or mark not tested.</x:t>
        </x:is>
      </x:c>
      <x:c r="N156" s="38" t="inlineStr">
        <x:is>
          <x:t xml:space="preserve">TODO: link dataset/observation or mark not empirical.</x:t>
        </x:is>
      </x:c>
      <x:c r="O156" s="38" t="inlineStr">
        <x:is>
          <x:t xml:space="preserve">TODO: theological/philosophical interpretation; do not merge with proof.</x:t>
        </x:is>
      </x:c>
      <x:c r="P156" s="38" t="inlineStr">
        <x:is>
          <x:t xml:space="preserve">TODO: formal, dynamical, empirical, or mapping kill condition.</x:t>
        </x:is>
      </x:c>
      <x:c r="Q156" s="39" t="inlineStr">
        <x:is>
          <x:t xml:space="preserve">Downgrade wording or strengthen proof if risk is HIGH; otherwise add evidence links.</x:t>
        </x:is>
      </x:c>
    </x:row>
    <x:row r="157" ht="15" customHeight="1">
      <x:c r="A157" s="37" t="inlineStr">
        <x:is>
          <x:t xml:space="preserve">174–176</x:t>
        </x:is>
      </x:c>
      <x:c r="B157" s="38" t="inlineStr">
        <x:is>
          <x:t xml:space="preserve">final_identity conditions (3 theorems)</x:t>
        </x:is>
      </x:c>
      <x:c r="C157" s="38" t="inlineStr">
        <x:is>
          <x:t xml:space="preserve">C2 - Structural correspondence candidate</x:t>
        </x:is>
      </x:c>
      <x:c r="D157" s="38" t="inlineStr">
        <x:is>
          <x:t xml:space="preserve">1 - Conceptual seed / open source link</x:t>
        </x:is>
      </x:c>
      <x:c r="E157" s="38" t="inlineStr">
        <x:is>
          <x:t xml:space="preserve">NOT_FOUND_IN_HUB</x:t>
        </x:is>
      </x:c>
      <x:c r="F157" s="38" t="inlineStr">
        <x:is>
          <x:t xml:space="preserve">HIGH - workbook row not found in current central hub Lean files.</x:t>
        </x:is>
      </x:c>
      <x:c r="G157" s="38" t="n"/>
      <x:c r="H157" s="38" t="n"/>
      <x:c r="I157" s="38" t="n"/>
      <x:c r="J157" s="38" t="inlineStr">
        <x:is>
          <x:t xml:space="preserve">Coherent + integrated = final identity. Discoherent = no final identity. Coherent but not integrated = no final identity.</x:t>
        </x:is>
      </x:c>
      <x:c r="K157" s="38" t="inlineStr">
        <x:is>
          <x:t xml:space="preserve">TODO: list constructors/definitions/candidate restrictions.</x:t>
        </x:is>
      </x:c>
      <x:c r="L157" s="38" t="inlineStr">
        <x:is>
          <x:t xml:space="preserve">TODO: translate exact Lean statement only.</x:t>
        </x:is>
      </x:c>
      <x:c r="M157" s="38" t="inlineStr">
        <x:is>
          <x:t xml:space="preserve">TODO: link Colab/Python artifact or mark not tested.</x:t>
        </x:is>
      </x:c>
      <x:c r="N157" s="38" t="inlineStr">
        <x:is>
          <x:t xml:space="preserve">TODO: link dataset/observation or mark not empirical.</x:t>
        </x:is>
      </x:c>
      <x:c r="O157" s="38" t="inlineStr">
        <x:is>
          <x:t xml:space="preserve">TODO: theological/philosophical interpretation; do not merge with proof.</x:t>
        </x:is>
      </x:c>
      <x:c r="P157" s="38" t="inlineStr">
        <x:is>
          <x:t xml:space="preserve">TODO: formal, dynamical, empirical, or mapping kill condition.</x:t>
        </x:is>
      </x:c>
      <x:c r="Q157" s="39" t="inlineStr">
        <x:is>
          <x:t xml:space="preserve">Downgrade wording or strengthen proof if risk is HIGH; otherwise add evidence links.</x:t>
        </x:is>
      </x:c>
    </x:row>
    <x:row r="158" ht="15" customHeight="1">
      <x:c r="A158" s="37" t="inlineStr">
        <x:is>
          <x:t xml:space="preserve">177</x:t>
        </x:is>
      </x:c>
      <x:c r="B158" s="38" t="inlineStr">
        <x:is>
          <x:t xml:space="preserve">heaven_is_coherent_and_eternal</x:t>
        </x:is>
      </x:c>
      <x:c r="C158" s="38" t="inlineStr">
        <x:is>
          <x:t xml:space="preserve">C2 - Structural correspondence candidate</x:t>
        </x:is>
      </x:c>
      <x:c r="D158" s="38" t="inlineStr">
        <x:is>
          <x:t xml:space="preserve">2 - Defined model / marker theorem only</x:t>
        </x:is>
      </x:c>
      <x:c r="E158" s="38" t="inlineStr">
        <x:is>
          <x:t xml:space="preserve">TRIVIAL_TRUE</x:t>
        </x:is>
      </x:c>
      <x:c r="F158" s="38" t="inlineStr">
        <x:is>
          <x:t xml:space="preserve">HIGH - theorem name/public sentence may exceed formal statement.</x:t>
        </x:is>
      </x:c>
      <x:c r="G158" s="38" t="inlineStr">
        <x:is>
          <x:t xml:space="preserve">theophysics-lean-main\theophysics-lean-main\Theophysics_Core.lean</x:t>
        </x:is>
      </x:c>
      <x:c r="H158" s="38" t="inlineStr">
        <x:is>
          <x:t xml:space="preserve">148</x:t>
        </x:is>
      </x:c>
      <x:c r="I158" s="38" t="inlineStr">
        <x:is>
          <x:t xml:space="preserve">theorem heaven_is_coherent_and_eternal : True</x:t>
        </x:is>
      </x:c>
      <x:c r="J158" s="38" t="inlineStr">
        <x:is>
          <x:t xml:space="preserve">Heaven = coherent + eternal domain. Unique characterization.</x:t>
        </x:is>
      </x:c>
      <x:c r="K158" s="38" t="inlineStr">
        <x:is>
          <x:t xml:space="preserve">TODO: list constructors/definitions/candidate restrictions.</x:t>
        </x:is>
      </x:c>
      <x:c r="L158" s="38" t="inlineStr">
        <x:is>
          <x:t xml:space="preserve">TODO: translate exact Lean statement only.</x:t>
        </x:is>
      </x:c>
      <x:c r="M158" s="38" t="inlineStr">
        <x:is>
          <x:t xml:space="preserve">TODO: link Colab/Python artifact or mark not tested.</x:t>
        </x:is>
      </x:c>
      <x:c r="N158" s="38" t="inlineStr">
        <x:is>
          <x:t xml:space="preserve">TODO: link dataset/observation or mark not empirical.</x:t>
        </x:is>
      </x:c>
      <x:c r="O158" s="38" t="inlineStr">
        <x:is>
          <x:t xml:space="preserve">TODO: theological/philosophical interpretation; do not merge with proof.</x:t>
        </x:is>
      </x:c>
      <x:c r="P158" s="38" t="inlineStr">
        <x:is>
          <x:t xml:space="preserve">TODO: formal, dynamical, empirical, or mapping kill condition.</x:t>
        </x:is>
      </x:c>
      <x:c r="Q158" s="39" t="inlineStr">
        <x:is>
          <x:t xml:space="preserve">Downgrade wording or strengthen proof if risk is HIGH; otherwise add evidence links.</x:t>
        </x:is>
      </x:c>
    </x:row>
    <x:row r="159" ht="15" customHeight="1">
      <x:c r="A159" s="37" t="inlineStr">
        <x:is>
          <x:t xml:space="preserve">178–179</x:t>
        </x:is>
      </x:c>
      <x:c r="B159" s="38" t="inlineStr">
        <x:is>
          <x:t xml:space="preserve">merely_temporal/eternal_insufficient</x:t>
        </x:is>
      </x:c>
      <x:c r="C159" s="38" t="inlineStr">
        <x:is>
          <x:t xml:space="preserve">C5 - Dynamical equivalence candidate</x:t>
        </x:is>
      </x:c>
      <x:c r="D159" s="38" t="inlineStr">
        <x:is>
          <x:t xml:space="preserve">1 - Conceptual seed / open source link</x:t>
        </x:is>
      </x:c>
      <x:c r="E159" s="38" t="inlineStr">
        <x:is>
          <x:t xml:space="preserve">NOT_FOUND_IN_HUB</x:t>
        </x:is>
      </x:c>
      <x:c r="F159" s="38" t="inlineStr">
        <x:is>
          <x:t xml:space="preserve">HIGH - workbook row not found in current central hub Lean files.</x:t>
        </x:is>
      </x:c>
      <x:c r="G159" s="38" t="n"/>
      <x:c r="H159" s="38" t="n"/>
      <x:c r="I159" s="38" t="n"/>
      <x:c r="J159" s="38" t="inlineStr">
        <x:is>
          <x:t xml:space="preserve">REJECTION: Temporal coherence insufficient. Eternal instability insufficient. Both needed.</x:t>
        </x:is>
      </x:c>
      <x:c r="K159" s="38" t="inlineStr">
        <x:is>
          <x:t xml:space="preserve">TODO: list constructors/definitions/candidate restrictions.</x:t>
        </x:is>
      </x:c>
      <x:c r="L159" s="38" t="inlineStr">
        <x:is>
          <x:t xml:space="preserve">TODO: translate exact Lean statement only.</x:t>
        </x:is>
      </x:c>
      <x:c r="M159" s="38" t="inlineStr">
        <x:is>
          <x:t xml:space="preserve">TODO: link Colab/Python artifact or mark not tested.</x:t>
        </x:is>
      </x:c>
      <x:c r="N159" s="38" t="inlineStr">
        <x:is>
          <x:t xml:space="preserve">TODO: link dataset/observation or mark not empirical.</x:t>
        </x:is>
      </x:c>
      <x:c r="O159" s="38" t="inlineStr">
        <x:is>
          <x:t xml:space="preserve">TODO: theological/philosophical interpretation; do not merge with proof.</x:t>
        </x:is>
      </x:c>
      <x:c r="P159" s="38" t="inlineStr">
        <x:is>
          <x:t xml:space="preserve">TODO: formal, dynamical, empirical, or mapping kill condition.</x:t>
        </x:is>
      </x:c>
      <x:c r="Q159" s="39" t="inlineStr">
        <x:is>
          <x:t xml:space="preserve">Downgrade wording or strengthen proof if risk is HIGH; otherwise add evidence links.</x:t>
        </x:is>
      </x:c>
    </x:row>
    <x:row r="160" ht="15" customHeight="1">
      <x:c r="A160" s="37" t="inlineStr">
        <x:is>
          <x:t xml:space="preserve">180</x:t>
        </x:is>
      </x:c>
      <x:c r="B160" s="38" t="inlineStr">
        <x:is>
          <x:t xml:space="preserve">direct_discoherent_christ_entry_into_heaven_fails</x:t>
        </x:is>
      </x:c>
      <x:c r="C160" s="38" t="inlineStr">
        <x:is>
          <x:t xml:space="preserve">C2 - Structural correspondence candidate</x:t>
        </x:is>
      </x:c>
      <x:c r="D160" s="38" t="inlineStr">
        <x:is>
          <x:t xml:space="preserve">4 - Negative and countermodel tests</x:t>
        </x:is>
      </x:c>
      <x:c r="E160" s="38" t="inlineStr">
        <x:is>
          <x:t xml:space="preserve">DEFINITIONAL_RFL</x:t>
        </x:is>
      </x:c>
      <x:c r="F160" s="38" t="inlineStr">
        <x:is>
          <x:t xml:space="preserve">MEDIUM - definition strength must be audited.</x:t>
        </x:is>
      </x:c>
      <x:c r="G160" s="38" t="inlineStr">
        <x:is>
          <x:t xml:space="preserve">theophysics-lean-main\theophysics-lean-main\Theophysics_Adversarial.lean</x:t>
        </x:is>
      </x:c>
      <x:c r="H160" s="38" t="inlineStr">
        <x:is>
          <x:t xml:space="preserve">536</x:t>
        </x:is>
      </x:c>
      <x:c r="I160" s="38" t="inlineStr">
        <x:is>
          <x:t xml:space="preserve">theorem direct_discoherent_christ_entry_into_heaven_fails : heavenEntryAllowed { christCoherent := false } = false</x:t>
        </x:is>
      </x:c>
      <x:c r="J160" s="38" t="inlineStr">
        <x:is>
          <x:t xml:space="preserve">REJECTION: Discoherent memory cannot directly enter heaven</x:t>
        </x:is>
      </x:c>
      <x:c r="K160" s="38" t="inlineStr">
        <x:is>
          <x:t xml:space="preserve">TODO: list constructors/definitions/candidate restrictions.</x:t>
        </x:is>
      </x:c>
      <x:c r="L160" s="38" t="inlineStr">
        <x:is>
          <x:t xml:space="preserve">TODO: translate exact Lean statement only.</x:t>
        </x:is>
      </x:c>
      <x:c r="M160" s="38" t="inlineStr">
        <x:is>
          <x:t xml:space="preserve">TODO: link Colab/Python artifact or mark not tested.</x:t>
        </x:is>
      </x:c>
      <x:c r="N160" s="38" t="inlineStr">
        <x:is>
          <x:t xml:space="preserve">TODO: link dataset/observation or mark not empirical.</x:t>
        </x:is>
      </x:c>
      <x:c r="O160" s="38" t="inlineStr">
        <x:is>
          <x:t xml:space="preserve">TODO: theological/philosophical interpretation; do not merge with proof.</x:t>
        </x:is>
      </x:c>
      <x:c r="P160" s="38" t="inlineStr">
        <x:is>
          <x:t xml:space="preserve">TODO: formal, dynamical, empirical, or mapping kill condition.</x:t>
        </x:is>
      </x:c>
      <x:c r="Q160" s="39" t="inlineStr">
        <x:is>
          <x:t xml:space="preserve">Downgrade wording or strengthen proof if risk is HIGH; otherwise add evidence links.</x:t>
        </x:is>
      </x:c>
    </x:row>
    <x:row r="161" ht="15" customHeight="1">
      <x:c r="A161" s="37" t="inlineStr">
        <x:is>
          <x:t xml:space="preserve">181</x:t>
        </x:is>
      </x:c>
      <x:c r="B161" s="38" t="inlineStr">
        <x:is>
          <x:t xml:space="preserve">transformed_discoherent_christ_entry_into_heaven_passes</x:t>
        </x:is>
      </x:c>
      <x:c r="C161" s="38" t="inlineStr">
        <x:is>
          <x:t xml:space="preserve">C2 - Structural correspondence candidate</x:t>
        </x:is>
      </x:c>
      <x:c r="D161" s="38" t="inlineStr">
        <x:is>
          <x:t xml:space="preserve">2 - Defined model / marker theorem only</x:t>
        </x:is>
      </x:c>
      <x:c r="E161" s="38" t="inlineStr">
        <x:is>
          <x:t xml:space="preserve">TRIVIAL_TRUE</x:t>
        </x:is>
      </x:c>
      <x:c r="F161" s="38" t="inlineStr">
        <x:is>
          <x:t xml:space="preserve">HIGH - theorem name/public sentence may exceed formal statement.</x:t>
        </x:is>
      </x:c>
      <x:c r="G161" s="38" t="inlineStr">
        <x:is>
          <x:t xml:space="preserve">theophysics-lean-main\theophysics-lean-main\Theophysics_Core.lean</x:t>
        </x:is>
      </x:c>
      <x:c r="H161" s="38" t="inlineStr">
        <x:is>
          <x:t xml:space="preserve">152</x:t>
        </x:is>
      </x:c>
      <x:c r="I161" s="38" t="inlineStr">
        <x:is>
          <x:t xml:space="preserve">theorem transformed_discoherent_christ_entry_into_heaven_passes : True</x:t>
        </x:is>
      </x:c>
      <x:c r="J161" s="38" t="inlineStr">
        <x:is>
          <x:t xml:space="preserve">Reintegrated memory CAN enter heaven. Conversion opens the gate.</x:t>
        </x:is>
      </x:c>
      <x:c r="K161" s="38" t="inlineStr">
        <x:is>
          <x:t xml:space="preserve">TODO: list constructors/definitions/candidate restrictions.</x:t>
        </x:is>
      </x:c>
      <x:c r="L161" s="38" t="inlineStr">
        <x:is>
          <x:t xml:space="preserve">TODO: translate exact Lean statement only.</x:t>
        </x:is>
      </x:c>
      <x:c r="M161" s="38" t="inlineStr">
        <x:is>
          <x:t xml:space="preserve">TODO: link Colab/Python artifact or mark not tested.</x:t>
        </x:is>
      </x:c>
      <x:c r="N161" s="38" t="inlineStr">
        <x:is>
          <x:t xml:space="preserve">TODO: link dataset/observation or mark not empirical.</x:t>
        </x:is>
      </x:c>
      <x:c r="O161" s="38" t="inlineStr">
        <x:is>
          <x:t xml:space="preserve">TODO: theological/philosophical interpretation; do not merge with proof.</x:t>
        </x:is>
      </x:c>
      <x:c r="P161" s="38" t="inlineStr">
        <x:is>
          <x:t xml:space="preserve">TODO: formal, dynamical, empirical, or mapping kill condition.</x:t>
        </x:is>
      </x:c>
      <x:c r="Q161" s="39" t="inlineStr">
        <x:is>
          <x:t xml:space="preserve">Downgrade wording or strengthen proof if risk is HIGH; otherwise add evidence links.</x:t>
        </x:is>
      </x:c>
    </x:row>
    <x:row r="162" ht="15" customHeight="1">
      <x:c r="A162" s="37" t="inlineStr">
        <x:is>
          <x:t xml:space="preserve">182</x:t>
        </x:is>
      </x:c>
      <x:c r="B162" s="38" t="inlineStr">
        <x:is>
          <x:t xml:space="preserve">transformed_unrecorded_discoherent_entry_still_fails</x:t>
        </x:is>
      </x:c>
      <x:c r="C162" s="38" t="inlineStr">
        <x:is>
          <x:t xml:space="preserve">C2 - Structural correspondence candidate</x:t>
        </x:is>
      </x:c>
      <x:c r="D162" s="38" t="inlineStr">
        <x:is>
          <x:t xml:space="preserve">4 - Negative and countermodel tests</x:t>
        </x:is>
      </x:c>
      <x:c r="E162" s="38" t="inlineStr">
        <x:is>
          <x:t xml:space="preserve">DEFINITIONAL_RFL</x:t>
        </x:is>
      </x:c>
      <x:c r="F162" s="38" t="inlineStr">
        <x:is>
          <x:t xml:space="preserve">MEDIUM - definition strength must be audited.</x:t>
        </x:is>
      </x:c>
      <x:c r="G162" s="38" t="inlineStr">
        <x:is>
          <x:t xml:space="preserve">theophysics-lean-main\theophysics-lean-main\Theophysics_Adversarial.lean</x:t>
        </x:is>
      </x:c>
      <x:c r="H162" s="38" t="inlineStr">
        <x:is>
          <x:t xml:space="preserve">540</x:t>
        </x:is>
      </x:c>
      <x:c r="I162" s="38" t="inlineStr">
        <x:is>
          <x:t xml:space="preserve">theorem transformed_unrecorded_discoherent_entry_still_fails : heavenEntryAllowed { recorded := false, christCoherent := false, transformed := true } = false</x:t>
        </x:is>
      </x:c>
      <x:c r="J162" s="38" t="inlineStr">
        <x:is>
          <x:t xml:space="preserve">REJECTION: But unrecorded events cannot be rescued. You cannot convert what was never recorded.</x:t>
        </x:is>
      </x:c>
      <x:c r="K162" s="38" t="inlineStr">
        <x:is>
          <x:t xml:space="preserve">TODO: list constructors/definitions/candidate restrictions.</x:t>
        </x:is>
      </x:c>
      <x:c r="L162" s="38" t="inlineStr">
        <x:is>
          <x:t xml:space="preserve">TODO: translate exact Lean statement only.</x:t>
        </x:is>
      </x:c>
      <x:c r="M162" s="38" t="inlineStr">
        <x:is>
          <x:t xml:space="preserve">TODO: link Colab/Python artifact or mark not tested.</x:t>
        </x:is>
      </x:c>
      <x:c r="N162" s="38" t="inlineStr">
        <x:is>
          <x:t xml:space="preserve">TODO: link dataset/observation or mark not empirical.</x:t>
        </x:is>
      </x:c>
      <x:c r="O162" s="38" t="inlineStr">
        <x:is>
          <x:t xml:space="preserve">TODO: theological/philosophical interpretation; do not merge with proof.</x:t>
        </x:is>
      </x:c>
      <x:c r="P162" s="38" t="inlineStr">
        <x:is>
          <x:t xml:space="preserve">TODO: formal, dynamical, empirical, or mapping kill condition.</x:t>
        </x:is>
      </x:c>
      <x:c r="Q162" s="39" t="inlineStr">
        <x:is>
          <x:t xml:space="preserve">Downgrade wording or strengthen proof if risk is HIGH; otherwise add evidence links.</x:t>
        </x:is>
      </x:c>
    </x:row>
    <x:row r="163" ht="15" customHeight="1">
      <x:c r="A163" s="37" t="inlineStr">
        <x:is>
          <x:t xml:space="preserve">183</x:t>
        </x:is>
      </x:c>
      <x:c r="B163" s="38" t="inlineStr">
        <x:is>
          <x:t xml:space="preserve">valid_giving_life_to_christ</x:t>
        </x:is>
      </x:c>
      <x:c r="C163" s="38" t="inlineStr">
        <x:is>
          <x:t xml:space="preserve">C2 - Structural correspondence candidate</x:t>
        </x:is>
      </x:c>
      <x:c r="D163" s="38" t="inlineStr">
        <x:is>
          <x:t xml:space="preserve">2 - Defined model / marker theorem only</x:t>
        </x:is>
      </x:c>
      <x:c r="E163" s="38" t="inlineStr">
        <x:is>
          <x:t xml:space="preserve">TRIVIAL_TRUE</x:t>
        </x:is>
      </x:c>
      <x:c r="F163" s="38" t="inlineStr">
        <x:is>
          <x:t xml:space="preserve">HIGH - theorem name/public sentence may exceed formal statement.</x:t>
        </x:is>
      </x:c>
      <x:c r="G163" s="38" t="inlineStr">
        <x:is>
          <x:t xml:space="preserve">theophysics-lean-main\theophysics-lean-main\Theophysics_Core.lean</x:t>
        </x:is>
      </x:c>
      <x:c r="H163" s="38" t="inlineStr">
        <x:is>
          <x:t xml:space="preserve">153</x:t>
        </x:is>
      </x:c>
      <x:c r="I163" s="38" t="inlineStr">
        <x:is>
          <x:t xml:space="preserve">theorem valid_giving_life_to_christ : True</x:t>
        </x:is>
      </x:c>
      <x:c r="J163" s="38" t="inlineStr">
        <x:is>
          <x:t xml:space="preserve">Surrender + external grace = valid conversion</x:t>
        </x:is>
      </x:c>
      <x:c r="K163" s="38" t="inlineStr">
        <x:is>
          <x:t xml:space="preserve">TODO: list constructors/definitions/candidate restrictions.</x:t>
        </x:is>
      </x:c>
      <x:c r="L163" s="38" t="inlineStr">
        <x:is>
          <x:t xml:space="preserve">TODO: translate exact Lean statement only.</x:t>
        </x:is>
      </x:c>
      <x:c r="M163" s="38" t="inlineStr">
        <x:is>
          <x:t xml:space="preserve">TODO: link Colab/Python artifact or mark not tested.</x:t>
        </x:is>
      </x:c>
      <x:c r="N163" s="38" t="inlineStr">
        <x:is>
          <x:t xml:space="preserve">TODO: link dataset/observation or mark not empirical.</x:t>
        </x:is>
      </x:c>
      <x:c r="O163" s="38" t="inlineStr">
        <x:is>
          <x:t xml:space="preserve">TODO: theological/philosophical interpretation; do not merge with proof.</x:t>
        </x:is>
      </x:c>
      <x:c r="P163" s="38" t="inlineStr">
        <x:is>
          <x:t xml:space="preserve">TODO: formal, dynamical, empirical, or mapping kill condition.</x:t>
        </x:is>
      </x:c>
      <x:c r="Q163" s="39" t="inlineStr">
        <x:is>
          <x:t xml:space="preserve">Downgrade wording or strengthen proof if risk is HIGH; otherwise add evidence links.</x:t>
        </x:is>
      </x:c>
    </x:row>
    <x:row r="164" ht="15" customHeight="1">
      <x:c r="A164" s="37" t="inlineStr">
        <x:is>
          <x:t xml:space="preserve">184</x:t>
        </x:is>
      </x:c>
      <x:c r="B164" s="38" t="inlineStr">
        <x:is>
          <x:t xml:space="preserve">resisting_without_grace_not_valid_conversion</x:t>
        </x:is>
      </x:c>
      <x:c r="C164" s="38" t="inlineStr">
        <x:is>
          <x:t xml:space="preserve">C2 - Structural correspondence candidate</x:t>
        </x:is>
      </x:c>
      <x:c r="D164" s="38" t="inlineStr">
        <x:is>
          <x:t xml:space="preserve">4 - Negative and countermodel tests</x:t>
        </x:is>
      </x:c>
      <x:c r="E164" s="38" t="inlineStr">
        <x:is>
          <x:t xml:space="preserve">DEFINITIONAL_RFL</x:t>
        </x:is>
      </x:c>
      <x:c r="F164" s="38" t="inlineStr">
        <x:is>
          <x:t xml:space="preserve">MEDIUM - definition strength must be audited.</x:t>
        </x:is>
      </x:c>
      <x:c r="G164" s="38" t="inlineStr">
        <x:is>
          <x:t xml:space="preserve">theophysics-lean-main\theophysics-lean-main\Theophysics_Adversarial.lean</x:t>
        </x:is>
      </x:c>
      <x:c r="H164" s="38" t="inlineStr">
        <x:is>
          <x:t xml:space="preserve">544</x:t>
        </x:is>
      </x:c>
      <x:c r="I164" s="38" t="inlineStr">
        <x:is>
          <x:t xml:space="preserve">theorem resisting_without_grace_not_valid_conversion : validConversion { grace := false, transformed := true } = false</x:t>
        </x:is>
      </x:c>
      <x:c r="J164" s="38" t="inlineStr">
        <x:is>
          <x:t xml:space="preserve">REJECTION: Resisting without grace = invalid. Will alone is not enough.</x:t>
        </x:is>
      </x:c>
      <x:c r="K164" s="38" t="inlineStr">
        <x:is>
          <x:t xml:space="preserve">TODO: list constructors/definitions/candidate restrictions.</x:t>
        </x:is>
      </x:c>
      <x:c r="L164" s="38" t="inlineStr">
        <x:is>
          <x:t xml:space="preserve">TODO: translate exact Lean statement only.</x:t>
        </x:is>
      </x:c>
      <x:c r="M164" s="38" t="inlineStr">
        <x:is>
          <x:t xml:space="preserve">TODO: link Colab/Python artifact or mark not tested.</x:t>
        </x:is>
      </x:c>
      <x:c r="N164" s="38" t="inlineStr">
        <x:is>
          <x:t xml:space="preserve">TODO: link dataset/observation or mark not empirical.</x:t>
        </x:is>
      </x:c>
      <x:c r="O164" s="38" t="inlineStr">
        <x:is>
          <x:t xml:space="preserve">TODO: theological/philosophical interpretation; do not merge with proof.</x:t>
        </x:is>
      </x:c>
      <x:c r="P164" s="38" t="inlineStr">
        <x:is>
          <x:t xml:space="preserve">TODO: formal, dynamical, empirical, or mapping kill condition.</x:t>
        </x:is>
      </x:c>
      <x:c r="Q164" s="39" t="inlineStr">
        <x:is>
          <x:t xml:space="preserve">Downgrade wording or strengthen proof if risk is HIGH; otherwise add evidence links.</x:t>
        </x:is>
      </x:c>
    </x:row>
    <x:row r="165" ht="15" customHeight="1">
      <x:c r="A165" s="37" t="inlineStr">
        <x:is>
          <x:t xml:space="preserve">185–186</x:t>
        </x:is>
      </x:c>
      <x:c r="B165" s="38" t="inlineStr">
        <x:is>
          <x:t xml:space="preserve">accountable_conversion + record_preservation</x:t>
        </x:is>
      </x:c>
      <x:c r="C165" s="38" t="inlineStr">
        <x:is>
          <x:t xml:space="preserve">C2 - Structural correspondence candidate</x:t>
        </x:is>
      </x:c>
      <x:c r="D165" s="38" t="inlineStr">
        <x:is>
          <x:t xml:space="preserve">1 - Conceptual seed / open source link</x:t>
        </x:is>
      </x:c>
      <x:c r="E165" s="38" t="inlineStr">
        <x:is>
          <x:t xml:space="preserve">NOT_FOUND_IN_HUB</x:t>
        </x:is>
      </x:c>
      <x:c r="F165" s="38" t="inlineStr">
        <x:is>
          <x:t xml:space="preserve">HIGH - workbook row not found in current central hub Lean files.</x:t>
        </x:is>
      </x:c>
      <x:c r="G165" s="38" t="n"/>
      <x:c r="H165" s="38" t="n"/>
      <x:c r="I165" s="38" t="n"/>
      <x:c r="J165" s="38" t="inlineStr">
        <x:is>
          <x:t xml:space="preserve">Conversion: negative → final identity. Record persists through conversion.</x:t>
        </x:is>
      </x:c>
      <x:c r="K165" s="38" t="inlineStr">
        <x:is>
          <x:t xml:space="preserve">TODO: list constructors/definitions/candidate restrictions.</x:t>
        </x:is>
      </x:c>
      <x:c r="L165" s="38" t="inlineStr">
        <x:is>
          <x:t xml:space="preserve">TODO: translate exact Lean statement only.</x:t>
        </x:is>
      </x:c>
      <x:c r="M165" s="38" t="inlineStr">
        <x:is>
          <x:t xml:space="preserve">TODO: link Colab/Python artifact or mark not tested.</x:t>
        </x:is>
      </x:c>
      <x:c r="N165" s="38" t="inlineStr">
        <x:is>
          <x:t xml:space="preserve">TODO: link dataset/observation or mark not empirical.</x:t>
        </x:is>
      </x:c>
      <x:c r="O165" s="38" t="inlineStr">
        <x:is>
          <x:t xml:space="preserve">TODO: theological/philosophical interpretation; do not merge with proof.</x:t>
        </x:is>
      </x:c>
      <x:c r="P165" s="38" t="inlineStr">
        <x:is>
          <x:t xml:space="preserve">TODO: formal, dynamical, empirical, or mapping kill condition.</x:t>
        </x:is>
      </x:c>
      <x:c r="Q165" s="39" t="inlineStr">
        <x:is>
          <x:t xml:space="preserve">Downgrade wording or strengthen proof if risk is HIGH; otherwise add evidence links.</x:t>
        </x:is>
      </x:c>
    </x:row>
    <x:row r="166" ht="15" customHeight="1">
      <x:c r="A166" s="37" t="inlineStr">
        <x:is>
          <x:t xml:space="preserve">187</x:t>
        </x:is>
      </x:c>
      <x:c r="B166" s="38" t="inlineStr">
        <x:is>
          <x:t xml:space="preserve">unrecorded_negative_conversion_still_has_no_identity_trace</x:t>
        </x:is>
      </x:c>
      <x:c r="C166" s="38" t="inlineStr">
        <x:is>
          <x:t xml:space="preserve">C2 - Structural correspondence candidate</x:t>
        </x:is>
      </x:c>
      <x:c r="D166" s="38" t="inlineStr">
        <x:is>
          <x:t xml:space="preserve">4 - Negative and countermodel tests</x:t>
        </x:is>
      </x:c>
      <x:c r="E166" s="38" t="inlineStr">
        <x:is>
          <x:t xml:space="preserve">DEFINITIONAL_RFL</x:t>
        </x:is>
      </x:c>
      <x:c r="F166" s="38" t="inlineStr">
        <x:is>
          <x:t xml:space="preserve">MEDIUM - definition strength must be audited.</x:t>
        </x:is>
      </x:c>
      <x:c r="G166" s="38" t="inlineStr">
        <x:is>
          <x:t xml:space="preserve">theophysics-lean-main\theophysics-lean-main\Theophysics_Adversarial.lean</x:t>
        </x:is>
      </x:c>
      <x:c r="H166" s="38" t="inlineStr">
        <x:is>
          <x:t xml:space="preserve">548</x:t>
        </x:is>
      </x:c>
      <x:c r="I166" s="38" t="inlineStr">
        <x:is>
          <x:t xml:space="preserve">theorem unrecorded_negative_conversion_still_has_no_identity_trace : retainedMemory { recorded := false, christCoherent := true } = false</x:t>
        </x:is>
      </x:c>
      <x:c r="J166" s="38" t="inlineStr">
        <x:is>
          <x:t xml:space="preserve">REJECTION: Cannot create record from nothing. Grace restores, but doesn't fabricate.</x:t>
        </x:is>
      </x:c>
      <x:c r="K166" s="38" t="inlineStr">
        <x:is>
          <x:t xml:space="preserve">TODO: list constructors/definitions/candidate restrictions.</x:t>
        </x:is>
      </x:c>
      <x:c r="L166" s="38" t="inlineStr">
        <x:is>
          <x:t xml:space="preserve">TODO: translate exact Lean statement only.</x:t>
        </x:is>
      </x:c>
      <x:c r="M166" s="38" t="inlineStr">
        <x:is>
          <x:t xml:space="preserve">TODO: link Colab/Python artifact or mark not tested.</x:t>
        </x:is>
      </x:c>
      <x:c r="N166" s="38" t="inlineStr">
        <x:is>
          <x:t xml:space="preserve">TODO: link dataset/observation or mark not empirical.</x:t>
        </x:is>
      </x:c>
      <x:c r="O166" s="38" t="inlineStr">
        <x:is>
          <x:t xml:space="preserve">TODO: theological/philosophical interpretation; do not merge with proof.</x:t>
        </x:is>
      </x:c>
      <x:c r="P166" s="38" t="inlineStr">
        <x:is>
          <x:t xml:space="preserve">TODO: formal, dynamical, empirical, or mapping kill condition.</x:t>
        </x:is>
      </x:c>
      <x:c r="Q166" s="39" t="inlineStr">
        <x:is>
          <x:t xml:space="preserve">Downgrade wording or strengthen proof if risk is HIGH; otherwise add evidence links.</x:t>
        </x:is>
      </x:c>
    </x:row>
    <x:row r="167" ht="15" customHeight="1">
      <x:c r="A167" s="37" t="inlineStr">
        <x:is>
          <x:t xml:space="preserve">188</x:t>
        </x:is>
      </x:c>
      <x:c r="B167" s="38" t="inlineStr">
        <x:is>
          <x:t xml:space="preserve">fall_has_parallel_death_and_judgment</x:t>
        </x:is>
      </x:c>
      <x:c r="C167" s="38" t="inlineStr">
        <x:is>
          <x:t xml:space="preserve">C2 - Structural correspondence candidate</x:t>
        </x:is>
      </x:c>
      <x:c r="D167" s="38" t="inlineStr">
        <x:is>
          <x:t xml:space="preserve">2 - Defined model / marker theorem only</x:t>
        </x:is>
      </x:c>
      <x:c r="E167" s="38" t="inlineStr">
        <x:is>
          <x:t xml:space="preserve">TRIVIAL_TRUE</x:t>
        </x:is>
      </x:c>
      <x:c r="F167" s="38" t="inlineStr">
        <x:is>
          <x:t xml:space="preserve">HIGH - theorem name/public sentence may exceed formal statement.</x:t>
        </x:is>
      </x:c>
      <x:c r="G167" s="38" t="inlineStr">
        <x:is>
          <x:t xml:space="preserve">theophysics-lean-main\theophysics-lean-main\Theophysics_Core.lean</x:t>
        </x:is>
      </x:c>
      <x:c r="H167" s="38" t="inlineStr">
        <x:is>
          <x:t xml:space="preserve">157</x:t>
        </x:is>
      </x:c>
      <x:c r="I167" s="38" t="inlineStr">
        <x:is>
          <x:t xml:space="preserve">theorem fall_has_parallel_death_and_judgment : True</x:t>
        </x:is>
      </x:c>
      <x:c r="J167" s="38" t="inlineStr">
        <x:is>
          <x:t xml:space="preserve">Death and judgment are parallel consequences of the Fall</x:t>
        </x:is>
      </x:c>
      <x:c r="K167" s="38" t="inlineStr">
        <x:is>
          <x:t xml:space="preserve">TODO: list constructors/definitions/candidate restrictions.</x:t>
        </x:is>
      </x:c>
      <x:c r="L167" s="38" t="inlineStr">
        <x:is>
          <x:t xml:space="preserve">TODO: translate exact Lean statement only.</x:t>
        </x:is>
      </x:c>
      <x:c r="M167" s="38" t="inlineStr">
        <x:is>
          <x:t xml:space="preserve">TODO: link Colab/Python artifact or mark not tested.</x:t>
        </x:is>
      </x:c>
      <x:c r="N167" s="38" t="inlineStr">
        <x:is>
          <x:t xml:space="preserve">TODO: link dataset/observation or mark not empirical.</x:t>
        </x:is>
      </x:c>
      <x:c r="O167" s="38" t="inlineStr">
        <x:is>
          <x:t xml:space="preserve">TODO: theological/philosophical interpretation; do not merge with proof.</x:t>
        </x:is>
      </x:c>
      <x:c r="P167" s="38" t="inlineStr">
        <x:is>
          <x:t xml:space="preserve">TODO: formal, dynamical, empirical, or mapping kill condition.</x:t>
        </x:is>
      </x:c>
      <x:c r="Q167" s="39" t="inlineStr">
        <x:is>
          <x:t xml:space="preserve">Downgrade wording or strengthen proof if risk is HIGH; otherwise add evidence links.</x:t>
        </x:is>
      </x:c>
    </x:row>
    <x:row r="168" ht="15" customHeight="1">
      <x:c r="A168" s="37" t="inlineStr">
        <x:is>
          <x:t xml:space="preserve">189</x:t>
        </x:is>
      </x:c>
      <x:c r="B168" s="38" t="inlineStr">
        <x:is>
          <x:t xml:space="preserve">fall_has_parallel_promise_not_death_then_promise</x:t>
        </x:is>
      </x:c>
      <x:c r="C168" s="38" t="inlineStr">
        <x:is>
          <x:t xml:space="preserve">C2 - Structural correspondence candidate</x:t>
        </x:is>
      </x:c>
      <x:c r="D168" s="38" t="inlineStr">
        <x:is>
          <x:t xml:space="preserve">4 - Negative and countermodel tests</x:t>
        </x:is>
      </x:c>
      <x:c r="E168" s="38" t="inlineStr">
        <x:is>
          <x:t xml:space="preserve">DEFINITIONAL_RFL</x:t>
        </x:is>
      </x:c>
      <x:c r="F168" s="38" t="inlineStr">
        <x:is>
          <x:t xml:space="preserve">MEDIUM - definition strength must be audited.</x:t>
        </x:is>
      </x:c>
      <x:c r="G168" s="38" t="inlineStr">
        <x:is>
          <x:t xml:space="preserve">theophysics-lean-main\theophysics-lean-main\Theophysics_Adversarial.lean</x:t>
        </x:is>
      </x:c>
      <x:c r="H168" s="38" t="inlineStr">
        <x:is>
          <x:t xml:space="preserve">552</x:t>
        </x:is>
      </x:c>
      <x:c r="I168" s="38" t="inlineStr">
        <x:is>
          <x:t xml:space="preserve">theorem fall_has_parallel_promise_not_death_then_promise : promiseParallelWithDeathAndJudgment = true</x:t>
        </x:is>
      </x:c>
      <x:c r="J168" s="38" t="inlineStr">
        <x:is>
          <x:t xml:space="preserve">REJECTION: Promise is parallel from Fall, NOT sequential from Death</x:t>
        </x:is>
      </x:c>
      <x:c r="K168" s="38" t="inlineStr">
        <x:is>
          <x:t xml:space="preserve">TODO: list constructors/definitions/candidate restrictions.</x:t>
        </x:is>
      </x:c>
      <x:c r="L168" s="38" t="inlineStr">
        <x:is>
          <x:t xml:space="preserve">TODO: translate exact Lean statement only.</x:t>
        </x:is>
      </x:c>
      <x:c r="M168" s="38" t="inlineStr">
        <x:is>
          <x:t xml:space="preserve">TODO: link Colab/Python artifact or mark not tested.</x:t>
        </x:is>
      </x:c>
      <x:c r="N168" s="38" t="inlineStr">
        <x:is>
          <x:t xml:space="preserve">TODO: link dataset/observation or mark not empirical.</x:t>
        </x:is>
      </x:c>
      <x:c r="O168" s="38" t="inlineStr">
        <x:is>
          <x:t xml:space="preserve">TODO: theological/philosophical interpretation; do not merge with proof.</x:t>
        </x:is>
      </x:c>
      <x:c r="P168" s="38" t="inlineStr">
        <x:is>
          <x:t xml:space="preserve">TODO: formal, dynamical, empirical, or mapping kill condition.</x:t>
        </x:is>
      </x:c>
      <x:c r="Q168" s="39" t="inlineStr">
        <x:is>
          <x:t xml:space="preserve">Downgrade wording or strengthen proof if risk is HIGH; otherwise add evidence links.</x:t>
        </x:is>
      </x:c>
    </x:row>
    <x:row r="169" ht="15" customHeight="1">
      <x:c r="A169" s="37" t="inlineStr">
        <x:is>
          <x:t xml:space="preserve">190</x:t>
        </x:is>
      </x:c>
      <x:c r="B169" s="38" t="inlineStr">
        <x:is>
          <x:t xml:space="preserve">no_death_strictly_before_judgment</x:t>
        </x:is>
      </x:c>
      <x:c r="C169" s="38" t="inlineStr">
        <x:is>
          <x:t xml:space="preserve">C2 - Structural correspondence candidate</x:t>
        </x:is>
      </x:c>
      <x:c r="D169" s="38" t="inlineStr">
        <x:is>
          <x:t xml:space="preserve">4 - Negative and countermodel tests</x:t>
        </x:is>
      </x:c>
      <x:c r="E169" s="38" t="inlineStr">
        <x:is>
          <x:t xml:space="preserve">DEFINITIONAL_RFL</x:t>
        </x:is>
      </x:c>
      <x:c r="F169" s="38" t="inlineStr">
        <x:is>
          <x:t xml:space="preserve">MEDIUM - definition strength must be audited.</x:t>
        </x:is>
      </x:c>
      <x:c r="G169" s="38" t="inlineStr">
        <x:is>
          <x:t xml:space="preserve">theophysics-lean-main\theophysics-lean-main\Theophysics_Adversarial.lean</x:t>
        </x:is>
      </x:c>
      <x:c r="H169" s="38" t="inlineStr">
        <x:is>
          <x:t xml:space="preserve">556</x:t>
        </x:is>
      </x:c>
      <x:c r="I169" s="38" t="inlineStr">
        <x:is>
          <x:t xml:space="preserve">theorem no_death_strictly_before_judgment : deathStrictlyBeforeJudgment = false</x:t>
        </x:is>
      </x:c>
      <x:c r="J169" s="38" t="inlineStr">
        <x:is>
          <x:t xml:space="preserve">REJECTION: Death is NOT a prerequisite for judgment</x:t>
        </x:is>
      </x:c>
      <x:c r="K169" s="38" t="inlineStr">
        <x:is>
          <x:t xml:space="preserve">TODO: list constructors/definitions/candidate restrictions.</x:t>
        </x:is>
      </x:c>
      <x:c r="L169" s="38" t="inlineStr">
        <x:is>
          <x:t xml:space="preserve">TODO: translate exact Lean statement only.</x:t>
        </x:is>
      </x:c>
      <x:c r="M169" s="38" t="inlineStr">
        <x:is>
          <x:t xml:space="preserve">TODO: link Colab/Python artifact or mark not tested.</x:t>
        </x:is>
      </x:c>
      <x:c r="N169" s="38" t="inlineStr">
        <x:is>
          <x:t xml:space="preserve">TODO: link dataset/observation or mark not empirical.</x:t>
        </x:is>
      </x:c>
      <x:c r="O169" s="38" t="inlineStr">
        <x:is>
          <x:t xml:space="preserve">TODO: theological/philosophical interpretation; do not merge with proof.</x:t>
        </x:is>
      </x:c>
      <x:c r="P169" s="38" t="inlineStr">
        <x:is>
          <x:t xml:space="preserve">TODO: formal, dynamical, empirical, or mapping kill condition.</x:t>
        </x:is>
      </x:c>
      <x:c r="Q169" s="39" t="inlineStr">
        <x:is>
          <x:t xml:space="preserve">Downgrade wording or strengthen proof if risk is HIGH; otherwise add evidence links.</x:t>
        </x:is>
      </x:c>
    </x:row>
    <x:row r="170" ht="15" customHeight="1">
      <x:c r="A170" s="37" t="inlineStr">
        <x:is>
          <x:t xml:space="preserve">191</x:t>
        </x:is>
      </x:c>
      <x:c r="B170" s="38" t="inlineStr">
        <x:is>
          <x:t xml:space="preserve">fall_as_covenant_rupture_requires_image_and_covenant</x:t>
        </x:is>
      </x:c>
      <x:c r="C170" s="38" t="inlineStr">
        <x:is>
          <x:t xml:space="preserve">C2 - Structural correspondence candidate</x:t>
        </x:is>
      </x:c>
      <x:c r="D170" s="38" t="inlineStr">
        <x:is>
          <x:t xml:space="preserve">2 - Defined model / marker theorem only</x:t>
        </x:is>
      </x:c>
      <x:c r="E170" s="38" t="inlineStr">
        <x:is>
          <x:t xml:space="preserve">TRIVIAL_TRUE</x:t>
        </x:is>
      </x:c>
      <x:c r="F170" s="38" t="inlineStr">
        <x:is>
          <x:t xml:space="preserve">HIGH - theorem name/public sentence may exceed formal statement.</x:t>
        </x:is>
      </x:c>
      <x:c r="G170" s="38" t="inlineStr">
        <x:is>
          <x:t xml:space="preserve">theophysics-lean-main\theophysics-lean-main\Theophysics_Core.lean</x:t>
        </x:is>
      </x:c>
      <x:c r="H170" s="38" t="inlineStr">
        <x:is>
          <x:t xml:space="preserve">156</x:t>
        </x:is>
      </x:c>
      <x:c r="I170" s="38" t="inlineStr">
        <x:is>
          <x:t xml:space="preserve">theorem fall_as_covenant_rupture_requires_image_and_covenant : True</x:t>
        </x:is>
      </x:c>
      <x:c r="J170" s="38" t="inlineStr">
        <x:is>
          <x:t xml:space="preserve">Fall requires BOTH Image and Covenant (multi-parent). Cannot fall from a covenant you never had.</x:t>
        </x:is>
      </x:c>
      <x:c r="K170" s="38" t="inlineStr">
        <x:is>
          <x:t xml:space="preserve">TODO: list constructors/definitions/candidate restrictions.</x:t>
        </x:is>
      </x:c>
      <x:c r="L170" s="38" t="inlineStr">
        <x:is>
          <x:t xml:space="preserve">TODO: translate exact Lean statement only.</x:t>
        </x:is>
      </x:c>
      <x:c r="M170" s="38" t="inlineStr">
        <x:is>
          <x:t xml:space="preserve">TODO: link Colab/Python artifact or mark not tested.</x:t>
        </x:is>
      </x:c>
      <x:c r="N170" s="38" t="inlineStr">
        <x:is>
          <x:t xml:space="preserve">TODO: link dataset/observation or mark not empirical.</x:t>
        </x:is>
      </x:c>
      <x:c r="O170" s="38" t="inlineStr">
        <x:is>
          <x:t xml:space="preserve">TODO: theological/philosophical interpretation; do not merge with proof.</x:t>
        </x:is>
      </x:c>
      <x:c r="P170" s="38" t="inlineStr">
        <x:is>
          <x:t xml:space="preserve">TODO: formal, dynamical, empirical, or mapping kill condition.</x:t>
        </x:is>
      </x:c>
      <x:c r="Q170" s="39" t="inlineStr">
        <x:is>
          <x:t xml:space="preserve">Downgrade wording or strengthen proof if risk is HIGH; otherwise add evidence links.</x:t>
        </x:is>
      </x:c>
    </x:row>
    <x:row r="171" ht="15" customHeight="1">
      <x:c r="A171" s="37" t="inlineStr">
        <x:is>
          <x:t xml:space="preserve">192</x:t>
        </x:is>
      </x:c>
      <x:c r="B171" s="38" t="inlineStr">
        <x:is>
          <x:t xml:space="preserve">energy_and_momentum_are_noether_siblings</x:t>
        </x:is>
      </x:c>
      <x:c r="C171" s="38" t="inlineStr">
        <x:is>
          <x:t xml:space="preserve">C2 - Structural correspondence candidate</x:t>
        </x:is>
      </x:c>
      <x:c r="D171" s="38" t="inlineStr">
        <x:is>
          <x:t xml:space="preserve">2 - Defined model / marker theorem only</x:t>
        </x:is>
      </x:c>
      <x:c r="E171" s="38" t="inlineStr">
        <x:is>
          <x:t xml:space="preserve">TRIVIAL_TRUE</x:t>
        </x:is>
      </x:c>
      <x:c r="F171" s="38" t="inlineStr">
        <x:is>
          <x:t xml:space="preserve">HIGH - theorem name/public sentence may exceed formal statement.</x:t>
        </x:is>
      </x:c>
      <x:c r="G171" s="38" t="inlineStr">
        <x:is>
          <x:t xml:space="preserve">theophysics-lean-main\theophysics-lean-main\Theophysics_Core.lean</x:t>
        </x:is>
      </x:c>
      <x:c r="H171" s="38" t="inlineStr">
        <x:is>
          <x:t xml:space="preserve">155</x:t>
        </x:is>
      </x:c>
      <x:c r="I171" s="38" t="inlineStr">
        <x:is>
          <x:t xml:space="preserve">theorem energy_and_momentum_are_noether_siblings : True</x:t>
        </x:is>
      </x:c>
      <x:c r="J171" s="38" t="inlineStr">
        <x:is>
          <x:t xml:space="preserve">Energy and momentum are parallel from symmetry (Noether). Neither parents the other.</x:t>
        </x:is>
      </x:c>
      <x:c r="K171" s="38" t="inlineStr">
        <x:is>
          <x:t xml:space="preserve">TODO: list constructors/definitions/candidate restrictions.</x:t>
        </x:is>
      </x:c>
      <x:c r="L171" s="38" t="inlineStr">
        <x:is>
          <x:t xml:space="preserve">TODO: translate exact Lean statement only.</x:t>
        </x:is>
      </x:c>
      <x:c r="M171" s="38" t="inlineStr">
        <x:is>
          <x:t xml:space="preserve">TODO: link Colab/Python artifact or mark not tested.</x:t>
        </x:is>
      </x:c>
      <x:c r="N171" s="38" t="inlineStr">
        <x:is>
          <x:t xml:space="preserve">TODO: link dataset/observation or mark not empirical.</x:t>
        </x:is>
      </x:c>
      <x:c r="O171" s="38" t="inlineStr">
        <x:is>
          <x:t xml:space="preserve">TODO: theological/philosophical interpretation; do not merge with proof.</x:t>
        </x:is>
      </x:c>
      <x:c r="P171" s="38" t="inlineStr">
        <x:is>
          <x:t xml:space="preserve">TODO: formal, dynamical, empirical, or mapping kill condition.</x:t>
        </x:is>
      </x:c>
      <x:c r="Q171" s="39" t="inlineStr">
        <x:is>
          <x:t xml:space="preserve">Downgrade wording or strengthen proof if risk is HIGH; otherwise add evidence links.</x:t>
        </x:is>
      </x:c>
    </x:row>
    <x:row r="172" ht="15" customHeight="1">
      <x:c r="A172" s="37" t="inlineStr">
        <x:is>
          <x:t xml:space="preserve">193</x:t>
        </x:is>
      </x:c>
      <x:c r="B172" s="38" t="inlineStr">
        <x:is>
          <x:t xml:space="preserve">no_energy_parent_of_momentum</x:t>
        </x:is>
      </x:c>
      <x:c r="C172" s="38" t="inlineStr">
        <x:is>
          <x:t xml:space="preserve">C2 - Structural correspondence candidate</x:t>
        </x:is>
      </x:c>
      <x:c r="D172" s="38" t="inlineStr">
        <x:is>
          <x:t xml:space="preserve">4 - Negative and countermodel tests</x:t>
        </x:is>
      </x:c>
      <x:c r="E172" s="38" t="inlineStr">
        <x:is>
          <x:t xml:space="preserve">DEFINITIONAL_RFL</x:t>
        </x:is>
      </x:c>
      <x:c r="F172" s="38" t="inlineStr">
        <x:is>
          <x:t xml:space="preserve">MEDIUM - definition strength must be audited.</x:t>
        </x:is>
      </x:c>
      <x:c r="G172" s="38" t="inlineStr">
        <x:is>
          <x:t xml:space="preserve">theophysics-lean-main\theophysics-lean-main\Theophysics_Adversarial.lean</x:t>
        </x:is>
      </x:c>
      <x:c r="H172" s="38" t="inlineStr">
        <x:is>
          <x:t xml:space="preserve">560</x:t>
        </x:is>
      </x:c>
      <x:c r="I172" s="38" t="inlineStr">
        <x:is>
          <x:t xml:space="preserve">theorem no_energy_parent_of_momentum : energyParentOfMomentum = false</x:t>
        </x:is>
      </x:c>
      <x:c r="J172" s="38" t="inlineStr">
        <x:is>
          <x:t xml:space="preserve">REJECTION: Energy does NOT parent momentum</x:t>
        </x:is>
      </x:c>
      <x:c r="K172" s="38" t="inlineStr">
        <x:is>
          <x:t xml:space="preserve">TODO: list constructors/definitions/candidate restrictions.</x:t>
        </x:is>
      </x:c>
      <x:c r="L172" s="38" t="inlineStr">
        <x:is>
          <x:t xml:space="preserve">TODO: translate exact Lean statement only.</x:t>
        </x:is>
      </x:c>
      <x:c r="M172" s="38" t="inlineStr">
        <x:is>
          <x:t xml:space="preserve">TODO: link Colab/Python artifact or mark not tested.</x:t>
        </x:is>
      </x:c>
      <x:c r="N172" s="38" t="inlineStr">
        <x:is>
          <x:t xml:space="preserve">TODO: link dataset/observation or mark not empirical.</x:t>
        </x:is>
      </x:c>
      <x:c r="O172" s="38" t="inlineStr">
        <x:is>
          <x:t xml:space="preserve">TODO: theological/philosophical interpretation; do not merge with proof.</x:t>
        </x:is>
      </x:c>
      <x:c r="P172" s="38" t="inlineStr">
        <x:is>
          <x:t xml:space="preserve">TODO: formal, dynamical, empirical, or mapping kill condition.</x:t>
        </x:is>
      </x:c>
      <x:c r="Q172" s="39" t="inlineStr">
        <x:is>
          <x:t xml:space="preserve">Downgrade wording or strengthen proof if risk is HIGH; otherwise add evidence links.</x:t>
        </x:is>
      </x:c>
    </x:row>
    <x:row r="173" ht="15" customHeight="1">
      <x:c r="A173" s="37" t="inlineStr">
        <x:is>
          <x:t xml:space="preserve">194</x:t>
        </x:is>
      </x:c>
      <x:c r="B173" s="38" t="inlineStr">
        <x:is>
          <x:t xml:space="preserve">bound_state_requires_excitation_and_coupling</x:t>
        </x:is>
      </x:c>
      <x:c r="C173" s="38" t="inlineStr">
        <x:is>
          <x:t xml:space="preserve">C2 - Structural correspondence candidate</x:t>
        </x:is>
      </x:c>
      <x:c r="D173" s="38" t="inlineStr">
        <x:is>
          <x:t xml:space="preserve">2 - Defined model / marker theorem only</x:t>
        </x:is>
      </x:c>
      <x:c r="E173" s="38" t="inlineStr">
        <x:is>
          <x:t xml:space="preserve">TRIVIAL_TRUE</x:t>
        </x:is>
      </x:c>
      <x:c r="F173" s="38" t="inlineStr">
        <x:is>
          <x:t xml:space="preserve">HIGH - theorem name/public sentence may exceed formal statement.</x:t>
        </x:is>
      </x:c>
      <x:c r="G173" s="38" t="inlineStr">
        <x:is>
          <x:t xml:space="preserve">theophysics-lean-main\theophysics-lean-main\Theophysics_Core.lean</x:t>
        </x:is>
      </x:c>
      <x:c r="H173" s="38" t="inlineStr">
        <x:is>
          <x:t xml:space="preserve">154</x:t>
        </x:is>
      </x:c>
      <x:c r="I173" s="38" t="inlineStr">
        <x:is>
          <x:t xml:space="preserve">theorem bound_state_requires_excitation_and_coupling : True</x:t>
        </x:is>
      </x:c>
      <x:c r="J173" s="38" t="inlineStr">
        <x:is>
          <x:t xml:space="preserve">Bound state requires both excitation AND coupling (multi-parent)</x:t>
        </x:is>
      </x:c>
      <x:c r="K173" s="38" t="inlineStr">
        <x:is>
          <x:t xml:space="preserve">TODO: list constructors/definitions/candidate restrictions.</x:t>
        </x:is>
      </x:c>
      <x:c r="L173" s="38" t="inlineStr">
        <x:is>
          <x:t xml:space="preserve">TODO: translate exact Lean statement only.</x:t>
        </x:is>
      </x:c>
      <x:c r="M173" s="38" t="inlineStr">
        <x:is>
          <x:t xml:space="preserve">TODO: link Colab/Python artifact or mark not tested.</x:t>
        </x:is>
      </x:c>
      <x:c r="N173" s="38" t="inlineStr">
        <x:is>
          <x:t xml:space="preserve">TODO: link dataset/observation or mark not empirical.</x:t>
        </x:is>
      </x:c>
      <x:c r="O173" s="38" t="inlineStr">
        <x:is>
          <x:t xml:space="preserve">TODO: theological/philosophical interpretation; do not merge with proof.</x:t>
        </x:is>
      </x:c>
      <x:c r="P173" s="38" t="inlineStr">
        <x:is>
          <x:t xml:space="preserve">TODO: formal, dynamical, empirical, or mapping kill condition.</x:t>
        </x:is>
      </x:c>
      <x:c r="Q173" s="39" t="inlineStr">
        <x:is>
          <x:t xml:space="preserve">Downgrade wording or strengthen proof if risk is HIGH; otherwise add evidence links.</x:t>
        </x:is>
      </x:c>
    </x:row>
    <x:row r="174" ht="15" customHeight="1">
      <x:c r="A174" s="37" t="inlineStr">
        <x:is>
          <x:t xml:space="preserve">195–197</x:t>
        </x:is>
      </x:c>
      <x:c r="B174" s="38" t="inlineStr">
        <x:is>
          <x:t xml:space="preserve">union_branches + no_before_union (3 theorems)</x:t>
        </x:is>
      </x:c>
      <x:c r="C174" s="38" t="inlineStr">
        <x:is>
          <x:t xml:space="preserve">C2 - Structural correspondence candidate</x:t>
        </x:is>
      </x:c>
      <x:c r="D174" s="38" t="inlineStr">
        <x:is>
          <x:t xml:space="preserve">1 - Conceptual seed / open source link</x:t>
        </x:is>
      </x:c>
      <x:c r="E174" s="38" t="inlineStr">
        <x:is>
          <x:t xml:space="preserve">NOT_FOUND_IN_HUB</x:t>
        </x:is>
      </x:c>
      <x:c r="F174" s="38" t="inlineStr">
        <x:is>
          <x:t xml:space="preserve">HIGH - workbook row not found in current central hub Lean files.</x:t>
        </x:is>
      </x:c>
      <x:c r="G174" s="38" t="n"/>
      <x:c r="H174" s="38" t="n"/>
      <x:c r="I174" s="38" t="n"/>
      <x:c r="J174" s="38" t="inlineStr">
        <x:is>
          <x:t xml:space="preserve">Union → justification AND sanctification (parallel). REJECTION: Neither before Union.</x:t>
        </x:is>
      </x:c>
      <x:c r="K174" s="38" t="inlineStr">
        <x:is>
          <x:t xml:space="preserve">TODO: list constructors/definitions/candidate restrictions.</x:t>
        </x:is>
      </x:c>
      <x:c r="L174" s="38" t="inlineStr">
        <x:is>
          <x:t xml:space="preserve">TODO: translate exact Lean statement only.</x:t>
        </x:is>
      </x:c>
      <x:c r="M174" s="38" t="inlineStr">
        <x:is>
          <x:t xml:space="preserve">TODO: link Colab/Python artifact or mark not tested.</x:t>
        </x:is>
      </x:c>
      <x:c r="N174" s="38" t="inlineStr">
        <x:is>
          <x:t xml:space="preserve">TODO: link dataset/observation or mark not empirical.</x:t>
        </x:is>
      </x:c>
      <x:c r="O174" s="38" t="inlineStr">
        <x:is>
          <x:t xml:space="preserve">TODO: theological/philosophical interpretation; do not merge with proof.</x:t>
        </x:is>
      </x:c>
      <x:c r="P174" s="38" t="inlineStr">
        <x:is>
          <x:t xml:space="preserve">TODO: formal, dynamical, empirical, or mapping kill condition.</x:t>
        </x:is>
      </x:c>
      <x:c r="Q174" s="39" t="inlineStr">
        <x:is>
          <x:t xml:space="preserve">Downgrade wording or strengthen proof if risk is HIGH; otherwise add evidence links.</x:t>
        </x:is>
      </x:c>
    </x:row>
    <x:row r="175" ht="15" customHeight="1">
      <x:c r="A175" s="37" t="inlineStr">
        <x:is>
          <x:t xml:space="preserve">198</x:t>
        </x:is>
      </x:c>
      <x:c r="B175" s="38" t="inlineStr">
        <x:is>
          <x:t xml:space="preserve">glorification_requires_both_for_this_lattice</x:t>
        </x:is>
      </x:c>
      <x:c r="C175" s="38" t="inlineStr">
        <x:is>
          <x:t xml:space="preserve">C2 - Structural correspondence candidate</x:t>
        </x:is>
      </x:c>
      <x:c r="D175" s="38" t="inlineStr">
        <x:is>
          <x:t xml:space="preserve">2 - Defined model / marker theorem only</x:t>
        </x:is>
      </x:c>
      <x:c r="E175" s="38" t="inlineStr">
        <x:is>
          <x:t xml:space="preserve">TRIVIAL_TRUE</x:t>
        </x:is>
      </x:c>
      <x:c r="F175" s="38" t="inlineStr">
        <x:is>
          <x:t xml:space="preserve">HIGH - theorem name/public sentence may exceed formal statement.</x:t>
        </x:is>
      </x:c>
      <x:c r="G175" s="38" t="inlineStr">
        <x:is>
          <x:t xml:space="preserve">theophysics-lean-main\theophysics-lean-main\Theophysics_Core.lean</x:t>
        </x:is>
      </x:c>
      <x:c r="H175" s="38" t="inlineStr">
        <x:is>
          <x:t xml:space="preserve">158</x:t>
        </x:is>
      </x:c>
      <x:c r="I175" s="38" t="inlineStr">
        <x:is>
          <x:t xml:space="preserve">theorem glorification_requires_both_for_this_lattice : True</x:t>
        </x:is>
      </x:c>
      <x:c r="J175" s="38" t="inlineStr">
        <x:is>
          <x:t xml:space="preserve">Glorification requires both justification and sanctification</x:t>
        </x:is>
      </x:c>
      <x:c r="K175" s="38" t="inlineStr">
        <x:is>
          <x:t xml:space="preserve">TODO: list constructors/definitions/candidate restrictions.</x:t>
        </x:is>
      </x:c>
      <x:c r="L175" s="38" t="inlineStr">
        <x:is>
          <x:t xml:space="preserve">TODO: translate exact Lean statement only.</x:t>
        </x:is>
      </x:c>
      <x:c r="M175" s="38" t="inlineStr">
        <x:is>
          <x:t xml:space="preserve">TODO: link Colab/Python artifact or mark not tested.</x:t>
        </x:is>
      </x:c>
      <x:c r="N175" s="38" t="inlineStr">
        <x:is>
          <x:t xml:space="preserve">TODO: link dataset/observation or mark not empirical.</x:t>
        </x:is>
      </x:c>
      <x:c r="O175" s="38" t="inlineStr">
        <x:is>
          <x:t xml:space="preserve">TODO: theological/philosophical interpretation; do not merge with proof.</x:t>
        </x:is>
      </x:c>
      <x:c r="P175" s="38" t="inlineStr">
        <x:is>
          <x:t xml:space="preserve">TODO: formal, dynamical, empirical, or mapping kill condition.</x:t>
        </x:is>
      </x:c>
      <x:c r="Q175" s="39" t="inlineStr">
        <x:is>
          <x:t xml:space="preserve">Downgrade wording or strengthen proof if risk is HIGH; otherwise add evidence links.</x:t>
        </x:is>
      </x:c>
    </x:row>
    <x:row r="176" ht="15" customHeight="1">
      <x:c r="A176" s="37" t="inlineStr">
        <x:is>
          <x:t xml:space="preserve">199</x:t>
        </x:is>
      </x:c>
      <x:c r="B176" s="38" t="inlineStr">
        <x:is>
          <x:t xml:space="preserve">narrative_and_dependency_orders_diverge_at_justification_union</x:t>
        </x:is>
      </x:c>
      <x:c r="C176" s="38" t="inlineStr">
        <x:is>
          <x:t xml:space="preserve">C2 - Structural correspondence candidate</x:t>
        </x:is>
      </x:c>
      <x:c r="D176" s="38" t="inlineStr">
        <x:is>
          <x:t xml:space="preserve">2 - Defined model / marker theorem only</x:t>
        </x:is>
      </x:c>
      <x:c r="E176" s="38" t="inlineStr">
        <x:is>
          <x:t xml:space="preserve">TRIVIAL_TRUE</x:t>
        </x:is>
      </x:c>
      <x:c r="F176" s="38" t="inlineStr">
        <x:is>
          <x:t xml:space="preserve">HIGH - theorem name/public sentence may exceed formal statement.</x:t>
        </x:is>
      </x:c>
      <x:c r="G176" s="38" t="inlineStr">
        <x:is>
          <x:t xml:space="preserve">theophysics-lean-main\theophysics-lean-main\Theophysics_Core.lean</x:t>
        </x:is>
      </x:c>
      <x:c r="H176" s="38" t="inlineStr">
        <x:is>
          <x:t xml:space="preserve">159</x:t>
        </x:is>
      </x:c>
      <x:c r="I176" s="38" t="inlineStr">
        <x:is>
          <x:t xml:space="preserve">theorem narrative_and_dependency_orders_diverge_at_justification_union : True</x:t>
        </x:is>
      </x:c>
      <x:c r="J176" s="38" t="inlineStr">
        <x:is>
          <x:t xml:space="preserve">Teaching order and dependency order diverge at exactly this point. The line is not the lattice.</x:t>
        </x:is>
      </x:c>
      <x:c r="K176" s="38" t="inlineStr">
        <x:is>
          <x:t xml:space="preserve">TODO: list constructors/definitions/candidate restrictions.</x:t>
        </x:is>
      </x:c>
      <x:c r="L176" s="38" t="inlineStr">
        <x:is>
          <x:t xml:space="preserve">TODO: translate exact Lean statement only.</x:t>
        </x:is>
      </x:c>
      <x:c r="M176" s="38" t="inlineStr">
        <x:is>
          <x:t xml:space="preserve">TODO: link Colab/Python artifact or mark not tested.</x:t>
        </x:is>
      </x:c>
      <x:c r="N176" s="38" t="inlineStr">
        <x:is>
          <x:t xml:space="preserve">TODO: link dataset/observation or mark not empirical.</x:t>
        </x:is>
      </x:c>
      <x:c r="O176" s="38" t="inlineStr">
        <x:is>
          <x:t xml:space="preserve">TODO: theological/philosophical interpretation; do not merge with proof.</x:t>
        </x:is>
      </x:c>
      <x:c r="P176" s="38" t="inlineStr">
        <x:is>
          <x:t xml:space="preserve">TODO: formal, dynamical, empirical, or mapping kill condition.</x:t>
        </x:is>
      </x:c>
      <x:c r="Q176" s="39" t="inlineStr">
        <x:is>
          <x:t xml:space="preserve">Downgrade wording or strengthen proof if risk is HIGH; otherwise add evidence links.</x:t>
        </x:is>
      </x:c>
    </x:row>
    <x:row r="177" ht="15" customHeight="1">
      <x:c r="A177" s="37" t="inlineStr">
        <x:is>
          <x:t xml:space="preserve">200–202</x:t>
        </x:is>
      </x:c>
      <x:c r="B177" s="38" t="inlineStr">
        <x:is>
          <x:t xml:space="preserve">Cross-domain edge witnesses (3 theorems)</x:t>
        </x:is>
      </x:c>
      <x:c r="C177" s="38" t="inlineStr">
        <x:is>
          <x:t xml:space="preserve">C2 - Structural correspondence candidate</x:t>
        </x:is>
      </x:c>
      <x:c r="D177" s="38" t="inlineStr">
        <x:is>
          <x:t xml:space="preserve">1 - Conceptual seed / open source link</x:t>
        </x:is>
      </x:c>
      <x:c r="E177" s="38" t="inlineStr">
        <x:is>
          <x:t xml:space="preserve">NOT_FOUND_IN_HUB</x:t>
        </x:is>
      </x:c>
      <x:c r="F177" s="38" t="inlineStr">
        <x:is>
          <x:t xml:space="preserve">HIGH - workbook row not found in current central hub Lean files.</x:t>
        </x:is>
      </x:c>
      <x:c r="G177" s="38" t="n"/>
      <x:c r="H177" s="38" t="n"/>
      <x:c r="I177" s="38" t="n"/>
      <x:c r="J177" s="38" t="inlineStr">
        <x:is>
          <x:t xml:space="preserve">faith→union ↔ excitation+coupling→bound_state. union→justification ↔ bound_state→reclassification. union→sanctification ↔ bound_state+energy→annealing.</x:t>
        </x:is>
      </x:c>
      <x:c r="K177" s="38" t="inlineStr">
        <x:is>
          <x:t xml:space="preserve">TODO: list constructors/definitions/candidate restrictions.</x:t>
        </x:is>
      </x:c>
      <x:c r="L177" s="38" t="inlineStr">
        <x:is>
          <x:t xml:space="preserve">TODO: translate exact Lean statement only.</x:t>
        </x:is>
      </x:c>
      <x:c r="M177" s="38" t="inlineStr">
        <x:is>
          <x:t xml:space="preserve">TODO: link Colab/Python artifact or mark not tested.</x:t>
        </x:is>
      </x:c>
      <x:c r="N177" s="38" t="inlineStr">
        <x:is>
          <x:t xml:space="preserve">TODO: link dataset/observation or mark not empirical.</x:t>
        </x:is>
      </x:c>
      <x:c r="O177" s="38" t="inlineStr">
        <x:is>
          <x:t xml:space="preserve">TODO: theological/philosophical interpretation; do not merge with proof.</x:t>
        </x:is>
      </x:c>
      <x:c r="P177" s="38" t="inlineStr">
        <x:is>
          <x:t xml:space="preserve">TODO: formal, dynamical, empirical, or mapping kill condition.</x:t>
        </x:is>
      </x:c>
      <x:c r="Q177" s="39" t="inlineStr">
        <x:is>
          <x:t xml:space="preserve">Downgrade wording or strengthen proof if risk is HIGH; otherwise add evidence links.</x:t>
        </x:is>
      </x:c>
    </x:row>
    <x:row r="178" ht="15" customHeight="1">
      <x:c r="A178" s="37" t="inlineStr">
        <x:is>
          <x:t xml:space="preserve">203</x:t>
        </x:is>
      </x:c>
      <x:c r="B178" s="38" t="inlineStr">
        <x:is>
          <x:t xml:space="preserve">closedEightOfTen_attempt_count</x:t>
        </x:is>
      </x:c>
      <x:c r="C178" s="38" t="inlineStr">
        <x:is>
          <x:t xml:space="preserve">C2 - Structural correspondence candidate</x:t>
        </x:is>
      </x:c>
      <x:c r="D178" s="38" t="inlineStr">
        <x:is>
          <x:t xml:space="preserve">2 - Defined model / marker theorem only</x:t>
        </x:is>
      </x:c>
      <x:c r="E178" s="38" t="inlineStr">
        <x:is>
          <x:t xml:space="preserve">TRIVIAL_TRUE</x:t>
        </x:is>
      </x:c>
      <x:c r="F178" s="38" t="inlineStr">
        <x:is>
          <x:t xml:space="preserve">HIGH - theorem name/public sentence may exceed formal statement.</x:t>
        </x:is>
      </x:c>
      <x:c r="G178" s="38" t="inlineStr">
        <x:is>
          <x:t xml:space="preserve">theophysics-lean-main\theophysics-lean-main\Theophysics_Core.lean</x:t>
        </x:is>
      </x:c>
      <x:c r="H178" s="38" t="inlineStr">
        <x:is>
          <x:t xml:space="preserve">160</x:t>
        </x:is>
      </x:c>
      <x:c r="I178" s="38" t="inlineStr">
        <x:is>
          <x:t xml:space="preserve">theorem closedEightOfTen_attempt_count : True</x:t>
        </x:is>
      </x:c>
      <x:c r="J178" s="38" t="inlineStr">
        <x:is>
          <x:t xml:space="preserve">10 attempts logged</x:t>
        </x:is>
      </x:c>
      <x:c r="K178" s="38" t="inlineStr">
        <x:is>
          <x:t xml:space="preserve">TODO: list constructors/definitions/candidate restrictions.</x:t>
        </x:is>
      </x:c>
      <x:c r="L178" s="38" t="inlineStr">
        <x:is>
          <x:t xml:space="preserve">TODO: translate exact Lean statement only.</x:t>
        </x:is>
      </x:c>
      <x:c r="M178" s="38" t="inlineStr">
        <x:is>
          <x:t xml:space="preserve">TODO: link Colab/Python artifact or mark not tested.</x:t>
        </x:is>
      </x:c>
      <x:c r="N178" s="38" t="inlineStr">
        <x:is>
          <x:t xml:space="preserve">TODO: link dataset/observation or mark not empirical.</x:t>
        </x:is>
      </x:c>
      <x:c r="O178" s="38" t="inlineStr">
        <x:is>
          <x:t xml:space="preserve">TODO: theological/philosophical interpretation; do not merge with proof.</x:t>
        </x:is>
      </x:c>
      <x:c r="P178" s="38" t="inlineStr">
        <x:is>
          <x:t xml:space="preserve">TODO: formal, dynamical, empirical, or mapping kill condition.</x:t>
        </x:is>
      </x:c>
      <x:c r="Q178" s="39" t="inlineStr">
        <x:is>
          <x:t xml:space="preserve">Downgrade wording or strengthen proof if risk is HIGH; otherwise add evidence links.</x:t>
        </x:is>
      </x:c>
    </x:row>
    <x:row r="179" ht="15" customHeight="1">
      <x:c r="A179" s="37" t="inlineStr">
        <x:is>
          <x:t xml:space="preserve">204</x:t>
        </x:is>
      </x:c>
      <x:c r="B179" s="38" t="inlineStr">
        <x:is>
          <x:t xml:space="preserve">closedEightOfTen_hit_count</x:t>
        </x:is>
      </x:c>
      <x:c r="C179" s="38" t="inlineStr">
        <x:is>
          <x:t xml:space="preserve">C2 - Structural correspondence candidate</x:t>
        </x:is>
      </x:c>
      <x:c r="D179" s="38" t="inlineStr">
        <x:is>
          <x:t xml:space="preserve">2 - Defined model / marker theorem only</x:t>
        </x:is>
      </x:c>
      <x:c r="E179" s="38" t="inlineStr">
        <x:is>
          <x:t xml:space="preserve">TRIVIAL_TRUE</x:t>
        </x:is>
      </x:c>
      <x:c r="F179" s="38" t="inlineStr">
        <x:is>
          <x:t xml:space="preserve">HIGH - theorem name/public sentence may exceed formal statement.</x:t>
        </x:is>
      </x:c>
      <x:c r="G179" s="38" t="inlineStr">
        <x:is>
          <x:t xml:space="preserve">theophysics-lean-main\theophysics-lean-main\Theophysics_Core.lean</x:t>
        </x:is>
      </x:c>
      <x:c r="H179" s="38" t="inlineStr">
        <x:is>
          <x:t xml:space="preserve">163</x:t>
        </x:is>
      </x:c>
      <x:c r="I179" s="38" t="inlineStr">
        <x:is>
          <x:t xml:space="preserve">theorem closedEightOfTen_hit_count : True</x:t>
        </x:is>
      </x:c>
      <x:c r="J179" s="38" t="inlineStr">
        <x:is>
          <x:t xml:space="preserve">8 hits (compiled bridges)</x:t>
        </x:is>
      </x:c>
      <x:c r="K179" s="38" t="inlineStr">
        <x:is>
          <x:t xml:space="preserve">TODO: list constructors/definitions/candidate restrictions.</x:t>
        </x:is>
      </x:c>
      <x:c r="L179" s="38" t="inlineStr">
        <x:is>
          <x:t xml:space="preserve">TODO: translate exact Lean statement only.</x:t>
        </x:is>
      </x:c>
      <x:c r="M179" s="38" t="inlineStr">
        <x:is>
          <x:t xml:space="preserve">TODO: link Colab/Python artifact or mark not tested.</x:t>
        </x:is>
      </x:c>
      <x:c r="N179" s="38" t="inlineStr">
        <x:is>
          <x:t xml:space="preserve">TODO: link dataset/observation or mark not empirical.</x:t>
        </x:is>
      </x:c>
      <x:c r="O179" s="38" t="inlineStr">
        <x:is>
          <x:t xml:space="preserve">TODO: theological/philosophical interpretation; do not merge with proof.</x:t>
        </x:is>
      </x:c>
      <x:c r="P179" s="38" t="inlineStr">
        <x:is>
          <x:t xml:space="preserve">TODO: formal, dynamical, empirical, or mapping kill condition.</x:t>
        </x:is>
      </x:c>
      <x:c r="Q179" s="39" t="inlineStr">
        <x:is>
          <x:t xml:space="preserve">Downgrade wording or strengthen proof if risk is HIGH; otherwise add evidence links.</x:t>
        </x:is>
      </x:c>
    </x:row>
    <x:row r="180" ht="15" customHeight="1">
      <x:c r="A180" s="37" t="inlineStr">
        <x:is>
          <x:t xml:space="preserve">205</x:t>
        </x:is>
      </x:c>
      <x:c r="B180" s="38" t="inlineStr">
        <x:is>
          <x:t xml:space="preserve">closedEightOfTen_denominator_closed</x:t>
        </x:is>
      </x:c>
      <x:c r="C180" s="38" t="inlineStr">
        <x:is>
          <x:t xml:space="preserve">C2 - Structural correspondence candidate</x:t>
        </x:is>
      </x:c>
      <x:c r="D180" s="38" t="inlineStr">
        <x:is>
          <x:t xml:space="preserve">2 - Defined model / marker theorem only</x:t>
        </x:is>
      </x:c>
      <x:c r="E180" s="38" t="inlineStr">
        <x:is>
          <x:t xml:space="preserve">TRIVIAL_TRUE</x:t>
        </x:is>
      </x:c>
      <x:c r="F180" s="38" t="inlineStr">
        <x:is>
          <x:t xml:space="preserve">HIGH - theorem name/public sentence may exceed formal statement.</x:t>
        </x:is>
      </x:c>
      <x:c r="G180" s="38" t="inlineStr">
        <x:is>
          <x:t xml:space="preserve">theophysics-lean-main\theophysics-lean-main\Theophysics_Core.lean</x:t>
        </x:is>
      </x:c>
      <x:c r="H180" s="38" t="inlineStr">
        <x:is>
          <x:t xml:space="preserve">162</x:t>
        </x:is>
      </x:c>
      <x:c r="I180" s="38" t="inlineStr">
        <x:is>
          <x:t xml:space="preserve">theorem closedEightOfTen_denominator_closed : True</x:t>
        </x:is>
      </x:c>
      <x:c r="J180" s="38" t="inlineStr">
        <x:is>
          <x:t xml:space="preserve">All attempts logged before publication. No hidden failures.</x:t>
        </x:is>
      </x:c>
      <x:c r="K180" s="38" t="inlineStr">
        <x:is>
          <x:t xml:space="preserve">TODO: list constructors/definitions/candidate restrictions.</x:t>
        </x:is>
      </x:c>
      <x:c r="L180" s="38" t="inlineStr">
        <x:is>
          <x:t xml:space="preserve">TODO: translate exact Lean statement only.</x:t>
        </x:is>
      </x:c>
      <x:c r="M180" s="38" t="inlineStr">
        <x:is>
          <x:t xml:space="preserve">TODO: link Colab/Python artifact or mark not tested.</x:t>
        </x:is>
      </x:c>
      <x:c r="N180" s="38" t="inlineStr">
        <x:is>
          <x:t xml:space="preserve">TODO: link dataset/observation or mark not empirical.</x:t>
        </x:is>
      </x:c>
      <x:c r="O180" s="38" t="inlineStr">
        <x:is>
          <x:t xml:space="preserve">TODO: theological/philosophical interpretation; do not merge with proof.</x:t>
        </x:is>
      </x:c>
      <x:c r="P180" s="38" t="inlineStr">
        <x:is>
          <x:t xml:space="preserve">TODO: formal, dynamical, empirical, or mapping kill condition.</x:t>
        </x:is>
      </x:c>
      <x:c r="Q180" s="39" t="inlineStr">
        <x:is>
          <x:t xml:space="preserve">Downgrade wording or strengthen proof if risk is HIGH; otherwise add evidence links.</x:t>
        </x:is>
      </x:c>
    </x:row>
    <x:row r="181" ht="15" customHeight="1">
      <x:c r="A181" s="37" t="inlineStr">
        <x:is>
          <x:t xml:space="preserve">206</x:t>
        </x:is>
      </x:c>
      <x:c r="B181" s="38" t="inlineStr">
        <x:is>
          <x:t xml:space="preserve">closedEightOfTen_can_claim_80_percent</x:t>
        </x:is>
      </x:c>
      <x:c r="C181" s="38" t="inlineStr">
        <x:is>
          <x:t xml:space="preserve">C2 - Structural correspondence candidate</x:t>
        </x:is>
      </x:c>
      <x:c r="D181" s="38" t="inlineStr">
        <x:is>
          <x:t xml:space="preserve">2 - Defined model / marker theorem only</x:t>
        </x:is>
      </x:c>
      <x:c r="E181" s="38" t="inlineStr">
        <x:is>
          <x:t xml:space="preserve">TRIVIAL_TRUE</x:t>
        </x:is>
      </x:c>
      <x:c r="F181" s="38" t="inlineStr">
        <x:is>
          <x:t xml:space="preserve">HIGH - theorem name/public sentence may exceed formal statement.</x:t>
        </x:is>
      </x:c>
      <x:c r="G181" s="38" t="inlineStr">
        <x:is>
          <x:t xml:space="preserve">theophysics-lean-main\theophysics-lean-main\Theophysics_Core.lean</x:t>
        </x:is>
      </x:c>
      <x:c r="H181" s="38" t="inlineStr">
        <x:is>
          <x:t xml:space="preserve">161</x:t>
        </x:is>
      </x:c>
      <x:c r="I181" s="38" t="inlineStr">
        <x:is>
          <x:t xml:space="preserve">theorem closedEightOfTen_can_claim_80_percent : True</x:t>
        </x:is>
      </x:c>
      <x:c r="J181" s="38" t="inlineStr">
        <x:is>
          <x:t xml:space="preserve">80% hit rate claim is valid</x:t>
        </x:is>
      </x:c>
      <x:c r="K181" s="38" t="inlineStr">
        <x:is>
          <x:t xml:space="preserve">TODO: list constructors/definitions/candidate restrictions.</x:t>
        </x:is>
      </x:c>
      <x:c r="L181" s="38" t="inlineStr">
        <x:is>
          <x:t xml:space="preserve">TODO: translate exact Lean statement only.</x:t>
        </x:is>
      </x:c>
      <x:c r="M181" s="38" t="inlineStr">
        <x:is>
          <x:t xml:space="preserve">TODO: link Colab/Python artifact or mark not tested.</x:t>
        </x:is>
      </x:c>
      <x:c r="N181" s="38" t="inlineStr">
        <x:is>
          <x:t xml:space="preserve">TODO: link dataset/observation or mark not empirical.</x:t>
        </x:is>
      </x:c>
      <x:c r="O181" s="38" t="inlineStr">
        <x:is>
          <x:t xml:space="preserve">TODO: theological/philosophical interpretation; do not merge with proof.</x:t>
        </x:is>
      </x:c>
      <x:c r="P181" s="38" t="inlineStr">
        <x:is>
          <x:t xml:space="preserve">TODO: formal, dynamical, empirical, or mapping kill condition.</x:t>
        </x:is>
      </x:c>
      <x:c r="Q181" s="39" t="inlineStr">
        <x:is>
          <x:t xml:space="preserve">Downgrade wording or strengthen proof if risk is HIGH; otherwise add evidence links.</x:t>
        </x:is>
      </x:c>
    </x:row>
    <x:row r="182" ht="15" customHeight="1">
      <x:c r="A182" s="37" t="inlineStr">
        <x:is>
          <x:t xml:space="preserve">207</x:t>
        </x:is>
      </x:c>
      <x:c r="B182" s="38" t="inlineStr">
        <x:is>
          <x:t xml:space="preserve">closedEightOfTen_cannot_claim_90_percent</x:t>
        </x:is>
      </x:c>
      <x:c r="C182" s="38" t="inlineStr">
        <x:is>
          <x:t xml:space="preserve">C2 - Structural correspondence candidate</x:t>
        </x:is>
      </x:c>
      <x:c r="D182" s="38" t="inlineStr">
        <x:is>
          <x:t xml:space="preserve">4 - Negative and countermodel tests</x:t>
        </x:is>
      </x:c>
      <x:c r="E182" s="38" t="inlineStr">
        <x:is>
          <x:t xml:space="preserve">DEFINITIONAL_RFL</x:t>
        </x:is>
      </x:c>
      <x:c r="F182" s="38" t="inlineStr">
        <x:is>
          <x:t xml:space="preserve">MEDIUM - definition strength must be audited.</x:t>
        </x:is>
      </x:c>
      <x:c r="G182" s="38" t="inlineStr">
        <x:is>
          <x:t xml:space="preserve">theophysics-lean-main\theophysics-lean-main\Theophysics_Adversarial.lean</x:t>
        </x:is>
      </x:c>
      <x:c r="H182" s="38" t="inlineStr">
        <x:is>
          <x:t xml:space="preserve">565</x:t>
        </x:is>
      </x:c>
      <x:c r="I182" s="38" t="inlineStr">
        <x:is>
          <x:t xml:space="preserve">theorem closedEightOfTen_cannot_claim_90_percent : canClaimPercent closedEightOfTen 90 = false</x:t>
        </x:is>
      </x:c>
      <x:c r="J182" s="38" t="inlineStr">
        <x:is>
          <x:t xml:space="preserve">REJECTION: 90% claim is blocked. Can't claim what you haven't earned.</x:t>
        </x:is>
      </x:c>
      <x:c r="K182" s="38" t="inlineStr">
        <x:is>
          <x:t xml:space="preserve">TODO: list constructors/definitions/candidate restrictions.</x:t>
        </x:is>
      </x:c>
      <x:c r="L182" s="38" t="inlineStr">
        <x:is>
          <x:t xml:space="preserve">TODO: translate exact Lean statement only.</x:t>
        </x:is>
      </x:c>
      <x:c r="M182" s="38" t="inlineStr">
        <x:is>
          <x:t xml:space="preserve">TODO: link Colab/Python artifact or mark not tested.</x:t>
        </x:is>
      </x:c>
      <x:c r="N182" s="38" t="inlineStr">
        <x:is>
          <x:t xml:space="preserve">TODO: link dataset/observation or mark not empirical.</x:t>
        </x:is>
      </x:c>
      <x:c r="O182" s="38" t="inlineStr">
        <x:is>
          <x:t xml:space="preserve">TODO: theological/philosophical interpretation; do not merge with proof.</x:t>
        </x:is>
      </x:c>
      <x:c r="P182" s="38" t="inlineStr">
        <x:is>
          <x:t xml:space="preserve">TODO: formal, dynamical, empirical, or mapping kill condition.</x:t>
        </x:is>
      </x:c>
      <x:c r="Q182" s="39" t="inlineStr">
        <x:is>
          <x:t xml:space="preserve">Downgrade wording or strengthen proof if risk is HIGH; otherwise add evidence links.</x:t>
        </x:is>
      </x:c>
    </x:row>
    <x:row r="183" ht="15" customHeight="1">
      <x:c r="A183" s="37" t="inlineStr">
        <x:is>
          <x:t xml:space="preserve">208</x:t>
        </x:is>
      </x:c>
      <x:c r="B183" s="38" t="inlineStr">
        <x:is>
          <x:t xml:space="preserve">hiddenDenominator_blocks_anomaly_claim</x:t>
        </x:is>
      </x:c>
      <x:c r="C183" s="38" t="inlineStr">
        <x:is>
          <x:t xml:space="preserve">C2 - Structural correspondence candidate</x:t>
        </x:is>
      </x:c>
      <x:c r="D183" s="38" t="inlineStr">
        <x:is>
          <x:t xml:space="preserve">4 - Negative and countermodel tests</x:t>
        </x:is>
      </x:c>
      <x:c r="E183" s="38" t="inlineStr">
        <x:is>
          <x:t xml:space="preserve">DEFINITIONAL_RFL</x:t>
        </x:is>
      </x:c>
      <x:c r="F183" s="38" t="inlineStr">
        <x:is>
          <x:t xml:space="preserve">MEDIUM - definition strength must be audited.</x:t>
        </x:is>
      </x:c>
      <x:c r="G183" s="38" t="inlineStr">
        <x:is>
          <x:t xml:space="preserve">theophysics-lean-main\theophysics-lean-main\Theophysics_Adversarial.lean</x:t>
        </x:is>
      </x:c>
      <x:c r="H183" s="38" t="inlineStr">
        <x:is>
          <x:t xml:space="preserve">569</x:t>
        </x:is>
      </x:c>
      <x:c r="I183" s="38" t="inlineStr">
        <x:is>
          <x:t xml:space="preserve">theorem hiddenDenominator_blocks_anomaly_claim : canClaimPercent { closedEightOfTen with hiddenDenominator := true } 80 = false</x:t>
        </x:is>
      </x:c>
      <x:c r="J183" s="38" t="inlineStr">
        <x:is>
          <x:t xml:space="preserve">REJECTION: Hidden failures block ANY anomaly claim. Integrity is non-negotiable.</x:t>
        </x:is>
      </x:c>
      <x:c r="K183" s="38" t="inlineStr">
        <x:is>
          <x:t xml:space="preserve">TODO: list constructors/definitions/candidate restrictions.</x:t>
        </x:is>
      </x:c>
      <x:c r="L183" s="38" t="inlineStr">
        <x:is>
          <x:t xml:space="preserve">TODO: translate exact Lean statement only.</x:t>
        </x:is>
      </x:c>
      <x:c r="M183" s="38" t="inlineStr">
        <x:is>
          <x:t xml:space="preserve">TODO: link Colab/Python artifact or mark not tested.</x:t>
        </x:is>
      </x:c>
      <x:c r="N183" s="38" t="inlineStr">
        <x:is>
          <x:t xml:space="preserve">TODO: link dataset/observation or mark not empirical.</x:t>
        </x:is>
      </x:c>
      <x:c r="O183" s="38" t="inlineStr">
        <x:is>
          <x:t xml:space="preserve">TODO: theological/philosophical interpretation; do not merge with proof.</x:t>
        </x:is>
      </x:c>
      <x:c r="P183" s="38" t="inlineStr">
        <x:is>
          <x:t xml:space="preserve">TODO: formal, dynamical, empirical, or mapping kill condition.</x:t>
        </x:is>
      </x:c>
      <x:c r="Q183" s="39" t="inlineStr">
        <x:is>
          <x:t xml:space="preserve">Downgrade wording or strengthen proof if risk is HIGH; otherwise add evidence links.</x:t>
        </x:is>
      </x:c>
    </x:row>
    <x:row r="184" ht="15" customHeight="1">
      <x:c r="A184" s="37" t="inlineStr">
        <x:is>
          <x:t xml:space="preserve">209</x:t>
        </x:is>
      </x:c>
      <x:c r="B184" s="38" t="inlineStr">
        <x:is>
          <x:t xml:space="preserve">failed_attempt_counts_in_denominator</x:t>
        </x:is>
      </x:c>
      <x:c r="C184" s="38" t="inlineStr">
        <x:is>
          <x:t xml:space="preserve">C2 - Structural correspondence candidate</x:t>
        </x:is>
      </x:c>
      <x:c r="D184" s="38" t="inlineStr">
        <x:is>
          <x:t xml:space="preserve">4 - Negative and countermodel tests</x:t>
        </x:is>
      </x:c>
      <x:c r="E184" s="38" t="inlineStr">
        <x:is>
          <x:t xml:space="preserve">DEFINITIONAL_RFL</x:t>
        </x:is>
      </x:c>
      <x:c r="F184" s="38" t="inlineStr">
        <x:is>
          <x:t xml:space="preserve">MEDIUM - definition strength must be audited.</x:t>
        </x:is>
      </x:c>
      <x:c r="G184" s="38" t="inlineStr">
        <x:is>
          <x:t xml:space="preserve">theophysics-lean-main\theophysics-lean-main\Theophysics_Adversarial.lean</x:t>
        </x:is>
      </x:c>
      <x:c r="H184" s="38" t="inlineStr">
        <x:is>
          <x:t xml:space="preserve">573</x:t>
        </x:is>
      </x:c>
      <x:c r="I184" s="38" t="inlineStr">
        <x:is>
          <x:t xml:space="preserve">theorem failed_attempt_counts_in_denominator : canClaimPercent { closedEightOfTen with failedAttemptsIncluded := false } 80 = false</x:t>
        </x:is>
      </x:c>
      <x:c r="J184" s="38" t="inlineStr">
        <x:is>
          <x:t xml:space="preserve">REJECTION: Failures count against you. No cherry-picking.</x:t>
        </x:is>
      </x:c>
      <x:c r="K184" s="38" t="inlineStr">
        <x:is>
          <x:t xml:space="preserve">TODO: list constructors/definitions/candidate restrictions.</x:t>
        </x:is>
      </x:c>
      <x:c r="L184" s="38" t="inlineStr">
        <x:is>
          <x:t xml:space="preserve">TODO: translate exact Lean statement only.</x:t>
        </x:is>
      </x:c>
      <x:c r="M184" s="38" t="inlineStr">
        <x:is>
          <x:t xml:space="preserve">TODO: link Colab/Python artifact or mark not tested.</x:t>
        </x:is>
      </x:c>
      <x:c r="N184" s="38" t="inlineStr">
        <x:is>
          <x:t xml:space="preserve">TODO: link dataset/observation or mark not empirical.</x:t>
        </x:is>
      </x:c>
      <x:c r="O184" s="38" t="inlineStr">
        <x:is>
          <x:t xml:space="preserve">TODO: theological/philosophical interpretation; do not merge with proof.</x:t>
        </x:is>
      </x:c>
      <x:c r="P184" s="38" t="inlineStr">
        <x:is>
          <x:t xml:space="preserve">TODO: formal, dynamical, empirical, or mapping kill condition.</x:t>
        </x:is>
      </x:c>
      <x:c r="Q184" s="39" t="inlineStr">
        <x:is>
          <x:t xml:space="preserve">Downgrade wording or strengthen proof if risk is HIGH; otherwise add evidence links.</x:t>
        </x:is>
      </x:c>
    </x:row>
    <x:row r="185" ht="15" customHeight="1">
      <x:c r="A185" s="37" t="inlineStr">
        <x:is>
          <x:t xml:space="preserve">210</x:t>
        </x:is>
      </x:c>
      <x:c r="B185" s="38" t="inlineStr">
        <x:is>
          <x:t xml:space="preserve">partial_attempt_does_not_count_as_hit</x:t>
        </x:is>
      </x:c>
      <x:c r="C185" s="38" t="inlineStr">
        <x:is>
          <x:t xml:space="preserve">C2 - Structural correspondence candidate</x:t>
        </x:is>
      </x:c>
      <x:c r="D185" s="38" t="inlineStr">
        <x:is>
          <x:t xml:space="preserve">4 - Negative and countermodel tests</x:t>
        </x:is>
      </x:c>
      <x:c r="E185" s="38" t="inlineStr">
        <x:is>
          <x:t xml:space="preserve">DEFINITIONAL_RFL</x:t>
        </x:is>
      </x:c>
      <x:c r="F185" s="38" t="inlineStr">
        <x:is>
          <x:t xml:space="preserve">MEDIUM - definition strength must be audited.</x:t>
        </x:is>
      </x:c>
      <x:c r="G185" s="38" t="inlineStr">
        <x:is>
          <x:t xml:space="preserve">theophysics-lean-main\theophysics-lean-main\Theophysics_Adversarial.lean</x:t>
        </x:is>
      </x:c>
      <x:c r="H185" s="38" t="inlineStr">
        <x:is>
          <x:t xml:space="preserve">577</x:t>
        </x:is>
      </x:c>
      <x:c r="I185" s="38" t="inlineStr">
        <x:is>
          <x:t xml:space="preserve">theorem partial_attempt_does_not_count_as_hit : canClaimPercent { closedEightOfTen with partialAttempt := true } 80 = false</x:t>
        </x:is>
      </x:c>
      <x:c r="J185" s="38" t="inlineStr">
        <x:is>
          <x:t xml:space="preserve">REJECTION: Partials are not hits. Close enough is not enough.</x:t>
        </x:is>
      </x:c>
      <x:c r="K185" s="38" t="inlineStr">
        <x:is>
          <x:t xml:space="preserve">TODO: list constructors/definitions/candidate restrictions.</x:t>
        </x:is>
      </x:c>
      <x:c r="L185" s="38" t="inlineStr">
        <x:is>
          <x:t xml:space="preserve">TODO: translate exact Lean statement only.</x:t>
        </x:is>
      </x:c>
      <x:c r="M185" s="38" t="inlineStr">
        <x:is>
          <x:t xml:space="preserve">TODO: link Colab/Python artifact or mark not tested.</x:t>
        </x:is>
      </x:c>
      <x:c r="N185" s="38" t="inlineStr">
        <x:is>
          <x:t xml:space="preserve">TODO: link dataset/observation or mark not empirical.</x:t>
        </x:is>
      </x:c>
      <x:c r="O185" s="38" t="inlineStr">
        <x:is>
          <x:t xml:space="preserve">TODO: theological/philosophical interpretation; do not merge with proof.</x:t>
        </x:is>
      </x:c>
      <x:c r="P185" s="38" t="inlineStr">
        <x:is>
          <x:t xml:space="preserve">TODO: formal, dynamical, empirical, or mapping kill condition.</x:t>
        </x:is>
      </x:c>
      <x:c r="Q185" s="39" t="inlineStr">
        <x:is>
          <x:t xml:space="preserve">Downgrade wording or strengthen proof if risk is HIGH; otherwise add evidence links.</x:t>
        </x:is>
      </x:c>
    </x:row>
    <x:row r="186" ht="15" customHeight="1">
      <x:c r="A186" s="37" t="inlineStr">
        <x:is>
          <x:t xml:space="preserve">GAPS</x:t>
        </x:is>
      </x:c>
      <x:c r="B186" s="38" t="n"/>
      <x:c r="C186" s="38" t="inlineStr">
        <x:is>
          <x:t xml:space="preserve">C2 - Structural correspondence candidate</x:t>
        </x:is>
      </x:c>
      <x:c r="D186" s="38" t="inlineStr">
        <x:is>
          <x:t xml:space="preserve">1 - Conceptual seed / open source link</x:t>
        </x:is>
      </x:c>
      <x:c r="E186" s="38" t="inlineStr">
        <x:is>
          <x:t xml:space="preserve">NOT_FOUND_IN_HUB</x:t>
        </x:is>
      </x:c>
      <x:c r="F186" s="38" t="inlineStr">
        <x:is>
          <x:t xml:space="preserve">HIGH - workbook row not found in current central hub Lean files.</x:t>
        </x:is>
      </x:c>
      <x:c r="G186" s="38" t="n"/>
      <x:c r="H186" s="38" t="n"/>
      <x:c r="I186" s="38" t="n"/>
      <x:c r="J186" s="38" t="inlineStr">
        <x:is>
          <x:t xml:space="preserve">Every gap here is an honest admission. The system does not claim what it has not proven.</x:t>
        </x:is>
      </x:c>
      <x:c r="K186" s="38" t="inlineStr">
        <x:is>
          <x:t xml:space="preserve">TODO: list constructors/definitions/candidate restrictions.</x:t>
        </x:is>
      </x:c>
      <x:c r="L186" s="38" t="inlineStr">
        <x:is>
          <x:t xml:space="preserve">TODO: translate exact Lean statement only.</x:t>
        </x:is>
      </x:c>
      <x:c r="M186" s="38" t="inlineStr">
        <x:is>
          <x:t xml:space="preserve">TODO: link Colab/Python artifact or mark not tested.</x:t>
        </x:is>
      </x:c>
      <x:c r="N186" s="38" t="inlineStr">
        <x:is>
          <x:t xml:space="preserve">TODO: link dataset/observation or mark not empirical.</x:t>
        </x:is>
      </x:c>
      <x:c r="O186" s="38" t="inlineStr">
        <x:is>
          <x:t xml:space="preserve">TODO: theological/philosophical interpretation; do not merge with proof.</x:t>
        </x:is>
      </x:c>
      <x:c r="P186" s="38" t="inlineStr">
        <x:is>
          <x:t xml:space="preserve">TODO: formal, dynamical, empirical, or mapping kill condition.</x:t>
        </x:is>
      </x:c>
      <x:c r="Q186" s="39" t="inlineStr">
        <x:is>
          <x:t xml:space="preserve">Downgrade wording or strengthen proof if risk is HIGH; otherwise add evidence links.</x:t>
        </x:is>
      </x:c>
    </x:row>
    <x:row r="187" ht="15" customHeight="1">
      <x:c r="A187" s="37" t="inlineStr">
        <x:is>
          <x:t xml:space="preserve">GAP-01</x:t>
        </x:is>
      </x:c>
      <x:c r="B187" s="38" t="inlineStr">
        <x:is>
          <x:t xml:space="preserve">Laws 1, 2, 9, 10 — No domain-specific collapse conditions</x:t>
        </x:is>
      </x:c>
      <x:c r="C187" s="38" t="inlineStr">
        <x:is>
          <x:t xml:space="preserve">C2 - Structural correspondence candidate</x:t>
        </x:is>
      </x:c>
      <x:c r="D187" s="38" t="inlineStr">
        <x:is>
          <x:t xml:space="preserve">1 - Conceptual seed / open source link</x:t>
        </x:is>
      </x:c>
      <x:c r="E187" s="38" t="inlineStr">
        <x:is>
          <x:t xml:space="preserve">NOT_FOUND_IN_HUB</x:t>
        </x:is>
      </x:c>
      <x:c r="F187" s="38" t="inlineStr">
        <x:is>
          <x:t xml:space="preserve">HIGH - workbook row not found in current central hub Lean files.</x:t>
        </x:is>
      </x:c>
      <x:c r="G187" s="38" t="n"/>
      <x:c r="H187" s="38" t="n"/>
      <x:c r="I187" s="38" t="n"/>
      <x:c r="J187" s="38" t="inlineStr">
        <x:is>
          <x:t xml:space="preserve">Law 1 (Gravity/Grace → G), Law 2 (Motion/Will → M as force), Law 9 (Weak/Moral Conservation), Law 10 (Coherence/Christ as factor). Generic zero-collapse is proven but physical mechanism that drives each to zero is NOT encoded.</x:t>
        </x:is>
      </x:c>
      <x:c r="K187" s="38" t="inlineStr">
        <x:is>
          <x:t xml:space="preserve">TODO: list constructors/definitions/candidate restrictions.</x:t>
        </x:is>
      </x:c>
      <x:c r="L187" s="38" t="inlineStr">
        <x:is>
          <x:t xml:space="preserve">TODO: translate exact Lean statement only.</x:t>
        </x:is>
      </x:c>
      <x:c r="M187" s="38" t="inlineStr">
        <x:is>
          <x:t xml:space="preserve">TODO: link Colab/Python artifact or mark not tested.</x:t>
        </x:is>
      </x:c>
      <x:c r="N187" s="38" t="inlineStr">
        <x:is>
          <x:t xml:space="preserve">TODO: link dataset/observation or mark not empirical.</x:t>
        </x:is>
      </x:c>
      <x:c r="O187" s="38" t="inlineStr">
        <x:is>
          <x:t xml:space="preserve">TODO: theological/philosophical interpretation; do not merge with proof.</x:t>
        </x:is>
      </x:c>
      <x:c r="P187" s="38" t="inlineStr">
        <x:is>
          <x:t xml:space="preserve">TODO: formal, dynamical, empirical, or mapping kill condition.</x:t>
        </x:is>
      </x:c>
      <x:c r="Q187" s="39" t="inlineStr">
        <x:is>
          <x:t xml:space="preserve">Downgrade wording or strengthen proof if risk is HIGH; otherwise add evidence links.</x:t>
        </x:is>
      </x:c>
    </x:row>
    <x:row r="188" ht="15" customHeight="1">
      <x:c r="A188" s="37" t="inlineStr">
        <x:is>
          <x:t xml:space="preserve">GAP-02</x:t>
        </x:is>
      </x:c>
      <x:c r="B188" s="38" t="inlineStr">
        <x:is>
          <x:t xml:space="preserve">Law 4 factor-level bridge wiring</x:t>
        </x:is>
      </x:c>
      <x:c r="C188" s="38" t="inlineStr">
        <x:is>
          <x:t xml:space="preserve">C4 - Isomorphism candidate; requires inverse and broad candidate-space check</x:t>
        </x:is>
      </x:c>
      <x:c r="D188" s="38" t="inlineStr">
        <x:is>
          <x:t xml:space="preserve">1 - Conceptual seed / open source link</x:t>
        </x:is>
      </x:c>
      <x:c r="E188" s="38" t="inlineStr">
        <x:is>
          <x:t xml:space="preserve">NOT_FOUND_IN_HUB</x:t>
        </x:is>
      </x:c>
      <x:c r="F188" s="38" t="inlineStr">
        <x:is>
          <x:t xml:space="preserve">HIGH - workbook row not found in current central hub Lean files.</x:t>
        </x:is>
      </x:c>
      <x:c r="G188" s="38" t="n"/>
      <x:c r="H188" s="38" t="n"/>
      <x:c r="I188" s="38" t="n"/>
      <x:c r="J188" s="38" t="inlineStr">
        <x:is>
          <x:t xml:space="preserve">The isomorphism StrongForce ≅ Love is proven at the model level, but there is NO FieldBridgeControls-style gate wiring Factor.S into the χ product.</x:t>
        </x:is>
      </x:c>
      <x:c r="K188" s="38" t="inlineStr">
        <x:is>
          <x:t xml:space="preserve">TODO: list constructors/definitions/candidate restrictions.</x:t>
        </x:is>
      </x:c>
      <x:c r="L188" s="38" t="inlineStr">
        <x:is>
          <x:t xml:space="preserve">TODO: translate exact Lean statement only.</x:t>
        </x:is>
      </x:c>
      <x:c r="M188" s="38" t="inlineStr">
        <x:is>
          <x:t xml:space="preserve">TODO: link Colab/Python artifact or mark not tested.</x:t>
        </x:is>
      </x:c>
      <x:c r="N188" s="38" t="inlineStr">
        <x:is>
          <x:t xml:space="preserve">TODO: link dataset/observation or mark not empirical.</x:t>
        </x:is>
      </x:c>
      <x:c r="O188" s="38" t="inlineStr">
        <x:is>
          <x:t xml:space="preserve">TODO: theological/philosophical interpretation; do not merge with proof.</x:t>
        </x:is>
      </x:c>
      <x:c r="P188" s="38" t="inlineStr">
        <x:is>
          <x:t xml:space="preserve">TODO: formal, dynamical, empirical, or mapping kill condition.</x:t>
        </x:is>
      </x:c>
      <x:c r="Q188" s="39" t="inlineStr">
        <x:is>
          <x:t xml:space="preserve">Downgrade wording or strengthen proof if risk is HIGH; otherwise add evidence links.</x:t>
        </x:is>
      </x:c>
    </x:row>
    <x:row r="189" ht="15" customHeight="1">
      <x:c r="A189" s="37" t="inlineStr">
        <x:is>
          <x:t xml:space="preserve">GAP-03</x:t>
        </x:is>
      </x:c>
      <x:c r="B189" s="38" t="inlineStr">
        <x:is>
          <x:t xml:space="preserve">Law 5 factor-level bridge wiring</x:t>
        </x:is>
      </x:c>
      <x:c r="C189" s="38" t="inlineStr">
        <x:is>
          <x:t xml:space="preserve">C2 - Structural correspondence candidate</x:t>
        </x:is>
      </x:c>
      <x:c r="D189" s="38" t="inlineStr">
        <x:is>
          <x:t xml:space="preserve">1 - Conceptual seed / open source link</x:t>
        </x:is>
      </x:c>
      <x:c r="E189" s="38" t="inlineStr">
        <x:is>
          <x:t xml:space="preserve">NOT_FOUND_IN_HUB</x:t>
        </x:is>
      </x:c>
      <x:c r="F189" s="38" t="inlineStr">
        <x:is>
          <x:t xml:space="preserve">HIGH - workbook row not found in current central hub Lean files.</x:t>
        </x:is>
      </x:c>
      <x:c r="G189" s="38" t="n"/>
      <x:c r="H189" s="38" t="n"/>
      <x:c r="I189" s="38" t="n"/>
      <x:c r="J189" s="38" t="inlineStr">
        <x:is>
          <x:t xml:space="preserve">Justice/Mercy operator is proven independently, but no formal wiring shows how R(offense, α) maps into the Factor.S product slot.</x:t>
        </x:is>
      </x:c>
      <x:c r="K189" s="38" t="inlineStr">
        <x:is>
          <x:t xml:space="preserve">TODO: list constructors/definitions/candidate restrictions.</x:t>
        </x:is>
      </x:c>
      <x:c r="L189" s="38" t="inlineStr">
        <x:is>
          <x:t xml:space="preserve">TODO: translate exact Lean statement only.</x:t>
        </x:is>
      </x:c>
      <x:c r="M189" s="38" t="inlineStr">
        <x:is>
          <x:t xml:space="preserve">TODO: link Colab/Python artifact or mark not tested.</x:t>
        </x:is>
      </x:c>
      <x:c r="N189" s="38" t="inlineStr">
        <x:is>
          <x:t xml:space="preserve">TODO: link dataset/observation or mark not empirical.</x:t>
        </x:is>
      </x:c>
      <x:c r="O189" s="38" t="inlineStr">
        <x:is>
          <x:t xml:space="preserve">TODO: theological/philosophical interpretation; do not merge with proof.</x:t>
        </x:is>
      </x:c>
      <x:c r="P189" s="38" t="inlineStr">
        <x:is>
          <x:t xml:space="preserve">TODO: formal, dynamical, empirical, or mapping kill condition.</x:t>
        </x:is>
      </x:c>
      <x:c r="Q189" s="39" t="inlineStr">
        <x:is>
          <x:t xml:space="preserve">Downgrade wording or strengthen proof if risk is HIGH; otherwise add evidence links.</x:t>
        </x:is>
      </x:c>
    </x:row>
    <x:row r="190" ht="15" customHeight="1">
      <x:c r="A190" s="37" t="inlineStr">
        <x:is>
          <x:t xml:space="preserve">GAP-04</x:t>
        </x:is>
      </x:c>
      <x:c r="B190" s="38" t="inlineStr">
        <x:is>
          <x:t xml:space="preserve">Category-theoretic upgrade of Mapping.lean</x:t>
        </x:is>
      </x:c>
      <x:c r="C190" s="38" t="inlineStr">
        <x:is>
          <x:t xml:space="preserve">C3 - Homomorphism candidate</x:t>
        </x:is>
      </x:c>
      <x:c r="D190" s="38" t="inlineStr">
        <x:is>
          <x:t xml:space="preserve">1 - Conceptual seed / open source link</x:t>
        </x:is>
      </x:c>
      <x:c r="E190" s="38" t="inlineStr">
        <x:is>
          <x:t xml:space="preserve">NOT_FOUND_IN_HUB</x:t>
        </x:is>
      </x:c>
      <x:c r="F190" s="38" t="inlineStr">
        <x:is>
          <x:t xml:space="preserve">HIGH - workbook row not found in current central hub Lean files.</x:t>
        </x:is>
      </x:c>
      <x:c r="G190" s="38" t="n"/>
      <x:c r="H190" s="38" t="n"/>
      <x:c r="I190" s="38" t="n"/>
      <x:c r="J190" s="38" t="inlineStr">
        <x:is>
          <x:t xml:space="preserve">Currently a list-map equality. A proper functor between categories of operations would be stronger. Currently DEMOTED to teaching layer.</x:t>
        </x:is>
      </x:c>
      <x:c r="K190" s="38" t="inlineStr">
        <x:is>
          <x:t xml:space="preserve">TODO: list constructors/definitions/candidate restrictions.</x:t>
        </x:is>
      </x:c>
      <x:c r="L190" s="38" t="inlineStr">
        <x:is>
          <x:t xml:space="preserve">TODO: translate exact Lean statement only.</x:t>
        </x:is>
      </x:c>
      <x:c r="M190" s="38" t="inlineStr">
        <x:is>
          <x:t xml:space="preserve">TODO: link Colab/Python artifact or mark not tested.</x:t>
        </x:is>
      </x:c>
      <x:c r="N190" s="38" t="inlineStr">
        <x:is>
          <x:t xml:space="preserve">TODO: link dataset/observation or mark not empirical.</x:t>
        </x:is>
      </x:c>
      <x:c r="O190" s="38" t="inlineStr">
        <x:is>
          <x:t xml:space="preserve">TODO: theological/philosophical interpretation; do not merge with proof.</x:t>
        </x:is>
      </x:c>
      <x:c r="P190" s="38" t="inlineStr">
        <x:is>
          <x:t xml:space="preserve">TODO: formal, dynamical, empirical, or mapping kill condition.</x:t>
        </x:is>
      </x:c>
      <x:c r="Q190" s="39" t="inlineStr">
        <x:is>
          <x:t xml:space="preserve">Downgrade wording or strengthen proof if risk is HIGH; otherwise add evidence links.</x:t>
        </x:is>
      </x:c>
    </x:row>
    <x:row r="191" ht="15" customHeight="1">
      <x:c r="A191" s="37" t="inlineStr">
        <x:is>
          <x:t xml:space="preserve">GAP-05</x:t>
        </x:is>
      </x:c>
      <x:c r="B191" s="38" t="inlineStr">
        <x:is>
          <x:t xml:space="preserve">Cross-domain lattice coverage</x:t>
        </x:is>
      </x:c>
      <x:c r="C191" s="38" t="inlineStr">
        <x:is>
          <x:t xml:space="preserve">C2 - Structural correspondence candidate</x:t>
        </x:is>
      </x:c>
      <x:c r="D191" s="38" t="inlineStr">
        <x:is>
          <x:t xml:space="preserve">1 - Conceptual seed / open source link</x:t>
        </x:is>
      </x:c>
      <x:c r="E191" s="38" t="inlineStr">
        <x:is>
          <x:t xml:space="preserve">NOT_FOUND_IN_HUB</x:t>
        </x:is>
      </x:c>
      <x:c r="F191" s="38" t="inlineStr">
        <x:is>
          <x:t xml:space="preserve">HIGH - workbook row not found in current central hub Lean files.</x:t>
        </x:is>
      </x:c>
      <x:c r="G191" s="38" t="n"/>
      <x:c r="H191" s="38" t="n"/>
      <x:c r="I191" s="38" t="n"/>
      <x:c r="J191" s="38" t="inlineStr">
        <x:is>
          <x:t xml:space="preserve">Only 3 of ~20 theology edges have explicit physics edge witnesses. The rest are structurally provable but not yet formalized.</x:t>
        </x:is>
      </x:c>
      <x:c r="K191" s="38" t="inlineStr">
        <x:is>
          <x:t xml:space="preserve">TODO: list constructors/definitions/candidate restrictions.</x:t>
        </x:is>
      </x:c>
      <x:c r="L191" s="38" t="inlineStr">
        <x:is>
          <x:t xml:space="preserve">TODO: translate exact Lean statement only.</x:t>
        </x:is>
      </x:c>
      <x:c r="M191" s="38" t="inlineStr">
        <x:is>
          <x:t xml:space="preserve">TODO: link Colab/Python artifact or mark not tested.</x:t>
        </x:is>
      </x:c>
      <x:c r="N191" s="38" t="inlineStr">
        <x:is>
          <x:t xml:space="preserve">TODO: link dataset/observation or mark not empirical.</x:t>
        </x:is>
      </x:c>
      <x:c r="O191" s="38" t="inlineStr">
        <x:is>
          <x:t xml:space="preserve">TODO: theological/philosophical interpretation; do not merge with proof.</x:t>
        </x:is>
      </x:c>
      <x:c r="P191" s="38" t="inlineStr">
        <x:is>
          <x:t xml:space="preserve">TODO: formal, dynamical, empirical, or mapping kill condition.</x:t>
        </x:is>
      </x:c>
      <x:c r="Q191" s="39" t="inlineStr">
        <x:is>
          <x:t xml:space="preserve">Downgrade wording or strengthen proof if risk is HIGH; otherwise add evidence links.</x:t>
        </x:is>
      </x:c>
    </x:row>
    <x:row r="192" ht="15" customHeight="1">
      <x:c r="A192" s="37" t="inlineStr">
        <x:is>
          <x:t xml:space="preserve">SPEC</x:t>
        </x:is>
      </x:c>
      <x:c r="B192" s="38" t="n"/>
      <x:c r="C192" s="38" t="inlineStr">
        <x:is>
          <x:t xml:space="preserve">C6 - Empirical model candidate</x:t>
        </x:is>
      </x:c>
      <x:c r="D192" s="38" t="inlineStr">
        <x:is>
          <x:t xml:space="preserve">1 - Conceptual seed / open source link</x:t>
        </x:is>
      </x:c>
      <x:c r="E192" s="38" t="inlineStr">
        <x:is>
          <x:t xml:space="preserve">NOT_FOUND_IN_HUB</x:t>
        </x:is>
      </x:c>
      <x:c r="F192" s="38" t="inlineStr">
        <x:is>
          <x:t xml:space="preserve">HIGH - workbook row not found in current central hub Lean files.</x:t>
        </x:is>
      </x:c>
      <x:c r="G192" s="38" t="n"/>
      <x:c r="H192" s="38" t="n"/>
      <x:c r="I192" s="38" t="n"/>
      <x:c r="J192" s="38" t="inlineStr">
        <x:is>
          <x:t xml:space="preserve">These gaps cannot be closed by more Lean. They require domain judgment, empirical data, or philosophical argument.</x:t>
        </x:is>
      </x:c>
      <x:c r="K192" s="38" t="inlineStr">
        <x:is>
          <x:t xml:space="preserve">TODO: list constructors/definitions/candidate restrictions.</x:t>
        </x:is>
      </x:c>
      <x:c r="L192" s="38" t="inlineStr">
        <x:is>
          <x:t xml:space="preserve">TODO: translate exact Lean statement only.</x:t>
        </x:is>
      </x:c>
      <x:c r="M192" s="38" t="inlineStr">
        <x:is>
          <x:t xml:space="preserve">TODO: link Colab/Python artifact or mark not tested.</x:t>
        </x:is>
      </x:c>
      <x:c r="N192" s="38" t="inlineStr">
        <x:is>
          <x:t xml:space="preserve">TODO: link dataset/observation or mark not empirical.</x:t>
        </x:is>
      </x:c>
      <x:c r="O192" s="38" t="inlineStr">
        <x:is>
          <x:t xml:space="preserve">TODO: theological/philosophical interpretation; do not merge with proof.</x:t>
        </x:is>
      </x:c>
      <x:c r="P192" s="38" t="inlineStr">
        <x:is>
          <x:t xml:space="preserve">TODO: formal, dynamical, empirical, or mapping kill condition.</x:t>
        </x:is>
      </x:c>
      <x:c r="Q192" s="39" t="inlineStr">
        <x:is>
          <x:t xml:space="preserve">Downgrade wording or strengthen proof if risk is HIGH; otherwise add evidence links.</x:t>
        </x:is>
      </x:c>
    </x:row>
    <x:row r="193" ht="15" customHeight="1">
      <x:c r="A193" s="37" t="inlineStr">
        <x:is>
          <x:t xml:space="preserve">SPEC-01</x:t>
        </x:is>
      </x:c>
      <x:c r="B193" s="38" t="inlineStr">
        <x:is>
          <x:t xml:space="preserve">Faithful abstraction</x:t>
        </x:is>
      </x:c>
      <x:c r="C193" s="38" t="inlineStr">
        <x:is>
          <x:t xml:space="preserve">C2 - Structural correspondence candidate</x:t>
        </x:is>
      </x:c>
      <x:c r="D193" s="38" t="inlineStr">
        <x:is>
          <x:t xml:space="preserve">1 - Conceptual seed / open source link</x:t>
        </x:is>
      </x:c>
      <x:c r="E193" s="38" t="inlineStr">
        <x:is>
          <x:t xml:space="preserve">NOT_FOUND_IN_HUB</x:t>
        </x:is>
      </x:c>
      <x:c r="F193" s="38" t="inlineStr">
        <x:is>
          <x:t xml:space="preserve">HIGH - workbook row not found in current central hub Lean files.</x:t>
        </x:is>
      </x:c>
      <x:c r="G193" s="38" t="n"/>
      <x:c r="H193" s="38" t="n"/>
      <x:c r="I193" s="38" t="n"/>
      <x:c r="J193" s="38" t="inlineStr">
        <x:is>
          <x:t xml:space="preserve">Does quaternionEM faithfully represent historical Maxwell quaternion EM? Does loveModel faithfully represent the theological concept of love? These are domain judgment calls, not formal proof targets.</x:t>
        </x:is>
      </x:c>
      <x:c r="K193" s="38" t="inlineStr">
        <x:is>
          <x:t xml:space="preserve">TODO: list constructors/definitions/candidate restrictions.</x:t>
        </x:is>
      </x:c>
      <x:c r="L193" s="38" t="inlineStr">
        <x:is>
          <x:t xml:space="preserve">TODO: translate exact Lean statement only.</x:t>
        </x:is>
      </x:c>
      <x:c r="M193" s="38" t="inlineStr">
        <x:is>
          <x:t xml:space="preserve">TODO: link Colab/Python artifact or mark not tested.</x:t>
        </x:is>
      </x:c>
      <x:c r="N193" s="38" t="inlineStr">
        <x:is>
          <x:t xml:space="preserve">TODO: link dataset/observation or mark not empirical.</x:t>
        </x:is>
      </x:c>
      <x:c r="O193" s="38" t="inlineStr">
        <x:is>
          <x:t xml:space="preserve">TODO: theological/philosophical interpretation; do not merge with proof.</x:t>
        </x:is>
      </x:c>
      <x:c r="P193" s="38" t="inlineStr">
        <x:is>
          <x:t xml:space="preserve">TODO: formal, dynamical, empirical, or mapping kill condition.</x:t>
        </x:is>
      </x:c>
      <x:c r="Q193" s="39" t="inlineStr">
        <x:is>
          <x:t xml:space="preserve">Downgrade wording or strengthen proof if risk is HIGH; otherwise add evidence links.</x:t>
        </x:is>
      </x:c>
    </x:row>
    <x:row r="194" ht="15" customHeight="1">
      <x:c r="A194" s="37" t="inlineStr">
        <x:is>
          <x:t xml:space="preserve">SPEC-02</x:t>
        </x:is>
      </x:c>
      <x:c r="B194" s="38" t="inlineStr">
        <x:is>
          <x:t xml:space="preserve">Label honesty</x:t>
        </x:is>
      </x:c>
      <x:c r="C194" s="38" t="inlineStr">
        <x:is>
          <x:t xml:space="preserve">C2 - Structural correspondence candidate</x:t>
        </x:is>
      </x:c>
      <x:c r="D194" s="38" t="inlineStr">
        <x:is>
          <x:t xml:space="preserve">1 - Conceptual seed / open source link</x:t>
        </x:is>
      </x:c>
      <x:c r="E194" s="38" t="inlineStr">
        <x:is>
          <x:t xml:space="preserve">NOT_FOUND_IN_HUB</x:t>
        </x:is>
      </x:c>
      <x:c r="F194" s="38" t="inlineStr">
        <x:is>
          <x:t xml:space="preserve">HIGH - workbook row not found in current central hub Lean files.</x:t>
        </x:is>
      </x:c>
      <x:c r="G194" s="38" t="n"/>
      <x:c r="H194" s="38" t="n"/>
      <x:c r="I194" s="38" t="n"/>
      <x:c r="J194" s="38" t="inlineStr">
        <x:is>
          <x:t xml:space="preserve">The relabeled-coin adversarial result proves Lean CAN be gamed by relabeling. The guard is domain review, not formal proof. This is an inherent limit of any formal system.</x:t>
        </x:is>
      </x:c>
      <x:c r="K194" s="38" t="inlineStr">
        <x:is>
          <x:t xml:space="preserve">TODO: list constructors/definitions/candidate restrictions.</x:t>
        </x:is>
      </x:c>
      <x:c r="L194" s="38" t="inlineStr">
        <x:is>
          <x:t xml:space="preserve">TODO: translate exact Lean statement only.</x:t>
        </x:is>
      </x:c>
      <x:c r="M194" s="38" t="inlineStr">
        <x:is>
          <x:t xml:space="preserve">TODO: link Colab/Python artifact or mark not tested.</x:t>
        </x:is>
      </x:c>
      <x:c r="N194" s="38" t="inlineStr">
        <x:is>
          <x:t xml:space="preserve">TODO: link dataset/observation or mark not empirical.</x:t>
        </x:is>
      </x:c>
      <x:c r="O194" s="38" t="inlineStr">
        <x:is>
          <x:t xml:space="preserve">TODO: theological/philosophical interpretation; do not merge with proof.</x:t>
        </x:is>
      </x:c>
      <x:c r="P194" s="38" t="inlineStr">
        <x:is>
          <x:t xml:space="preserve">TODO: formal, dynamical, empirical, or mapping kill condition.</x:t>
        </x:is>
      </x:c>
      <x:c r="Q194" s="39" t="inlineStr">
        <x:is>
          <x:t xml:space="preserve">Downgrade wording or strengthen proof if risk is HIGH; otherwise add evidence links.</x:t>
        </x:is>
      </x:c>
    </x:row>
    <x:row r="195" ht="15" customHeight="1">
      <x:c r="A195" s="37" t="inlineStr">
        <x:is>
          <x:t xml:space="preserve">SPEC-03</x:t>
        </x:is>
      </x:c>
      <x:c r="B195" s="38" t="inlineStr">
        <x:is>
          <x:t xml:space="preserve">Empirical validation</x:t>
        </x:is>
      </x:c>
      <x:c r="C195" s="38" t="inlineStr">
        <x:is>
          <x:t xml:space="preserve">C6 - Empirical model candidate</x:t>
        </x:is>
      </x:c>
      <x:c r="D195" s="38" t="inlineStr">
        <x:is>
          <x:t xml:space="preserve">1 - Conceptual seed / open source link</x:t>
        </x:is>
      </x:c>
      <x:c r="E195" s="38" t="inlineStr">
        <x:is>
          <x:t xml:space="preserve">NOT_FOUND_IN_HUB</x:t>
        </x:is>
      </x:c>
      <x:c r="F195" s="38" t="inlineStr">
        <x:is>
          <x:t xml:space="preserve">HIGH - workbook row not found in current central hub Lean files.</x:t>
        </x:is>
      </x:c>
      <x:c r="G195" s="38" t="n"/>
      <x:c r="H195" s="38" t="n"/>
      <x:c r="I195" s="38" t="n"/>
      <x:c r="J195" s="38" t="inlineStr">
        <x:is>
          <x:t xml:space="preserve">The 5.7–6.35σ experimental correlations are NOT formalized in Lean. Statistical claims reference external data not encoded in the proof system.</x:t>
        </x:is>
      </x:c>
      <x:c r="K195" s="38" t="inlineStr">
        <x:is>
          <x:t xml:space="preserve">TODO: list constructors/definitions/candidate restrictions.</x:t>
        </x:is>
      </x:c>
      <x:c r="L195" s="38" t="inlineStr">
        <x:is>
          <x:t xml:space="preserve">TODO: translate exact Lean statement only.</x:t>
        </x:is>
      </x:c>
      <x:c r="M195" s="38" t="inlineStr">
        <x:is>
          <x:t xml:space="preserve">TODO: link Colab/Python artifact or mark not tested.</x:t>
        </x:is>
      </x:c>
      <x:c r="N195" s="38" t="inlineStr">
        <x:is>
          <x:t xml:space="preserve">TODO: link dataset/observation or mark not empirical.</x:t>
        </x:is>
      </x:c>
      <x:c r="O195" s="38" t="inlineStr">
        <x:is>
          <x:t xml:space="preserve">TODO: theological/philosophical interpretation; do not merge with proof.</x:t>
        </x:is>
      </x:c>
      <x:c r="P195" s="38" t="inlineStr">
        <x:is>
          <x:t xml:space="preserve">TODO: formal, dynamical, empirical, or mapping kill condition.</x:t>
        </x:is>
      </x:c>
      <x:c r="Q195" s="39" t="inlineStr">
        <x:is>
          <x:t xml:space="preserve">Downgrade wording or strengthen proof if risk is HIGH; otherwise add evidence links.</x:t>
        </x:is>
      </x:c>
    </x:row>
    <x:row r="196" ht="15" customHeight="1">
      <x:c r="A196" s="37" t="inlineStr">
        <x:is>
          <x:t xml:space="preserve">SPEC-04</x:t>
        </x:is>
      </x:c>
      <x:c r="B196" s="38" t="inlineStr">
        <x:is>
          <x:t xml:space="preserve">Continuous mathematics</x:t>
        </x:is>
      </x:c>
      <x:c r="C196" s="38" t="inlineStr">
        <x:is>
          <x:t xml:space="preserve">C5 - Dynamical equivalence candidate</x:t>
        </x:is>
      </x:c>
      <x:c r="D196" s="38" t="inlineStr">
        <x:is>
          <x:t xml:space="preserve">1 - Conceptual seed / open source link</x:t>
        </x:is>
      </x:c>
      <x:c r="E196" s="38" t="inlineStr">
        <x:is>
          <x:t xml:space="preserve">NOT_FOUND_IN_HUB</x:t>
        </x:is>
      </x:c>
      <x:c r="F196" s="38" t="inlineStr">
        <x:is>
          <x:t xml:space="preserve">HIGH - workbook row not found in current central hub Lean files.</x:t>
        </x:is>
      </x:c>
      <x:c r="G196" s="38" t="n"/>
      <x:c r="H196" s="38" t="n"/>
      <x:c r="I196" s="38" t="n"/>
      <x:c r="J196" s="38" t="inlineStr">
        <x:is>
          <x:t xml:space="preserve">All models use Nat/Int/Bool. Continuous-domain physics (real-valued fields, differential equations, Lagrangians) would require Mathlib. Not attempted.</x:t>
        </x:is>
      </x:c>
      <x:c r="K196" s="38" t="inlineStr">
        <x:is>
          <x:t xml:space="preserve">TODO: list constructors/definitions/candidate restrictions.</x:t>
        </x:is>
      </x:c>
      <x:c r="L196" s="38" t="inlineStr">
        <x:is>
          <x:t xml:space="preserve">TODO: translate exact Lean statement only.</x:t>
        </x:is>
      </x:c>
      <x:c r="M196" s="38" t="inlineStr">
        <x:is>
          <x:t xml:space="preserve">TODO: link Colab/Python artifact or mark not tested.</x:t>
        </x:is>
      </x:c>
      <x:c r="N196" s="38" t="inlineStr">
        <x:is>
          <x:t xml:space="preserve">TODO: link dataset/observation or mark not empirical.</x:t>
        </x:is>
      </x:c>
      <x:c r="O196" s="38" t="inlineStr">
        <x:is>
          <x:t xml:space="preserve">TODO: theological/philosophical interpretation; do not merge with proof.</x:t>
        </x:is>
      </x:c>
      <x:c r="P196" s="38" t="inlineStr">
        <x:is>
          <x:t xml:space="preserve">TODO: formal, dynamical, empirical, or mapping kill condition.</x:t>
        </x:is>
      </x:c>
      <x:c r="Q196" s="39" t="inlineStr">
        <x:is>
          <x:t xml:space="preserve">Downgrade wording or strengthen proof if risk is HIGH; otherwise add evidence links.</x:t>
        </x:is>
      </x:c>
    </x:row>
    <x:row r="197" ht="15" customHeight="1">
      <x:c r="A197" s="37" t="inlineStr">
        <x:is>
          <x:t xml:space="preserve">SPEC-05</x:t>
        </x:is>
      </x:c>
      <x:c r="B197" s="38" t="inlineStr">
        <x:is>
          <x:t xml:space="preserve">Historical claims</x:t>
        </x:is>
      </x:c>
      <x:c r="C197" s="38" t="inlineStr">
        <x:is>
          <x:t xml:space="preserve">C2 - Structural correspondence candidate</x:t>
        </x:is>
      </x:c>
      <x:c r="D197" s="38" t="inlineStr">
        <x:is>
          <x:t xml:space="preserve">1 - Conceptual seed / open source link</x:t>
        </x:is>
      </x:c>
      <x:c r="E197" s="38" t="inlineStr">
        <x:is>
          <x:t xml:space="preserve">NOT_FOUND_IN_HUB</x:t>
        </x:is>
      </x:c>
      <x:c r="F197" s="38" t="inlineStr">
        <x:is>
          <x:t xml:space="preserve">HIGH - workbook row not found in current central hub Lean files.</x:t>
        </x:is>
      </x:c>
      <x:c r="G197" s="38" t="n"/>
      <x:c r="H197" s="38" t="n"/>
      <x:c r="I197" s="38" t="n"/>
      <x:c r="J197" s="38" t="inlineStr">
        <x:is>
          <x:t xml:space="preserve">Lean proves the repair STRUCTURE is unique. Whether Jesus of Nazareth is that structure requires historical evidence, not formal proof. History must be tested separately.</x:t>
        </x:is>
      </x:c>
      <x:c r="K197" s="38" t="inlineStr">
        <x:is>
          <x:t xml:space="preserve">TODO: list constructors/definitions/candidate restrictions.</x:t>
        </x:is>
      </x:c>
      <x:c r="L197" s="38" t="inlineStr">
        <x:is>
          <x:t xml:space="preserve">TODO: translate exact Lean statement only.</x:t>
        </x:is>
      </x:c>
      <x:c r="M197" s="38" t="inlineStr">
        <x:is>
          <x:t xml:space="preserve">TODO: link Colab/Python artifact or mark not tested.</x:t>
        </x:is>
      </x:c>
      <x:c r="N197" s="38" t="inlineStr">
        <x:is>
          <x:t xml:space="preserve">TODO: link dataset/observation or mark not empirical.</x:t>
        </x:is>
      </x:c>
      <x:c r="O197" s="38" t="inlineStr">
        <x:is>
          <x:t xml:space="preserve">TODO: theological/philosophical interpretation; do not merge with proof.</x:t>
        </x:is>
      </x:c>
      <x:c r="P197" s="38" t="inlineStr">
        <x:is>
          <x:t xml:space="preserve">TODO: formal, dynamical, empirical, or mapping kill condition.</x:t>
        </x:is>
      </x:c>
      <x:c r="Q197" s="39" t="inlineStr">
        <x:is>
          <x:t xml:space="preserve">Downgrade wording or strengthen proof if risk is HIGH; otherwise add evidence links.</x:t>
        </x:is>
      </x:c>
    </x:row>
    <x:row r="198" ht="15" customHeight="1">
      <x:c r="A198" s="37" t="inlineStr">
        <x:is>
          <x:t xml:space="preserve">211</x:t>
        </x:is>
      </x:c>
      <x:c r="B198" s="38" t="inlineStr">
        <x:is>
          <x:t xml:space="preserve">strong_Q_with_zero_R_gate_fails</x:t>
        </x:is>
      </x:c>
      <x:c r="C198" s="38" t="inlineStr">
        <x:is>
          <x:t xml:space="preserve">C2 - Structural correspondence candidate</x:t>
        </x:is>
      </x:c>
      <x:c r="D198" s="38" t="inlineStr">
        <x:is>
          <x:t xml:space="preserve">2 - Defined model / needs inspection</x:t>
        </x:is>
      </x:c>
      <x:c r="E198" s="38" t="inlineStr">
        <x:is>
          <x:t xml:space="preserve">DECLARATION_OR_UNKNOWN</x:t>
        </x:is>
      </x:c>
      <x:c r="F198" s="38" t="inlineStr">
        <x:is>
          <x:t xml:space="preserve">LOW/MEDIUM - still needs theorem-to-public-claim translation.</x:t>
        </x:is>
      </x:c>
      <x:c r="G198" s="38" t="inlineStr">
        <x:is>
          <x:t xml:space="preserve">Faith-Thru-Physics-Lean-4--main\Faith-Thru-Physics-Lean-4--main\Theophysics_NegativeInventory.lean</x:t>
        </x:is>
      </x:c>
      <x:c r="H198" s="38" t="inlineStr">
        <x:is>
          <x:t xml:space="preserve">35</x:t>
        </x:is>
      </x:c>
      <x:c r="I198" s="38" t="inlineStr">
        <x:is>
          <x:t xml:space="preserve">theorem strong_Q_with_zero_R_gate_fails (x : FactorState) (_hQ : x.Q &gt; 0) (hR : x.R = 0) : chi x = 0 := R_zero_collapses_chi x hR /-- Strong R (relational gate open) without source-backing (G = 0) still collapses. -/</x:t>
        </x:is>
      </x:c>
      <x:c r="J198" s="38" t="inlineStr">
        <x:is>
          <x:t xml:space="preserve">Strong Q with closed R gate still collapses - strength is not sufficiency</x:t>
        </x:is>
      </x:c>
      <x:c r="K198" s="38" t="inlineStr">
        <x:is>
          <x:t xml:space="preserve">TODO: list constructors/definitions/candidate restrictions.</x:t>
        </x:is>
      </x:c>
      <x:c r="L198" s="38" t="inlineStr">
        <x:is>
          <x:t xml:space="preserve">TODO: translate exact Lean statement only.</x:t>
        </x:is>
      </x:c>
      <x:c r="M198" s="38" t="inlineStr">
        <x:is>
          <x:t xml:space="preserve">TODO: link Colab/Python artifact or mark not tested.</x:t>
        </x:is>
      </x:c>
      <x:c r="N198" s="38" t="inlineStr">
        <x:is>
          <x:t xml:space="preserve">TODO: link dataset/observation or mark not empirical.</x:t>
        </x:is>
      </x:c>
      <x:c r="O198" s="38" t="inlineStr">
        <x:is>
          <x:t xml:space="preserve">TODO: theological/philosophical interpretation; do not merge with proof.</x:t>
        </x:is>
      </x:c>
      <x:c r="P198" s="38" t="inlineStr">
        <x:is>
          <x:t xml:space="preserve">TODO: formal, dynamical, empirical, or mapping kill condition.</x:t>
        </x:is>
      </x:c>
      <x:c r="Q198" s="39" t="inlineStr">
        <x:is>
          <x:t xml:space="preserve">Downgrade wording or strengthen proof if risk is HIGH; otherwise add evidence links.</x:t>
        </x:is>
      </x:c>
    </x:row>
    <x:row r="199" ht="15" customHeight="1">
      <x:c r="A199" s="37" t="inlineStr">
        <x:is>
          <x:t xml:space="preserve">212</x:t>
        </x:is>
      </x:c>
      <x:c r="B199" s="38" t="inlineStr">
        <x:is>
          <x:t xml:space="preserve">strong_R_without_source_backing_fails</x:t>
        </x:is>
      </x:c>
      <x:c r="C199" s="38" t="inlineStr">
        <x:is>
          <x:t xml:space="preserve">C2 - Structural correspondence candidate</x:t>
        </x:is>
      </x:c>
      <x:c r="D199" s="38" t="inlineStr">
        <x:is>
          <x:t xml:space="preserve">2 - Defined model / needs inspection</x:t>
        </x:is>
      </x:c>
      <x:c r="E199" s="38" t="inlineStr">
        <x:is>
          <x:t xml:space="preserve">DECLARATION_OR_UNKNOWN</x:t>
        </x:is>
      </x:c>
      <x:c r="F199" s="38" t="inlineStr">
        <x:is>
          <x:t xml:space="preserve">LOW/MEDIUM - still needs theorem-to-public-claim translation.</x:t>
        </x:is>
      </x:c>
      <x:c r="G199" s="38" t="inlineStr">
        <x:is>
          <x:t xml:space="preserve">Faith-Thru-Physics-Lean-4--main\Faith-Thru-Physics-Lean-4--main\Theophysics_NegativeInventory.lean</x:t>
        </x:is>
      </x:c>
      <x:c r="H199" s="38" t="inlineStr">
        <x:is>
          <x:t xml:space="preserve">40</x:t>
        </x:is>
      </x:c>
      <x:c r="I199" s="38" t="inlineStr">
        <x:is>
          <x:t xml:space="preserve">theorem strong_R_without_source_backing_fails (x : FactorState) (_hR : x.R &gt; 0) (hG : x.G = 0) : chi x = 0 := G_zero_collapses_chi x hG /-- Nine factors maxed, one prerequisite missing: still zero. High local positivity does not compensate for a missing global prerequisite. -/</x:t>
        </x:is>
      </x:c>
      <x:c r="J199" s="38" t="inlineStr">
        <x:is>
          <x:t xml:space="preserve">Open R gate without source-backing (G=0) still collapses</x:t>
        </x:is>
      </x:c>
      <x:c r="K199" s="38" t="inlineStr">
        <x:is>
          <x:t xml:space="preserve">TODO: list constructors/definitions/candidate restrictions.</x:t>
        </x:is>
      </x:c>
      <x:c r="L199" s="38" t="inlineStr">
        <x:is>
          <x:t xml:space="preserve">TODO: translate exact Lean statement only.</x:t>
        </x:is>
      </x:c>
      <x:c r="M199" s="38" t="inlineStr">
        <x:is>
          <x:t xml:space="preserve">TODO: link Colab/Python artifact or mark not tested.</x:t>
        </x:is>
      </x:c>
      <x:c r="N199" s="38" t="inlineStr">
        <x:is>
          <x:t xml:space="preserve">TODO: link dataset/observation or mark not empirical.</x:t>
        </x:is>
      </x:c>
      <x:c r="O199" s="38" t="inlineStr">
        <x:is>
          <x:t xml:space="preserve">TODO: theological/philosophical interpretation; do not merge with proof.</x:t>
        </x:is>
      </x:c>
      <x:c r="P199" s="38" t="inlineStr">
        <x:is>
          <x:t xml:space="preserve">TODO: formal, dynamical, empirical, or mapping kill condition.</x:t>
        </x:is>
      </x:c>
      <x:c r="Q199" s="39" t="inlineStr">
        <x:is>
          <x:t xml:space="preserve">Downgrade wording or strengthen proof if risk is HIGH; otherwise add evidence links.</x:t>
        </x:is>
      </x:c>
    </x:row>
    <x:row r="200" ht="15" customHeight="1">
      <x:c r="A200" s="37" t="inlineStr">
        <x:is>
          <x:t xml:space="preserve">213</x:t>
        </x:is>
      </x:c>
      <x:c r="B200" s="38" t="inlineStr">
        <x:is>
          <x:t xml:space="preserve">nine_maxed_one_zero_fails</x:t>
        </x:is>
      </x:c>
      <x:c r="C200" s="38" t="inlineStr">
        <x:is>
          <x:t xml:space="preserve">C2 - Structural correspondence candidate</x:t>
        </x:is>
      </x:c>
      <x:c r="D200" s="38" t="inlineStr">
        <x:is>
          <x:t xml:space="preserve">4 - Negative and countermodel tests</x:t>
        </x:is>
      </x:c>
      <x:c r="E200" s="38" t="inlineStr">
        <x:is>
          <x:t xml:space="preserve">FINITE_DECIDABLE</x:t>
        </x:is>
      </x:c>
      <x:c r="F200" s="38" t="inlineStr">
        <x:is>
          <x:t xml:space="preserve">LOW/MEDIUM - still needs theorem-to-public-claim translation.</x:t>
        </x:is>
      </x:c>
      <x:c r="G200" s="38" t="inlineStr">
        <x:is>
          <x:t xml:space="preserve">Faith-Thru-Physics-Lean-4--main\Faith-Thru-Physics-Lean-4--main\Theophysics_NegativeInventory.lean</x:t>
        </x:is>
      </x:c>
      <x:c r="H200" s="38" t="inlineStr">
        <x:is>
          <x:t xml:space="preserve">46</x:t>
        </x:is>
      </x:c>
      <x:c r="I200" s="38" t="inlineStr">
        <x:is>
          <x:t xml:space="preserve">theorem nine_maxed_one_zero_fails : chi ⟨9, 9, 9, 9, 9, 9, 9, 0, 9, 9⟩ = 0</x:t>
        </x:is>
      </x:c>
      <x:c r="J200" s="38" t="inlineStr">
        <x:is>
          <x:t xml:space="preserve">Nine factors at 9, one at 0 gives chi=0; local positivity cannot compensate</x:t>
        </x:is>
      </x:c>
      <x:c r="K200" s="38" t="inlineStr">
        <x:is>
          <x:t xml:space="preserve">TODO: list constructors/definitions/candidate restrictions.</x:t>
        </x:is>
      </x:c>
      <x:c r="L200" s="38" t="inlineStr">
        <x:is>
          <x:t xml:space="preserve">TODO: translate exact Lean statement only.</x:t>
        </x:is>
      </x:c>
      <x:c r="M200" s="38" t="inlineStr">
        <x:is>
          <x:t xml:space="preserve">TODO: link Colab/Python artifact or mark not tested.</x:t>
        </x:is>
      </x:c>
      <x:c r="N200" s="38" t="inlineStr">
        <x:is>
          <x:t xml:space="preserve">TODO: link dataset/observation or mark not empirical.</x:t>
        </x:is>
      </x:c>
      <x:c r="O200" s="38" t="inlineStr">
        <x:is>
          <x:t xml:space="preserve">TODO: theological/philosophical interpretation; do not merge with proof.</x:t>
        </x:is>
      </x:c>
      <x:c r="P200" s="38" t="inlineStr">
        <x:is>
          <x:t xml:space="preserve">TODO: formal, dynamical, empirical, or mapping kill condition.</x:t>
        </x:is>
      </x:c>
      <x:c r="Q200" s="39" t="inlineStr">
        <x:is>
          <x:t xml:space="preserve">Downgrade wording or strengthen proof if risk is HIGH; otherwise add evidence links.</x:t>
        </x:is>
      </x:c>
    </x:row>
    <x:row r="201" ht="15" customHeight="1">
      <x:c r="A201" s="37" t="inlineStr">
        <x:is>
          <x:t xml:space="preserve">214</x:t>
        </x:is>
      </x:c>
      <x:c r="B201" s="38" t="inlineStr">
        <x:is>
          <x:t xml:space="preserve">no_factor_strength_rescues_any_zero</x:t>
        </x:is>
      </x:c>
      <x:c r="C201" s="38" t="inlineStr">
        <x:is>
          <x:t xml:space="preserve">C2 - Structural correspondence candidate</x:t>
        </x:is>
      </x:c>
      <x:c r="D201" s="38" t="inlineStr">
        <x:is>
          <x:t xml:space="preserve">3 - Internal formal consistency; cite underlying theorem</x:t>
        </x:is>
      </x:c>
      <x:c r="E201" s="38" t="inlineStr">
        <x:is>
          <x:t xml:space="preserve">WRAPPER_OR_IMPORTED</x:t>
        </x:is>
      </x:c>
      <x:c r="F201" s="38" t="inlineStr">
        <x:is>
          <x:t xml:space="preserve">MEDIUM - cite underlying theorem, not just wrapper.</x:t>
        </x:is>
      </x:c>
      <x:c r="G201" s="38" t="inlineStr">
        <x:is>
          <x:t xml:space="preserve">Faith-Thru-Physics-Lean-4--main\Faith-Thru-Physics-Lean-4--main\Theophysics_NegativeInventory.lean</x:t>
        </x:is>
      </x:c>
      <x:c r="H201" s="38" t="inlineStr">
        <x:is>
          <x:t xml:space="preserve">51</x:t>
        </x:is>
      </x:c>
      <x:c r="I201" s="38" t="inlineStr">
        <x:is>
          <x:t xml:space="preserve">theorem no_factor_strength_rescues_any_zero (x : FactorState) (f : Factor) (hzero : Theophysics.Experiment.get f x = 0) : chi x = 0</x:t>
        </x:is>
      </x:c>
      <x:c r="J201" s="38" t="inlineStr">
        <x:is>
          <x:t xml:space="preserve">General schema: no factor strength rescues any other factor zero (all 10)</x:t>
        </x:is>
      </x:c>
      <x:c r="K201" s="38" t="inlineStr">
        <x:is>
          <x:t xml:space="preserve">TODO: list constructors/definitions/candidate restrictions.</x:t>
        </x:is>
      </x:c>
      <x:c r="L201" s="38" t="inlineStr">
        <x:is>
          <x:t xml:space="preserve">TODO: translate exact Lean statement only.</x:t>
        </x:is>
      </x:c>
      <x:c r="M201" s="38" t="inlineStr">
        <x:is>
          <x:t xml:space="preserve">TODO: link Colab/Python artifact or mark not tested.</x:t>
        </x:is>
      </x:c>
      <x:c r="N201" s="38" t="inlineStr">
        <x:is>
          <x:t xml:space="preserve">TODO: link dataset/observation or mark not empirical.</x:t>
        </x:is>
      </x:c>
      <x:c r="O201" s="38" t="inlineStr">
        <x:is>
          <x:t xml:space="preserve">TODO: theological/philosophical interpretation; do not merge with proof.</x:t>
        </x:is>
      </x:c>
      <x:c r="P201" s="38" t="inlineStr">
        <x:is>
          <x:t xml:space="preserve">TODO: formal, dynamical, empirical, or mapping kill condition.</x:t>
        </x:is>
      </x:c>
      <x:c r="Q201" s="39" t="inlineStr">
        <x:is>
          <x:t xml:space="preserve">Downgrade wording or strengthen proof if risk is HIGH; otherwise add evidence links.</x:t>
        </x:is>
      </x:c>
    </x:row>
    <x:row r="202" ht="15" customHeight="1">
      <x:c r="A202" s="37" t="inlineStr">
        <x:is>
          <x:t xml:space="preserve">215</x:t>
        </x:is>
      </x:c>
      <x:c r="B202" s="38" t="inlineStr">
        <x:is>
          <x:t xml:space="preserve">partial_restoration_without_mediation_fails</x:t>
        </x:is>
      </x:c>
      <x:c r="C202" s="38" t="inlineStr">
        <x:is>
          <x:t xml:space="preserve">C2 - Structural correspondence candidate</x:t>
        </x:is>
      </x:c>
      <x:c r="D202" s="38" t="inlineStr">
        <x:is>
          <x:t xml:space="preserve">2 - Defined model / needs inspection</x:t>
        </x:is>
      </x:c>
      <x:c r="E202" s="38" t="inlineStr">
        <x:is>
          <x:t xml:space="preserve">DECLARATION_OR_UNKNOWN</x:t>
        </x:is>
      </x:c>
      <x:c r="F202" s="38" t="inlineStr">
        <x:is>
          <x:t xml:space="preserve">LOW/MEDIUM - still needs theorem-to-public-claim translation.</x:t>
        </x:is>
      </x:c>
      <x:c r="G202" s="38" t="inlineStr">
        <x:is>
          <x:t xml:space="preserve">Faith-Thru-Physics-Lean-4--main\Faith-Thru-Physics-Lean-4--main\Theophysics_NegativeInventory.lean</x:t>
        </x:is>
      </x:c>
      <x:c r="H202" s="38" t="inlineStr">
        <x:is>
          <x:t xml:space="preserve">58</x:t>
        </x:is>
      </x:c>
      <x:c r="I202" s="38" t="inlineStr">
        <x:is>
          <x:t xml:space="preserve">theorem partial_restoration_without_mediation_fails (x : FactorState) (hK : x.K = 0) : chi x = 0 := K_zero_collapses_chi x hK ------------------------------------------------------------------------ -- III.2 — dependency-lattice rejection family -- -- Downstream claims are invalid when upstream supports are absent. /-- The four layers of the claim lattice, upstream to downstream. -/ inductive ClaimLayer where | structuralFit -- the mapping fits at all | naming -- the mapping may carry its theological name | bridgeCoverage -- the mapping extends across domains | universality -- the mapping is claimed as universal deriving DecidableEq, Repr /-- Which layer feeds which: naming needs fit, coverage needs naming, universality needs coverage. -/ def upstream : ClaimLayer → Option ClaimLayer | ClaimLayer.structuralFit =&gt; none | ClaimLayer.na</x:t>
        </x:is>
      </x:c>
      <x:c r="J202" s="38" t="inlineStr">
        <x:is>
          <x:t xml:space="preserve">Effort with mediation channel K closed leaves chi=0</x:t>
        </x:is>
      </x:c>
      <x:c r="K202" s="38" t="inlineStr">
        <x:is>
          <x:t xml:space="preserve">TODO: list constructors/definitions/candidate restrictions.</x:t>
        </x:is>
      </x:c>
      <x:c r="L202" s="38" t="inlineStr">
        <x:is>
          <x:t xml:space="preserve">TODO: translate exact Lean statement only.</x:t>
        </x:is>
      </x:c>
      <x:c r="M202" s="38" t="inlineStr">
        <x:is>
          <x:t xml:space="preserve">TODO: link Colab/Python artifact or mark not tested.</x:t>
        </x:is>
      </x:c>
      <x:c r="N202" s="38" t="inlineStr">
        <x:is>
          <x:t xml:space="preserve">TODO: link dataset/observation or mark not empirical.</x:t>
        </x:is>
      </x:c>
      <x:c r="O202" s="38" t="inlineStr">
        <x:is>
          <x:t xml:space="preserve">TODO: theological/philosophical interpretation; do not merge with proof.</x:t>
        </x:is>
      </x:c>
      <x:c r="P202" s="38" t="inlineStr">
        <x:is>
          <x:t xml:space="preserve">TODO: formal, dynamical, empirical, or mapping kill condition.</x:t>
        </x:is>
      </x:c>
      <x:c r="Q202" s="39" t="inlineStr">
        <x:is>
          <x:t xml:space="preserve">Downgrade wording or strengthen proof if risk is HIGH; otherwise add evidence links.</x:t>
        </x:is>
      </x:c>
    </x:row>
    <x:row r="203" ht="15" customHeight="1">
      <x:c r="A203" s="37" t="inlineStr">
        <x:is>
          <x:t xml:space="preserve">216</x:t>
        </x:is>
      </x:c>
      <x:c r="B203" s="38" t="inlineStr">
        <x:is>
          <x:t xml:space="preserve">naming_invalid_without_structural_fit</x:t>
        </x:is>
      </x:c>
      <x:c r="C203" s="38" t="inlineStr">
        <x:is>
          <x:t xml:space="preserve">C2 - Structural correspondence candidate</x:t>
        </x:is>
      </x:c>
      <x:c r="D203" s="38" t="inlineStr">
        <x:is>
          <x:t xml:space="preserve">4 - Negative and countermodel tests</x:t>
        </x:is>
      </x:c>
      <x:c r="E203" s="38" t="inlineStr">
        <x:is>
          <x:t xml:space="preserve">SIMPLIFICATION</x:t>
        </x:is>
      </x:c>
      <x:c r="F203" s="38" t="inlineStr">
        <x:is>
          <x:t xml:space="preserve">MEDIUM - definition strength must be audited.</x:t>
        </x:is>
      </x:c>
      <x:c r="G203" s="38" t="inlineStr">
        <x:is>
          <x:t xml:space="preserve">Faith-Thru-Physics-Lean-4--main\Faith-Thru-Physics-Lean-4--main\Theophysics_NegativeInventory.lean</x:t>
        </x:is>
      </x:c>
      <x:c r="H203" s="38" t="inlineStr">
        <x:is>
          <x:t xml:space="preserve">106</x:t>
        </x:is>
      </x:c>
      <x:c r="I203" s="38" t="inlineStr">
        <x:is>
          <x:t xml:space="preserve">theorem naming_invalid_without_structural_fit (s : ClaimState) (hfit : s.structuralFit = false) : validClaim s ClaimLayer.naming = false</x:t>
        </x:is>
      </x:c>
      <x:c r="J203" s="38" t="inlineStr">
        <x:is>
          <x:t xml:space="preserve">Claim lattice: naming layer invalid when structural fit absent</x:t>
        </x:is>
      </x:c>
      <x:c r="K203" s="38" t="inlineStr">
        <x:is>
          <x:t xml:space="preserve">TODO: list constructors/definitions/candidate restrictions.</x:t>
        </x:is>
      </x:c>
      <x:c r="L203" s="38" t="inlineStr">
        <x:is>
          <x:t xml:space="preserve">TODO: translate exact Lean statement only.</x:t>
        </x:is>
      </x:c>
      <x:c r="M203" s="38" t="inlineStr">
        <x:is>
          <x:t xml:space="preserve">TODO: link Colab/Python artifact or mark not tested.</x:t>
        </x:is>
      </x:c>
      <x:c r="N203" s="38" t="inlineStr">
        <x:is>
          <x:t xml:space="preserve">TODO: link dataset/observation or mark not empirical.</x:t>
        </x:is>
      </x:c>
      <x:c r="O203" s="38" t="inlineStr">
        <x:is>
          <x:t xml:space="preserve">TODO: theological/philosophical interpretation; do not merge with proof.</x:t>
        </x:is>
      </x:c>
      <x:c r="P203" s="38" t="inlineStr">
        <x:is>
          <x:t xml:space="preserve">TODO: formal, dynamical, empirical, or mapping kill condition.</x:t>
        </x:is>
      </x:c>
      <x:c r="Q203" s="39" t="inlineStr">
        <x:is>
          <x:t xml:space="preserve">Downgrade wording or strengthen proof if risk is HIGH; otherwise add evidence links.</x:t>
        </x:is>
      </x:c>
    </x:row>
    <x:row r="204" ht="15" customHeight="1">
      <x:c r="A204" s="37" t="inlineStr">
        <x:is>
          <x:t xml:space="preserve">217</x:t>
        </x:is>
      </x:c>
      <x:c r="B204" s="38" t="inlineStr">
        <x:is>
          <x:t xml:space="preserve">universality_invalid_without_bridge_coverage</x:t>
        </x:is>
      </x:c>
      <x:c r="C204" s="38" t="inlineStr">
        <x:is>
          <x:t xml:space="preserve">C2 - Structural correspondence candidate</x:t>
        </x:is>
      </x:c>
      <x:c r="D204" s="38" t="inlineStr">
        <x:is>
          <x:t xml:space="preserve">4 - Negative and countermodel tests</x:t>
        </x:is>
      </x:c>
      <x:c r="E204" s="38" t="inlineStr">
        <x:is>
          <x:t xml:space="preserve">SIMPLIFICATION</x:t>
        </x:is>
      </x:c>
      <x:c r="F204" s="38" t="inlineStr">
        <x:is>
          <x:t xml:space="preserve">MEDIUM - definition strength must be audited.</x:t>
        </x:is>
      </x:c>
      <x:c r="G204" s="38" t="inlineStr">
        <x:is>
          <x:t xml:space="preserve">Faith-Thru-Physics-Lean-4--main\Faith-Thru-Physics-Lean-4--main\Theophysics_NegativeInventory.lean</x:t>
        </x:is>
      </x:c>
      <x:c r="H204" s="38" t="inlineStr">
        <x:is>
          <x:t xml:space="preserve">112</x:t>
        </x:is>
      </x:c>
      <x:c r="I204" s="38" t="inlineStr">
        <x:is>
          <x:t xml:space="preserve">theorem universality_invalid_without_bridge_coverage (s : ClaimState) (hcov : s.bridgeCoverage = false) : validClaim s ClaimLayer.universality = false</x:t>
        </x:is>
      </x:c>
      <x:c r="J204" s="38" t="inlineStr">
        <x:is>
          <x:t xml:space="preserve">Claim lattice: universality invalid without bridge coverage</x:t>
        </x:is>
      </x:c>
      <x:c r="K204" s="38" t="inlineStr">
        <x:is>
          <x:t xml:space="preserve">TODO: list constructors/definitions/candidate restrictions.</x:t>
        </x:is>
      </x:c>
      <x:c r="L204" s="38" t="inlineStr">
        <x:is>
          <x:t xml:space="preserve">TODO: translate exact Lean statement only.</x:t>
        </x:is>
      </x:c>
      <x:c r="M204" s="38" t="inlineStr">
        <x:is>
          <x:t xml:space="preserve">TODO: link Colab/Python artifact or mark not tested.</x:t>
        </x:is>
      </x:c>
      <x:c r="N204" s="38" t="inlineStr">
        <x:is>
          <x:t xml:space="preserve">TODO: link dataset/observation or mark not empirical.</x:t>
        </x:is>
      </x:c>
      <x:c r="O204" s="38" t="inlineStr">
        <x:is>
          <x:t xml:space="preserve">TODO: theological/philosophical interpretation; do not merge with proof.</x:t>
        </x:is>
      </x:c>
      <x:c r="P204" s="38" t="inlineStr">
        <x:is>
          <x:t xml:space="preserve">TODO: formal, dynamical, empirical, or mapping kill condition.</x:t>
        </x:is>
      </x:c>
      <x:c r="Q204" s="39" t="inlineStr">
        <x:is>
          <x:t xml:space="preserve">Downgrade wording or strengthen proof if risk is HIGH; otherwise add evidence links.</x:t>
        </x:is>
      </x:c>
    </x:row>
    <x:row r="205" ht="15" customHeight="1">
      <x:c r="A205" s="37" t="inlineStr">
        <x:is>
          <x:t xml:space="preserve">218</x:t>
        </x:is>
      </x:c>
      <x:c r="B205" s="38" t="inlineStr">
        <x:is>
          <x:t xml:space="preserve">downstream_invalid_when_upstream_invalid</x:t>
        </x:is>
      </x:c>
      <x:c r="C205" s="38" t="inlineStr">
        <x:is>
          <x:t xml:space="preserve">C2 - Structural correspondence candidate</x:t>
        </x:is>
      </x:c>
      <x:c r="D205" s="38" t="inlineStr">
        <x:is>
          <x:t xml:space="preserve">4 - Negative and countermodel tests</x:t>
        </x:is>
      </x:c>
      <x:c r="E205" s="38" t="inlineStr">
        <x:is>
          <x:t xml:space="preserve">SIMPLIFICATION</x:t>
        </x:is>
      </x:c>
      <x:c r="F205" s="38" t="inlineStr">
        <x:is>
          <x:t xml:space="preserve">MEDIUM - definition strength must be audited.</x:t>
        </x:is>
      </x:c>
      <x:c r="G205" s="38" t="inlineStr">
        <x:is>
          <x:t xml:space="preserve">Faith-Thru-Physics-Lean-4--main\Faith-Thru-Physics-Lean-4--main\Theophysics_NegativeInventory.lean</x:t>
        </x:is>
      </x:c>
      <x:c r="H205" s="38" t="inlineStr">
        <x:is>
          <x:t xml:space="preserve">119</x:t>
        </x:is>
      </x:c>
      <x:c r="I205" s="38" t="inlineStr">
        <x:is>
          <x:t xml:space="preserve">theorem downstream_invalid_when_upstream_invalid (s : ClaimState) (l u : ClaimLayer) (hup : upstream l = some u) (hinvalid : validClaim s u = false) : validClaim s l = false</x:t>
        </x:is>
      </x:c>
      <x:c r="J205" s="38" t="inlineStr">
        <x:is>
          <x:t xml:space="preserve">General lattice law: downstream claim invalid when upstream invalid</x:t>
        </x:is>
      </x:c>
      <x:c r="K205" s="38" t="inlineStr">
        <x:is>
          <x:t xml:space="preserve">TODO: list constructors/definitions/candidate restrictions.</x:t>
        </x:is>
      </x:c>
      <x:c r="L205" s="38" t="inlineStr">
        <x:is>
          <x:t xml:space="preserve">TODO: translate exact Lean statement only.</x:t>
        </x:is>
      </x:c>
      <x:c r="M205" s="38" t="inlineStr">
        <x:is>
          <x:t xml:space="preserve">TODO: link Colab/Python artifact or mark not tested.</x:t>
        </x:is>
      </x:c>
      <x:c r="N205" s="38" t="inlineStr">
        <x:is>
          <x:t xml:space="preserve">TODO: link dataset/observation or mark not empirical.</x:t>
        </x:is>
      </x:c>
      <x:c r="O205" s="38" t="inlineStr">
        <x:is>
          <x:t xml:space="preserve">TODO: theological/philosophical interpretation; do not merge with proof.</x:t>
        </x:is>
      </x:c>
      <x:c r="P205" s="38" t="inlineStr">
        <x:is>
          <x:t xml:space="preserve">TODO: formal, dynamical, empirical, or mapping kill condition.</x:t>
        </x:is>
      </x:c>
      <x:c r="Q205" s="39" t="inlineStr">
        <x:is>
          <x:t xml:space="preserve">Downgrade wording or strengthen proof if risk is HIGH; otherwise add evidence links.</x:t>
        </x:is>
      </x:c>
    </x:row>
    <x:row r="206" ht="15" customHeight="1">
      <x:c r="A206" s="37" t="inlineStr">
        <x:is>
          <x:t xml:space="preserve">219</x:t>
        </x:is>
      </x:c>
      <x:c r="B206" s="38" t="inlineStr">
        <x:is>
          <x:t xml:space="preserve">asserted_everything_fitted_nothing_all_fail</x:t>
        </x:is>
      </x:c>
      <x:c r="C206" s="38" t="inlineStr">
        <x:is>
          <x:t xml:space="preserve">C2 - Structural correspondence candidate</x:t>
        </x:is>
      </x:c>
      <x:c r="D206" s="38" t="inlineStr">
        <x:is>
          <x:t xml:space="preserve">3 - Internal formal consistency; cite underlying theorem</x:t>
        </x:is>
      </x:c>
      <x:c r="E206" s="38" t="inlineStr">
        <x:is>
          <x:t xml:space="preserve">WRAPPER_OR_IMPORTED</x:t>
        </x:is>
      </x:c>
      <x:c r="F206" s="38" t="inlineStr">
        <x:is>
          <x:t xml:space="preserve">MEDIUM - cite underlying theorem, not just wrapper.</x:t>
        </x:is>
      </x:c>
      <x:c r="G206" s="38" t="inlineStr">
        <x:is>
          <x:t xml:space="preserve">Faith-Thru-Physics-Lean-4--main\Faith-Thru-Physics-Lean-4--main\Theophysics_NegativeInventory.lean</x:t>
        </x:is>
      </x:c>
      <x:c r="H206" s="38" t="inlineStr">
        <x:is>
          <x:t xml:space="preserve">128</x:t>
        </x:is>
      </x:c>
      <x:c r="I206" s="38" t="inlineStr">
        <x:is>
          <x:t xml:space="preserve">theorem asserted_everything_fitted_nothing_all_fail : validClaim ⟨false, true, true, true⟩ ClaimLayer.universality = false</x:t>
        </x:is>
      </x:c>
      <x:c r="J206" s="38" t="inlineStr">
        <x:is>
          <x:t xml:space="preserve">Concrete false positive: all flags asserted, nothing fitted, all fail</x:t>
        </x:is>
      </x:c>
      <x:c r="K206" s="38" t="inlineStr">
        <x:is>
          <x:t xml:space="preserve">TODO: list constructors/definitions/candidate restrictions.</x:t>
        </x:is>
      </x:c>
      <x:c r="L206" s="38" t="inlineStr">
        <x:is>
          <x:t xml:space="preserve">TODO: translate exact Lean statement only.</x:t>
        </x:is>
      </x:c>
      <x:c r="M206" s="38" t="inlineStr">
        <x:is>
          <x:t xml:space="preserve">TODO: link Colab/Python artifact or mark not tested.</x:t>
        </x:is>
      </x:c>
      <x:c r="N206" s="38" t="inlineStr">
        <x:is>
          <x:t xml:space="preserve">TODO: link dataset/observation or mark not empirical.</x:t>
        </x:is>
      </x:c>
      <x:c r="O206" s="38" t="inlineStr">
        <x:is>
          <x:t xml:space="preserve">TODO: theological/philosophical interpretation; do not merge with proof.</x:t>
        </x:is>
      </x:c>
      <x:c r="P206" s="38" t="inlineStr">
        <x:is>
          <x:t xml:space="preserve">TODO: formal, dynamical, empirical, or mapping kill condition.</x:t>
        </x:is>
      </x:c>
      <x:c r="Q206" s="39" t="inlineStr">
        <x:is>
          <x:t xml:space="preserve">Downgrade wording or strengthen proof if risk is HIGH; otherwise add evidence links.</x:t>
        </x:is>
      </x:c>
    </x:row>
    <x:row r="207" ht="15" customHeight="1">
      <x:c r="A207" s="37" t="inlineStr">
        <x:is>
          <x:t xml:space="preserve">220</x:t>
        </x:is>
      </x:c>
      <x:c r="B207" s="38" t="inlineStr">
        <x:is>
          <x:t xml:space="preserve">neg_plus_neg_not_redeemed</x:t>
        </x:is>
      </x:c>
      <x:c r="C207" s="38" t="inlineStr">
        <x:is>
          <x:t xml:space="preserve">C2 - Structural correspondence candidate</x:t>
        </x:is>
      </x:c>
      <x:c r="D207" s="38" t="inlineStr">
        <x:is>
          <x:t xml:space="preserve">4 - Negative and countermodel tests</x:t>
        </x:is>
      </x:c>
      <x:c r="E207" s="38" t="inlineStr">
        <x:is>
          <x:t xml:space="preserve">FINITE_DECIDABLE</x:t>
        </x:is>
      </x:c>
      <x:c r="F207" s="38" t="inlineStr">
        <x:is>
          <x:t xml:space="preserve">LOW/MEDIUM - still needs theorem-to-public-claim translation.</x:t>
        </x:is>
      </x:c>
      <x:c r="G207" s="38" t="inlineStr">
        <x:is>
          <x:t xml:space="preserve">Faith-Thru-Physics-Lean-4--main\Faith-Thru-Physics-Lean-4--main\Theophysics_NegativeInventory.lean</x:t>
        </x:is>
      </x:c>
      <x:c r="H207" s="38" t="inlineStr">
        <x:is>
          <x:t xml:space="preserve">153</x:t>
        </x:is>
      </x:c>
      <x:c r="I207" s="38" t="inlineStr">
        <x:is>
          <x:t xml:space="preserve">theorem neg_plus_neg_not_redeemed : compose MoralSign.negative MoralSign.negative ≠ MoralSign.redeemedPositive</x:t>
        </x:is>
      </x:c>
      <x:c r="J207" s="38" t="inlineStr">
        <x:is>
          <x:t xml:space="preserve">Negative + negative is not redeemed positive; accumulation is not conversion</x:t>
        </x:is>
      </x:c>
      <x:c r="K207" s="38" t="inlineStr">
        <x:is>
          <x:t xml:space="preserve">TODO: list constructors/definitions/candidate restrictions.</x:t>
        </x:is>
      </x:c>
      <x:c r="L207" s="38" t="inlineStr">
        <x:is>
          <x:t xml:space="preserve">TODO: translate exact Lean statement only.</x:t>
        </x:is>
      </x:c>
      <x:c r="M207" s="38" t="inlineStr">
        <x:is>
          <x:t xml:space="preserve">TODO: link Colab/Python artifact or mark not tested.</x:t>
        </x:is>
      </x:c>
      <x:c r="N207" s="38" t="inlineStr">
        <x:is>
          <x:t xml:space="preserve">TODO: link dataset/observation or mark not empirical.</x:t>
        </x:is>
      </x:c>
      <x:c r="O207" s="38" t="inlineStr">
        <x:is>
          <x:t xml:space="preserve">TODO: theological/philosophical interpretation; do not merge with proof.</x:t>
        </x:is>
      </x:c>
      <x:c r="P207" s="38" t="inlineStr">
        <x:is>
          <x:t xml:space="preserve">TODO: formal, dynamical, empirical, or mapping kill condition.</x:t>
        </x:is>
      </x:c>
      <x:c r="Q207" s="39" t="inlineStr">
        <x:is>
          <x:t xml:space="preserve">Downgrade wording or strengthen proof if risk is HIGH; otherwise add evidence links.</x:t>
        </x:is>
      </x:c>
    </x:row>
    <x:row r="208" ht="15" customHeight="1">
      <x:c r="A208" s="37" t="inlineStr">
        <x:is>
          <x:t xml:space="preserve">221</x:t>
        </x:is>
      </x:c>
      <x:c r="B208" s="38" t="inlineStr">
        <x:is>
          <x:t xml:space="preserve">no_redemption_without_operator</x:t>
        </x:is>
      </x:c>
      <x:c r="C208" s="38" t="inlineStr">
        <x:is>
          <x:t xml:space="preserve">C2 - Structural correspondence candidate</x:t>
        </x:is>
      </x:c>
      <x:c r="D208" s="38" t="inlineStr">
        <x:is>
          <x:t xml:space="preserve">3 - Internal formal consistency; cite underlying theorem</x:t>
        </x:is>
      </x:c>
      <x:c r="E208" s="38" t="inlineStr">
        <x:is>
          <x:t xml:space="preserve">WRAPPER_OR_IMPORTED</x:t>
        </x:is>
      </x:c>
      <x:c r="F208" s="38" t="inlineStr">
        <x:is>
          <x:t xml:space="preserve">MEDIUM - cite underlying theorem, not just wrapper.</x:t>
        </x:is>
      </x:c>
      <x:c r="G208" s="38" t="inlineStr">
        <x:is>
          <x:t xml:space="preserve">Faith-Thru-Physics-Lean-4--main\Faith-Thru-Physics-Lean-4--main\Theophysics_NegativeInventory.lean</x:t>
        </x:is>
      </x:c>
      <x:c r="H208" s="38" t="inlineStr">
        <x:is>
          <x:t xml:space="preserve">158</x:t>
        </x:is>
      </x:c>
      <x:c r="I208" s="38" t="inlineStr">
        <x:is>
          <x:t xml:space="preserve">theorem no_redemption_without_operator (a b : MoralSign) (ha : a ≠ MoralSign.redeemedPositive) (hb : b ≠ MoralSign.redeemedPositive) : compose a b ≠ MoralSign.redeemedPositive</x:t>
        </x:is>
      </x:c>
      <x:c r="J208" s="38" t="inlineStr">
        <x:is>
          <x:t xml:space="preserve">No operator-free composition of non-redeemed inputs yields redeemed output</x:t>
        </x:is>
      </x:c>
      <x:c r="K208" s="38" t="inlineStr">
        <x:is>
          <x:t xml:space="preserve">TODO: list constructors/definitions/candidate restrictions.</x:t>
        </x:is>
      </x:c>
      <x:c r="L208" s="38" t="inlineStr">
        <x:is>
          <x:t xml:space="preserve">TODO: translate exact Lean statement only.</x:t>
        </x:is>
      </x:c>
      <x:c r="M208" s="38" t="inlineStr">
        <x:is>
          <x:t xml:space="preserve">TODO: link Colab/Python artifact or mark not tested.</x:t>
        </x:is>
      </x:c>
      <x:c r="N208" s="38" t="inlineStr">
        <x:is>
          <x:t xml:space="preserve">TODO: link dataset/observation or mark not empirical.</x:t>
        </x:is>
      </x:c>
      <x:c r="O208" s="38" t="inlineStr">
        <x:is>
          <x:t xml:space="preserve">TODO: theological/philosophical interpretation; do not merge with proof.</x:t>
        </x:is>
      </x:c>
      <x:c r="P208" s="38" t="inlineStr">
        <x:is>
          <x:t xml:space="preserve">TODO: formal, dynamical, empirical, or mapping kill condition.</x:t>
        </x:is>
      </x:c>
      <x:c r="Q208" s="39" t="inlineStr">
        <x:is>
          <x:t xml:space="preserve">Downgrade wording or strengthen proof if risk is HIGH; otherwise add evidence links.</x:t>
        </x:is>
      </x:c>
    </x:row>
    <x:row r="209" ht="15" customHeight="1">
      <x:c r="A209" s="37" t="inlineStr">
        <x:is>
          <x:t xml:space="preserve">222</x:t>
        </x:is>
      </x:c>
      <x:c r="B209" s="38" t="inlineStr">
        <x:is>
          <x:t xml:space="preserve">self_sourced_conversion_fails</x:t>
        </x:is>
      </x:c>
      <x:c r="C209" s="38" t="inlineStr">
        <x:is>
          <x:t xml:space="preserve">C2 - Structural correspondence candidate</x:t>
        </x:is>
      </x:c>
      <x:c r="D209" s="38" t="inlineStr">
        <x:is>
          <x:t xml:space="preserve">4 - Negative and countermodel tests</x:t>
        </x:is>
      </x:c>
      <x:c r="E209" s="38" t="inlineStr">
        <x:is>
          <x:t xml:space="preserve">SIMPLIFICATION</x:t>
        </x:is>
      </x:c>
      <x:c r="F209" s="38" t="inlineStr">
        <x:is>
          <x:t xml:space="preserve">MEDIUM - definition strength must be audited.</x:t>
        </x:is>
      </x:c>
      <x:c r="G209" s="38" t="inlineStr">
        <x:is>
          <x:t xml:space="preserve">Faith-Thru-Physics-Lean-4--main\Faith-Thru-Physics-Lean-4--main\Theophysics_NegativeInventory.lean</x:t>
        </x:is>
      </x:c>
      <x:c r="H209" s="38" t="inlineStr">
        <x:is>
          <x:t xml:space="preserve">177</x:t>
        </x:is>
      </x:c>
      <x:c r="I209" s="38" t="inlineStr">
        <x:is>
          <x:t xml:space="preserve">theorem self_sourced_conversion_fails (op : ConversionOp) (h : op.externallySourced = false) : applyConversion op MoralSign.negative = MoralSign.negative</x:t>
        </x:is>
      </x:c>
      <x:c r="J209" s="38" t="inlineStr">
        <x:is>
          <x:t xml:space="preserve">Self-sourced conversion changes nothing - negative stays negative</x:t>
        </x:is>
      </x:c>
      <x:c r="K209" s="38" t="inlineStr">
        <x:is>
          <x:t xml:space="preserve">TODO: list constructors/definitions/candidate restrictions.</x:t>
        </x:is>
      </x:c>
      <x:c r="L209" s="38" t="inlineStr">
        <x:is>
          <x:t xml:space="preserve">TODO: translate exact Lean statement only.</x:t>
        </x:is>
      </x:c>
      <x:c r="M209" s="38" t="inlineStr">
        <x:is>
          <x:t xml:space="preserve">TODO: link Colab/Python artifact or mark not tested.</x:t>
        </x:is>
      </x:c>
      <x:c r="N209" s="38" t="inlineStr">
        <x:is>
          <x:t xml:space="preserve">TODO: link dataset/observation or mark not empirical.</x:t>
        </x:is>
      </x:c>
      <x:c r="O209" s="38" t="inlineStr">
        <x:is>
          <x:t xml:space="preserve">TODO: theological/philosophical interpretation; do not merge with proof.</x:t>
        </x:is>
      </x:c>
      <x:c r="P209" s="38" t="inlineStr">
        <x:is>
          <x:t xml:space="preserve">TODO: formal, dynamical, empirical, or mapping kill condition.</x:t>
        </x:is>
      </x:c>
      <x:c r="Q209" s="39" t="inlineStr">
        <x:is>
          <x:t xml:space="preserve">Downgrade wording or strengthen proof if risk is HIGH; otherwise add evidence links.</x:t>
        </x:is>
      </x:c>
    </x:row>
    <x:row r="210" ht="15" customHeight="1">
      <x:c r="A210" s="37" t="inlineStr">
        <x:is>
          <x:t xml:space="preserve">223</x:t>
        </x:is>
      </x:c>
      <x:c r="B210" s="38" t="inlineStr">
        <x:is>
          <x:t xml:space="preserve">costless_conversion_fails</x:t>
        </x:is>
      </x:c>
      <x:c r="C210" s="38" t="inlineStr">
        <x:is>
          <x:t xml:space="preserve">C2 - Structural correspondence candidate</x:t>
        </x:is>
      </x:c>
      <x:c r="D210" s="38" t="inlineStr">
        <x:is>
          <x:t xml:space="preserve">4 - Negative and countermodel tests</x:t>
        </x:is>
      </x:c>
      <x:c r="E210" s="38" t="inlineStr">
        <x:is>
          <x:t xml:space="preserve">SIMPLIFICATION</x:t>
        </x:is>
      </x:c>
      <x:c r="F210" s="38" t="inlineStr">
        <x:is>
          <x:t xml:space="preserve">MEDIUM - definition strength must be audited.</x:t>
        </x:is>
      </x:c>
      <x:c r="G210" s="38" t="inlineStr">
        <x:is>
          <x:t xml:space="preserve">Faith-Thru-Physics-Lean-4--main\Faith-Thru-Physics-Lean-4--main\Theophysics_NegativeInventory.lean</x:t>
        </x:is>
      </x:c>
      <x:c r="H210" s="38" t="inlineStr">
        <x:is>
          <x:t xml:space="preserve">183</x:t>
        </x:is>
      </x:c>
      <x:c r="I210" s="38" t="inlineStr">
        <x:is>
          <x:t xml:space="preserve">theorem costless_conversion_fails (op : ConversionOp) (h : op.bearsCost = false) : applyConversion op MoralSign.negative = MoralSign.negative</x:t>
        </x:is>
      </x:c>
      <x:c r="J210" s="38" t="inlineStr">
        <x:is>
          <x:t xml:space="preserve">Costless conversion changes nothing - mercy without cost is not conversion</x:t>
        </x:is>
      </x:c>
      <x:c r="K210" s="38" t="inlineStr">
        <x:is>
          <x:t xml:space="preserve">TODO: list constructors/definitions/candidate restrictions.</x:t>
        </x:is>
      </x:c>
      <x:c r="L210" s="38" t="inlineStr">
        <x:is>
          <x:t xml:space="preserve">TODO: translate exact Lean statement only.</x:t>
        </x:is>
      </x:c>
      <x:c r="M210" s="38" t="inlineStr">
        <x:is>
          <x:t xml:space="preserve">TODO: link Colab/Python artifact or mark not tested.</x:t>
        </x:is>
      </x:c>
      <x:c r="N210" s="38" t="inlineStr">
        <x:is>
          <x:t xml:space="preserve">TODO: link dataset/observation or mark not empirical.</x:t>
        </x:is>
      </x:c>
      <x:c r="O210" s="38" t="inlineStr">
        <x:is>
          <x:t xml:space="preserve">TODO: theological/philosophical interpretation; do not merge with proof.</x:t>
        </x:is>
      </x:c>
      <x:c r="P210" s="38" t="inlineStr">
        <x:is>
          <x:t xml:space="preserve">TODO: formal, dynamical, empirical, or mapping kill condition.</x:t>
        </x:is>
      </x:c>
      <x:c r="Q210" s="39" t="inlineStr">
        <x:is>
          <x:t xml:space="preserve">Downgrade wording or strengthen proof if risk is HIGH; otherwise add evidence links.</x:t>
        </x:is>
      </x:c>
    </x:row>
    <x:row r="211" ht="15" customHeight="1">
      <x:c r="A211" s="37" t="inlineStr">
        <x:is>
          <x:t xml:space="preserve">224</x:t>
        </x:is>
      </x:c>
      <x:c r="B211" s="38" t="inlineStr">
        <x:is>
          <x:t xml:space="preserve">visibility_does_not_convert</x:t>
        </x:is>
      </x:c>
      <x:c r="C211" s="38" t="inlineStr">
        <x:is>
          <x:t xml:space="preserve">C2 - Structural correspondence candidate</x:t>
        </x:is>
      </x:c>
      <x:c r="D211" s="38" t="inlineStr">
        <x:is>
          <x:t xml:space="preserve">3 - Internal formal consistency; cite underlying theorem</x:t>
        </x:is>
      </x:c>
      <x:c r="E211" s="38" t="inlineStr">
        <x:is>
          <x:t xml:space="preserve">WRAPPER_OR_IMPORTED</x:t>
        </x:is>
      </x:c>
      <x:c r="F211" s="38" t="inlineStr">
        <x:is>
          <x:t xml:space="preserve">MEDIUM - cite underlying theorem, not just wrapper.</x:t>
        </x:is>
      </x:c>
      <x:c r="G211" s="38" t="inlineStr">
        <x:is>
          <x:t xml:space="preserve">Faith-Thru-Physics-Lean-4--main\Faith-Thru-Physics-Lean-4--main\Theophysics_NegativeInventory.lean</x:t>
        </x:is>
      </x:c>
      <x:c r="H211" s="38" t="inlineStr">
        <x:is>
          <x:t xml:space="preserve">190</x:t>
        </x:is>
      </x:c>
      <x:c r="I211" s="38" t="inlineStr">
        <x:is>
          <x:t xml:space="preserve">theorem visibility_does_not_convert (s : MoralSign) (h : s = MoralSign.negative) : s ≠ MoralSign.redeemedPositive</x:t>
        </x:is>
      </x:c>
      <x:c r="J211" s="38" t="inlineStr">
        <x:is>
          <x:t xml:space="preserve">Making a negative record visible does not collapse moral distinction</x:t>
        </x:is>
      </x:c>
      <x:c r="K211" s="38" t="inlineStr">
        <x:is>
          <x:t xml:space="preserve">TODO: list constructors/definitions/candidate restrictions.</x:t>
        </x:is>
      </x:c>
      <x:c r="L211" s="38" t="inlineStr">
        <x:is>
          <x:t xml:space="preserve">TODO: translate exact Lean statement only.</x:t>
        </x:is>
      </x:c>
      <x:c r="M211" s="38" t="inlineStr">
        <x:is>
          <x:t xml:space="preserve">TODO: link Colab/Python artifact or mark not tested.</x:t>
        </x:is>
      </x:c>
      <x:c r="N211" s="38" t="inlineStr">
        <x:is>
          <x:t xml:space="preserve">TODO: link dataset/observation or mark not empirical.</x:t>
        </x:is>
      </x:c>
      <x:c r="O211" s="38" t="inlineStr">
        <x:is>
          <x:t xml:space="preserve">TODO: theological/philosophical interpretation; do not merge with proof.</x:t>
        </x:is>
      </x:c>
      <x:c r="P211" s="38" t="inlineStr">
        <x:is>
          <x:t xml:space="preserve">TODO: formal, dynamical, empirical, or mapping kill condition.</x:t>
        </x:is>
      </x:c>
      <x:c r="Q211" s="39" t="inlineStr">
        <x:is>
          <x:t xml:space="preserve">Downgrade wording or strengthen proof if risk is HIGH; otherwise add evidence links.</x:t>
        </x:is>
      </x:c>
    </x:row>
    <x:row r="212" ht="15" customHeight="1">
      <x:c r="A212" s="37" t="inlineStr">
        <x:is>
          <x:t xml:space="preserve">225</x:t>
        </x:is>
      </x:c>
      <x:c r="B212" s="38" t="inlineStr">
        <x:is>
          <x:t xml:space="preserve">reanimation_only_rejected</x:t>
        </x:is>
      </x:c>
      <x:c r="C212" s="38" t="inlineStr">
        <x:is>
          <x:t xml:space="preserve">C2 - Structural correspondence candidate</x:t>
        </x:is>
      </x:c>
      <x:c r="D212" s="38" t="inlineStr">
        <x:is>
          <x:t xml:space="preserve">4 - Negative and countermodel tests</x:t>
        </x:is>
      </x:c>
      <x:c r="E212" s="38" t="inlineStr">
        <x:is>
          <x:t xml:space="preserve">FINITE_DECIDABLE</x:t>
        </x:is>
      </x:c>
      <x:c r="F212" s="38" t="inlineStr">
        <x:is>
          <x:t xml:space="preserve">LOW/MEDIUM - still needs theorem-to-public-claim translation.</x:t>
        </x:is>
      </x:c>
      <x:c r="G212" s="38" t="inlineStr">
        <x:is>
          <x:t xml:space="preserve">Faith-Thru-Physics-Lean-4--main\Faith-Thru-Physics-Lean-4--main\Theophysics_NegativeInventory.lean</x:t>
        </x:is>
      </x:c>
      <x:c r="H212" s="38" t="inlineStr">
        <x:is>
          <x:t xml:space="preserve">229</x:t>
        </x:is>
      </x:c>
      <x:c r="I212" s="38" t="inlineStr">
        <x:is>
          <x:t xml:space="preserve">theorem reanimation_only_rejected : validMissionReturn reanimationOnly = false</x:t>
        </x:is>
      </x:c>
      <x:c r="J212" s="38" t="inlineStr">
        <x:is>
          <x:t xml:space="preserve">Reanimation without mission structure is not resurrection</x:t>
        </x:is>
      </x:c>
      <x:c r="K212" s="38" t="inlineStr">
        <x:is>
          <x:t xml:space="preserve">TODO: list constructors/definitions/candidate restrictions.</x:t>
        </x:is>
      </x:c>
      <x:c r="L212" s="38" t="inlineStr">
        <x:is>
          <x:t xml:space="preserve">TODO: translate exact Lean statement only.</x:t>
        </x:is>
      </x:c>
      <x:c r="M212" s="38" t="inlineStr">
        <x:is>
          <x:t xml:space="preserve">TODO: link Colab/Python artifact or mark not tested.</x:t>
        </x:is>
      </x:c>
      <x:c r="N212" s="38" t="inlineStr">
        <x:is>
          <x:t xml:space="preserve">TODO: link dataset/observation or mark not empirical.</x:t>
        </x:is>
      </x:c>
      <x:c r="O212" s="38" t="inlineStr">
        <x:is>
          <x:t xml:space="preserve">TODO: theological/philosophical interpretation; do not merge with proof.</x:t>
        </x:is>
      </x:c>
      <x:c r="P212" s="38" t="inlineStr">
        <x:is>
          <x:t xml:space="preserve">TODO: formal, dynamical, empirical, or mapping kill condition.</x:t>
        </x:is>
      </x:c>
      <x:c r="Q212" s="39" t="inlineStr">
        <x:is>
          <x:t xml:space="preserve">Downgrade wording or strengthen proof if risk is HIGH; otherwise add evidence links.</x:t>
        </x:is>
      </x:c>
    </x:row>
    <x:row r="213" ht="15" customHeight="1">
      <x:c r="A213" s="37" t="inlineStr">
        <x:is>
          <x:t xml:space="preserve">226</x:t>
        </x:is>
      </x:c>
      <x:c r="B213" s="38" t="inlineStr">
        <x:is>
          <x:t xml:space="preserve">memory_erasure_rejected</x:t>
        </x:is>
      </x:c>
      <x:c r="C213" s="38" t="inlineStr">
        <x:is>
          <x:t xml:space="preserve">C2 - Structural correspondence candidate</x:t>
        </x:is>
      </x:c>
      <x:c r="D213" s="38" t="inlineStr">
        <x:is>
          <x:t xml:space="preserve">4 - Negative and countermodel tests</x:t>
        </x:is>
      </x:c>
      <x:c r="E213" s="38" t="inlineStr">
        <x:is>
          <x:t xml:space="preserve">FINITE_DECIDABLE</x:t>
        </x:is>
      </x:c>
      <x:c r="F213" s="38" t="inlineStr">
        <x:is>
          <x:t xml:space="preserve">LOW/MEDIUM - still needs theorem-to-public-claim translation.</x:t>
        </x:is>
      </x:c>
      <x:c r="G213" s="38" t="inlineStr">
        <x:is>
          <x:t xml:space="preserve">Faith-Thru-Physics-Lean-4--main\Faith-Thru-Physics-Lean-4--main\Theophysics_NegativeInventory.lean</x:t>
        </x:is>
      </x:c>
      <x:c r="H213" s="38" t="inlineStr">
        <x:is>
          <x:t xml:space="preserve">232</x:t>
        </x:is>
      </x:c>
      <x:c r="I213" s="38" t="inlineStr">
        <x:is>
          <x:t xml:space="preserve">theorem memory_erasure_rejected : validMissionReturn memoryErasure = false</x:t>
        </x:is>
      </x:c>
      <x:c r="J213" s="38" t="inlineStr">
        <x:is>
          <x:t xml:space="preserve">Return with wiped record is not resurrection</x:t>
        </x:is>
      </x:c>
      <x:c r="K213" s="38" t="inlineStr">
        <x:is>
          <x:t xml:space="preserve">TODO: list constructors/definitions/candidate restrictions.</x:t>
        </x:is>
      </x:c>
      <x:c r="L213" s="38" t="inlineStr">
        <x:is>
          <x:t xml:space="preserve">TODO: translate exact Lean statement only.</x:t>
        </x:is>
      </x:c>
      <x:c r="M213" s="38" t="inlineStr">
        <x:is>
          <x:t xml:space="preserve">TODO: link Colab/Python artifact or mark not tested.</x:t>
        </x:is>
      </x:c>
      <x:c r="N213" s="38" t="inlineStr">
        <x:is>
          <x:t xml:space="preserve">TODO: link dataset/observation or mark not empirical.</x:t>
        </x:is>
      </x:c>
      <x:c r="O213" s="38" t="inlineStr">
        <x:is>
          <x:t xml:space="preserve">TODO: theological/philosophical interpretation; do not merge with proof.</x:t>
        </x:is>
      </x:c>
      <x:c r="P213" s="38" t="inlineStr">
        <x:is>
          <x:t xml:space="preserve">TODO: formal, dynamical, empirical, or mapping kill condition.</x:t>
        </x:is>
      </x:c>
      <x:c r="Q213" s="39" t="inlineStr">
        <x:is>
          <x:t xml:space="preserve">Downgrade wording or strengthen proof if risk is HIGH; otherwise add evidence links.</x:t>
        </x:is>
      </x:c>
    </x:row>
    <x:row r="214" ht="15" customHeight="1">
      <x:c r="A214" s="37" t="inlineStr">
        <x:is>
          <x:t xml:space="preserve">227</x:t>
        </x:is>
      </x:c>
      <x:c r="B214" s="38" t="inlineStr">
        <x:is>
          <x:t xml:space="preserve">symbolic_only_rejected</x:t>
        </x:is>
      </x:c>
      <x:c r="C214" s="38" t="inlineStr">
        <x:is>
          <x:t xml:space="preserve">C2 - Structural correspondence candidate</x:t>
        </x:is>
      </x:c>
      <x:c r="D214" s="38" t="inlineStr">
        <x:is>
          <x:t xml:space="preserve">4 - Negative and countermodel tests</x:t>
        </x:is>
      </x:c>
      <x:c r="E214" s="38" t="inlineStr">
        <x:is>
          <x:t xml:space="preserve">FINITE_DECIDABLE</x:t>
        </x:is>
      </x:c>
      <x:c r="F214" s="38" t="inlineStr">
        <x:is>
          <x:t xml:space="preserve">LOW/MEDIUM - still needs theorem-to-public-claim translation.</x:t>
        </x:is>
      </x:c>
      <x:c r="G214" s="38" t="inlineStr">
        <x:is>
          <x:t xml:space="preserve">Faith-Thru-Physics-Lean-4--main\Faith-Thru-Physics-Lean-4--main\Theophysics_NegativeInventory.lean</x:t>
        </x:is>
      </x:c>
      <x:c r="H214" s="38" t="inlineStr">
        <x:is>
          <x:t xml:space="preserve">235</x:t>
        </x:is>
      </x:c>
      <x:c r="I214" s="38" t="inlineStr">
        <x:is>
          <x:t xml:space="preserve">theorem symbolic_only_rejected : validMissionReturn symbolicOnly = false</x:t>
        </x:is>
      </x:c>
      <x:c r="J214" s="38" t="inlineStr">
        <x:is>
          <x:t xml:space="preserve">Lives-on-in-memory (no bodily return) is not resurrection</x:t>
        </x:is>
      </x:c>
      <x:c r="K214" s="38" t="inlineStr">
        <x:is>
          <x:t xml:space="preserve">TODO: list constructors/definitions/candidate restrictions.</x:t>
        </x:is>
      </x:c>
      <x:c r="L214" s="38" t="inlineStr">
        <x:is>
          <x:t xml:space="preserve">TODO: translate exact Lean statement only.</x:t>
        </x:is>
      </x:c>
      <x:c r="M214" s="38" t="inlineStr">
        <x:is>
          <x:t xml:space="preserve">TODO: link Colab/Python artifact or mark not tested.</x:t>
        </x:is>
      </x:c>
      <x:c r="N214" s="38" t="inlineStr">
        <x:is>
          <x:t xml:space="preserve">TODO: link dataset/observation or mark not empirical.</x:t>
        </x:is>
      </x:c>
      <x:c r="O214" s="38" t="inlineStr">
        <x:is>
          <x:t xml:space="preserve">TODO: theological/philosophical interpretation; do not merge with proof.</x:t>
        </x:is>
      </x:c>
      <x:c r="P214" s="38" t="inlineStr">
        <x:is>
          <x:t xml:space="preserve">TODO: formal, dynamical, empirical, or mapping kill condition.</x:t>
        </x:is>
      </x:c>
      <x:c r="Q214" s="39" t="inlineStr">
        <x:is>
          <x:t xml:space="preserve">Downgrade wording or strengthen proof if risk is HIGH; otherwise add evidence links.</x:t>
        </x:is>
      </x:c>
    </x:row>
    <x:row r="215" ht="15" customHeight="1">
      <x:c r="A215" s="37" t="inlineStr">
        <x:is>
          <x:t xml:space="preserve">228</x:t>
        </x:is>
      </x:c>
      <x:c r="B215" s="38" t="inlineStr">
        <x:is>
          <x:t xml:space="preserve">non_identity_replacement_rejected</x:t>
        </x:is>
      </x:c>
      <x:c r="C215" s="38" t="inlineStr">
        <x:is>
          <x:t xml:space="preserve">C2 - Structural correspondence candidate</x:t>
        </x:is>
      </x:c>
      <x:c r="D215" s="38" t="inlineStr">
        <x:is>
          <x:t xml:space="preserve">4 - Negative and countermodel tests</x:t>
        </x:is>
      </x:c>
      <x:c r="E215" s="38" t="inlineStr">
        <x:is>
          <x:t xml:space="preserve">FINITE_DECIDABLE</x:t>
        </x:is>
      </x:c>
      <x:c r="F215" s="38" t="inlineStr">
        <x:is>
          <x:t xml:space="preserve">LOW/MEDIUM - still needs theorem-to-public-claim translation.</x:t>
        </x:is>
      </x:c>
      <x:c r="G215" s="38" t="inlineStr">
        <x:is>
          <x:t xml:space="preserve">Faith-Thru-Physics-Lean-4--main\Faith-Thru-Physics-Lean-4--main\Theophysics_NegativeInventory.lean</x:t>
        </x:is>
      </x:c>
      <x:c r="H215" s="38" t="inlineStr">
        <x:is>
          <x:t xml:space="preserve">238</x:t>
        </x:is>
      </x:c>
      <x:c r="I215" s="38" t="inlineStr">
        <x:is>
          <x:t xml:space="preserve">theorem non_identity_replacement_rejected : validMissionReturn nonIdentityReplacement = false</x:t>
        </x:is>
      </x:c>
      <x:c r="J215" s="38" t="inlineStr">
        <x:is>
          <x:t xml:space="preserve">A successor/copy is not the person - not resurrection</x:t>
        </x:is>
      </x:c>
      <x:c r="K215" s="38" t="inlineStr">
        <x:is>
          <x:t xml:space="preserve">TODO: list constructors/definitions/candidate restrictions.</x:t>
        </x:is>
      </x:c>
      <x:c r="L215" s="38" t="inlineStr">
        <x:is>
          <x:t xml:space="preserve">TODO: translate exact Lean statement only.</x:t>
        </x:is>
      </x:c>
      <x:c r="M215" s="38" t="inlineStr">
        <x:is>
          <x:t xml:space="preserve">TODO: link Colab/Python artifact or mark not tested.</x:t>
        </x:is>
      </x:c>
      <x:c r="N215" s="38" t="inlineStr">
        <x:is>
          <x:t xml:space="preserve">TODO: link dataset/observation or mark not empirical.</x:t>
        </x:is>
      </x:c>
      <x:c r="O215" s="38" t="inlineStr">
        <x:is>
          <x:t xml:space="preserve">TODO: theological/philosophical interpretation; do not merge with proof.</x:t>
        </x:is>
      </x:c>
      <x:c r="P215" s="38" t="inlineStr">
        <x:is>
          <x:t xml:space="preserve">TODO: formal, dynamical, empirical, or mapping kill condition.</x:t>
        </x:is>
      </x:c>
      <x:c r="Q215" s="39" t="inlineStr">
        <x:is>
          <x:t xml:space="preserve">Downgrade wording or strengthen proof if risk is HIGH; otherwise add evidence links.</x:t>
        </x:is>
      </x:c>
    </x:row>
    <x:row r="216" ht="15" customHeight="1">
      <x:c r="A216" s="37" t="inlineStr">
        <x:is>
          <x:t xml:space="preserve">229</x:t>
        </x:is>
      </x:c>
      <x:c r="B216" s="38" t="inlineStr">
        <x:is>
          <x:t xml:space="preserve">pure_repair_without_return_rejected</x:t>
        </x:is>
      </x:c>
      <x:c r="C216" s="38" t="inlineStr">
        <x:is>
          <x:t xml:space="preserve">C2 - Structural correspondence candidate</x:t>
        </x:is>
      </x:c>
      <x:c r="D216" s="38" t="inlineStr">
        <x:is>
          <x:t xml:space="preserve">4 - Negative and countermodel tests</x:t>
        </x:is>
      </x:c>
      <x:c r="E216" s="38" t="inlineStr">
        <x:is>
          <x:t xml:space="preserve">FINITE_DECIDABLE</x:t>
        </x:is>
      </x:c>
      <x:c r="F216" s="38" t="inlineStr">
        <x:is>
          <x:t xml:space="preserve">LOW/MEDIUM - still needs theorem-to-public-claim translation.</x:t>
        </x:is>
      </x:c>
      <x:c r="G216" s="38" t="inlineStr">
        <x:is>
          <x:t xml:space="preserve">Faith-Thru-Physics-Lean-4--main\Faith-Thru-Physics-Lean-4--main\Theophysics_NegativeInventory.lean</x:t>
        </x:is>
      </x:c>
      <x:c r="H216" s="38" t="inlineStr">
        <x:is>
          <x:t xml:space="preserve">241</x:t>
        </x:is>
      </x:c>
      <x:c r="I216" s="38" t="inlineStr">
        <x:is>
          <x:t xml:space="preserve">theorem pure_repair_without_return_rejected : validMissionReturn pureRepairWithoutReturn = false</x:t>
        </x:is>
      </x:c>
      <x:c r="J216" s="38" t="inlineStr">
        <x:is>
          <x:t xml:space="preserve">Repair-in-place with no return structure is not resurrection</x:t>
        </x:is>
      </x:c>
      <x:c r="K216" s="38" t="inlineStr">
        <x:is>
          <x:t xml:space="preserve">TODO: list constructors/definitions/candidate restrictions.</x:t>
        </x:is>
      </x:c>
      <x:c r="L216" s="38" t="inlineStr">
        <x:is>
          <x:t xml:space="preserve">TODO: translate exact Lean statement only.</x:t>
        </x:is>
      </x:c>
      <x:c r="M216" s="38" t="inlineStr">
        <x:is>
          <x:t xml:space="preserve">TODO: link Colab/Python artifact or mark not tested.</x:t>
        </x:is>
      </x:c>
      <x:c r="N216" s="38" t="inlineStr">
        <x:is>
          <x:t xml:space="preserve">TODO: link dataset/observation or mark not empirical.</x:t>
        </x:is>
      </x:c>
      <x:c r="O216" s="38" t="inlineStr">
        <x:is>
          <x:t xml:space="preserve">TODO: theological/philosophical interpretation; do not merge with proof.</x:t>
        </x:is>
      </x:c>
      <x:c r="P216" s="38" t="inlineStr">
        <x:is>
          <x:t xml:space="preserve">TODO: formal, dynamical, empirical, or mapping kill condition.</x:t>
        </x:is>
      </x:c>
      <x:c r="Q216" s="39" t="inlineStr">
        <x:is>
          <x:t xml:space="preserve">Downgrade wording or strengthen proof if risk is HIGH; otherwise add evidence links.</x:t>
        </x:is>
      </x:c>
    </x:row>
    <x:row r="217" ht="15" customHeight="1">
      <x:c r="A217" s="37" t="inlineStr">
        <x:is>
          <x:t xml:space="preserve">230</x:t>
        </x:is>
      </x:c>
      <x:c r="B217" s="38" t="inlineStr">
        <x:is>
          <x:t xml:space="preserve">every_return_guard_is_load_bearing</x:t>
        </x:is>
      </x:c>
      <x:c r="C217" s="38" t="inlineStr">
        <x:is>
          <x:t xml:space="preserve">C2 - Structural correspondence candidate</x:t>
        </x:is>
      </x:c>
      <x:c r="D217" s="38" t="inlineStr">
        <x:is>
          <x:t xml:space="preserve">3 - Internal formal consistency</x:t>
        </x:is>
      </x:c>
      <x:c r="E217" s="38" t="inlineStr">
        <x:is>
          <x:t xml:space="preserve">FINITE_DECIDABLE</x:t>
        </x:is>
      </x:c>
      <x:c r="F217" s="38" t="inlineStr">
        <x:is>
          <x:t xml:space="preserve">LOW/MEDIUM - still needs theorem-to-public-claim translation.</x:t>
        </x:is>
      </x:c>
      <x:c r="G217" s="38" t="inlineStr">
        <x:is>
          <x:t xml:space="preserve">Faith-Thru-Physics-Lean-4--main\Faith-Thru-Physics-Lean-4--main\Theophysics_NegativeInventory.lean</x:t>
        </x:is>
      </x:c>
      <x:c r="H217" s="38" t="inlineStr">
        <x:is>
          <x:t xml:space="preserve">246</x:t>
        </x:is>
      </x:c>
      <x:c r="I217" s="38" t="inlineStr">
        <x:is>
          <x:t xml:space="preserve">theorem every_return_guard_is_load_bearing : validMissionReturn reanimationOnly = false ∧ validMissionReturn memoryErasure = false ∧ validMissionReturn symbolicOnly = false ∧ validMissionReturn nonIdentityReplacement = false ∧ validMissionReturn pureRepairWithoutReturn = false</x:t>
        </x:is>
      </x:c>
      <x:c r="J217" s="38" t="inlineStr">
        <x:is>
          <x:t xml:space="preserve">Dropping any single guard admits a known false positive</x:t>
        </x:is>
      </x:c>
      <x:c r="K217" s="38" t="inlineStr">
        <x:is>
          <x:t xml:space="preserve">TODO: list constructors/definitions/candidate restrictions.</x:t>
        </x:is>
      </x:c>
      <x:c r="L217" s="38" t="inlineStr">
        <x:is>
          <x:t xml:space="preserve">TODO: translate exact Lean statement only.</x:t>
        </x:is>
      </x:c>
      <x:c r="M217" s="38" t="inlineStr">
        <x:is>
          <x:t xml:space="preserve">TODO: link Colab/Python artifact or mark not tested.</x:t>
        </x:is>
      </x:c>
      <x:c r="N217" s="38" t="inlineStr">
        <x:is>
          <x:t xml:space="preserve">TODO: link dataset/observation or mark not empirical.</x:t>
        </x:is>
      </x:c>
      <x:c r="O217" s="38" t="inlineStr">
        <x:is>
          <x:t xml:space="preserve">TODO: theological/philosophical interpretation; do not merge with proof.</x:t>
        </x:is>
      </x:c>
      <x:c r="P217" s="38" t="inlineStr">
        <x:is>
          <x:t xml:space="preserve">TODO: formal, dynamical, empirical, or mapping kill condition.</x:t>
        </x:is>
      </x:c>
      <x:c r="Q217" s="39" t="inlineStr">
        <x:is>
          <x:t xml:space="preserve">Downgrade wording or strengthen proof if risk is HIGH; otherwise add evidence links.</x:t>
        </x:is>
      </x:c>
    </x:row>
    <x:row r="218" ht="15" customHeight="1">
      <x:c r="A218" s="37" t="inlineStr">
        <x:is>
          <x:t xml:space="preserve">231</x:t>
        </x:is>
      </x:c>
      <x:c r="B218" s="38" t="inlineStr">
        <x:is>
          <x:t xml:space="preserve">full_structure_return_validates</x:t>
        </x:is>
      </x:c>
      <x:c r="C218" s="38" t="inlineStr">
        <x:is>
          <x:t xml:space="preserve">C2 - Structural correspondence candidate</x:t>
        </x:is>
      </x:c>
      <x:c r="D218" s="38" t="inlineStr">
        <x:is>
          <x:t xml:space="preserve">3 - Internal formal consistency; cite underlying theorem</x:t>
        </x:is>
      </x:c>
      <x:c r="E218" s="38" t="inlineStr">
        <x:is>
          <x:t xml:space="preserve">WRAPPER_OR_IMPORTED</x:t>
        </x:is>
      </x:c>
      <x:c r="F218" s="38" t="inlineStr">
        <x:is>
          <x:t xml:space="preserve">MEDIUM - cite underlying theorem, not just wrapper.</x:t>
        </x:is>
      </x:c>
      <x:c r="G218" s="38" t="inlineStr">
        <x:is>
          <x:t xml:space="preserve">Faith-Thru-Physics-Lean-4--main\Faith-Thru-Physics-Lean-4--main\Theophysics_NegativeInventory.lean</x:t>
        </x:is>
      </x:c>
      <x:c r="H218" s="38" t="inlineStr">
        <x:is>
          <x:t xml:space="preserve">256</x:t>
        </x:is>
      </x:c>
      <x:c r="I218" s="38" t="inlineStr">
        <x:is>
          <x:t xml:space="preserve">theorem full_structure_return_validates : validMissionReturn ⟨true, true, true, true, false⟩ = true</x:t>
        </x:is>
      </x:c>
      <x:c r="J218" s="38" t="inlineStr">
        <x:is>
          <x:t xml:space="preserve">Sanity anchor: the full-structure return validates (guards not vacuous)</x:t>
        </x:is>
      </x:c>
      <x:c r="K218" s="38" t="inlineStr">
        <x:is>
          <x:t xml:space="preserve">TODO: list constructors/definitions/candidate restrictions.</x:t>
        </x:is>
      </x:c>
      <x:c r="L218" s="38" t="inlineStr">
        <x:is>
          <x:t xml:space="preserve">TODO: translate exact Lean statement only.</x:t>
        </x:is>
      </x:c>
      <x:c r="M218" s="38" t="inlineStr">
        <x:is>
          <x:t xml:space="preserve">TODO: link Colab/Python artifact or mark not tested.</x:t>
        </x:is>
      </x:c>
      <x:c r="N218" s="38" t="inlineStr">
        <x:is>
          <x:t xml:space="preserve">TODO: link dataset/observation or mark not empirical.</x:t>
        </x:is>
      </x:c>
      <x:c r="O218" s="38" t="inlineStr">
        <x:is>
          <x:t xml:space="preserve">TODO: theological/philosophical interpretation; do not merge with proof.</x:t>
        </x:is>
      </x:c>
      <x:c r="P218" s="38" t="inlineStr">
        <x:is>
          <x:t xml:space="preserve">TODO: formal, dynamical, empirical, or mapping kill condition.</x:t>
        </x:is>
      </x:c>
      <x:c r="Q218" s="39" t="inlineStr">
        <x:is>
          <x:t xml:space="preserve">Downgrade wording or strengthen proof if risk is HIGH; otherwise add evidence links.</x:t>
        </x:is>
      </x:c>
    </x:row>
    <x:row r="219" ht="15" customHeight="1">
      <x:c r="A219" s="37" t="inlineStr">
        <x:is>
          <x:t xml:space="preserve">C1</x:t>
        </x:is>
      </x:c>
      <x:c r="B219" s="38" t="inlineStr">
        <x:is>
          <x:t xml:space="preserve">llc_collapse_regime</x:t>
        </x:is>
      </x:c>
      <x:c r="C219" s="38" t="inlineStr">
        <x:is>
          <x:t xml:space="preserve">C2 - Structural correspondence candidate</x:t>
        </x:is>
      </x:c>
      <x:c r="D219" s="38" t="inlineStr">
        <x:is>
          <x:t xml:space="preserve">3 - Internal formal consistency</x:t>
        </x:is>
      </x:c>
      <x:c r="E219" s="38" t="inlineStr">
        <x:is>
          <x:t xml:space="preserve">SIMPLIFICATION</x:t>
        </x:is>
      </x:c>
      <x:c r="F219" s="38" t="inlineStr">
        <x:is>
          <x:t xml:space="preserve">MEDIUM - definition strength must be audited.</x:t>
        </x:is>
      </x:c>
      <x:c r="G219" s="38" t="inlineStr">
        <x:is>
          <x:t xml:space="preserve">theophysics-lean-main\theophysics-lean-main\Theophysics_Canonization.lean</x:t>
        </x:is>
      </x:c>
      <x:c r="H219" s="38" t="inlineStr">
        <x:is>
          <x:t xml:space="preserve">72</x:t>
        </x:is>
      </x:c>
      <x:c r="I219" s="38" t="inlineStr">
        <x:is>
          <x:t xml:space="preserve">theorem llc_collapse_regime (T V : ℝ) (h : V &lt; T) : 0 &lt; LLC T V</x:t>
        </x:is>
      </x:c>
      <x:c r="J219" s="38" t="inlineStr">
        <x:is>
          <x:t xml:space="preserve">LLC: V &lt; T implies action-positive waste-punishing regime</x:t>
        </x:is>
      </x:c>
      <x:c r="K219" s="38" t="inlineStr">
        <x:is>
          <x:t xml:space="preserve">TODO: list constructors/definitions/candidate restrictions.</x:t>
        </x:is>
      </x:c>
      <x:c r="L219" s="38" t="inlineStr">
        <x:is>
          <x:t xml:space="preserve">TODO: translate exact Lean statement only.</x:t>
        </x:is>
      </x:c>
      <x:c r="M219" s="38" t="inlineStr">
        <x:is>
          <x:t xml:space="preserve">TODO: link Colab/Python artifact or mark not tested.</x:t>
        </x:is>
      </x:c>
      <x:c r="N219" s="38" t="inlineStr">
        <x:is>
          <x:t xml:space="preserve">TODO: link dataset/observation or mark not empirical.</x:t>
        </x:is>
      </x:c>
      <x:c r="O219" s="38" t="inlineStr">
        <x:is>
          <x:t xml:space="preserve">TODO: theological/philosophical interpretation; do not merge with proof.</x:t>
        </x:is>
      </x:c>
      <x:c r="P219" s="38" t="inlineStr">
        <x:is>
          <x:t xml:space="preserve">TODO: formal, dynamical, empirical, or mapping kill condition.</x:t>
        </x:is>
      </x:c>
      <x:c r="Q219" s="39" t="inlineStr">
        <x:is>
          <x:t xml:space="preserve">Downgrade wording or strengthen proof if risk is HIGH; otherwise add evidence links.</x:t>
        </x:is>
      </x:c>
    </x:row>
    <x:row r="220" ht="15" customHeight="1">
      <x:c r="A220" s="37" t="inlineStr">
        <x:is>
          <x:t xml:space="preserve">C2</x:t>
        </x:is>
      </x:c>
      <x:c r="B220" s="38" t="inlineStr">
        <x:is>
          <x:t xml:space="preserve">no_observer_no_capital</x:t>
        </x:is>
      </x:c>
      <x:c r="C220" s="38" t="inlineStr">
        <x:is>
          <x:t xml:space="preserve">C2 - Structural correspondence candidate</x:t>
        </x:is>
      </x:c>
      <x:c r="D220" s="38" t="inlineStr">
        <x:is>
          <x:t xml:space="preserve">3 - Internal formal consistency; cite underlying theorem</x:t>
        </x:is>
      </x:c>
      <x:c r="E220" s="38" t="inlineStr">
        <x:is>
          <x:t xml:space="preserve">WRAPPER_OR_IMPORTED</x:t>
        </x:is>
      </x:c>
      <x:c r="F220" s="38" t="inlineStr">
        <x:is>
          <x:t xml:space="preserve">MEDIUM - cite underlying theorem, not just wrapper.</x:t>
        </x:is>
      </x:c>
      <x:c r="G220" s="38" t="inlineStr">
        <x:is>
          <x:t xml:space="preserve">theophysics-lean-main\theophysics-lean-main\Theophysics_Canonization.lean</x:t>
        </x:is>
      </x:c>
      <x:c r="H220" s="38" t="inlineStr">
        <x:is>
          <x:t xml:space="preserve">77</x:t>
        </x:is>
      </x:c>
      <x:c r="I220" s="38" t="inlineStr">
        <x:is>
          <x:t xml:space="preserve">theorem no_observer_no_capital (T : ℝ) : LLC T 0 = T</x:t>
        </x:is>
      </x:c>
      <x:c r="J220" s="38" t="inlineStr">
        <x:is>
          <x:t xml:space="preserve">No Gamma-coupling implies V=0, action reduces to pure cost</x:t>
        </x:is>
      </x:c>
      <x:c r="K220" s="38" t="inlineStr">
        <x:is>
          <x:t xml:space="preserve">TODO: list constructors/definitions/candidate restrictions.</x:t>
        </x:is>
      </x:c>
      <x:c r="L220" s="38" t="inlineStr">
        <x:is>
          <x:t xml:space="preserve">TODO: translate exact Lean statement only.</x:t>
        </x:is>
      </x:c>
      <x:c r="M220" s="38" t="inlineStr">
        <x:is>
          <x:t xml:space="preserve">TODO: link Colab/Python artifact or mark not tested.</x:t>
        </x:is>
      </x:c>
      <x:c r="N220" s="38" t="inlineStr">
        <x:is>
          <x:t xml:space="preserve">TODO: link dataset/observation or mark not empirical.</x:t>
        </x:is>
      </x:c>
      <x:c r="O220" s="38" t="inlineStr">
        <x:is>
          <x:t xml:space="preserve">TODO: theological/philosophical interpretation; do not merge with proof.</x:t>
        </x:is>
      </x:c>
      <x:c r="P220" s="38" t="inlineStr">
        <x:is>
          <x:t xml:space="preserve">TODO: formal, dynamical, empirical, or mapping kill condition.</x:t>
        </x:is>
      </x:c>
      <x:c r="Q220" s="39" t="inlineStr">
        <x:is>
          <x:t xml:space="preserve">Downgrade wording or strengthen proof if risk is HIGH; otherwise add evidence links.</x:t>
        </x:is>
      </x:c>
    </x:row>
    <x:row r="221" ht="15" customHeight="1">
      <x:c r="A221" s="37" t="inlineStr">
        <x:is>
          <x:t xml:space="preserve">C3</x:t>
        </x:is>
      </x:c>
      <x:c r="B221" s="38" t="inlineStr">
        <x:is>
          <x:t xml:space="preserve">spirit_factors</x:t>
        </x:is>
      </x:c>
      <x:c r="C221" s="38" t="inlineStr">
        <x:is>
          <x:t xml:space="preserve">C2 - Structural correspondence candidate</x:t>
        </x:is>
      </x:c>
      <x:c r="D221" s="38" t="inlineStr">
        <x:is>
          <x:t xml:space="preserve">3 - Internal formal consistency</x:t>
        </x:is>
      </x:c>
      <x:c r="E221" s="38" t="inlineStr">
        <x:is>
          <x:t xml:space="preserve">SIMPLIFICATION</x:t>
        </x:is>
      </x:c>
      <x:c r="F221" s="38" t="inlineStr">
        <x:is>
          <x:t xml:space="preserve">MEDIUM - definition strength must be audited.</x:t>
        </x:is>
      </x:c>
      <x:c r="G221" s="38" t="inlineStr">
        <x:is>
          <x:t xml:space="preserve">theophysics-lean-main\theophysics-lean-main\Theophysics_Canonization.lean</x:t>
        </x:is>
      </x:c>
      <x:c r="H221" s="38" t="inlineStr">
        <x:is>
          <x:t xml:space="preserve">84</x:t>
        </x:is>
      </x:c>
      <x:c r="I221" s="38" t="inlineStr">
        <x:is>
          <x:t xml:space="preserve">theorem spirit_factors (χ v Sₑ : ℝ) : SpiritLagrangian χ v Sₑ = χ * (v ^ 2 - Sₑ)</x:t>
        </x:is>
      </x:c>
      <x:c r="J221" s="38" t="inlineStr">
        <x:is>
          <x:t xml:space="preserve">L_spirit = chi*(v^2 - Se) - coherence weight factors out</x:t>
        </x:is>
      </x:c>
      <x:c r="K221" s="38" t="inlineStr">
        <x:is>
          <x:t xml:space="preserve">TODO: list constructors/definitions/candidate restrictions.</x:t>
        </x:is>
      </x:c>
      <x:c r="L221" s="38" t="inlineStr">
        <x:is>
          <x:t xml:space="preserve">TODO: translate exact Lean statement only.</x:t>
        </x:is>
      </x:c>
      <x:c r="M221" s="38" t="inlineStr">
        <x:is>
          <x:t xml:space="preserve">TODO: link Colab/Python artifact or mark not tested.</x:t>
        </x:is>
      </x:c>
      <x:c r="N221" s="38" t="inlineStr">
        <x:is>
          <x:t xml:space="preserve">TODO: link dataset/observation or mark not empirical.</x:t>
        </x:is>
      </x:c>
      <x:c r="O221" s="38" t="inlineStr">
        <x:is>
          <x:t xml:space="preserve">TODO: theological/philosophical interpretation; do not merge with proof.</x:t>
        </x:is>
      </x:c>
      <x:c r="P221" s="38" t="inlineStr">
        <x:is>
          <x:t xml:space="preserve">TODO: formal, dynamical, empirical, or mapping kill condition.</x:t>
        </x:is>
      </x:c>
      <x:c r="Q221" s="39" t="inlineStr">
        <x:is>
          <x:t xml:space="preserve">Downgrade wording or strengthen proof if risk is HIGH; otherwise add evidence links.</x:t>
        </x:is>
      </x:c>
    </x:row>
    <x:row r="222" ht="15" customHeight="1">
      <x:c r="A222" s="37" t="inlineStr">
        <x:is>
          <x:t xml:space="preserve">C4</x:t>
        </x:is>
      </x:c>
      <x:c r="B222" s="38" t="inlineStr">
        <x:is>
          <x:t xml:space="preserve">spirit_dies_at_zero_coherence</x:t>
        </x:is>
      </x:c>
      <x:c r="C222" s="38" t="inlineStr">
        <x:is>
          <x:t xml:space="preserve">C2 - Structural correspondence candidate</x:t>
        </x:is>
      </x:c>
      <x:c r="D222" s="38" t="inlineStr">
        <x:is>
          <x:t xml:space="preserve">3 - Internal formal consistency</x:t>
        </x:is>
      </x:c>
      <x:c r="E222" s="38" t="inlineStr">
        <x:is>
          <x:t xml:space="preserve">SIMPLIFICATION</x:t>
        </x:is>
      </x:c>
      <x:c r="F222" s="38" t="inlineStr">
        <x:is>
          <x:t xml:space="preserve">MEDIUM - definition strength must be audited.</x:t>
        </x:is>
      </x:c>
      <x:c r="G222" s="38" t="inlineStr">
        <x:is>
          <x:t xml:space="preserve">theophysics-lean-main\theophysics-lean-main\Theophysics_Canonization.lean</x:t>
        </x:is>
      </x:c>
      <x:c r="H222" s="38" t="inlineStr">
        <x:is>
          <x:t xml:space="preserve">88</x:t>
        </x:is>
      </x:c>
      <x:c r="I222" s="38" t="inlineStr">
        <x:is>
          <x:t xml:space="preserve">theorem spirit_dies_at_zero_coherence (v Sₑ : ℝ) : SpiritLagrangian 0 v Sₑ = 0</x:t>
        </x:is>
      </x:c>
      <x:c r="J222" s="38" t="inlineStr">
        <x:is>
          <x:t xml:space="preserve">chi=0 kills kinetic and penalty terms simultaneously</x:t>
        </x:is>
      </x:c>
      <x:c r="K222" s="38" t="inlineStr">
        <x:is>
          <x:t xml:space="preserve">TODO: list constructors/definitions/candidate restrictions.</x:t>
        </x:is>
      </x:c>
      <x:c r="L222" s="38" t="inlineStr">
        <x:is>
          <x:t xml:space="preserve">TODO: translate exact Lean statement only.</x:t>
        </x:is>
      </x:c>
      <x:c r="M222" s="38" t="inlineStr">
        <x:is>
          <x:t xml:space="preserve">TODO: link Colab/Python artifact or mark not tested.</x:t>
        </x:is>
      </x:c>
      <x:c r="N222" s="38" t="inlineStr">
        <x:is>
          <x:t xml:space="preserve">TODO: link dataset/observation or mark not empirical.</x:t>
        </x:is>
      </x:c>
      <x:c r="O222" s="38" t="inlineStr">
        <x:is>
          <x:t xml:space="preserve">TODO: theological/philosophical interpretation; do not merge with proof.</x:t>
        </x:is>
      </x:c>
      <x:c r="P222" s="38" t="inlineStr">
        <x:is>
          <x:t xml:space="preserve">TODO: formal, dynamical, empirical, or mapping kill condition.</x:t>
        </x:is>
      </x:c>
      <x:c r="Q222" s="39" t="inlineStr">
        <x:is>
          <x:t xml:space="preserve">Downgrade wording or strengthen proof if risk is HIGH; otherwise add evidence links.</x:t>
        </x:is>
      </x:c>
    </x:row>
    <x:row r="223" ht="15" customHeight="1">
      <x:c r="A223" s="37" t="inlineStr">
        <x:is>
          <x:t xml:space="preserve">C5</x:t>
        </x:is>
      </x:c>
      <x:c r="B223" s="38" t="inlineStr">
        <x:is>
          <x:t xml:space="preserve">spirit_positive_iff</x:t>
        </x:is>
      </x:c>
      <x:c r="C223" s="38" t="inlineStr">
        <x:is>
          <x:t xml:space="preserve">C2 - Structural correspondence candidate</x:t>
        </x:is>
      </x:c>
      <x:c r="D223" s="38" t="inlineStr">
        <x:is>
          <x:t xml:space="preserve">3 - Internal formal consistency</x:t>
        </x:is>
      </x:c>
      <x:c r="E223" s="38" t="inlineStr">
        <x:is>
          <x:t xml:space="preserve">SUBSTANTIVE_OR_CASE_PROOF</x:t>
        </x:is>
      </x:c>
      <x:c r="F223" s="38" t="inlineStr">
        <x:is>
          <x:t xml:space="preserve">LOW/MEDIUM - still needs theorem-to-public-claim translation.</x:t>
        </x:is>
      </x:c>
      <x:c r="G223" s="38" t="inlineStr">
        <x:is>
          <x:t xml:space="preserve">theophysics-lean-main\theophysics-lean-main\Theophysics_Canonization.lean</x:t>
        </x:is>
      </x:c>
      <x:c r="H223" s="38" t="inlineStr">
        <x:is>
          <x:t xml:space="preserve">93</x:t>
        </x:is>
      </x:c>
      <x:c r="I223" s="38" t="inlineStr">
        <x:is>
          <x:t xml:space="preserve">theorem spirit_positive_iff (χ v Sₑ : ℝ) (hχ : 0 &lt; χ) : 0 &lt; SpiritLagrangian χ v Sₑ ↔ Sₑ &lt; v ^ 2</x:t>
        </x:is>
      </x:c>
      <x:c r="J223" s="38" t="inlineStr">
        <x:is>
          <x:t xml:space="preserve">For chi&gt;0: L_spirit &gt; 0 iff Se &lt; v^2</x:t>
        </x:is>
      </x:c>
      <x:c r="K223" s="38" t="inlineStr">
        <x:is>
          <x:t xml:space="preserve">TODO: list constructors/definitions/candidate restrictions.</x:t>
        </x:is>
      </x:c>
      <x:c r="L223" s="38" t="inlineStr">
        <x:is>
          <x:t xml:space="preserve">TODO: translate exact Lean statement only.</x:t>
        </x:is>
      </x:c>
      <x:c r="M223" s="38" t="inlineStr">
        <x:is>
          <x:t xml:space="preserve">TODO: link Colab/Python artifact or mark not tested.</x:t>
        </x:is>
      </x:c>
      <x:c r="N223" s="38" t="inlineStr">
        <x:is>
          <x:t xml:space="preserve">TODO: link dataset/observation or mark not empirical.</x:t>
        </x:is>
      </x:c>
      <x:c r="O223" s="38" t="inlineStr">
        <x:is>
          <x:t xml:space="preserve">TODO: theological/philosophical interpretation; do not merge with proof.</x:t>
        </x:is>
      </x:c>
      <x:c r="P223" s="38" t="inlineStr">
        <x:is>
          <x:t xml:space="preserve">TODO: formal, dynamical, empirical, or mapping kill condition.</x:t>
        </x:is>
      </x:c>
      <x:c r="Q223" s="39" t="inlineStr">
        <x:is>
          <x:t xml:space="preserve">Downgrade wording or strengthen proof if risk is HIGH; otherwise add evidence links.</x:t>
        </x:is>
      </x:c>
    </x:row>
    <x:row r="224" ht="15" customHeight="1">
      <x:c r="A224" s="37" t="inlineStr">
        <x:is>
          <x:t xml:space="preserve">C6</x:t>
        </x:is>
      </x:c>
      <x:c r="B224" s="38" t="inlineStr">
        <x:is>
          <x:t xml:space="preserve">anti_expansion</x:t>
        </x:is>
      </x:c>
      <x:c r="C224" s="38" t="inlineStr">
        <x:is>
          <x:t xml:space="preserve">C5 - Dynamical equivalence candidate</x:t>
        </x:is>
      </x:c>
      <x:c r="D224" s="38" t="inlineStr">
        <x:is>
          <x:t xml:space="preserve">3 - Internal formal consistency</x:t>
        </x:is>
      </x:c>
      <x:c r="E224" s="38" t="inlineStr">
        <x:is>
          <x:t xml:space="preserve">SIMPLIFICATION</x:t>
        </x:is>
      </x:c>
      <x:c r="F224" s="38" t="inlineStr">
        <x:is>
          <x:t xml:space="preserve">MEDIUM - definition strength must be audited.</x:t>
        </x:is>
      </x:c>
      <x:c r="G224" s="38" t="inlineStr">
        <x:is>
          <x:t xml:space="preserve">theophysics-lean-main\theophysics-lean-main\Theophysics_Canonization.lean</x:t>
        </x:is>
      </x:c>
      <x:c r="H224" s="38" t="inlineStr">
        <x:is>
          <x:t xml:space="preserve">111</x:t>
        </x:is>
      </x:c>
      <x:c r="I224" s="38" t="inlineStr">
        <x:is>
          <x:t xml:space="preserve">theorem anti_expansion (χ v Sₑ : ℝ) : AntiLagrangian χ v Sₑ = Sₑ * χ - χ * v ^ 2</x:t>
        </x:is>
      </x:c>
      <x:c r="J224" s="38" t="inlineStr">
        <x:is>
          <x:t xml:space="preserve">Anti-Lagrangian expanded form equals the sign flip exactly</x:t>
        </x:is>
      </x:c>
      <x:c r="K224" s="38" t="inlineStr">
        <x:is>
          <x:t xml:space="preserve">TODO: list constructors/definitions/candidate restrictions.</x:t>
        </x:is>
      </x:c>
      <x:c r="L224" s="38" t="inlineStr">
        <x:is>
          <x:t xml:space="preserve">TODO: translate exact Lean statement only.</x:t>
        </x:is>
      </x:c>
      <x:c r="M224" s="38" t="inlineStr">
        <x:is>
          <x:t xml:space="preserve">TODO: link Colab/Python artifact or mark not tested.</x:t>
        </x:is>
      </x:c>
      <x:c r="N224" s="38" t="inlineStr">
        <x:is>
          <x:t xml:space="preserve">TODO: link dataset/observation or mark not empirical.</x:t>
        </x:is>
      </x:c>
      <x:c r="O224" s="38" t="inlineStr">
        <x:is>
          <x:t xml:space="preserve">TODO: theological/philosophical interpretation; do not merge with proof.</x:t>
        </x:is>
      </x:c>
      <x:c r="P224" s="38" t="inlineStr">
        <x:is>
          <x:t xml:space="preserve">TODO: formal, dynamical, empirical, or mapping kill condition.</x:t>
        </x:is>
      </x:c>
      <x:c r="Q224" s="39" t="inlineStr">
        <x:is>
          <x:t xml:space="preserve">Downgrade wording or strengthen proof if risk is HIGH; otherwise add evidence links.</x:t>
        </x:is>
      </x:c>
    </x:row>
    <x:row r="225" ht="15" customHeight="1">
      <x:c r="A225" s="37" t="inlineStr">
        <x:is>
          <x:t xml:space="preserve">C7</x:t>
        </x:is>
      </x:c>
      <x:c r="B225" s="38" t="inlineStr">
        <x:is>
          <x:t xml:space="preserve">spirit_anti_sum_zero</x:t>
        </x:is>
      </x:c>
      <x:c r="C225" s="38" t="inlineStr">
        <x:is>
          <x:t xml:space="preserve">C2 - Structural correspondence candidate</x:t>
        </x:is>
      </x:c>
      <x:c r="D225" s="38" t="inlineStr">
        <x:is>
          <x:t xml:space="preserve">3 - Internal formal consistency; cite underlying theorem</x:t>
        </x:is>
      </x:c>
      <x:c r="E225" s="38" t="inlineStr">
        <x:is>
          <x:t xml:space="preserve">WRAPPER_OR_IMPORTED</x:t>
        </x:is>
      </x:c>
      <x:c r="F225" s="38" t="inlineStr">
        <x:is>
          <x:t xml:space="preserve">MEDIUM - cite underlying theorem, not just wrapper.</x:t>
        </x:is>
      </x:c>
      <x:c r="G225" s="38" t="inlineStr">
        <x:is>
          <x:t xml:space="preserve">theophysics-lean-main\theophysics-lean-main\Theophysics_Canonization.lean</x:t>
        </x:is>
      </x:c>
      <x:c r="H225" s="38" t="inlineStr">
        <x:is>
          <x:t xml:space="preserve">117</x:t>
        </x:is>
      </x:c>
      <x:c r="I225" s="38" t="inlineStr">
        <x:is>
          <x:t xml:space="preserve">theorem spirit_anti_sum_zero (χ v Sₑ : ℝ) : SpiritLagrangian χ v Sₑ + AntiLagrangian χ v Sₑ = 0</x:t>
        </x:is>
      </x:c>
      <x:c r="J225" s="38" t="inlineStr">
        <x:is>
          <x:t xml:space="preserve">Spirit + Anti = 0: evil has no independent grammar, only inversion</x:t>
        </x:is>
      </x:c>
      <x:c r="K225" s="38" t="inlineStr">
        <x:is>
          <x:t xml:space="preserve">TODO: list constructors/definitions/candidate restrictions.</x:t>
        </x:is>
      </x:c>
      <x:c r="L225" s="38" t="inlineStr">
        <x:is>
          <x:t xml:space="preserve">TODO: translate exact Lean statement only.</x:t>
        </x:is>
      </x:c>
      <x:c r="M225" s="38" t="inlineStr">
        <x:is>
          <x:t xml:space="preserve">TODO: link Colab/Python artifact or mark not tested.</x:t>
        </x:is>
      </x:c>
      <x:c r="N225" s="38" t="inlineStr">
        <x:is>
          <x:t xml:space="preserve">TODO: link dataset/observation or mark not empirical.</x:t>
        </x:is>
      </x:c>
      <x:c r="O225" s="38" t="inlineStr">
        <x:is>
          <x:t xml:space="preserve">TODO: theological/philosophical interpretation; do not merge with proof.</x:t>
        </x:is>
      </x:c>
      <x:c r="P225" s="38" t="inlineStr">
        <x:is>
          <x:t xml:space="preserve">TODO: formal, dynamical, empirical, or mapping kill condition.</x:t>
        </x:is>
      </x:c>
      <x:c r="Q225" s="39" t="inlineStr">
        <x:is>
          <x:t xml:space="preserve">Downgrade wording or strengthen proof if risk is HIGH; otherwise add evidence links.</x:t>
        </x:is>
      </x:c>
    </x:row>
    <x:row r="226" ht="15" customHeight="1">
      <x:c r="A226" s="37" t="inlineStr">
        <x:is>
          <x:t xml:space="preserve">C8</x:t>
        </x:is>
      </x:c>
      <x:c r="B226" s="38" t="inlineStr">
        <x:is>
          <x:t xml:space="preserve">gr_recovery</x:t>
        </x:is>
      </x:c>
      <x:c r="C226" s="38" t="inlineStr">
        <x:is>
          <x:t xml:space="preserve">C2 - Structural correspondence candidate</x:t>
        </x:is>
      </x:c>
      <x:c r="D226" s="38" t="inlineStr">
        <x:is>
          <x:t xml:space="preserve">3 - Internal formal consistency</x:t>
        </x:is>
      </x:c>
      <x:c r="E226" s="38" t="inlineStr">
        <x:is>
          <x:t xml:space="preserve">SIMPLIFICATION</x:t>
        </x:is>
      </x:c>
      <x:c r="F226" s="38" t="inlineStr">
        <x:is>
          <x:t xml:space="preserve">MEDIUM - definition strength must be audited.</x:t>
        </x:is>
      </x:c>
      <x:c r="G226" s="38" t="inlineStr">
        <x:is>
          <x:t xml:space="preserve">theophysics-lean-main\theophysics-lean-main\Theophysics_Canonization.lean</x:t>
        </x:is>
      </x:c>
      <x:c r="H226" s="38" t="inlineStr">
        <x:is>
          <x:t xml:space="preserve">136</x:t>
        </x:is>
      </x:c>
      <x:c r="I226" s="38" t="inlineStr">
        <x:is>
          <x:t xml:space="preserve">theorem gr_recovery (κ R sqrtNegG L_GR : ℝ) : kappaTerm κ 0 R sqrtNegG = 0 ∧ UnifiedFieldLagrangian L_GR 0 (kappaTerm κ 0 R sqrtNegG) = L_GR</x:t>
        </x:is>
      </x:c>
      <x:c r="J226" s="38" t="inlineStr">
        <x:is>
          <x:t xml:space="preserve">chi=0 implies kappa-term vanishes, total reduces to Einstein-Hilbert (D13.1 DC2)</x:t>
        </x:is>
      </x:c>
      <x:c r="K226" s="38" t="inlineStr">
        <x:is>
          <x:t xml:space="preserve">TODO: list constructors/definitions/candidate restrictions.</x:t>
        </x:is>
      </x:c>
      <x:c r="L226" s="38" t="inlineStr">
        <x:is>
          <x:t xml:space="preserve">TODO: translate exact Lean statement only.</x:t>
        </x:is>
      </x:c>
      <x:c r="M226" s="38" t="inlineStr">
        <x:is>
          <x:t xml:space="preserve">TODO: link Colab/Python artifact or mark not tested.</x:t>
        </x:is>
      </x:c>
      <x:c r="N226" s="38" t="inlineStr">
        <x:is>
          <x:t xml:space="preserve">TODO: link dataset/observation or mark not empirical.</x:t>
        </x:is>
      </x:c>
      <x:c r="O226" s="38" t="inlineStr">
        <x:is>
          <x:t xml:space="preserve">TODO: theological/philosophical interpretation; do not merge with proof.</x:t>
        </x:is>
      </x:c>
      <x:c r="P226" s="38" t="inlineStr">
        <x:is>
          <x:t xml:space="preserve">TODO: formal, dynamical, empirical, or mapping kill condition.</x:t>
        </x:is>
      </x:c>
      <x:c r="Q226" s="39" t="inlineStr">
        <x:is>
          <x:t xml:space="preserve">Downgrade wording or strengthen proof if risk is HIGH; otherwise add evidence links.</x:t>
        </x:is>
      </x:c>
    </x:row>
    <x:row r="227" ht="15" customHeight="1">
      <x:c r="A227" s="37" t="inlineStr">
        <x:is>
          <x:t xml:space="preserve">C9</x:t>
        </x:is>
      </x:c>
      <x:c r="B227" s="38" t="inlineStr">
        <x:is>
          <x:t xml:space="preserve">kappa_screening</x:t>
        </x:is>
      </x:c>
      <x:c r="C227" s="38" t="inlineStr">
        <x:is>
          <x:t xml:space="preserve">C2 - Structural correspondence candidate</x:t>
        </x:is>
      </x:c>
      <x:c r="D227" s="38" t="inlineStr">
        <x:is>
          <x:t xml:space="preserve">3 - Internal formal consistency</x:t>
        </x:is>
      </x:c>
      <x:c r="E227" s="38" t="inlineStr">
        <x:is>
          <x:t xml:space="preserve">SUBSTANTIVE_OR_CASE_PROOF</x:t>
        </x:is>
      </x:c>
      <x:c r="F227" s="38" t="inlineStr">
        <x:is>
          <x:t xml:space="preserve">LOW/MEDIUM - still needs theorem-to-public-claim translation.</x:t>
        </x:is>
      </x:c>
      <x:c r="G227" s="38" t="inlineStr">
        <x:is>
          <x:t xml:space="preserve">theophysics-lean-main\theophysics-lean-main\Theophysics_Canonization.lean</x:t>
        </x:is>
      </x:c>
      <x:c r="H227" s="38" t="inlineStr">
        <x:is>
          <x:t xml:space="preserve">145</x:t>
        </x:is>
      </x:c>
      <x:c r="I227" s="38" t="inlineStr">
        <x:is>
          <x:t xml:space="preserve">theorem kappa_screening (κP s : ℝ) (hκ : 0 &lt; κP) (hs : s &lt; 1) (hs0 : 0 &lt; s) : κP * s &lt; κP</x:t>
        </x:is>
      </x:c>
      <x:c r="J227" s="38" t="inlineStr">
        <x:is>
          <x:t xml:space="preserve">Screened coupling strictly weaker than Planck-scale coupling</x:t>
        </x:is>
      </x:c>
      <x:c r="K227" s="38" t="inlineStr">
        <x:is>
          <x:t xml:space="preserve">TODO: list constructors/definitions/candidate restrictions.</x:t>
        </x:is>
      </x:c>
      <x:c r="L227" s="38" t="inlineStr">
        <x:is>
          <x:t xml:space="preserve">TODO: translate exact Lean statement only.</x:t>
        </x:is>
      </x:c>
      <x:c r="M227" s="38" t="inlineStr">
        <x:is>
          <x:t xml:space="preserve">TODO: link Colab/Python artifact or mark not tested.</x:t>
        </x:is>
      </x:c>
      <x:c r="N227" s="38" t="inlineStr">
        <x:is>
          <x:t xml:space="preserve">TODO: link dataset/observation or mark not empirical.</x:t>
        </x:is>
      </x:c>
      <x:c r="O227" s="38" t="inlineStr">
        <x:is>
          <x:t xml:space="preserve">TODO: theological/philosophical interpretation; do not merge with proof.</x:t>
        </x:is>
      </x:c>
      <x:c r="P227" s="38" t="inlineStr">
        <x:is>
          <x:t xml:space="preserve">TODO: formal, dynamical, empirical, or mapping kill condition.</x:t>
        </x:is>
      </x:c>
      <x:c r="Q227" s="39" t="inlineStr">
        <x:is>
          <x:t xml:space="preserve">Downgrade wording or strengthen proof if risk is HIGH; otherwise add evidence links.</x:t>
        </x:is>
      </x:c>
    </x:row>
    <x:row r="228" ht="15" customHeight="1">
      <x:c r="A228" s="37" t="inlineStr">
        <x:is>
          <x:t xml:space="preserve">C10</x:t>
        </x:is>
      </x:c>
      <x:c r="B228" s="38" t="inlineStr">
        <x:is>
          <x:t xml:space="preserve">veto_G</x:t>
        </x:is>
      </x:c>
      <x:c r="C228" s="38" t="inlineStr">
        <x:is>
          <x:t xml:space="preserve">C5 - Dynamical equivalence candidate</x:t>
        </x:is>
      </x:c>
      <x:c r="D228" s="38" t="inlineStr">
        <x:is>
          <x:t xml:space="preserve">3 - Internal formal consistency; cite underlying theorem</x:t>
        </x:is>
      </x:c>
      <x:c r="E228" s="38" t="inlineStr">
        <x:is>
          <x:t xml:space="preserve">WRAPPER_OR_IMPORTED</x:t>
        </x:is>
      </x:c>
      <x:c r="F228" s="38" t="inlineStr">
        <x:is>
          <x:t xml:space="preserve">MEDIUM - cite underlying theorem, not just wrapper.</x:t>
        </x:is>
      </x:c>
      <x:c r="G228" s="38" t="inlineStr">
        <x:is>
          <x:t xml:space="preserve">theophysics-lean-main\theophysics-lean-main\Theophysics_Canonization.lean</x:t>
        </x:is>
      </x:c>
      <x:c r="H228" s="38" t="inlineStr">
        <x:is>
          <x:t xml:space="preserve">152</x:t>
        </x:is>
      </x:c>
      <x:c r="I228" s="38" t="inlineStr">
        <x:is>
          <x:t xml:space="preserve">theorem veto_G (v : SuperFactors) (h : v.G = 0) : GrandLagrangian v = 0</x:t>
        </x:is>
      </x:c>
      <x:c r="J228" s="38" t="inlineStr">
        <x:is>
          <x:t xml:space="preserve">G=0 collapses the Grand Lagrangian product</x:t>
        </x:is>
      </x:c>
      <x:c r="K228" s="38" t="inlineStr">
        <x:is>
          <x:t xml:space="preserve">TODO: list constructors/definitions/candidate restrictions.</x:t>
        </x:is>
      </x:c>
      <x:c r="L228" s="38" t="inlineStr">
        <x:is>
          <x:t xml:space="preserve">TODO: translate exact Lean statement only.</x:t>
        </x:is>
      </x:c>
      <x:c r="M228" s="38" t="inlineStr">
        <x:is>
          <x:t xml:space="preserve">TODO: link Colab/Python artifact or mark not tested.</x:t>
        </x:is>
      </x:c>
      <x:c r="N228" s="38" t="inlineStr">
        <x:is>
          <x:t xml:space="preserve">TODO: link dataset/observation or mark not empirical.</x:t>
        </x:is>
      </x:c>
      <x:c r="O228" s="38" t="inlineStr">
        <x:is>
          <x:t xml:space="preserve">TODO: theological/philosophical interpretation; do not merge with proof.</x:t>
        </x:is>
      </x:c>
      <x:c r="P228" s="38" t="inlineStr">
        <x:is>
          <x:t xml:space="preserve">TODO: formal, dynamical, empirical, or mapping kill condition.</x:t>
        </x:is>
      </x:c>
      <x:c r="Q228" s="39" t="inlineStr">
        <x:is>
          <x:t xml:space="preserve">Downgrade wording or strengthen proof if risk is HIGH; otherwise add evidence links.</x:t>
        </x:is>
      </x:c>
    </x:row>
    <x:row r="229" ht="15" customHeight="1">
      <x:c r="A229" s="37" t="inlineStr">
        <x:is>
          <x:t xml:space="preserve">C11</x:t>
        </x:is>
      </x:c>
      <x:c r="B229" s="38" t="inlineStr">
        <x:is>
          <x:t xml:space="preserve">veto_Q</x:t>
        </x:is>
      </x:c>
      <x:c r="C229" s="38" t="inlineStr">
        <x:is>
          <x:t xml:space="preserve">C5 - Dynamical equivalence candidate</x:t>
        </x:is>
      </x:c>
      <x:c r="D229" s="38" t="inlineStr">
        <x:is>
          <x:t xml:space="preserve">3 - Internal formal consistency; cite underlying theorem</x:t>
        </x:is>
      </x:c>
      <x:c r="E229" s="38" t="inlineStr">
        <x:is>
          <x:t xml:space="preserve">WRAPPER_OR_IMPORTED</x:t>
        </x:is>
      </x:c>
      <x:c r="F229" s="38" t="inlineStr">
        <x:is>
          <x:t xml:space="preserve">MEDIUM - cite underlying theorem, not just wrapper.</x:t>
        </x:is>
      </x:c>
      <x:c r="G229" s="38" t="inlineStr">
        <x:is>
          <x:t xml:space="preserve">theophysics-lean-main\theophysics-lean-main\Theophysics_Canonization.lean</x:t>
        </x:is>
      </x:c>
      <x:c r="H229" s="38" t="inlineStr">
        <x:is>
          <x:t xml:space="preserve">155</x:t>
        </x:is>
      </x:c>
      <x:c r="I229" s="38" t="inlineStr">
        <x:is>
          <x:t xml:space="preserve">theorem veto_Q (v : SuperFactors) (h : v.Q = 0) : GrandLagrangian v = 0</x:t>
        </x:is>
      </x:c>
      <x:c r="J229" s="38" t="inlineStr">
        <x:is>
          <x:t xml:space="preserve">Q=0 collapses the Grand Lagrangian product</x:t>
        </x:is>
      </x:c>
      <x:c r="K229" s="38" t="inlineStr">
        <x:is>
          <x:t xml:space="preserve">TODO: list constructors/definitions/candidate restrictions.</x:t>
        </x:is>
      </x:c>
      <x:c r="L229" s="38" t="inlineStr">
        <x:is>
          <x:t xml:space="preserve">TODO: translate exact Lean statement only.</x:t>
        </x:is>
      </x:c>
      <x:c r="M229" s="38" t="inlineStr">
        <x:is>
          <x:t xml:space="preserve">TODO: link Colab/Python artifact or mark not tested.</x:t>
        </x:is>
      </x:c>
      <x:c r="N229" s="38" t="inlineStr">
        <x:is>
          <x:t xml:space="preserve">TODO: link dataset/observation or mark not empirical.</x:t>
        </x:is>
      </x:c>
      <x:c r="O229" s="38" t="inlineStr">
        <x:is>
          <x:t xml:space="preserve">TODO: theological/philosophical interpretation; do not merge with proof.</x:t>
        </x:is>
      </x:c>
      <x:c r="P229" s="38" t="inlineStr">
        <x:is>
          <x:t xml:space="preserve">TODO: formal, dynamical, empirical, or mapping kill condition.</x:t>
        </x:is>
      </x:c>
      <x:c r="Q229" s="39" t="inlineStr">
        <x:is>
          <x:t xml:space="preserve">Downgrade wording or strengthen proof if risk is HIGH; otherwise add evidence links.</x:t>
        </x:is>
      </x:c>
    </x:row>
    <x:row r="230" ht="15" customHeight="1">
      <x:c r="A230" s="37" t="inlineStr">
        <x:is>
          <x:t xml:space="preserve">C12</x:t>
        </x:is>
      </x:c>
      <x:c r="B230" s="38" t="inlineStr">
        <x:is>
          <x:t xml:space="preserve">grand_log_additive</x:t>
        </x:is>
      </x:c>
      <x:c r="C230" s="38" t="inlineStr">
        <x:is>
          <x:t xml:space="preserve">C2 - Structural correspondence candidate</x:t>
        </x:is>
      </x:c>
      <x:c r="D230" s="38" t="inlineStr">
        <x:is>
          <x:t xml:space="preserve">3 - Internal formal consistency; cite underlying theorem</x:t>
        </x:is>
      </x:c>
      <x:c r="E230" s="38" t="inlineStr">
        <x:is>
          <x:t xml:space="preserve">WRAPPER_OR_IMPORTED</x:t>
        </x:is>
      </x:c>
      <x:c r="F230" s="38" t="inlineStr">
        <x:is>
          <x:t xml:space="preserve">MEDIUM - cite underlying theorem, not just wrapper.</x:t>
        </x:is>
      </x:c>
      <x:c r="G230" s="38" t="inlineStr">
        <x:is>
          <x:t xml:space="preserve">theophysics-lean-main\theophysics-lean-main\Theophysics_Canonization.lean</x:t>
        </x:is>
      </x:c>
      <x:c r="H230" s="38" t="inlineStr">
        <x:is>
          <x:t xml:space="preserve">159</x:t>
        </x:is>
      </x:c>
      <x:c r="I230" s="38" t="inlineStr">
        <x:is>
          <x:t xml:space="preserve">theorem grand_log_additive (v : SuperFactors) (hG : 0 &lt; v.G) (hM : 0 &lt; v.M) (hE : 0 &lt; v.E) (hS : 0 &lt; v.S) (hT : 0 &lt; v.T) (hK : 0 &lt; v.K) (hR : 0 &lt; v.R) (hQ : 0 &lt; v.Q) (hF : 0 &lt; v.F) : Real.log (GrandLagrangian v) = Real.log v.G + Real.log v.M + Real.log v.E + Real.log v.S + Real.log v.T + Real.log v.K + Real.log v.R + Real.log v.Q + Real.log v.F</x:t>
        </x:is>
      </x:c>
      <x:c r="J230" s="38" t="inlineStr">
        <x:is>
          <x:t xml:space="preserve">log of product = sum of logs (EL tractability), all factors positive</x:t>
        </x:is>
      </x:c>
      <x:c r="K230" s="38" t="inlineStr">
        <x:is>
          <x:t xml:space="preserve">TODO: list constructors/definitions/candidate restrictions.</x:t>
        </x:is>
      </x:c>
      <x:c r="L230" s="38" t="inlineStr">
        <x:is>
          <x:t xml:space="preserve">TODO: translate exact Lean statement only.</x:t>
        </x:is>
      </x:c>
      <x:c r="M230" s="38" t="inlineStr">
        <x:is>
          <x:t xml:space="preserve">TODO: link Colab/Python artifact or mark not tested.</x:t>
        </x:is>
      </x:c>
      <x:c r="N230" s="38" t="inlineStr">
        <x:is>
          <x:t xml:space="preserve">TODO: link dataset/observation or mark not empirical.</x:t>
        </x:is>
      </x:c>
      <x:c r="O230" s="38" t="inlineStr">
        <x:is>
          <x:t xml:space="preserve">TODO: theological/philosophical interpretation; do not merge with proof.</x:t>
        </x:is>
      </x:c>
      <x:c r="P230" s="38" t="inlineStr">
        <x:is>
          <x:t xml:space="preserve">TODO: formal, dynamical, empirical, or mapping kill condition.</x:t>
        </x:is>
      </x:c>
      <x:c r="Q230" s="39" t="inlineStr">
        <x:is>
          <x:t xml:space="preserve">Downgrade wording or strengthen proof if risk is HIGH; otherwise add evidence links.</x:t>
        </x:is>
      </x:c>
    </x:row>
    <x:row r="231" ht="15" customHeight="1">
      <x:c r="A231" s="37" t="inlineStr">
        <x:is>
          <x:t xml:space="preserve">C13</x:t>
        </x:is>
      </x:c>
      <x:c r="B231" s="38" t="inlineStr">
        <x:is>
          <x:t xml:space="preserve">chiRatio_gt_one_iff</x:t>
        </x:is>
      </x:c>
      <x:c r="C231" s="38" t="inlineStr">
        <x:is>
          <x:t xml:space="preserve">C2 - Structural correspondence candidate</x:t>
        </x:is>
      </x:c>
      <x:c r="D231" s="38" t="inlineStr">
        <x:is>
          <x:t xml:space="preserve">3 - Internal formal consistency</x:t>
        </x:is>
      </x:c>
      <x:c r="E231" s="38" t="inlineStr">
        <x:is>
          <x:t xml:space="preserve">SUBSTANTIVE_OR_CASE_PROOF</x:t>
        </x:is>
      </x:c>
      <x:c r="F231" s="38" t="inlineStr">
        <x:is>
          <x:t xml:space="preserve">LOW/MEDIUM - still needs theorem-to-public-claim translation.</x:t>
        </x:is>
      </x:c>
      <x:c r="G231" s="38" t="inlineStr">
        <x:is>
          <x:t xml:space="preserve">theophysics-lean-main\theophysics-lean-main\Theophysics_Canonization.lean</x:t>
        </x:is>
      </x:c>
      <x:c r="H231" s="38" t="inlineStr">
        <x:is>
          <x:t xml:space="preserve">190</x:t>
        </x:is>
      </x:c>
      <x:c r="I231" s="38" t="inlineStr">
        <x:is>
          <x:t xml:space="preserve">theorem chiRatio_gt_one_iff (G S : ℝ) (hS : 0 &lt; S) : 1 &lt; chiRatio G S ↔ S &lt; G</x:t>
        </x:is>
      </x:c>
      <x:c r="J231" s="38" t="inlineStr">
        <x:is>
          <x:t xml:space="preserve">chi_ratio &gt; 1 iff G &gt; S (combat direction)</x:t>
        </x:is>
      </x:c>
      <x:c r="K231" s="38" t="inlineStr">
        <x:is>
          <x:t xml:space="preserve">TODO: list constructors/definitions/candidate restrictions.</x:t>
        </x:is>
      </x:c>
      <x:c r="L231" s="38" t="inlineStr">
        <x:is>
          <x:t xml:space="preserve">TODO: translate exact Lean statement only.</x:t>
        </x:is>
      </x:c>
      <x:c r="M231" s="38" t="inlineStr">
        <x:is>
          <x:t xml:space="preserve">TODO: link Colab/Python artifact or mark not tested.</x:t>
        </x:is>
      </x:c>
      <x:c r="N231" s="38" t="inlineStr">
        <x:is>
          <x:t xml:space="preserve">TODO: link dataset/observation or mark not empirical.</x:t>
        </x:is>
      </x:c>
      <x:c r="O231" s="38" t="inlineStr">
        <x:is>
          <x:t xml:space="preserve">TODO: theological/philosophical interpretation; do not merge with proof.</x:t>
        </x:is>
      </x:c>
      <x:c r="P231" s="38" t="inlineStr">
        <x:is>
          <x:t xml:space="preserve">TODO: formal, dynamical, empirical, or mapping kill condition.</x:t>
        </x:is>
      </x:c>
      <x:c r="Q231" s="39" t="inlineStr">
        <x:is>
          <x:t xml:space="preserve">Downgrade wording or strengthen proof if risk is HIGH; otherwise add evidence links.</x:t>
        </x:is>
      </x:c>
    </x:row>
    <x:row r="232" ht="15" customHeight="1">
      <x:c r="A232" s="37" t="inlineStr">
        <x:is>
          <x:t xml:space="preserve">C14</x:t>
        </x:is>
      </x:c>
      <x:c r="B232" s="38" t="inlineStr">
        <x:is>
          <x:t xml:space="preserve">external_grace_overcomes_deficit</x:t>
        </x:is>
      </x:c>
      <x:c r="C232" s="38" t="inlineStr">
        <x:is>
          <x:t xml:space="preserve">C2 - Structural correspondence candidate</x:t>
        </x:is>
      </x:c>
      <x:c r="D232" s="38" t="inlineStr">
        <x:is>
          <x:t xml:space="preserve">3 - Internal formal consistency</x:t>
        </x:is>
      </x:c>
      <x:c r="E232" s="38" t="inlineStr">
        <x:is>
          <x:t xml:space="preserve">SIMPLIFICATION</x:t>
        </x:is>
      </x:c>
      <x:c r="F232" s="38" t="inlineStr">
        <x:is>
          <x:t xml:space="preserve">MEDIUM - definition strength must be audited.</x:t>
        </x:is>
      </x:c>
      <x:c r="G232" s="38" t="inlineStr">
        <x:is>
          <x:t xml:space="preserve">theophysics-lean-main\theophysics-lean-main\Theophysics_Canonization.lean</x:t>
        </x:is>
      </x:c>
      <x:c r="H232" s="38" t="inlineStr">
        <x:is>
          <x:t xml:space="preserve">198</x:t>
        </x:is>
      </x:c>
      <x:c r="I232" s="38" t="inlineStr">
        <x:is>
          <x:t xml:space="preserve">theorem external_grace_overcomes_deficit (G S Γ : ℝ) (h : S - G &lt; Γ) : 0 &lt; chiRate G S Γ</x:t>
        </x:is>
      </x:c>
      <x:c r="J232" s="38" t="inlineStr">
        <x:is>
          <x:t xml:space="preserve">Gamma &gt; S-G implies coherence increases (BC2 quantitative)</x:t>
        </x:is>
      </x:c>
      <x:c r="K232" s="38" t="inlineStr">
        <x:is>
          <x:t xml:space="preserve">TODO: list constructors/definitions/candidate restrictions.</x:t>
        </x:is>
      </x:c>
      <x:c r="L232" s="38" t="inlineStr">
        <x:is>
          <x:t xml:space="preserve">TODO: translate exact Lean statement only.</x:t>
        </x:is>
      </x:c>
      <x:c r="M232" s="38" t="inlineStr">
        <x:is>
          <x:t xml:space="preserve">TODO: link Colab/Python artifact or mark not tested.</x:t>
        </x:is>
      </x:c>
      <x:c r="N232" s="38" t="inlineStr">
        <x:is>
          <x:t xml:space="preserve">TODO: link dataset/observation or mark not empirical.</x:t>
        </x:is>
      </x:c>
      <x:c r="O232" s="38" t="inlineStr">
        <x:is>
          <x:t xml:space="preserve">TODO: theological/philosophical interpretation; do not merge with proof.</x:t>
        </x:is>
      </x:c>
      <x:c r="P232" s="38" t="inlineStr">
        <x:is>
          <x:t xml:space="preserve">TODO: formal, dynamical, empirical, or mapping kill condition.</x:t>
        </x:is>
      </x:c>
      <x:c r="Q232" s="39" t="inlineStr">
        <x:is>
          <x:t xml:space="preserve">Downgrade wording or strengthen proof if risk is HIGH; otherwise add evidence links.</x:t>
        </x:is>
      </x:c>
    </x:row>
    <x:row r="233" ht="15" customHeight="1">
      <x:c r="A233" s="37" t="inlineStr">
        <x:is>
          <x:t xml:space="preserve">C15</x:t>
        </x:is>
      </x:c>
      <x:c r="B233" s="38" t="inlineStr">
        <x:is>
          <x:t xml:space="preserve">confinement_sample</x:t>
        </x:is>
      </x:c>
      <x:c r="C233" s="38" t="inlineStr">
        <x:is>
          <x:t xml:space="preserve">C2 - Structural correspondence candidate</x:t>
        </x:is>
      </x:c>
      <x:c r="D233" s="38" t="inlineStr">
        <x:is>
          <x:t xml:space="preserve">3 - Internal formal consistency; cite underlying theorem</x:t>
        </x:is>
      </x:c>
      <x:c r="E233" s="38" t="inlineStr">
        <x:is>
          <x:t xml:space="preserve">WRAPPER_OR_IMPORTED</x:t>
        </x:is>
      </x:c>
      <x:c r="F233" s="38" t="inlineStr">
        <x:is>
          <x:t xml:space="preserve">MEDIUM - cite underlying theorem, not just wrapper.</x:t>
        </x:is>
      </x:c>
      <x:c r="G233" s="38" t="inlineStr">
        <x:is>
          <x:t xml:space="preserve">theophysics-lean-main\theophysics-lean-main\Theophysics_Canonization.lean</x:t>
        </x:is>
      </x:c>
      <x:c r="H233" s="38" t="inlineStr">
        <x:is>
          <x:t xml:space="preserve">251</x:t>
        </x:is>
      </x:c>
      <x:c r="I233" s="38" t="inlineStr">
        <x:is>
          <x:t xml:space="preserve">theorem confinement_sample (αs k : ℝ) (_hα : 0 &lt; αs) (_hk : 0 &lt; k) : ∀ r₁ r₂ : ℝ, 0 &lt; r₁ → r₁ &lt; r₂ → cornellPotential αs k r₂ - cornellPotential αs k r₁ = αs * (1 / r₁ - 1 / r₂) + k * (r₂ - r₁)</x:t>
        </x:is>
      </x:c>
      <x:c r="J233" s="38" t="inlineStr">
        <x:is>
          <x:t xml:space="preserve">Cornell potential difference identity (confinement structure)</x:t>
        </x:is>
      </x:c>
      <x:c r="K233" s="38" t="inlineStr">
        <x:is>
          <x:t xml:space="preserve">TODO: list constructors/definitions/candidate restrictions.</x:t>
        </x:is>
      </x:c>
      <x:c r="L233" s="38" t="inlineStr">
        <x:is>
          <x:t xml:space="preserve">TODO: translate exact Lean statement only.</x:t>
        </x:is>
      </x:c>
      <x:c r="M233" s="38" t="inlineStr">
        <x:is>
          <x:t xml:space="preserve">TODO: link Colab/Python artifact or mark not tested.</x:t>
        </x:is>
      </x:c>
      <x:c r="N233" s="38" t="inlineStr">
        <x:is>
          <x:t xml:space="preserve">TODO: link dataset/observation or mark not empirical.</x:t>
        </x:is>
      </x:c>
      <x:c r="O233" s="38" t="inlineStr">
        <x:is>
          <x:t xml:space="preserve">TODO: theological/philosophical interpretation; do not merge with proof.</x:t>
        </x:is>
      </x:c>
      <x:c r="P233" s="38" t="inlineStr">
        <x:is>
          <x:t xml:space="preserve">TODO: formal, dynamical, empirical, or mapping kill condition.</x:t>
        </x:is>
      </x:c>
      <x:c r="Q233" s="39" t="inlineStr">
        <x:is>
          <x:t xml:space="preserve">Downgrade wording or strengthen proof if risk is HIGH; otherwise add evidence links.</x:t>
        </x:is>
      </x:c>
    </x:row>
    <x:row r="234" ht="15" customHeight="1">
      <x:c r="A234" s="37" t="inlineStr">
        <x:is>
          <x:t xml:space="preserve">C16</x:t>
        </x:is>
      </x:c>
      <x:c r="B234" s="38" t="inlineStr">
        <x:is>
          <x:t xml:space="preserve">cross_maximal_mercy_conserved_cost</x:t>
        </x:is>
      </x:c>
      <x:c r="C234" s="38" t="inlineStr">
        <x:is>
          <x:t xml:space="preserve">C2 - Structural correspondence candidate</x:t>
        </x:is>
      </x:c>
      <x:c r="D234" s="38" t="inlineStr">
        <x:is>
          <x:t xml:space="preserve">2 - Defined model / needs inspection</x:t>
        </x:is>
      </x:c>
      <x:c r="E234" s="38" t="inlineStr">
        <x:is>
          <x:t xml:space="preserve">DECLARATION_OR_UNKNOWN</x:t>
        </x:is>
      </x:c>
      <x:c r="F234" s="38" t="inlineStr">
        <x:is>
          <x:t xml:space="preserve">LOW/MEDIUM - still needs theorem-to-public-claim translation.</x:t>
        </x:is>
      </x:c>
      <x:c r="G234" s="38" t="inlineStr">
        <x:is>
          <x:t xml:space="preserve">theophysics-lean-main\theophysics-lean-main\Theophysics_Canonization.lean</x:t>
        </x:is>
      </x:c>
      <x:c r="H234" s="38" t="inlineStr">
        <x:is>
          <x:t xml:space="preserve">277</x:t>
        </x:is>
      </x:c>
      <x:c r="I234" s="38" t="inlineStr">
        <x:is>
          <x:t xml:space="preserve">theorem cross_maximal_mercy_conserved_cost (r : OffenseResolution) (h : r.isCross) : r.perfectMercy ∧ r.cost ≠ 0 := ⟨h.1, h.2.2⟩ /-- Anti-terms of Chain 3. [LEAN_DEFINED] -/ inductive JusticeAntiTerm | vengeance -- α &gt; 1: surplus punishment | enabling -- α = 0 with cost denied rather than transferred deriving DecidableEq, Repr /-- Beatitudes: eight Gibbs-crossing phase transitions. [LEAN_DEFINED] -/ inductive Beatitude | poorInSpirit | mourning | meek | hungerForRighteousness | merciful | pureInHeart | peacemakers | persecuted deriving DecidableEq, Repr /-- CHAIN 4 — ARMOR OF GOD: six coherence-protection mechanisms. [LEAN_DEFINED] -/ inductive ArmorPiece | beltOfTruth | breastplate | shoesOfPeace | shieldOfFaith | helmetOfSalvation | swordOfSpirit deriving DecidableEq, Repr /-- Effective decoherence rate under faith shielding. [LEAN_DEFINED] -/ def shieldedRat</x:t>
        </x:is>
      </x:c>
      <x:c r="J234" s="38" t="inlineStr">
        <x:is>
          <x:t xml:space="preserve">Cross config: mercy maximal AND cost conserved, no contradiction</x:t>
        </x:is>
      </x:c>
      <x:c r="K234" s="38" t="inlineStr">
        <x:is>
          <x:t xml:space="preserve">TODO: list constructors/definitions/candidate restrictions.</x:t>
        </x:is>
      </x:c>
      <x:c r="L234" s="38" t="inlineStr">
        <x:is>
          <x:t xml:space="preserve">TODO: translate exact Lean statement only.</x:t>
        </x:is>
      </x:c>
      <x:c r="M234" s="38" t="inlineStr">
        <x:is>
          <x:t xml:space="preserve">TODO: link Colab/Python artifact or mark not tested.</x:t>
        </x:is>
      </x:c>
      <x:c r="N234" s="38" t="inlineStr">
        <x:is>
          <x:t xml:space="preserve">TODO: link dataset/observation or mark not empirical.</x:t>
        </x:is>
      </x:c>
      <x:c r="O234" s="38" t="inlineStr">
        <x:is>
          <x:t xml:space="preserve">TODO: theological/philosophical interpretation; do not merge with proof.</x:t>
        </x:is>
      </x:c>
      <x:c r="P234" s="38" t="inlineStr">
        <x:is>
          <x:t xml:space="preserve">TODO: formal, dynamical, empirical, or mapping kill condition.</x:t>
        </x:is>
      </x:c>
      <x:c r="Q234" s="39" t="inlineStr">
        <x:is>
          <x:t xml:space="preserve">Downgrade wording or strengthen proof if risk is HIGH; otherwise add evidence links.</x:t>
        </x:is>
      </x:c>
    </x:row>
    <x:row r="235" ht="15" customHeight="1">
      <x:c r="A235" s="37" t="inlineStr">
        <x:is>
          <x:t xml:space="preserve">C17</x:t>
        </x:is>
      </x:c>
      <x:c r="B235" s="38" t="inlineStr">
        <x:is>
          <x:t xml:space="preserve">shield_strictly_reduces</x:t>
        </x:is>
      </x:c>
      <x:c r="C235" s="38" t="inlineStr">
        <x:is>
          <x:t xml:space="preserve">C2 - Structural correspondence candidate</x:t>
        </x:is>
      </x:c>
      <x:c r="D235" s="38" t="inlineStr">
        <x:is>
          <x:t xml:space="preserve">3 - Internal formal consistency; cite underlying theorem</x:t>
        </x:is>
      </x:c>
      <x:c r="E235" s="38" t="inlineStr">
        <x:is>
          <x:t xml:space="preserve">WRAPPER_OR_IMPORTED</x:t>
        </x:is>
      </x:c>
      <x:c r="F235" s="38" t="inlineStr">
        <x:is>
          <x:t xml:space="preserve">MEDIUM - cite underlying theorem, not just wrapper.</x:t>
        </x:is>
      </x:c>
      <x:c r="G235" s="38" t="inlineStr">
        <x:is>
          <x:t xml:space="preserve">theophysics-lean-main\theophysics-lean-main\Theophysics_Canonization.lean</x:t>
        </x:is>
      </x:c>
      <x:c r="H235" s="38" t="inlineStr">
        <x:is>
          <x:t xml:space="preserve">304</x:t>
        </x:is>
      </x:c>
      <x:c r="I235" s="38" t="inlineStr">
        <x:is>
          <x:t xml:space="preserve">theorem shield_strictly_reduces (γ₀ η : ℝ) (hγ : 0 &lt; γ₀) (hη₀ : 0 &lt; η) (hη₁ : η ≤ 1) : shieldedRate γ₀ η &lt; γ₀</x:t>
        </x:is>
      </x:c>
      <x:c r="J235" s="38" t="inlineStr">
        <x:is>
          <x:t xml:space="preserve">Any nonzero shielding strictly reduces decoherence rate</x:t>
        </x:is>
      </x:c>
      <x:c r="K235" s="38" t="inlineStr">
        <x:is>
          <x:t xml:space="preserve">TODO: list constructors/definitions/candidate restrictions.</x:t>
        </x:is>
      </x:c>
      <x:c r="L235" s="38" t="inlineStr">
        <x:is>
          <x:t xml:space="preserve">TODO: translate exact Lean statement only.</x:t>
        </x:is>
      </x:c>
      <x:c r="M235" s="38" t="inlineStr">
        <x:is>
          <x:t xml:space="preserve">TODO: link Colab/Python artifact or mark not tested.</x:t>
        </x:is>
      </x:c>
      <x:c r="N235" s="38" t="inlineStr">
        <x:is>
          <x:t xml:space="preserve">TODO: link dataset/observation or mark not empirical.</x:t>
        </x:is>
      </x:c>
      <x:c r="O235" s="38" t="inlineStr">
        <x:is>
          <x:t xml:space="preserve">TODO: theological/philosophical interpretation; do not merge with proof.</x:t>
        </x:is>
      </x:c>
      <x:c r="P235" s="38" t="inlineStr">
        <x:is>
          <x:t xml:space="preserve">TODO: formal, dynamical, empirical, or mapping kill condition.</x:t>
        </x:is>
      </x:c>
      <x:c r="Q235" s="39" t="inlineStr">
        <x:is>
          <x:t xml:space="preserve">Downgrade wording or strengthen proof if risk is HIGH; otherwise add evidence links.</x:t>
        </x:is>
      </x:c>
    </x:row>
    <x:row r="236" ht="15" customHeight="1">
      <x:c r="A236" s="37" t="inlineStr">
        <x:is>
          <x:t xml:space="preserve">C18</x:t>
        </x:is>
      </x:c>
      <x:c r="B236" s="38" t="inlineStr">
        <x:is>
          <x:t xml:space="preserve">reconciliation_gamma_one</x:t>
        </x:is>
      </x:c>
      <x:c r="C236" s="38" t="inlineStr">
        <x:is>
          <x:t xml:space="preserve">C2 - Structural correspondence candidate</x:t>
        </x:is>
      </x:c>
      <x:c r="D236" s="38" t="inlineStr">
        <x:is>
          <x:t xml:space="preserve">3 - Internal formal consistency</x:t>
        </x:is>
      </x:c>
      <x:c r="E236" s="38" t="inlineStr">
        <x:is>
          <x:t xml:space="preserve">SIMPLIFICATION</x:t>
        </x:is>
      </x:c>
      <x:c r="F236" s="38" t="inlineStr">
        <x:is>
          <x:t xml:space="preserve">MEDIUM - definition strength must be audited.</x:t>
        </x:is>
      </x:c>
      <x:c r="G236" s="38" t="inlineStr">
        <x:is>
          <x:t xml:space="preserve">theophysics-lean-main\theophysics-lean-main\Theophysics_Canonization.lean</x:t>
        </x:is>
      </x:c>
      <x:c r="H236" s="38" t="inlineStr">
        <x:is>
          <x:t xml:space="preserve">340</x:t>
        </x:is>
      </x:c>
      <x:c r="I236" s="38" t="inlineStr">
        <x:is>
          <x:t xml:space="preserve">theorem reconciliation_gamma_one (c : ℝ) (hc : c ≠ 0) : lorentzGamma 0 c = 1</x:t>
        </x:is>
      </x:c>
      <x:c r="J236" s="38" t="inlineStr">
        <x:is>
          <x:t xml:space="preserve">v=0 implies gamma=1: all frame distortion eliminated</x:t>
        </x:is>
      </x:c>
      <x:c r="K236" s="38" t="inlineStr">
        <x:is>
          <x:t xml:space="preserve">TODO: list constructors/definitions/candidate restrictions.</x:t>
        </x:is>
      </x:c>
      <x:c r="L236" s="38" t="inlineStr">
        <x:is>
          <x:t xml:space="preserve">TODO: translate exact Lean statement only.</x:t>
        </x:is>
      </x:c>
      <x:c r="M236" s="38" t="inlineStr">
        <x:is>
          <x:t xml:space="preserve">TODO: link Colab/Python artifact or mark not tested.</x:t>
        </x:is>
      </x:c>
      <x:c r="N236" s="38" t="inlineStr">
        <x:is>
          <x:t xml:space="preserve">TODO: link dataset/observation or mark not empirical.</x:t>
        </x:is>
      </x:c>
      <x:c r="O236" s="38" t="inlineStr">
        <x:is>
          <x:t xml:space="preserve">TODO: theological/philosophical interpretation; do not merge with proof.</x:t>
        </x:is>
      </x:c>
      <x:c r="P236" s="38" t="inlineStr">
        <x:is>
          <x:t xml:space="preserve">TODO: formal, dynamical, empirical, or mapping kill condition.</x:t>
        </x:is>
      </x:c>
      <x:c r="Q236" s="39" t="inlineStr">
        <x:is>
          <x:t xml:space="preserve">Downgrade wording or strengthen proof if risk is HIGH; otherwise add evidence links.</x:t>
        </x:is>
      </x:c>
    </x:row>
    <x:row r="237" ht="15" customHeight="1">
      <x:c r="A237" s="37" t="inlineStr">
        <x:is>
          <x:t xml:space="preserve">C19</x:t>
        </x:is>
      </x:c>
      <x:c r="B237" s="38" t="inlineStr">
        <x:is>
          <x:t xml:space="preserve">conjugate_transfer</x:t>
        </x:is>
      </x:c>
      <x:c r="C237" s="38" t="inlineStr">
        <x:is>
          <x:t xml:space="preserve">C2 - Structural correspondence candidate</x:t>
        </x:is>
      </x:c>
      <x:c r="D237" s="38" t="inlineStr">
        <x:is>
          <x:t xml:space="preserve">3 - Internal formal consistency</x:t>
        </x:is>
      </x:c>
      <x:c r="E237" s="38" t="inlineStr">
        <x:is>
          <x:t xml:space="preserve">SUBSTANTIVE_OR_CASE_PROOF</x:t>
        </x:is>
      </x:c>
      <x:c r="F237" s="38" t="inlineStr">
        <x:is>
          <x:t xml:space="preserve">LOW/MEDIUM - still needs theorem-to-public-claim translation.</x:t>
        </x:is>
      </x:c>
      <x:c r="G237" s="38" t="inlineStr">
        <x:is>
          <x:t xml:space="preserve">theophysics-lean-main\theophysics-lean-main\Theophysics_Canonization.lean</x:t>
        </x:is>
      </x:c>
      <x:c r="H237" s="38" t="inlineStr">
        <x:is>
          <x:t xml:space="preserve">373</x:t>
        </x:is>
      </x:c>
      <x:c r="I237" s="38" t="inlineStr">
        <x:is>
          <x:t xml:space="preserve">theorem conjugate_transfer (dS dG : ℝ) (h : graceSinConjugate dS dG) : dG = -dS</x:t>
        </x:is>
      </x:c>
      <x:c r="J237" s="38" t="inlineStr">
        <x:is>
          <x:t xml:space="preserve">N1 conjugacy: dG = -dS, nothing leaks</x:t>
        </x:is>
      </x:c>
      <x:c r="K237" s="38" t="inlineStr">
        <x:is>
          <x:t xml:space="preserve">TODO: list constructors/definitions/candidate restrictions.</x:t>
        </x:is>
      </x:c>
      <x:c r="L237" s="38" t="inlineStr">
        <x:is>
          <x:t xml:space="preserve">TODO: translate exact Lean statement only.</x:t>
        </x:is>
      </x:c>
      <x:c r="M237" s="38" t="inlineStr">
        <x:is>
          <x:t xml:space="preserve">TODO: link Colab/Python artifact or mark not tested.</x:t>
        </x:is>
      </x:c>
      <x:c r="N237" s="38" t="inlineStr">
        <x:is>
          <x:t xml:space="preserve">TODO: link dataset/observation or mark not empirical.</x:t>
        </x:is>
      </x:c>
      <x:c r="O237" s="38" t="inlineStr">
        <x:is>
          <x:t xml:space="preserve">TODO: theological/philosophical interpretation; do not merge with proof.</x:t>
        </x:is>
      </x:c>
      <x:c r="P237" s="38" t="inlineStr">
        <x:is>
          <x:t xml:space="preserve">TODO: formal, dynamical, empirical, or mapping kill condition.</x:t>
        </x:is>
      </x:c>
      <x:c r="Q237" s="39" t="inlineStr">
        <x:is>
          <x:t xml:space="preserve">Downgrade wording or strengthen proof if risk is HIGH; otherwise add evidence links.</x:t>
        </x:is>
      </x:c>
    </x:row>
    <x:row r="238" ht="15" customHeight="1">
      <x:c r="A238" s="37" t="inlineStr">
        <x:is>
          <x:t xml:space="preserve">C20</x:t>
        </x:is>
      </x:c>
      <x:c r="B238" s="38" t="inlineStr">
        <x:is>
          <x:t xml:space="preserve">cost_cannot_vanish</x:t>
        </x:is>
      </x:c>
      <x:c r="C238" s="38" t="inlineStr">
        <x:is>
          <x:t xml:space="preserve">C2 - Structural correspondence candidate</x:t>
        </x:is>
      </x:c>
      <x:c r="D238" s="38" t="inlineStr">
        <x:is>
          <x:t xml:space="preserve">3 - Internal formal consistency; cite underlying theorem</x:t>
        </x:is>
      </x:c>
      <x:c r="E238" s="38" t="inlineStr">
        <x:is>
          <x:t xml:space="preserve">WRAPPER_OR_IMPORTED</x:t>
        </x:is>
      </x:c>
      <x:c r="F238" s="38" t="inlineStr">
        <x:is>
          <x:t xml:space="preserve">MEDIUM - cite underlying theorem, not just wrapper.</x:t>
        </x:is>
      </x:c>
      <x:c r="G238" s="38" t="inlineStr">
        <x:is>
          <x:t xml:space="preserve">theophysics-lean-main\theophysics-lean-main\Theophysics_Canonization.lean</x:t>
        </x:is>
      </x:c>
      <x:c r="H238" s="38" t="inlineStr">
        <x:is>
          <x:t xml:space="preserve">388</x:t>
        </x:is>
      </x:c>
      <x:c r="I238" s="38" t="inlineStr">
        <x:is>
          <x:t xml:space="preserve">theorem cost_cannot_vanish (b : Brokenness) (h : b.ψ_whole ≠ b.ψ_broken) : b.δ + b.ν_loss ≠ 0</x:t>
        </x:is>
      </x:c>
      <x:c r="J238" s="38" t="inlineStr">
        <x:is>
          <x:t xml:space="preserve">Real offense implies delta+nu_loss nonzero - cost must land somewhere</x:t>
        </x:is>
      </x:c>
      <x:c r="K238" s="38" t="inlineStr">
        <x:is>
          <x:t xml:space="preserve">TODO: list constructors/definitions/candidate restrictions.</x:t>
        </x:is>
      </x:c>
      <x:c r="L238" s="38" t="inlineStr">
        <x:is>
          <x:t xml:space="preserve">TODO: translate exact Lean statement only.</x:t>
        </x:is>
      </x:c>
      <x:c r="M238" s="38" t="inlineStr">
        <x:is>
          <x:t xml:space="preserve">TODO: link Colab/Python artifact or mark not tested.</x:t>
        </x:is>
      </x:c>
      <x:c r="N238" s="38" t="inlineStr">
        <x:is>
          <x:t xml:space="preserve">TODO: link dataset/observation or mark not empirical.</x:t>
        </x:is>
      </x:c>
      <x:c r="O238" s="38" t="inlineStr">
        <x:is>
          <x:t xml:space="preserve">TODO: theological/philosophical interpretation; do not merge with proof.</x:t>
        </x:is>
      </x:c>
      <x:c r="P238" s="38" t="inlineStr">
        <x:is>
          <x:t xml:space="preserve">TODO: formal, dynamical, empirical, or mapping kill condition.</x:t>
        </x:is>
      </x:c>
      <x:c r="Q238" s="39" t="inlineStr">
        <x:is>
          <x:t xml:space="preserve">Downgrade wording or strengthen proof if risk is HIGH; otherwise add evidence links.</x:t>
        </x:is>
      </x:c>
    </x:row>
    <x:row r="239" ht="15" customHeight="1">
      <x:c r="A239" s="37" t="inlineStr">
        <x:is>
          <x:t xml:space="preserve">C21</x:t>
        </x:is>
      </x:c>
      <x:c r="B239" s="38" t="inlineStr">
        <x:is>
          <x:t xml:space="preserve">capacity_mono_in_truth</x:t>
        </x:is>
      </x:c>
      <x:c r="C239" s="38" t="inlineStr">
        <x:is>
          <x:t xml:space="preserve">C2 - Structural correspondence candidate</x:t>
        </x:is>
      </x:c>
      <x:c r="D239" s="38" t="inlineStr">
        <x:is>
          <x:t xml:space="preserve">3 - Internal formal consistency; cite underlying theorem</x:t>
        </x:is>
      </x:c>
      <x:c r="E239" s="38" t="inlineStr">
        <x:is>
          <x:t xml:space="preserve">WRAPPER_OR_IMPORTED</x:t>
        </x:is>
      </x:c>
      <x:c r="F239" s="38" t="inlineStr">
        <x:is>
          <x:t xml:space="preserve">MEDIUM - cite underlying theorem, not just wrapper.</x:t>
        </x:is>
      </x:c>
      <x:c r="G239" s="38" t="inlineStr">
        <x:is>
          <x:t xml:space="preserve">theophysics-lean-main\theophysics-lean-main\Theophysics_Canonization.lean</x:t>
        </x:is>
      </x:c>
      <x:c r="H239" s="38" t="inlineStr">
        <x:is>
          <x:t xml:space="preserve">409</x:t>
        </x:is>
      </x:c>
      <x:c r="I239" s="38" t="inlineStr">
        <x:is>
          <x:t xml:space="preserve">theorem capacity_mono_in_truth (A D T₁ T₂ : ℝ) (hA : 0 &lt; A) (hD : 0 &lt; D) (h : T₁ &lt; T₂) (hT₁ : 0 ≤ T₁) : soulCapacity A T₁ D &lt; soulCapacity A T₂ D</x:t>
        </x:is>
      </x:c>
      <x:c r="J239" s="38" t="inlineStr">
        <x:is>
          <x:t xml:space="preserve">More truth implies strictly more received coherence (Shannon layer)</x:t>
        </x:is>
      </x:c>
      <x:c r="K239" s="38" t="inlineStr">
        <x:is>
          <x:t xml:space="preserve">TODO: list constructors/definitions/candidate restrictions.</x:t>
        </x:is>
      </x:c>
      <x:c r="L239" s="38" t="inlineStr">
        <x:is>
          <x:t xml:space="preserve">TODO: translate exact Lean statement only.</x:t>
        </x:is>
      </x:c>
      <x:c r="M239" s="38" t="inlineStr">
        <x:is>
          <x:t xml:space="preserve">TODO: link Colab/Python artifact or mark not tested.</x:t>
        </x:is>
      </x:c>
      <x:c r="N239" s="38" t="inlineStr">
        <x:is>
          <x:t xml:space="preserve">TODO: link dataset/observation or mark not empirical.</x:t>
        </x:is>
      </x:c>
      <x:c r="O239" s="38" t="inlineStr">
        <x:is>
          <x:t xml:space="preserve">TODO: theological/philosophical interpretation; do not merge with proof.</x:t>
        </x:is>
      </x:c>
      <x:c r="P239" s="38" t="inlineStr">
        <x:is>
          <x:t xml:space="preserve">TODO: formal, dynamical, empirical, or mapping kill condition.</x:t>
        </x:is>
      </x:c>
      <x:c r="Q239" s="39" t="inlineStr">
        <x:is>
          <x:t xml:space="preserve">Downgrade wording or strengthen proof if risk is HIGH; otherwise add evidence links.</x:t>
        </x:is>
      </x:c>
    </x:row>
    <x:row r="240" ht="15" customHeight="1">
      <x:c r="A240" s="37" t="inlineStr">
        <x:is>
          <x:t xml:space="preserve">C22</x:t>
        </x:is>
      </x:c>
      <x:c r="B240" s="38" t="inlineStr">
        <x:is>
          <x:t xml:space="preserve">closed_moral_system_decays</x:t>
        </x:is>
      </x:c>
      <x:c r="C240" s="38" t="inlineStr">
        <x:is>
          <x:t xml:space="preserve">C2 - Structural correspondence candidate</x:t>
        </x:is>
      </x:c>
      <x:c r="D240" s="38" t="inlineStr">
        <x:is>
          <x:t xml:space="preserve">3 - Internal formal consistency</x:t>
        </x:is>
      </x:c>
      <x:c r="E240" s="38" t="inlineStr">
        <x:is>
          <x:t xml:space="preserve">SIMPLIFICATION</x:t>
        </x:is>
      </x:c>
      <x:c r="F240" s="38" t="inlineStr">
        <x:is>
          <x:t xml:space="preserve">MEDIUM - definition strength must be audited.</x:t>
        </x:is>
      </x:c>
      <x:c r="G240" s="38" t="inlineStr">
        <x:is>
          <x:t xml:space="preserve">theophysics-lean-main\theophysics-lean-main\Theophysics_Canonization.lean</x:t>
        </x:is>
      </x:c>
      <x:c r="H240" s="38" t="inlineStr">
        <x:is>
          <x:t xml:space="preserve">436</x:t>
        </x:is>
      </x:c>
      <x:c r="I240" s="38" t="inlineStr">
        <x:is>
          <x:t xml:space="preserve">theorem closed_moral_system_decays (G S C : ℝ) (hS : 0 &lt; S) (hC : 0 &lt; C) : coherenceRate 0 G S C = -(S * C) ∧ coherenceRate 0 G S C &lt; 0</x:t>
        </x:is>
      </x:c>
      <x:c r="J240" s="38" t="inlineStr">
        <x:is>
          <x:t xml:space="preserve">O=0 implies rate = -S*C &lt; 0 (closed-system regime)</x:t>
        </x:is>
      </x:c>
      <x:c r="K240" s="38" t="inlineStr">
        <x:is>
          <x:t xml:space="preserve">TODO: list constructors/definitions/candidate restrictions.</x:t>
        </x:is>
      </x:c>
      <x:c r="L240" s="38" t="inlineStr">
        <x:is>
          <x:t xml:space="preserve">TODO: translate exact Lean statement only.</x:t>
        </x:is>
      </x:c>
      <x:c r="M240" s="38" t="inlineStr">
        <x:is>
          <x:t xml:space="preserve">TODO: link Colab/Python artifact or mark not tested.</x:t>
        </x:is>
      </x:c>
      <x:c r="N240" s="38" t="inlineStr">
        <x:is>
          <x:t xml:space="preserve">TODO: link dataset/observation or mark not empirical.</x:t>
        </x:is>
      </x:c>
      <x:c r="O240" s="38" t="inlineStr">
        <x:is>
          <x:t xml:space="preserve">TODO: theological/philosophical interpretation; do not merge with proof.</x:t>
        </x:is>
      </x:c>
      <x:c r="P240" s="38" t="inlineStr">
        <x:is>
          <x:t xml:space="preserve">TODO: formal, dynamical, empirical, or mapping kill condition.</x:t>
        </x:is>
      </x:c>
      <x:c r="Q240" s="39" t="inlineStr">
        <x:is>
          <x:t xml:space="preserve">Downgrade wording or strengthen proof if risk is HIGH; otherwise add evidence links.</x:t>
        </x:is>
      </x:c>
    </x:row>
    <x:row r="241" ht="15" customHeight="1">
      <x:c r="A241" s="37" t="inlineStr">
        <x:is>
          <x:t xml:space="preserve">C23</x:t>
        </x:is>
      </x:c>
      <x:c r="B241" s="38" t="inlineStr">
        <x:is>
          <x:t xml:space="preserve">closed_system_equilibrium_zero</x:t>
        </x:is>
      </x:c>
      <x:c r="C241" s="38" t="inlineStr">
        <x:is>
          <x:t xml:space="preserve">C5 - Dynamical equivalence candidate</x:t>
        </x:is>
      </x:c>
      <x:c r="D241" s="38" t="inlineStr">
        <x:is>
          <x:t xml:space="preserve">3 - Internal formal consistency</x:t>
        </x:is>
      </x:c>
      <x:c r="E241" s="38" t="inlineStr">
        <x:is>
          <x:t xml:space="preserve">SIMPLIFICATION</x:t>
        </x:is>
      </x:c>
      <x:c r="F241" s="38" t="inlineStr">
        <x:is>
          <x:t xml:space="preserve">MEDIUM - definition strength must be audited.</x:t>
        </x:is>
      </x:c>
      <x:c r="G241" s="38" t="inlineStr">
        <x:is>
          <x:t xml:space="preserve">theophysics-lean-main\theophysics-lean-main\Theophysics_Canonization.lean</x:t>
        </x:is>
      </x:c>
      <x:c r="H241" s="38" t="inlineStr">
        <x:is>
          <x:t xml:space="preserve">446</x:t>
        </x:is>
      </x:c>
      <x:c r="I241" s="38" t="inlineStr">
        <x:is>
          <x:t xml:space="preserve">theorem closed_system_equilibrium_zero (S : ℝ) (hS : S ≠ 0) : equilibriumC 0 S = 0</x:t>
        </x:is>
      </x:c>
      <x:c r="J241" s="38" t="inlineStr">
        <x:is>
          <x:t xml:space="preserve">O=0 implies C* = 0</x:t>
        </x:is>
      </x:c>
      <x:c r="K241" s="38" t="inlineStr">
        <x:is>
          <x:t xml:space="preserve">TODO: list constructors/definitions/candidate restrictions.</x:t>
        </x:is>
      </x:c>
      <x:c r="L241" s="38" t="inlineStr">
        <x:is>
          <x:t xml:space="preserve">TODO: translate exact Lean statement only.</x:t>
        </x:is>
      </x:c>
      <x:c r="M241" s="38" t="inlineStr">
        <x:is>
          <x:t xml:space="preserve">TODO: link Colab/Python artifact or mark not tested.</x:t>
        </x:is>
      </x:c>
      <x:c r="N241" s="38" t="inlineStr">
        <x:is>
          <x:t xml:space="preserve">TODO: link dataset/observation or mark not empirical.</x:t>
        </x:is>
      </x:c>
      <x:c r="O241" s="38" t="inlineStr">
        <x:is>
          <x:t xml:space="preserve">TODO: theological/philosophical interpretation; do not merge with proof.</x:t>
        </x:is>
      </x:c>
      <x:c r="P241" s="38" t="inlineStr">
        <x:is>
          <x:t xml:space="preserve">TODO: formal, dynamical, empirical, or mapping kill condition.</x:t>
        </x:is>
      </x:c>
      <x:c r="Q241" s="39" t="inlineStr">
        <x:is>
          <x:t xml:space="preserve">Downgrade wording or strengthen proof if risk is HIGH; otherwise add evidence links.</x:t>
        </x:is>
      </x:c>
    </x:row>
    <x:row r="242" ht="15" customHeight="1">
      <x:c r="A242" s="37" t="inlineStr">
        <x:is>
          <x:t xml:space="preserve">C24</x:t>
        </x:is>
      </x:c>
      <x:c r="B242" s="38" t="inlineStr">
        <x:is>
          <x:t xml:space="preserve">finite_ordering_source_cannot_perfect_coherence</x:t>
        </x:is>
      </x:c>
      <x:c r="C242" s="38" t="inlineStr">
        <x:is>
          <x:t xml:space="preserve">C2 - Structural correspondence candidate</x:t>
        </x:is>
      </x:c>
      <x:c r="D242" s="38" t="inlineStr">
        <x:is>
          <x:t xml:space="preserve">3 - Internal formal consistency</x:t>
        </x:is>
      </x:c>
      <x:c r="E242" s="38" t="inlineStr">
        <x:is>
          <x:t xml:space="preserve">SUBSTANTIVE_OR_CASE_PROOF</x:t>
        </x:is>
      </x:c>
      <x:c r="F242" s="38" t="inlineStr">
        <x:is>
          <x:t xml:space="preserve">LOW/MEDIUM - still needs theorem-to-public-claim translation.</x:t>
        </x:is>
      </x:c>
      <x:c r="G242" s="38" t="inlineStr">
        <x:is>
          <x:t xml:space="preserve">theophysics-lean-main\theophysics-lean-main\Theophysics_Canonization.lean</x:t>
        </x:is>
      </x:c>
      <x:c r="H242" s="38" t="inlineStr">
        <x:is>
          <x:t xml:space="preserve">452</x:t>
        </x:is>
      </x:c>
      <x:c r="I242" s="38" t="inlineStr">
        <x:is>
          <x:t xml:space="preserve">theorem finite_ordering_source_cannot_perfect_coherence (Λ S : ℝ) (hΛ : 0 ≤ Λ) (hS : 0 &lt; S) : equilibriumC Λ S &lt; 1</x:t>
        </x:is>
      </x:c>
      <x:c r="J242" s="38" t="inlineStr">
        <x:is>
          <x:t xml:space="preserve">Finite Lambda, S&gt;0 implies C* &lt; 1 - bounded ceilings</x:t>
        </x:is>
      </x:c>
      <x:c r="K242" s="38" t="inlineStr">
        <x:is>
          <x:t xml:space="preserve">TODO: list constructors/definitions/candidate restrictions.</x:t>
        </x:is>
      </x:c>
      <x:c r="L242" s="38" t="inlineStr">
        <x:is>
          <x:t xml:space="preserve">TODO: translate exact Lean statement only.</x:t>
        </x:is>
      </x:c>
      <x:c r="M242" s="38" t="inlineStr">
        <x:is>
          <x:t xml:space="preserve">TODO: link Colab/Python artifact or mark not tested.</x:t>
        </x:is>
      </x:c>
      <x:c r="N242" s="38" t="inlineStr">
        <x:is>
          <x:t xml:space="preserve">TODO: link dataset/observation or mark not empirical.</x:t>
        </x:is>
      </x:c>
      <x:c r="O242" s="38" t="inlineStr">
        <x:is>
          <x:t xml:space="preserve">TODO: theological/philosophical interpretation; do not merge with proof.</x:t>
        </x:is>
      </x:c>
      <x:c r="P242" s="38" t="inlineStr">
        <x:is>
          <x:t xml:space="preserve">TODO: formal, dynamical, empirical, or mapping kill condition.</x:t>
        </x:is>
      </x:c>
      <x:c r="Q242" s="39" t="inlineStr">
        <x:is>
          <x:t xml:space="preserve">Downgrade wording or strengthen proof if risk is HIGH; otherwise add evidence links.</x:t>
        </x:is>
      </x:c>
    </x:row>
    <x:row r="243" ht="15" customHeight="1">
      <x:c r="A243" s="37" t="inlineStr">
        <x:is>
          <x:t xml:space="preserve">C25</x:t>
        </x:is>
      </x:c>
      <x:c r="B243" s="38" t="inlineStr">
        <x:is>
          <x:t xml:space="preserve">finite_source_raises_floor</x:t>
        </x:is>
      </x:c>
      <x:c r="C243" s="38" t="inlineStr">
        <x:is>
          <x:t xml:space="preserve">C2 - Structural correspondence candidate</x:t>
        </x:is>
      </x:c>
      <x:c r="D243" s="38" t="inlineStr">
        <x:is>
          <x:t xml:space="preserve">3 - Internal formal consistency</x:t>
        </x:is>
      </x:c>
      <x:c r="E243" s="38" t="inlineStr">
        <x:is>
          <x:t xml:space="preserve">SUBSTANTIVE_OR_CASE_PROOF</x:t>
        </x:is>
      </x:c>
      <x:c r="F243" s="38" t="inlineStr">
        <x:is>
          <x:t xml:space="preserve">LOW/MEDIUM - still needs theorem-to-public-claim translation.</x:t>
        </x:is>
      </x:c>
      <x:c r="G243" s="38" t="inlineStr">
        <x:is>
          <x:t xml:space="preserve">theophysics-lean-main\theophysics-lean-main\Theophysics_Canonization.lean</x:t>
        </x:is>
      </x:c>
      <x:c r="H243" s="38" t="inlineStr">
        <x:is>
          <x:t xml:space="preserve">461</x:t>
        </x:is>
      </x:c>
      <x:c r="I243" s="38" t="inlineStr">
        <x:is>
          <x:t xml:space="preserve">theorem finite_source_raises_floor (Λ S : ℝ) (hΛ : 0 &lt; Λ) (hS : 0 &lt; S) : 0 &lt; equilibriumC Λ S</x:t>
        </x:is>
      </x:c>
      <x:c r="J243" s="38" t="inlineStr">
        <x:is>
          <x:t xml:space="preserve">Lambda&gt;0 implies C* &gt; 0 - finite grace is real grace</x:t>
        </x:is>
      </x:c>
      <x:c r="K243" s="38" t="inlineStr">
        <x:is>
          <x:t xml:space="preserve">TODO: list constructors/definitions/candidate restrictions.</x:t>
        </x:is>
      </x:c>
      <x:c r="L243" s="38" t="inlineStr">
        <x:is>
          <x:t xml:space="preserve">TODO: translate exact Lean statement only.</x:t>
        </x:is>
      </x:c>
      <x:c r="M243" s="38" t="inlineStr">
        <x:is>
          <x:t xml:space="preserve">TODO: link Colab/Python artifact or mark not tested.</x:t>
        </x:is>
      </x:c>
      <x:c r="N243" s="38" t="inlineStr">
        <x:is>
          <x:t xml:space="preserve">TODO: link dataset/observation or mark not empirical.</x:t>
        </x:is>
      </x:c>
      <x:c r="O243" s="38" t="inlineStr">
        <x:is>
          <x:t xml:space="preserve">TODO: theological/philosophical interpretation; do not merge with proof.</x:t>
        </x:is>
      </x:c>
      <x:c r="P243" s="38" t="inlineStr">
        <x:is>
          <x:t xml:space="preserve">TODO: formal, dynamical, empirical, or mapping kill condition.</x:t>
        </x:is>
      </x:c>
      <x:c r="Q243" s="39" t="inlineStr">
        <x:is>
          <x:t xml:space="preserve">Downgrade wording or strengthen proof if risk is HIGH; otherwise add evidence links.</x:t>
        </x:is>
      </x:c>
    </x:row>
    <x:row r="244" ht="15" customHeight="1">
      <x:c r="A244" s="37" t="inlineStr">
        <x:is>
          <x:t xml:space="preserve">C26</x:t>
        </x:is>
      </x:c>
      <x:c r="B244" s="38" t="inlineStr">
        <x:is>
          <x:t xml:space="preserve">nonzero_coupling_to_infinite_source_has_perfect_attractor</x:t>
        </x:is>
      </x:c>
      <x:c r="C244" s="38" t="inlineStr">
        <x:is>
          <x:t xml:space="preserve">C2 - Structural correspondence candidate</x:t>
        </x:is>
      </x:c>
      <x:c r="D244" s="38" t="inlineStr">
        <x:is>
          <x:t xml:space="preserve">3 - Internal formal consistency</x:t>
        </x:is>
      </x:c>
      <x:c r="E244" s="38" t="inlineStr">
        <x:is>
          <x:t xml:space="preserve">SUBSTANTIVE_OR_CASE_PROOF</x:t>
        </x:is>
      </x:c>
      <x:c r="F244" s="38" t="inlineStr">
        <x:is>
          <x:t xml:space="preserve">LOW/MEDIUM - still needs theorem-to-public-claim translation.</x:t>
        </x:is>
      </x:c>
      <x:c r="G244" s="38" t="inlineStr">
        <x:is>
          <x:t xml:space="preserve">theophysics-lean-main\theophysics-lean-main\Theophysics_Canonization.lean</x:t>
        </x:is>
      </x:c>
      <x:c r="H244" s="38" t="inlineStr">
        <x:is>
          <x:t xml:space="preserve">468</x:t>
        </x:is>
      </x:c>
      <x:c r="I244" s="38" t="inlineStr">
        <x:is>
          <x:t xml:space="preserve">theorem nonzero_coupling_to_infinite_source_has_perfect_attractor (S ε : ℝ) (hS : 0 &lt; S) (hε : 0 &lt; ε) : ∃ Λ₀ : ℝ, 0 &lt; Λ₀ ∧ ∀ Λ : ℝ, Λ₀ ≤ Λ → 1 - ε &lt; equilibriumC Λ S</x:t>
        </x:is>
      </x:c>
      <x:c r="J244" s="38" t="inlineStr">
        <x:is>
          <x:t xml:space="preserve">Epsilon-form: for all eps exists Lambda0, Lambda&gt;=Lambda0 implies C* &gt; 1-eps</x:t>
        </x:is>
      </x:c>
      <x:c r="K244" s="38" t="inlineStr">
        <x:is>
          <x:t xml:space="preserve">TODO: list constructors/definitions/candidate restrictions.</x:t>
        </x:is>
      </x:c>
      <x:c r="L244" s="38" t="inlineStr">
        <x:is>
          <x:t xml:space="preserve">TODO: translate exact Lean statement only.</x:t>
        </x:is>
      </x:c>
      <x:c r="M244" s="38" t="inlineStr">
        <x:is>
          <x:t xml:space="preserve">TODO: link Colab/Python artifact or mark not tested.</x:t>
        </x:is>
      </x:c>
      <x:c r="N244" s="38" t="inlineStr">
        <x:is>
          <x:t xml:space="preserve">TODO: link dataset/observation or mark not empirical.</x:t>
        </x:is>
      </x:c>
      <x:c r="O244" s="38" t="inlineStr">
        <x:is>
          <x:t xml:space="preserve">TODO: theological/philosophical interpretation; do not merge with proof.</x:t>
        </x:is>
      </x:c>
      <x:c r="P244" s="38" t="inlineStr">
        <x:is>
          <x:t xml:space="preserve">TODO: formal, dynamical, empirical, or mapping kill condition.</x:t>
        </x:is>
      </x:c>
      <x:c r="Q244" s="39" t="inlineStr">
        <x:is>
          <x:t xml:space="preserve">Downgrade wording or strengthen proof if risk is HIGH; otherwise add evidence links.</x:t>
        </x:is>
      </x:c>
    </x:row>
    <x:row r="245" ht="15" customHeight="1">
      <x:c r="A245" s="37" t="inlineStr">
        <x:is>
          <x:t xml:space="preserve">C27</x:t>
        </x:is>
      </x:c>
      <x:c r="B245" s="38" t="inlineStr">
        <x:is>
          <x:t xml:space="preserve">mustard_seed</x:t>
        </x:is>
      </x:c>
      <x:c r="C245" s="38" t="inlineStr">
        <x:is>
          <x:t xml:space="preserve">C2 - Structural correspondence candidate</x:t>
        </x:is>
      </x:c>
      <x:c r="D245" s="38" t="inlineStr">
        <x:is>
          <x:t xml:space="preserve">3 - Internal formal consistency; cite underlying theorem</x:t>
        </x:is>
      </x:c>
      <x:c r="E245" s="38" t="inlineStr">
        <x:is>
          <x:t xml:space="preserve">WRAPPER_OR_IMPORTED</x:t>
        </x:is>
      </x:c>
      <x:c r="F245" s="38" t="inlineStr">
        <x:is>
          <x:t xml:space="preserve">MEDIUM - cite underlying theorem, not just wrapper.</x:t>
        </x:is>
      </x:c>
      <x:c r="G245" s="38" t="inlineStr">
        <x:is>
          <x:t xml:space="preserve">theophysics-lean-main\theophysics-lean-main\Theophysics_Canonization.lean</x:t>
        </x:is>
      </x:c>
      <x:c r="H245" s="38" t="inlineStr">
        <x:is>
          <x:t xml:space="preserve">483</x:t>
        </x:is>
      </x:c>
      <x:c r="I245" s="38" t="inlineStr">
        <x:is>
          <x:t xml:space="preserve">theorem mustard_seed (O Λ₀ : ℝ) (hO : 0 &lt; O) (hΛ₀ : 0 &lt; Λ₀) : ∃ G : ℝ, 0 &lt; G ∧ Λ₀ ≤ O * G</x:t>
        </x:is>
      </x:c>
      <x:c r="J245" s="38" t="inlineStr">
        <x:is>
          <x:t xml:space="preserve">Any O&gt;0 exceeds every finite threshold for large G; magnitude irrelevant</x:t>
        </x:is>
      </x:c>
      <x:c r="K245" s="38" t="inlineStr">
        <x:is>
          <x:t xml:space="preserve">TODO: list constructors/definitions/candidate restrictions.</x:t>
        </x:is>
      </x:c>
      <x:c r="L245" s="38" t="inlineStr">
        <x:is>
          <x:t xml:space="preserve">TODO: translate exact Lean statement only.</x:t>
        </x:is>
      </x:c>
      <x:c r="M245" s="38" t="inlineStr">
        <x:is>
          <x:t xml:space="preserve">TODO: link Colab/Python artifact or mark not tested.</x:t>
        </x:is>
      </x:c>
      <x:c r="N245" s="38" t="inlineStr">
        <x:is>
          <x:t xml:space="preserve">TODO: link dataset/observation or mark not empirical.</x:t>
        </x:is>
      </x:c>
      <x:c r="O245" s="38" t="inlineStr">
        <x:is>
          <x:t xml:space="preserve">TODO: theological/philosophical interpretation; do not merge with proof.</x:t>
        </x:is>
      </x:c>
      <x:c r="P245" s="38" t="inlineStr">
        <x:is>
          <x:t xml:space="preserve">TODO: formal, dynamical, empirical, or mapping kill condition.</x:t>
        </x:is>
      </x:c>
      <x:c r="Q245" s="39" t="inlineStr">
        <x:is>
          <x:t xml:space="preserve">Downgrade wording or strengthen proof if risk is HIGH; otherwise add evidence links.</x:t>
        </x:is>
      </x:c>
    </x:row>
    <x:row r="246" ht="15" customHeight="1">
      <x:c r="A246" s="37" t="inlineStr">
        <x:is>
          <x:t xml:space="preserve">C28</x:t>
        </x:is>
      </x:c>
      <x:c r="B246" s="38" t="inlineStr">
        <x:is>
          <x:t xml:space="preserve">zero_openness_never_couples</x:t>
        </x:is>
      </x:c>
      <x:c r="C246" s="38" t="inlineStr">
        <x:is>
          <x:t xml:space="preserve">C2 - Structural correspondence candidate</x:t>
        </x:is>
      </x:c>
      <x:c r="D246" s="38" t="inlineStr">
        <x:is>
          <x:t xml:space="preserve">2 - Defined model / needs inspection</x:t>
        </x:is>
      </x:c>
      <x:c r="E246" s="38" t="inlineStr">
        <x:is>
          <x:t xml:space="preserve">DECLARATION_OR_UNKNOWN</x:t>
        </x:is>
      </x:c>
      <x:c r="F246" s="38" t="inlineStr">
        <x:is>
          <x:t xml:space="preserve">LOW/MEDIUM - still needs theorem-to-public-claim translation.</x:t>
        </x:is>
      </x:c>
      <x:c r="G246" s="38" t="inlineStr">
        <x:is>
          <x:t xml:space="preserve">theophysics-lean-main\theophysics-lean-main\Theophysics_Canonization.lean</x:t>
        </x:is>
      </x:c>
      <x:c r="H246" s="38" t="inlineStr">
        <x:is>
          <x:t xml:space="preserve">489</x:t>
        </x:is>
      </x:c>
      <x:c r="I246" s="38" t="inlineStr">
        <x:is>
          <x:t xml:space="preserve">theorem zero_openness_never_couples (G : ℝ) : (0:ℝ) * G = 0 := zero_mul G /-- THEOREM: faith_is_coupling_not_source — the dynamics depend on O and G only through O·G; faith gates, grace powers. [LEAN_PROVEN] -/</x:t>
        </x:is>
      </x:c>
      <x:c r="J246" s="38" t="inlineStr">
        <x:is>
          <x:t xml:space="preserve">O=0 implies Lambda=0 identically</x:t>
        </x:is>
      </x:c>
      <x:c r="K246" s="38" t="inlineStr">
        <x:is>
          <x:t xml:space="preserve">TODO: list constructors/definitions/candidate restrictions.</x:t>
        </x:is>
      </x:c>
      <x:c r="L246" s="38" t="inlineStr">
        <x:is>
          <x:t xml:space="preserve">TODO: translate exact Lean statement only.</x:t>
        </x:is>
      </x:c>
      <x:c r="M246" s="38" t="inlineStr">
        <x:is>
          <x:t xml:space="preserve">TODO: link Colab/Python artifact or mark not tested.</x:t>
        </x:is>
      </x:c>
      <x:c r="N246" s="38" t="inlineStr">
        <x:is>
          <x:t xml:space="preserve">TODO: link dataset/observation or mark not empirical.</x:t>
        </x:is>
      </x:c>
      <x:c r="O246" s="38" t="inlineStr">
        <x:is>
          <x:t xml:space="preserve">TODO: theological/philosophical interpretation; do not merge with proof.</x:t>
        </x:is>
      </x:c>
      <x:c r="P246" s="38" t="inlineStr">
        <x:is>
          <x:t xml:space="preserve">TODO: formal, dynamical, empirical, or mapping kill condition.</x:t>
        </x:is>
      </x:c>
      <x:c r="Q246" s="39" t="inlineStr">
        <x:is>
          <x:t xml:space="preserve">Downgrade wording or strengthen proof if risk is HIGH; otherwise add evidence links.</x:t>
        </x:is>
      </x:c>
    </x:row>
    <x:row r="247" ht="15" customHeight="1">
      <x:c r="A247" s="37" t="inlineStr">
        <x:is>
          <x:t xml:space="preserve">C29</x:t>
        </x:is>
      </x:c>
      <x:c r="B247" s="38" t="inlineStr">
        <x:is>
          <x:t xml:space="preserve">faith_is_coupling_not_source</x:t>
        </x:is>
      </x:c>
      <x:c r="C247" s="38" t="inlineStr">
        <x:is>
          <x:t xml:space="preserve">C5 - Dynamical equivalence candidate</x:t>
        </x:is>
      </x:c>
      <x:c r="D247" s="38" t="inlineStr">
        <x:is>
          <x:t xml:space="preserve">3 - Internal formal consistency</x:t>
        </x:is>
      </x:c>
      <x:c r="E247" s="38" t="inlineStr">
        <x:is>
          <x:t xml:space="preserve">SUBSTANTIVE_OR_CASE_PROOF</x:t>
        </x:is>
      </x:c>
      <x:c r="F247" s="38" t="inlineStr">
        <x:is>
          <x:t xml:space="preserve">LOW/MEDIUM - still needs theorem-to-public-claim translation.</x:t>
        </x:is>
      </x:c>
      <x:c r="G247" s="38" t="inlineStr">
        <x:is>
          <x:t xml:space="preserve">theophysics-lean-main\theophysics-lean-main\Theophysics_Canonization.lean</x:t>
        </x:is>
      </x:c>
      <x:c r="H247" s="38" t="inlineStr">
        <x:is>
          <x:t xml:space="preserve">493</x:t>
        </x:is>
      </x:c>
      <x:c r="I247" s="38" t="inlineStr">
        <x:is>
          <x:t xml:space="preserve">theorem faith_is_coupling_not_source (O G S C k : ℝ) (hk : k ≠ 0) : coherenceRate (k * O) (G / k) S C = coherenceRate O G S C</x:t>
        </x:is>
      </x:c>
      <x:c r="J247" s="38" t="inlineStr">
        <x:is>
          <x:t xml:space="preserve">Dynamics depend on O*G only - faith gates, grace powers</x:t>
        </x:is>
      </x:c>
      <x:c r="K247" s="38" t="inlineStr">
        <x:is>
          <x:t xml:space="preserve">TODO: list constructors/definitions/candidate restrictions.</x:t>
        </x:is>
      </x:c>
      <x:c r="L247" s="38" t="inlineStr">
        <x:is>
          <x:t xml:space="preserve">TODO: translate exact Lean statement only.</x:t>
        </x:is>
      </x:c>
      <x:c r="M247" s="38" t="inlineStr">
        <x:is>
          <x:t xml:space="preserve">TODO: link Colab/Python artifact or mark not tested.</x:t>
        </x:is>
      </x:c>
      <x:c r="N247" s="38" t="inlineStr">
        <x:is>
          <x:t xml:space="preserve">TODO: link dataset/observation or mark not empirical.</x:t>
        </x:is>
      </x:c>
      <x:c r="O247" s="38" t="inlineStr">
        <x:is>
          <x:t xml:space="preserve">TODO: theological/philosophical interpretation; do not merge with proof.</x:t>
        </x:is>
      </x:c>
      <x:c r="P247" s="38" t="inlineStr">
        <x:is>
          <x:t xml:space="preserve">TODO: formal, dynamical, empirical, or mapping kill condition.</x:t>
        </x:is>
      </x:c>
      <x:c r="Q247" s="39" t="inlineStr">
        <x:is>
          <x:t xml:space="preserve">Downgrade wording or strengthen proof if risk is HIGH; otherwise add evidence links.</x:t>
        </x:is>
      </x:c>
    </x:row>
    <x:row r="248" ht="15" customHeight="1">
      <x:c r="A248" s="37" t="inlineStr">
        <x:is>
          <x:t xml:space="preserve">C30</x:t>
        </x:is>
      </x:c>
      <x:c r="B248" s="38" t="inlineStr">
        <x:is>
          <x:t xml:space="preserve">christ_profile_is_stationary</x:t>
        </x:is>
      </x:c>
      <x:c r="C248" s="38" t="inlineStr">
        <x:is>
          <x:t xml:space="preserve">C2 - Structural correspondence candidate</x:t>
        </x:is>
      </x:c>
      <x:c r="D248" s="38" t="inlineStr">
        <x:is>
          <x:t xml:space="preserve">3 - Internal formal consistency</x:t>
        </x:is>
      </x:c>
      <x:c r="E248" s="38" t="inlineStr">
        <x:is>
          <x:t xml:space="preserve">SUBSTANTIVE_OR_CASE_PROOF</x:t>
        </x:is>
      </x:c>
      <x:c r="F248" s="38" t="inlineStr">
        <x:is>
          <x:t xml:space="preserve">LOW/MEDIUM - still needs theorem-to-public-claim translation.</x:t>
        </x:is>
      </x:c>
      <x:c r="G248" s="38" t="inlineStr">
        <x:is>
          <x:t xml:space="preserve">theophysics-lean-main\theophysics-lean-main\Theophysics_Canonization.lean</x:t>
        </x:is>
      </x:c>
      <x:c r="H248" s="38" t="inlineStr">
        <x:is>
          <x:t xml:space="preserve">511</x:t>
        </x:is>
      </x:c>
      <x:c r="I248" s="38" t="inlineStr">
        <x:is>
          <x:t xml:space="preserve">theorem christ_profile_is_stationary (p : FixedPointProfile) (G : ℝ) : coherenceRate p.O G p.S_personal p.C = 0</x:t>
        </x:is>
      </x:c>
      <x:c r="J248" s="38" t="inlineStr">
        <x:is>
          <x:t xml:space="preserve">C=1, S=0 implies rate = 0 for every grace flux (fixed point)</x:t>
        </x:is>
      </x:c>
      <x:c r="K248" s="38" t="inlineStr">
        <x:is>
          <x:t xml:space="preserve">TODO: list constructors/definitions/candidate restrictions.</x:t>
        </x:is>
      </x:c>
      <x:c r="L248" s="38" t="inlineStr">
        <x:is>
          <x:t xml:space="preserve">TODO: translate exact Lean statement only.</x:t>
        </x:is>
      </x:c>
      <x:c r="M248" s="38" t="inlineStr">
        <x:is>
          <x:t xml:space="preserve">TODO: link Colab/Python artifact or mark not tested.</x:t>
        </x:is>
      </x:c>
      <x:c r="N248" s="38" t="inlineStr">
        <x:is>
          <x:t xml:space="preserve">TODO: link dataset/observation or mark not empirical.</x:t>
        </x:is>
      </x:c>
      <x:c r="O248" s="38" t="inlineStr">
        <x:is>
          <x:t xml:space="preserve">TODO: theological/philosophical interpretation; do not merge with proof.</x:t>
        </x:is>
      </x:c>
      <x:c r="P248" s="38" t="inlineStr">
        <x:is>
          <x:t xml:space="preserve">TODO: formal, dynamical, empirical, or mapping kill condition.</x:t>
        </x:is>
      </x:c>
      <x:c r="Q248" s="39" t="inlineStr">
        <x:is>
          <x:t xml:space="preserve">Downgrade wording or strengthen proof if risk is HIGH; otherwise add evidence links.</x:t>
        </x:is>
      </x:c>
    </x:row>
    <x:row r="249" ht="15" customHeight="1">
      <x:c r="A249" s="37" t="inlineStr">
        <x:is>
          <x:t xml:space="preserve">C31</x:t>
        </x:is>
      </x:c>
      <x:c r="B249" s="38" t="inlineStr">
        <x:is>
          <x:t xml:space="preserve">fixed_point_is_transferable</x:t>
        </x:is>
      </x:c>
      <x:c r="C249" s="38" t="inlineStr">
        <x:is>
          <x:t xml:space="preserve">C2 - Structural correspondence candidate</x:t>
        </x:is>
      </x:c>
      <x:c r="D249" s="38" t="inlineStr">
        <x:is>
          <x:t xml:space="preserve">3 - Internal formal consistency</x:t>
        </x:is>
      </x:c>
      <x:c r="E249" s="38" t="inlineStr">
        <x:is>
          <x:t xml:space="preserve">SUBSTANTIVE_OR_CASE_PROOF</x:t>
        </x:is>
      </x:c>
      <x:c r="F249" s="38" t="inlineStr">
        <x:is>
          <x:t xml:space="preserve">LOW/MEDIUM - still needs theorem-to-public-claim translation.</x:t>
        </x:is>
      </x:c>
      <x:c r="G249" s="38" t="inlineStr">
        <x:is>
          <x:t xml:space="preserve">theophysics-lean-main\theophysics-lean-main\Theophysics_Canonization.lean</x:t>
        </x:is>
      </x:c>
      <x:c r="H249" s="38" t="inlineStr">
        <x:is>
          <x:t xml:space="preserve">519</x:t>
        </x:is>
      </x:c>
      <x:c r="I249" s="38" t="inlineStr">
        <x:is>
          <x:t xml:space="preserve">theorem fixed_point_is_transferable (p : FixedPointProfile) (O_h G S_h C_h : ℝ) : O_h * G * (p.C - C_h) - S_h * C_h = coherenceRate O_h G S_h C_h</x:t>
        </x:is>
      </x:c>
      <x:c r="J249" s="38" t="inlineStr">
        <x:is>
          <x:t xml:space="preserve">Profile coherence becomes the creature's attractor target</x:t>
        </x:is>
      </x:c>
      <x:c r="K249" s="38" t="inlineStr">
        <x:is>
          <x:t xml:space="preserve">TODO: list constructors/definitions/candidate restrictions.</x:t>
        </x:is>
      </x:c>
      <x:c r="L249" s="38" t="inlineStr">
        <x:is>
          <x:t xml:space="preserve">TODO: translate exact Lean statement only.</x:t>
        </x:is>
      </x:c>
      <x:c r="M249" s="38" t="inlineStr">
        <x:is>
          <x:t xml:space="preserve">TODO: link Colab/Python artifact or mark not tested.</x:t>
        </x:is>
      </x:c>
      <x:c r="N249" s="38" t="inlineStr">
        <x:is>
          <x:t xml:space="preserve">TODO: link dataset/observation or mark not empirical.</x:t>
        </x:is>
      </x:c>
      <x:c r="O249" s="38" t="inlineStr">
        <x:is>
          <x:t xml:space="preserve">TODO: theological/philosophical interpretation; do not merge with proof.</x:t>
        </x:is>
      </x:c>
      <x:c r="P249" s="38" t="inlineStr">
        <x:is>
          <x:t xml:space="preserve">TODO: formal, dynamical, empirical, or mapping kill condition.</x:t>
        </x:is>
      </x:c>
      <x:c r="Q249" s="39" t="inlineStr">
        <x:is>
          <x:t xml:space="preserve">Downgrade wording or strengthen proof if risk is HIGH; otherwise add evidence links.</x:t>
        </x:is>
      </x:c>
    </x:row>
    <x:row r="250" ht="15" customHeight="1">
      <x:c r="A250" s="37" t="inlineStr">
        <x:is>
          <x:t xml:space="preserve">C32</x:t>
        </x:is>
      </x:c>
      <x:c r="B250" s="38" t="inlineStr">
        <x:is>
          <x:t xml:space="preserve">sanctification_is_channel_healing</x:t>
        </x:is>
      </x:c>
      <x:c r="C250" s="38" t="inlineStr">
        <x:is>
          <x:t xml:space="preserve">C2 - Structural correspondence candidate</x:t>
        </x:is>
      </x:c>
      <x:c r="D250" s="38" t="inlineStr">
        <x:is>
          <x:t xml:space="preserve">3 - Internal formal consistency; cite underlying theorem</x:t>
        </x:is>
      </x:c>
      <x:c r="E250" s="38" t="inlineStr">
        <x:is>
          <x:t xml:space="preserve">WRAPPER_OR_IMPORTED</x:t>
        </x:is>
      </x:c>
      <x:c r="F250" s="38" t="inlineStr">
        <x:is>
          <x:t xml:space="preserve">MEDIUM - cite underlying theorem, not just wrapper.</x:t>
        </x:is>
      </x:c>
      <x:c r="G250" s="38" t="inlineStr">
        <x:is>
          <x:t xml:space="preserve">theophysics-lean-main\theophysics-lean-main\Theophysics_Canonization.lean</x:t>
        </x:is>
      </x:c>
      <x:c r="H250" s="38" t="inlineStr">
        <x:is>
          <x:t xml:space="preserve">528</x:t>
        </x:is>
      </x:c>
      <x:c r="I250" s="38" t="inlineStr">
        <x:is>
          <x:t xml:space="preserve">theorem sanctification_is_channel_healing (A T Mbound : ℝ) (hA : 0 &lt; A) (hT : 0 &lt; T) (hM : 0 &lt; Mbound) : ∃ D₀ : ℝ, 0 &lt; D₀ ∧ ∀ D : ℝ, 0 &lt; D → D ≤ D₀ → Mbound &lt; soulCapacity A T D</x:t>
        </x:is>
      </x:c>
      <x:c r="J250" s="38" t="inlineStr">
        <x:is>
          <x:t xml:space="preserve">D-&gt;0 grows received capacity past every bound; source infinite, channel finite</x:t>
        </x:is>
      </x:c>
      <x:c r="K250" s="38" t="inlineStr">
        <x:is>
          <x:t xml:space="preserve">TODO: list constructors/definitions/candidate restrictions.</x:t>
        </x:is>
      </x:c>
      <x:c r="L250" s="38" t="inlineStr">
        <x:is>
          <x:t xml:space="preserve">TODO: translate exact Lean statement only.</x:t>
        </x:is>
      </x:c>
      <x:c r="M250" s="38" t="inlineStr">
        <x:is>
          <x:t xml:space="preserve">TODO: link Colab/Python artifact or mark not tested.</x:t>
        </x:is>
      </x:c>
      <x:c r="N250" s="38" t="inlineStr">
        <x:is>
          <x:t xml:space="preserve">TODO: link dataset/observation or mark not empirical.</x:t>
        </x:is>
      </x:c>
      <x:c r="O250" s="38" t="inlineStr">
        <x:is>
          <x:t xml:space="preserve">TODO: theological/philosophical interpretation; do not merge with proof.</x:t>
        </x:is>
      </x:c>
      <x:c r="P250" s="38" t="inlineStr">
        <x:is>
          <x:t xml:space="preserve">TODO: formal, dynamical, empirical, or mapping kill condition.</x:t>
        </x:is>
      </x:c>
      <x:c r="Q250" s="39" t="inlineStr">
        <x:is>
          <x:t xml:space="preserve">Downgrade wording or strengthen proof if risk is HIGH; otherwise add evidence links.</x:t>
        </x:is>
      </x:c>
    </x:row>
    <x:row r="251" ht="15" customHeight="1">
      <x:c r="A251" s="37" t="inlineStr">
        <x:is>
          <x:t xml:space="preserve">C33</x:t>
        </x:is>
      </x:c>
      <x:c r="B251" s="38" t="inlineStr">
        <x:is>
          <x:t xml:space="preserve">resurrection_certifies_capacity</x:t>
        </x:is>
      </x:c>
      <x:c r="C251" s="38" t="inlineStr">
        <x:is>
          <x:t xml:space="preserve">C2 - Structural correspondence candidate</x:t>
        </x:is>
      </x:c>
      <x:c r="D251" s="38" t="inlineStr">
        <x:is>
          <x:t xml:space="preserve">2 - Defined model / needs inspection</x:t>
        </x:is>
      </x:c>
      <x:c r="E251" s="38" t="inlineStr">
        <x:is>
          <x:t xml:space="preserve">DECLARATION_OR_UNKNOWN</x:t>
        </x:is>
      </x:c>
      <x:c r="F251" s="38" t="inlineStr">
        <x:is>
          <x:t xml:space="preserve">LOW/MEDIUM - still needs theorem-to-public-claim translation.</x:t>
        </x:is>
      </x:c>
      <x:c r="G251" s="38" t="inlineStr">
        <x:is>
          <x:t xml:space="preserve">theophysics-lean-main\theophysics-lean-main\Theophysics_Canonization.lean</x:t>
        </x:is>
      </x:c>
      <x:c r="H251" s="38" t="inlineStr">
        <x:is>
          <x:t xml:space="preserve">563</x:t>
        </x:is>
      </x:c>
      <x:c r="I251" s="38" t="inlineStr">
        <x:is>
          <x:t xml:space="preserve">theorem resurrection_certifies_capacity (capacity : ℝ → ℝ) (hunbounded : ∀ M : ℝ, ∃ t : ℝ, M &lt; capacity t) : ∀ δ_total : ℝ, ∃ t : ℝ, δ_total &lt; capacity t := fun δ_total =&gt; hunbounded δ_total /-- Corollary: all perfect-coherence profiles agree. [LEAN_PROVEN] -/</x:t>
        </x:is>
      </x:c>
      <x:c r="J251" s="38" t="inlineStr">
        <x:is>
          <x:t xml:space="preserve">Unbounded capacity implies no finite delta_total exhausts it (structural marker)</x:t>
        </x:is>
      </x:c>
      <x:c r="K251" s="38" t="inlineStr">
        <x:is>
          <x:t xml:space="preserve">TODO: list constructors/definitions/candidate restrictions.</x:t>
        </x:is>
      </x:c>
      <x:c r="L251" s="38" t="inlineStr">
        <x:is>
          <x:t xml:space="preserve">TODO: translate exact Lean statement only.</x:t>
        </x:is>
      </x:c>
      <x:c r="M251" s="38" t="inlineStr">
        <x:is>
          <x:t xml:space="preserve">TODO: link Colab/Python artifact or mark not tested.</x:t>
        </x:is>
      </x:c>
      <x:c r="N251" s="38" t="inlineStr">
        <x:is>
          <x:t xml:space="preserve">TODO: link dataset/observation or mark not empirical.</x:t>
        </x:is>
      </x:c>
      <x:c r="O251" s="38" t="inlineStr">
        <x:is>
          <x:t xml:space="preserve">TODO: theological/philosophical interpretation; do not merge with proof.</x:t>
        </x:is>
      </x:c>
      <x:c r="P251" s="38" t="inlineStr">
        <x:is>
          <x:t xml:space="preserve">TODO: formal, dynamical, empirical, or mapping kill condition.</x:t>
        </x:is>
      </x:c>
      <x:c r="Q251" s="39" t="inlineStr">
        <x:is>
          <x:t xml:space="preserve">Downgrade wording or strengthen proof if risk is HIGH; otherwise add evidence links.</x:t>
        </x:is>
      </x:c>
    </x:row>
    <x:row r="252" ht="15" customHeight="1">
      <x:c r="A252" s="37" t="inlineStr">
        <x:is>
          <x:t xml:space="preserve">C34</x:t>
        </x:is>
      </x:c>
      <x:c r="B252" s="38" t="inlineStr">
        <x:is>
          <x:t xml:space="preserve">christ_is_unique_perfect_coherence_fixed_point</x:t>
        </x:is>
      </x:c>
      <x:c r="C252" s="38" t="inlineStr">
        <x:is>
          <x:t xml:space="preserve">C2 - Structural correspondence candidate</x:t>
        </x:is>
      </x:c>
      <x:c r="D252" s="38" t="inlineStr">
        <x:is>
          <x:t xml:space="preserve">3 - Internal formal consistency</x:t>
        </x:is>
      </x:c>
      <x:c r="E252" s="38" t="inlineStr">
        <x:is>
          <x:t xml:space="preserve">SUBSTANTIVE_OR_CASE_PROOF</x:t>
        </x:is>
      </x:c>
      <x:c r="F252" s="38" t="inlineStr">
        <x:is>
          <x:t xml:space="preserve">LOW/MEDIUM - still needs theorem-to-public-claim translation.</x:t>
        </x:is>
      </x:c>
      <x:c r="G252" s="38" t="inlineStr">
        <x:is>
          <x:t xml:space="preserve">theophysics-lean-main\theophysics-lean-main\Theophysics_Canonization.lean</x:t>
        </x:is>
      </x:c>
      <x:c r="H252" s="38" t="inlineStr">
        <x:is>
          <x:t xml:space="preserve">570</x:t>
        </x:is>
      </x:c>
      <x:c r="I252" s="38" t="inlineStr">
        <x:is>
          <x:t xml:space="preserve">theorem christ_is_unique_perfect_coherence_fixed_point (p q : FixedPointProfile) : p.C = q.C</x:t>
        </x:is>
      </x:c>
      <x:c r="J252" s="38" t="inlineStr">
        <x:is>
          <x:t xml:space="preserve">All perfect-coherence profiles agree (definitional agreement)</x:t>
        </x:is>
      </x:c>
      <x:c r="K252" s="38" t="inlineStr">
        <x:is>
          <x:t xml:space="preserve">TODO: list constructors/definitions/candidate restrictions.</x:t>
        </x:is>
      </x:c>
      <x:c r="L252" s="38" t="inlineStr">
        <x:is>
          <x:t xml:space="preserve">TODO: translate exact Lean statement only.</x:t>
        </x:is>
      </x:c>
      <x:c r="M252" s="38" t="inlineStr">
        <x:is>
          <x:t xml:space="preserve">TODO: link Colab/Python artifact or mark not tested.</x:t>
        </x:is>
      </x:c>
      <x:c r="N252" s="38" t="inlineStr">
        <x:is>
          <x:t xml:space="preserve">TODO: link dataset/observation or mark not empirical.</x:t>
        </x:is>
      </x:c>
      <x:c r="O252" s="38" t="inlineStr">
        <x:is>
          <x:t xml:space="preserve">TODO: theological/philosophical interpretation; do not merge with proof.</x:t>
        </x:is>
      </x:c>
      <x:c r="P252" s="38" t="inlineStr">
        <x:is>
          <x:t xml:space="preserve">TODO: formal, dynamical, empirical, or mapping kill condition.</x:t>
        </x:is>
      </x:c>
      <x:c r="Q252" s="39" t="inlineStr">
        <x:is>
          <x:t xml:space="preserve">Downgrade wording or strengthen proof if risk is HIGH; otherwise add evidence links.</x:t>
        </x:is>
      </x:c>
    </x:row>
    <x:row r="253" ht="15" customHeight="1">
      <x:c r="A253" s="37" t="inlineStr">
        <x:is>
          <x:t xml:space="preserve">C35</x:t>
        </x:is>
      </x:c>
      <x:c r="B253" s="38" t="inlineStr">
        <x:is>
          <x:t xml:space="preserve">glorification_is_completed_coherence</x:t>
        </x:is>
      </x:c>
      <x:c r="C253" s="38" t="inlineStr">
        <x:is>
          <x:t xml:space="preserve">C2 - Structural correspondence candidate</x:t>
        </x:is>
      </x:c>
      <x:c r="D253" s="38" t="inlineStr">
        <x:is>
          <x:t xml:space="preserve">2 - Defined model / needs inspection</x:t>
        </x:is>
      </x:c>
      <x:c r="E253" s="38" t="inlineStr">
        <x:is>
          <x:t xml:space="preserve">DECLARATION_OR_UNKNOWN</x:t>
        </x:is>
      </x:c>
      <x:c r="F253" s="38" t="inlineStr">
        <x:is>
          <x:t xml:space="preserve">LOW/MEDIUM - still needs theorem-to-public-claim translation.</x:t>
        </x:is>
      </x:c>
      <x:c r="G253" s="38" t="inlineStr">
        <x:is>
          <x:t xml:space="preserve">theophysics-lean-main\theophysics-lean-main\Theophysics_Canonization.lean</x:t>
        </x:is>
      </x:c>
      <x:c r="H253" s="38" t="inlineStr">
        <x:is>
          <x:t xml:space="preserve">574</x:t>
        </x:is>
      </x:c>
      <x:c r="I253" s="38" t="inlineStr">
        <x:is>
          <x:t xml:space="preserve">theorem glorification_is_completed_coherence (p : FixedPointProfile) : p.C = 1 := p.perfect_coherence end TransferableFixedPoint /-! ============================================================ §7 COUPLING LAYER (provisional tier, NOT locked canon) ============================================================ -/ section Couplings /-- Coupling vocabulary. [LEAN_DEFINED — provisional tier] -/ inductive Coupling | faith | mercy | hope | wisdom | covenant | salvation | worship | conscience deriving DecidableEq, Repr /-- Hope as the forward derivative of faith. [LEAN_DEFINED] -/ def hope (dFaith_dt : ℝ) : Prop := 0 &lt; dFaith_dt /-- Salvation as phase transition: ΔG &lt; 0. [LEAN_DEFINED] -/ def salvationSpontaneous (ΔG : ℝ) : Prop := ΔG &lt; 0 end Couplings end Theophysics.Canonization</x:t>
        </x:is>
      </x:c>
      <x:c r="J253" s="38" t="inlineStr">
        <x:is>
          <x:t xml:space="preserve">Profile coherence = 1 (definitional)</x:t>
        </x:is>
      </x:c>
      <x:c r="K253" s="38" t="inlineStr">
        <x:is>
          <x:t xml:space="preserve">TODO: list constructors/definitions/candidate restrictions.</x:t>
        </x:is>
      </x:c>
      <x:c r="L253" s="38" t="inlineStr">
        <x:is>
          <x:t xml:space="preserve">TODO: translate exact Lean statement only.</x:t>
        </x:is>
      </x:c>
      <x:c r="M253" s="38" t="inlineStr">
        <x:is>
          <x:t xml:space="preserve">TODO: link Colab/Python artifact or mark not tested.</x:t>
        </x:is>
      </x:c>
      <x:c r="N253" s="38" t="inlineStr">
        <x:is>
          <x:t xml:space="preserve">TODO: link dataset/observation or mark not empirical.</x:t>
        </x:is>
      </x:c>
      <x:c r="O253" s="38" t="inlineStr">
        <x:is>
          <x:t xml:space="preserve">TODO: theological/philosophical interpretation; do not merge with proof.</x:t>
        </x:is>
      </x:c>
      <x:c r="P253" s="38" t="inlineStr">
        <x:is>
          <x:t xml:space="preserve">TODO: formal, dynamical, empirical, or mapping kill condition.</x:t>
        </x:is>
      </x:c>
      <x:c r="Q253" s="39" t="inlineStr">
        <x:is>
          <x:t xml:space="preserve">Downgrade wording or strengthen proof if risk is HIGH; otherwise add evidence links.</x:t>
        </x:is>
      </x:c>
    </x:row>
    <x:row r="254" ht="15" customHeight="1">
      <x:c r="A254" s="37" t="inlineStr">
        <x:is>
          <x:t xml:space="preserve">STATS</x:t>
        </x:is>
      </x:c>
      <x:c r="B254" s="38" t="n"/>
      <x:c r="C254" s="38" t="inlineStr">
        <x:is>
          <x:t xml:space="preserve">C2 - Structural correspondence candidate</x:t>
        </x:is>
      </x:c>
      <x:c r="D254" s="38" t="inlineStr">
        <x:is>
          <x:t xml:space="preserve">1 - Conceptual seed / open source link</x:t>
        </x:is>
      </x:c>
      <x:c r="E254" s="38" t="inlineStr">
        <x:is>
          <x:t xml:space="preserve">NOT_FOUND_IN_HUB</x:t>
        </x:is>
      </x:c>
      <x:c r="F254" s="38" t="inlineStr">
        <x:is>
          <x:t xml:space="preserve">HIGH - workbook row not found in current central hub Lean files.</x:t>
        </x:is>
      </x:c>
      <x:c r="G254" s="38" t="n"/>
      <x:c r="H254" s="38" t="n"/>
      <x:c r="I254" s="38" t="n"/>
      <x:c r="J254" s="38" t="n"/>
      <x:c r="K254" s="38" t="inlineStr">
        <x:is>
          <x:t xml:space="preserve">TODO: list constructors/definitions/candidate restrictions.</x:t>
        </x:is>
      </x:c>
      <x:c r="L254" s="38" t="inlineStr">
        <x:is>
          <x:t xml:space="preserve">TODO: translate exact Lean statement only.</x:t>
        </x:is>
      </x:c>
      <x:c r="M254" s="38" t="inlineStr">
        <x:is>
          <x:t xml:space="preserve">TODO: link Colab/Python artifact or mark not tested.</x:t>
        </x:is>
      </x:c>
      <x:c r="N254" s="38" t="inlineStr">
        <x:is>
          <x:t xml:space="preserve">TODO: link dataset/observation or mark not empirical.</x:t>
        </x:is>
      </x:c>
      <x:c r="O254" s="38" t="inlineStr">
        <x:is>
          <x:t xml:space="preserve">TODO: theological/philosophical interpretation; do not merge with proof.</x:t>
        </x:is>
      </x:c>
      <x:c r="P254" s="38" t="inlineStr">
        <x:is>
          <x:t xml:space="preserve">TODO: formal, dynamical, empirical, or mapping kill condition.</x:t>
        </x:is>
      </x:c>
      <x:c r="Q254" s="39" t="inlineStr">
        <x:is>
          <x:t xml:space="preserve">Downgrade wording or strengthen proof if risk is HIGH; otherwise add evidence links.</x:t>
        </x:is>
      </x:c>
    </x:row>
    <x:row r="255" ht="15" customHeight="1">
      <x:c r="A255" s="37" t="inlineStr">
        <x:is>
          <x:t xml:space="preserve">STAT-01</x:t>
        </x:is>
      </x:c>
      <x:c r="B255" s="38" t="inlineStr">
        <x:is>
          <x:t xml:space="preserve">16 + 8 + 1 = 25 files across three corpora</x:t>
        </x:is>
      </x:c>
      <x:c r="C255" s="38" t="inlineStr">
        <x:is>
          <x:t xml:space="preserve">C2 - Structural correspondence candidate</x:t>
        </x:is>
      </x:c>
      <x:c r="D255" s="38" t="inlineStr">
        <x:is>
          <x:t xml:space="preserve">1 - Conceptual seed / open source link</x:t>
        </x:is>
      </x:c>
      <x:c r="E255" s="38" t="inlineStr">
        <x:is>
          <x:t xml:space="preserve">NOT_FOUND_IN_HUB</x:t>
        </x:is>
      </x:c>
      <x:c r="F255" s="38" t="inlineStr">
        <x:is>
          <x:t xml:space="preserve">HIGH - workbook row not found in current central hub Lean files.</x:t>
        </x:is>
      </x:c>
      <x:c r="G255" s="38" t="n"/>
      <x:c r="H255" s="38" t="n"/>
      <x:c r="I255" s="38" t="n"/>
      <x:c r="J255" s="38" t="n"/>
      <x:c r="K255" s="38" t="inlineStr">
        <x:is>
          <x:t xml:space="preserve">TODO: list constructors/definitions/candidate restrictions.</x:t>
        </x:is>
      </x:c>
      <x:c r="L255" s="38" t="inlineStr">
        <x:is>
          <x:t xml:space="preserve">TODO: translate exact Lean statement only.</x:t>
        </x:is>
      </x:c>
      <x:c r="M255" s="38" t="inlineStr">
        <x:is>
          <x:t xml:space="preserve">TODO: link Colab/Python artifact or mark not tested.</x:t>
        </x:is>
      </x:c>
      <x:c r="N255" s="38" t="inlineStr">
        <x:is>
          <x:t xml:space="preserve">TODO: link dataset/observation or mark not empirical.</x:t>
        </x:is>
      </x:c>
      <x:c r="O255" s="38" t="inlineStr">
        <x:is>
          <x:t xml:space="preserve">TODO: theological/philosophical interpretation; do not merge with proof.</x:t>
        </x:is>
      </x:c>
      <x:c r="P255" s="38" t="inlineStr">
        <x:is>
          <x:t xml:space="preserve">TODO: formal, dynamical, empirical, or mapping kill condition.</x:t>
        </x:is>
      </x:c>
      <x:c r="Q255" s="39" t="inlineStr">
        <x:is>
          <x:t xml:space="preserve">Downgrade wording or strengthen proof if risk is HIGH; otherwise add evidence links.</x:t>
        </x:is>
      </x:c>
    </x:row>
    <x:row r="256" ht="15" customHeight="1">
      <x:c r="A256" s="37" t="inlineStr">
        <x:is>
          <x:t xml:space="preserve">STAT-02</x:t>
        </x:is>
      </x:c>
      <x:c r="B256" s="38" t="inlineStr">
        <x:is>
          <x:t xml:space="preserve">287 (ResurrectionFormal doc) / 326 (root pkg, verified) / 35 (canonization, verified). Cite 326 or 326+35. 319 and 330 retired.</x:t>
        </x:is>
      </x:c>
      <x:c r="C256" s="38" t="inlineStr">
        <x:is>
          <x:t xml:space="preserve">C2 - Structural correspondence candidate</x:t>
        </x:is>
      </x:c>
      <x:c r="D256" s="38" t="inlineStr">
        <x:is>
          <x:t xml:space="preserve">1 - Conceptual seed / open source link</x:t>
        </x:is>
      </x:c>
      <x:c r="E256" s="38" t="inlineStr">
        <x:is>
          <x:t xml:space="preserve">NOT_FOUND_IN_HUB</x:t>
        </x:is>
      </x:c>
      <x:c r="F256" s="38" t="inlineStr">
        <x:is>
          <x:t xml:space="preserve">HIGH - workbook row not found in current central hub Lean files.</x:t>
        </x:is>
      </x:c>
      <x:c r="G256" s="38" t="n"/>
      <x:c r="H256" s="38" t="n"/>
      <x:c r="I256" s="38" t="n"/>
      <x:c r="J256" s="38" t="n"/>
      <x:c r="K256" s="38" t="inlineStr">
        <x:is>
          <x:t xml:space="preserve">TODO: list constructors/definitions/candidate restrictions.</x:t>
        </x:is>
      </x:c>
      <x:c r="L256" s="38" t="inlineStr">
        <x:is>
          <x:t xml:space="preserve">TODO: translate exact Lean statement only.</x:t>
        </x:is>
      </x:c>
      <x:c r="M256" s="38" t="inlineStr">
        <x:is>
          <x:t xml:space="preserve">TODO: link Colab/Python artifact or mark not tested.</x:t>
        </x:is>
      </x:c>
      <x:c r="N256" s="38" t="inlineStr">
        <x:is>
          <x:t xml:space="preserve">TODO: link dataset/observation or mark not empirical.</x:t>
        </x:is>
      </x:c>
      <x:c r="O256" s="38" t="inlineStr">
        <x:is>
          <x:t xml:space="preserve">TODO: theological/philosophical interpretation; do not merge with proof.</x:t>
        </x:is>
      </x:c>
      <x:c r="P256" s="38" t="inlineStr">
        <x:is>
          <x:t xml:space="preserve">TODO: formal, dynamical, empirical, or mapping kill condition.</x:t>
        </x:is>
      </x:c>
      <x:c r="Q256" s="39" t="inlineStr">
        <x:is>
          <x:t xml:space="preserve">Downgrade wording or strengthen proof if risk is HIGH; otherwise add evidence links.</x:t>
        </x:is>
      </x:c>
    </x:row>
    <x:row r="257" ht="15" customHeight="1">
      <x:c r="A257" s="37" t="inlineStr">
        <x:is>
          <x:t xml:space="preserve">STAT-03</x:t>
        </x:is>
      </x:c>
      <x:c r="B257" s="38" t="inlineStr">
        <x:is>
          <x:t xml:space="preserve">4 of 10 (Laws 3, 6, 7, 8)</x:t>
        </x:is>
      </x:c>
      <x:c r="C257" s="38" t="inlineStr">
        <x:is>
          <x:t xml:space="preserve">C2 - Structural correspondence candidate</x:t>
        </x:is>
      </x:c>
      <x:c r="D257" s="38" t="inlineStr">
        <x:is>
          <x:t xml:space="preserve">1 - Conceptual seed / open source link</x:t>
        </x:is>
      </x:c>
      <x:c r="E257" s="38" t="inlineStr">
        <x:is>
          <x:t xml:space="preserve">NOT_FOUND_IN_HUB</x:t>
        </x:is>
      </x:c>
      <x:c r="F257" s="38" t="inlineStr">
        <x:is>
          <x:t xml:space="preserve">HIGH - workbook row not found in current central hub Lean files.</x:t>
        </x:is>
      </x:c>
      <x:c r="G257" s="38" t="n"/>
      <x:c r="H257" s="38" t="n"/>
      <x:c r="I257" s="38" t="n"/>
      <x:c r="J257" s="38" t="n"/>
      <x:c r="K257" s="38" t="inlineStr">
        <x:is>
          <x:t xml:space="preserve">TODO: list constructors/definitions/candidate restrictions.</x:t>
        </x:is>
      </x:c>
      <x:c r="L257" s="38" t="inlineStr">
        <x:is>
          <x:t xml:space="preserve">TODO: translate exact Lean statement only.</x:t>
        </x:is>
      </x:c>
      <x:c r="M257" s="38" t="inlineStr">
        <x:is>
          <x:t xml:space="preserve">TODO: link Colab/Python artifact or mark not tested.</x:t>
        </x:is>
      </x:c>
      <x:c r="N257" s="38" t="inlineStr">
        <x:is>
          <x:t xml:space="preserve">TODO: link dataset/observation or mark not empirical.</x:t>
        </x:is>
      </x:c>
      <x:c r="O257" s="38" t="inlineStr">
        <x:is>
          <x:t xml:space="preserve">TODO: theological/philosophical interpretation; do not merge with proof.</x:t>
        </x:is>
      </x:c>
      <x:c r="P257" s="38" t="inlineStr">
        <x:is>
          <x:t xml:space="preserve">TODO: formal, dynamical, empirical, or mapping kill condition.</x:t>
        </x:is>
      </x:c>
      <x:c r="Q257" s="39" t="inlineStr">
        <x:is>
          <x:t xml:space="preserve">Downgrade wording or strengthen proof if risk is HIGH; otherwise add evidence links.</x:t>
        </x:is>
      </x:c>
    </x:row>
    <x:row r="258" ht="15" customHeight="1">
      <x:c r="A258" s="37" t="inlineStr">
        <x:is>
          <x:t xml:space="preserve">STAT-04</x:t>
        </x:is>
      </x:c>
      <x:c r="B258" s="38" t="inlineStr">
        <x:is>
          <x:t xml:space="preserve">2 more (Law 4 iso, Law 5 uniqueness)</x:t>
        </x:is>
      </x:c>
      <x:c r="C258" s="38" t="inlineStr">
        <x:is>
          <x:t xml:space="preserve">C4 - Isomorphism candidate; requires inverse and broad candidate-space check</x:t>
        </x:is>
      </x:c>
      <x:c r="D258" s="38" t="inlineStr">
        <x:is>
          <x:t xml:space="preserve">1 - Conceptual seed / open source link</x:t>
        </x:is>
      </x:c>
      <x:c r="E258" s="38" t="inlineStr">
        <x:is>
          <x:t xml:space="preserve">NOT_FOUND_IN_HUB</x:t>
        </x:is>
      </x:c>
      <x:c r="F258" s="38" t="inlineStr">
        <x:is>
          <x:t xml:space="preserve">HIGH - workbook row not found in current central hub Lean files.</x:t>
        </x:is>
      </x:c>
      <x:c r="G258" s="38" t="n"/>
      <x:c r="H258" s="38" t="n"/>
      <x:c r="I258" s="38" t="n"/>
      <x:c r="J258" s="38" t="n"/>
      <x:c r="K258" s="38" t="inlineStr">
        <x:is>
          <x:t xml:space="preserve">TODO: list constructors/definitions/candidate restrictions.</x:t>
        </x:is>
      </x:c>
      <x:c r="L258" s="38" t="inlineStr">
        <x:is>
          <x:t xml:space="preserve">TODO: translate exact Lean statement only.</x:t>
        </x:is>
      </x:c>
      <x:c r="M258" s="38" t="inlineStr">
        <x:is>
          <x:t xml:space="preserve">TODO: link Colab/Python artifact or mark not tested.</x:t>
        </x:is>
      </x:c>
      <x:c r="N258" s="38" t="inlineStr">
        <x:is>
          <x:t xml:space="preserve">TODO: link dataset/observation or mark not empirical.</x:t>
        </x:is>
      </x:c>
      <x:c r="O258" s="38" t="inlineStr">
        <x:is>
          <x:t xml:space="preserve">TODO: theological/philosophical interpretation; do not merge with proof.</x:t>
        </x:is>
      </x:c>
      <x:c r="P258" s="38" t="inlineStr">
        <x:is>
          <x:t xml:space="preserve">TODO: formal, dynamical, empirical, or mapping kill condition.</x:t>
        </x:is>
      </x:c>
      <x:c r="Q258" s="39" t="inlineStr">
        <x:is>
          <x:t xml:space="preserve">Downgrade wording or strengthen proof if risk is HIGH; otherwise add evidence links.</x:t>
        </x:is>
      </x:c>
    </x:row>
    <x:row r="259" ht="15" customHeight="1">
      <x:c r="A259" s="37" t="inlineStr">
        <x:is>
          <x:t xml:space="preserve">STAT-05</x:t>
        </x:is>
      </x:c>
      <x:c r="B259" s="38" t="inlineStr">
        <x:is>
          <x:t xml:space="preserve">4 (Laws 1, 2, 9, 10)</x:t>
        </x:is>
      </x:c>
      <x:c r="C259" s="38" t="inlineStr">
        <x:is>
          <x:t xml:space="preserve">C2 - Structural correspondence candidate</x:t>
        </x:is>
      </x:c>
      <x:c r="D259" s="38" t="inlineStr">
        <x:is>
          <x:t xml:space="preserve">1 - Conceptual seed / open source link</x:t>
        </x:is>
      </x:c>
      <x:c r="E259" s="38" t="inlineStr">
        <x:is>
          <x:t xml:space="preserve">NOT_FOUND_IN_HUB</x:t>
        </x:is>
      </x:c>
      <x:c r="F259" s="38" t="inlineStr">
        <x:is>
          <x:t xml:space="preserve">HIGH - workbook row not found in current central hub Lean files.</x:t>
        </x:is>
      </x:c>
      <x:c r="G259" s="38" t="n"/>
      <x:c r="H259" s="38" t="n"/>
      <x:c r="I259" s="38" t="n"/>
      <x:c r="J259" s="38" t="n"/>
      <x:c r="K259" s="38" t="inlineStr">
        <x:is>
          <x:t xml:space="preserve">TODO: list constructors/definitions/candidate restrictions.</x:t>
        </x:is>
      </x:c>
      <x:c r="L259" s="38" t="inlineStr">
        <x:is>
          <x:t xml:space="preserve">TODO: translate exact Lean statement only.</x:t>
        </x:is>
      </x:c>
      <x:c r="M259" s="38" t="inlineStr">
        <x:is>
          <x:t xml:space="preserve">TODO: link Colab/Python artifact or mark not tested.</x:t>
        </x:is>
      </x:c>
      <x:c r="N259" s="38" t="inlineStr">
        <x:is>
          <x:t xml:space="preserve">TODO: link dataset/observation or mark not empirical.</x:t>
        </x:is>
      </x:c>
      <x:c r="O259" s="38" t="inlineStr">
        <x:is>
          <x:t xml:space="preserve">TODO: theological/philosophical interpretation; do not merge with proof.</x:t>
        </x:is>
      </x:c>
      <x:c r="P259" s="38" t="inlineStr">
        <x:is>
          <x:t xml:space="preserve">TODO: formal, dynamical, empirical, or mapping kill condition.</x:t>
        </x:is>
      </x:c>
      <x:c r="Q259" s="39" t="inlineStr">
        <x:is>
          <x:t xml:space="preserve">Downgrade wording or strengthen proof if risk is HIGH; otherwise add evidence links.</x:t>
        </x:is>
      </x:c>
    </x:row>
    <x:row r="260" ht="15" customHeight="1">
      <x:c r="A260" s="37" t="inlineStr">
        <x:is>
          <x:t xml:space="preserve">STAT-06</x:t>
        </x:is>
      </x:c>
      <x:c r="B260" s="38" t="inlineStr">
        <x:is>
          <x:t xml:space="preserve">3 (StrongForce↔Love, Maxwell↔Trinity, Physics↔Theology)</x:t>
        </x:is>
      </x:c>
      <x:c r="C260" s="38" t="inlineStr">
        <x:is>
          <x:t xml:space="preserve">C2 - Structural correspondence candidate</x:t>
        </x:is>
      </x:c>
      <x:c r="D260" s="38" t="inlineStr">
        <x:is>
          <x:t xml:space="preserve">1 - Conceptual seed / open source link</x:t>
        </x:is>
      </x:c>
      <x:c r="E260" s="38" t="inlineStr">
        <x:is>
          <x:t xml:space="preserve">NOT_FOUND_IN_HUB</x:t>
        </x:is>
      </x:c>
      <x:c r="F260" s="38" t="inlineStr">
        <x:is>
          <x:t xml:space="preserve">HIGH - workbook row not found in current central hub Lean files.</x:t>
        </x:is>
      </x:c>
      <x:c r="G260" s="38" t="n"/>
      <x:c r="H260" s="38" t="n"/>
      <x:c r="I260" s="38" t="n"/>
      <x:c r="J260" s="38" t="n"/>
      <x:c r="K260" s="38" t="inlineStr">
        <x:is>
          <x:t xml:space="preserve">TODO: list constructors/definitions/candidate restrictions.</x:t>
        </x:is>
      </x:c>
      <x:c r="L260" s="38" t="inlineStr">
        <x:is>
          <x:t xml:space="preserve">TODO: translate exact Lean statement only.</x:t>
        </x:is>
      </x:c>
      <x:c r="M260" s="38" t="inlineStr">
        <x:is>
          <x:t xml:space="preserve">TODO: link Colab/Python artifact or mark not tested.</x:t>
        </x:is>
      </x:c>
      <x:c r="N260" s="38" t="inlineStr">
        <x:is>
          <x:t xml:space="preserve">TODO: link dataset/observation or mark not empirical.</x:t>
        </x:is>
      </x:c>
      <x:c r="O260" s="38" t="inlineStr">
        <x:is>
          <x:t xml:space="preserve">TODO: theological/philosophical interpretation; do not merge with proof.</x:t>
        </x:is>
      </x:c>
      <x:c r="P260" s="38" t="inlineStr">
        <x:is>
          <x:t xml:space="preserve">TODO: formal, dynamical, empirical, or mapping kill condition.</x:t>
        </x:is>
      </x:c>
      <x:c r="Q260" s="39" t="inlineStr">
        <x:is>
          <x:t xml:space="preserve">Downgrade wording or strengthen proof if risk is HIGH; otherwise add evidence links.</x:t>
        </x:is>
      </x:c>
    </x:row>
    <x:row r="261" ht="15" customHeight="1">
      <x:c r="A261" s="37" t="inlineStr">
        <x:is>
          <x:t xml:space="preserve">STAT-07</x:t>
        </x:is>
      </x:c>
      <x:c r="B261" s="38" t="inlineStr">
        <x:is>
          <x:t xml:space="preserve">1 (Cross is the unique convergence configuration)</x:t>
        </x:is>
      </x:c>
      <x:c r="C261" s="38" t="inlineStr">
        <x:is>
          <x:t xml:space="preserve">C2 - Structural correspondence candidate</x:t>
        </x:is>
      </x:c>
      <x:c r="D261" s="38" t="inlineStr">
        <x:is>
          <x:t xml:space="preserve">1 - Conceptual seed / open source link</x:t>
        </x:is>
      </x:c>
      <x:c r="E261" s="38" t="inlineStr">
        <x:is>
          <x:t xml:space="preserve">NOT_FOUND_IN_HUB</x:t>
        </x:is>
      </x:c>
      <x:c r="F261" s="38" t="inlineStr">
        <x:is>
          <x:t xml:space="preserve">HIGH - workbook row not found in current central hub Lean files.</x:t>
        </x:is>
      </x:c>
      <x:c r="G261" s="38" t="n"/>
      <x:c r="H261" s="38" t="n"/>
      <x:c r="I261" s="38" t="n"/>
      <x:c r="J261" s="38" t="n"/>
      <x:c r="K261" s="38" t="inlineStr">
        <x:is>
          <x:t xml:space="preserve">TODO: list constructors/definitions/candidate restrictions.</x:t>
        </x:is>
      </x:c>
      <x:c r="L261" s="38" t="inlineStr">
        <x:is>
          <x:t xml:space="preserve">TODO: translate exact Lean statement only.</x:t>
        </x:is>
      </x:c>
      <x:c r="M261" s="38" t="inlineStr">
        <x:is>
          <x:t xml:space="preserve">TODO: link Colab/Python artifact or mark not tested.</x:t>
        </x:is>
      </x:c>
      <x:c r="N261" s="38" t="inlineStr">
        <x:is>
          <x:t xml:space="preserve">TODO: link dataset/observation or mark not empirical.</x:t>
        </x:is>
      </x:c>
      <x:c r="O261" s="38" t="inlineStr">
        <x:is>
          <x:t xml:space="preserve">TODO: theological/philosophical interpretation; do not merge with proof.</x:t>
        </x:is>
      </x:c>
      <x:c r="P261" s="38" t="inlineStr">
        <x:is>
          <x:t xml:space="preserve">TODO: formal, dynamical, empirical, or mapping kill condition.</x:t>
        </x:is>
      </x:c>
      <x:c r="Q261" s="39" t="inlineStr">
        <x:is>
          <x:t xml:space="preserve">Downgrade wording or strengthen proof if risk is HIGH; otherwise add evidence links.</x:t>
        </x:is>
      </x:c>
    </x:row>
    <x:row r="262" ht="15" customHeight="1">
      <x:c r="A262" s="37" t="inlineStr">
        <x:is>
          <x:t xml:space="preserve">STAT-08</x:t>
        </x:is>
      </x:c>
      <x:c r="B262" s="38" t="inlineStr">
        <x:is>
          <x:t xml:space="preserve">70+ (wrong swaps, false positives, wrong orderings, boundary tests)</x:t>
        </x:is>
      </x:c>
      <x:c r="C262" s="38" t="inlineStr">
        <x:is>
          <x:t xml:space="preserve">C2 - Structural correspondence candidate</x:t>
        </x:is>
      </x:c>
      <x:c r="D262" s="38" t="inlineStr">
        <x:is>
          <x:t xml:space="preserve">1 - Conceptual seed / open source link</x:t>
        </x:is>
      </x:c>
      <x:c r="E262" s="38" t="inlineStr">
        <x:is>
          <x:t xml:space="preserve">NOT_FOUND_IN_HUB</x:t>
        </x:is>
      </x:c>
      <x:c r="F262" s="38" t="inlineStr">
        <x:is>
          <x:t xml:space="preserve">HIGH - workbook row not found in current central hub Lean files.</x:t>
        </x:is>
      </x:c>
      <x:c r="G262" s="38" t="n"/>
      <x:c r="H262" s="38" t="n"/>
      <x:c r="I262" s="38" t="n"/>
      <x:c r="J262" s="38" t="n"/>
      <x:c r="K262" s="38" t="inlineStr">
        <x:is>
          <x:t xml:space="preserve">TODO: list constructors/definitions/candidate restrictions.</x:t>
        </x:is>
      </x:c>
      <x:c r="L262" s="38" t="inlineStr">
        <x:is>
          <x:t xml:space="preserve">TODO: translate exact Lean statement only.</x:t>
        </x:is>
      </x:c>
      <x:c r="M262" s="38" t="inlineStr">
        <x:is>
          <x:t xml:space="preserve">TODO: link Colab/Python artifact or mark not tested.</x:t>
        </x:is>
      </x:c>
      <x:c r="N262" s="38" t="inlineStr">
        <x:is>
          <x:t xml:space="preserve">TODO: link dataset/observation or mark not empirical.</x:t>
        </x:is>
      </x:c>
      <x:c r="O262" s="38" t="inlineStr">
        <x:is>
          <x:t xml:space="preserve">TODO: theological/philosophical interpretation; do not merge with proof.</x:t>
        </x:is>
      </x:c>
      <x:c r="P262" s="38" t="inlineStr">
        <x:is>
          <x:t xml:space="preserve">TODO: formal, dynamical, empirical, or mapping kill condition.</x:t>
        </x:is>
      </x:c>
      <x:c r="Q262" s="39" t="inlineStr">
        <x:is>
          <x:t xml:space="preserve">Downgrade wording or strengthen proof if risk is HIGH; otherwise add evidence links.</x:t>
        </x:is>
      </x:c>
    </x:row>
    <x:row r="263" ht="15" customHeight="1">
      <x:c r="A263" s="37" t="inlineStr">
        <x:is>
          <x:t xml:space="preserve">STAT-09</x:t>
        </x:is>
      </x:c>
      <x:c r="B263" s="38" t="inlineStr">
        <x:is>
          <x:t xml:space="preserve">44 (20 theology + 24 physics)</x:t>
        </x:is>
      </x:c>
      <x:c r="C263" s="38" t="inlineStr">
        <x:is>
          <x:t xml:space="preserve">C2 - Structural correspondence candidate</x:t>
        </x:is>
      </x:c>
      <x:c r="D263" s="38" t="inlineStr">
        <x:is>
          <x:t xml:space="preserve">1 - Conceptual seed / open source link</x:t>
        </x:is>
      </x:c>
      <x:c r="E263" s="38" t="inlineStr">
        <x:is>
          <x:t xml:space="preserve">NOT_FOUND_IN_HUB</x:t>
        </x:is>
      </x:c>
      <x:c r="F263" s="38" t="inlineStr">
        <x:is>
          <x:t xml:space="preserve">HIGH - workbook row not found in current central hub Lean files.</x:t>
        </x:is>
      </x:c>
      <x:c r="G263" s="38" t="n"/>
      <x:c r="H263" s="38" t="n"/>
      <x:c r="I263" s="38" t="n"/>
      <x:c r="J263" s="38" t="n"/>
      <x:c r="K263" s="38" t="inlineStr">
        <x:is>
          <x:t xml:space="preserve">TODO: list constructors/definitions/candidate restrictions.</x:t>
        </x:is>
      </x:c>
      <x:c r="L263" s="38" t="inlineStr">
        <x:is>
          <x:t xml:space="preserve">TODO: translate exact Lean statement only.</x:t>
        </x:is>
      </x:c>
      <x:c r="M263" s="38" t="inlineStr">
        <x:is>
          <x:t xml:space="preserve">TODO: link Colab/Python artifact or mark not tested.</x:t>
        </x:is>
      </x:c>
      <x:c r="N263" s="38" t="inlineStr">
        <x:is>
          <x:t xml:space="preserve">TODO: link dataset/observation or mark not empirical.</x:t>
        </x:is>
      </x:c>
      <x:c r="O263" s="38" t="inlineStr">
        <x:is>
          <x:t xml:space="preserve">TODO: theological/philosophical interpretation; do not merge with proof.</x:t>
        </x:is>
      </x:c>
      <x:c r="P263" s="38" t="inlineStr">
        <x:is>
          <x:t xml:space="preserve">TODO: formal, dynamical, empirical, or mapping kill condition.</x:t>
        </x:is>
      </x:c>
      <x:c r="Q263" s="39" t="inlineStr">
        <x:is>
          <x:t xml:space="preserve">Downgrade wording or strengthen proof if risk is HIGH; otherwise add evidence links.</x:t>
        </x:is>
      </x:c>
    </x:row>
    <x:row r="264" ht="15" customHeight="1">
      <x:c r="A264" s="37" t="inlineStr">
        <x:is>
          <x:t xml:space="preserve">STAT-10</x:t>
        </x:is>
      </x:c>
      <x:c r="B264" s="38" t="inlineStr">
        <x:is>
          <x:t xml:space="preserve">3 formally proven</x:t>
        </x:is>
      </x:c>
      <x:c r="C264" s="38" t="inlineStr">
        <x:is>
          <x:t xml:space="preserve">C2 - Structural correspondence candidate</x:t>
        </x:is>
      </x:c>
      <x:c r="D264" s="38" t="inlineStr">
        <x:is>
          <x:t xml:space="preserve">1 - Conceptual seed / open source link</x:t>
        </x:is>
      </x:c>
      <x:c r="E264" s="38" t="inlineStr">
        <x:is>
          <x:t xml:space="preserve">NOT_FOUND_IN_HUB</x:t>
        </x:is>
      </x:c>
      <x:c r="F264" s="38" t="inlineStr">
        <x:is>
          <x:t xml:space="preserve">HIGH - workbook row not found in current central hub Lean files.</x:t>
        </x:is>
      </x:c>
      <x:c r="G264" s="38" t="n"/>
      <x:c r="H264" s="38" t="n"/>
      <x:c r="I264" s="38" t="n"/>
      <x:c r="J264" s="38" t="n"/>
      <x:c r="K264" s="38" t="inlineStr">
        <x:is>
          <x:t xml:space="preserve">TODO: list constructors/definitions/candidate restrictions.</x:t>
        </x:is>
      </x:c>
      <x:c r="L264" s="38" t="inlineStr">
        <x:is>
          <x:t xml:space="preserve">TODO: translate exact Lean statement only.</x:t>
        </x:is>
      </x:c>
      <x:c r="M264" s="38" t="inlineStr">
        <x:is>
          <x:t xml:space="preserve">TODO: link Colab/Python artifact or mark not tested.</x:t>
        </x:is>
      </x:c>
      <x:c r="N264" s="38" t="inlineStr">
        <x:is>
          <x:t xml:space="preserve">TODO: link dataset/observation or mark not empirical.</x:t>
        </x:is>
      </x:c>
      <x:c r="O264" s="38" t="inlineStr">
        <x:is>
          <x:t xml:space="preserve">TODO: theological/philosophical interpretation; do not merge with proof.</x:t>
        </x:is>
      </x:c>
      <x:c r="P264" s="38" t="inlineStr">
        <x:is>
          <x:t xml:space="preserve">TODO: formal, dynamical, empirical, or mapping kill condition.</x:t>
        </x:is>
      </x:c>
      <x:c r="Q264" s="39" t="inlineStr">
        <x:is>
          <x:t xml:space="preserve">Downgrade wording or strengthen proof if risk is HIGH; otherwise add evidence links.</x:t>
        </x:is>
      </x:c>
    </x:row>
    <x:row r="265" ht="15" customHeight="1">
      <x:c r="A265" s="37" t="inlineStr">
        <x:is>
          <x:t xml:space="preserve">STAT-11</x:t>
        </x:is>
      </x:c>
      <x:c r="B265" s="38" t="inlineStr">
        <x:is>
          <x:t xml:space="preserve">4 (label honesty, non-injective projection, product-only blindness, coin false positive)</x:t>
        </x:is>
      </x:c>
      <x:c r="C265" s="38" t="inlineStr">
        <x:is>
          <x:t xml:space="preserve">C2 - Structural correspondence candidate</x:t>
        </x:is>
      </x:c>
      <x:c r="D265" s="38" t="inlineStr">
        <x:is>
          <x:t xml:space="preserve">1 - Conceptual seed / open source link</x:t>
        </x:is>
      </x:c>
      <x:c r="E265" s="38" t="inlineStr">
        <x:is>
          <x:t xml:space="preserve">NOT_FOUND_IN_HUB</x:t>
        </x:is>
      </x:c>
      <x:c r="F265" s="38" t="inlineStr">
        <x:is>
          <x:t xml:space="preserve">HIGH - workbook row not found in current central hub Lean files.</x:t>
        </x:is>
      </x:c>
      <x:c r="G265" s="38" t="n"/>
      <x:c r="H265" s="38" t="n"/>
      <x:c r="I265" s="38" t="n"/>
      <x:c r="J265" s="38" t="n"/>
      <x:c r="K265" s="38" t="inlineStr">
        <x:is>
          <x:t xml:space="preserve">TODO: list constructors/definitions/candidate restrictions.</x:t>
        </x:is>
      </x:c>
      <x:c r="L265" s="38" t="inlineStr">
        <x:is>
          <x:t xml:space="preserve">TODO: translate exact Lean statement only.</x:t>
        </x:is>
      </x:c>
      <x:c r="M265" s="38" t="inlineStr">
        <x:is>
          <x:t xml:space="preserve">TODO: link Colab/Python artifact or mark not tested.</x:t>
        </x:is>
      </x:c>
      <x:c r="N265" s="38" t="inlineStr">
        <x:is>
          <x:t xml:space="preserve">TODO: link dataset/observation or mark not empirical.</x:t>
        </x:is>
      </x:c>
      <x:c r="O265" s="38" t="inlineStr">
        <x:is>
          <x:t xml:space="preserve">TODO: theological/philosophical interpretation; do not merge with proof.</x:t>
        </x:is>
      </x:c>
      <x:c r="P265" s="38" t="inlineStr">
        <x:is>
          <x:t xml:space="preserve">TODO: formal, dynamical, empirical, or mapping kill condition.</x:t>
        </x:is>
      </x:c>
      <x:c r="Q265" s="39" t="inlineStr">
        <x:is>
          <x:t xml:space="preserve">Downgrade wording or strengthen proof if risk is HIGH; otherwise add evidence links.</x:t>
        </x:is>
      </x:c>
    </x:row>
    <x:row r="266" ht="15" customHeight="1">
      <x:c r="A266" s="37" t="inlineStr">
        <x:is>
          <x:t xml:space="preserve">DEPS</x:t>
        </x:is>
      </x:c>
      <x:c r="B266" s="38" t="n"/>
      <x:c r="C266" s="38" t="inlineStr">
        <x:is>
          <x:t xml:space="preserve">C2 - Structural correspondence candidate</x:t>
        </x:is>
      </x:c>
      <x:c r="D266" s="38" t="inlineStr">
        <x:is>
          <x:t xml:space="preserve">1 - Conceptual seed / open source link</x:t>
        </x:is>
      </x:c>
      <x:c r="E266" s="38" t="inlineStr">
        <x:is>
          <x:t xml:space="preserve">NOT_FOUND_IN_HUB</x:t>
        </x:is>
      </x:c>
      <x:c r="F266" s="38" t="inlineStr">
        <x:is>
          <x:t xml:space="preserve">HIGH - workbook row not found in current central hub Lean files.</x:t>
        </x:is>
      </x:c>
      <x:c r="G266" s="38" t="n"/>
      <x:c r="H266" s="38" t="n"/>
      <x:c r="I266" s="38" t="n"/>
      <x:c r="J266" s="38" t="n"/>
      <x:c r="K266" s="38" t="inlineStr">
        <x:is>
          <x:t xml:space="preserve">TODO: list constructors/definitions/candidate restrictions.</x:t>
        </x:is>
      </x:c>
      <x:c r="L266" s="38" t="inlineStr">
        <x:is>
          <x:t xml:space="preserve">TODO: translate exact Lean statement only.</x:t>
        </x:is>
      </x:c>
      <x:c r="M266" s="38" t="inlineStr">
        <x:is>
          <x:t xml:space="preserve">TODO: link Colab/Python artifact or mark not tested.</x:t>
        </x:is>
      </x:c>
      <x:c r="N266" s="38" t="inlineStr">
        <x:is>
          <x:t xml:space="preserve">TODO: link dataset/observation or mark not empirical.</x:t>
        </x:is>
      </x:c>
      <x:c r="O266" s="38" t="inlineStr">
        <x:is>
          <x:t xml:space="preserve">TODO: theological/philosophical interpretation; do not merge with proof.</x:t>
        </x:is>
      </x:c>
      <x:c r="P266" s="38" t="inlineStr">
        <x:is>
          <x:t xml:space="preserve">TODO: formal, dynamical, empirical, or mapping kill condition.</x:t>
        </x:is>
      </x:c>
      <x:c r="Q266" s="39" t="inlineStr">
        <x:is>
          <x:t xml:space="preserve">Downgrade wording or strengthen proof if risk is HIGH; otherwise add evidence links.</x:t>
        </x:is>
      </x:c>
    </x:row>
    <x:row r="267" ht="15" customHeight="1">
      <x:c r="A267" s="37" t="inlineStr">
        <x:is>
          <x:t xml:space="preserve">TRUNK</x:t>
        </x:is>
      </x:c>
      <x:c r="B267" s="38" t="n"/>
      <x:c r="C267" s="38" t="inlineStr">
        <x:is>
          <x:t xml:space="preserve">C2 - Structural correspondence candidate</x:t>
        </x:is>
      </x:c>
      <x:c r="D267" s="38" t="inlineStr">
        <x:is>
          <x:t xml:space="preserve">1 - Conceptual seed / open source link</x:t>
        </x:is>
      </x:c>
      <x:c r="E267" s="38" t="inlineStr">
        <x:is>
          <x:t xml:space="preserve">NOT_FOUND_IN_HUB</x:t>
        </x:is>
      </x:c>
      <x:c r="F267" s="38" t="inlineStr">
        <x:is>
          <x:t xml:space="preserve">HIGH - workbook row not found in current central hub Lean files.</x:t>
        </x:is>
      </x:c>
      <x:c r="G267" s="38" t="n"/>
      <x:c r="H267" s="38" t="n"/>
      <x:c r="I267" s="38" t="n"/>
      <x:c r="J267" s="38" t="inlineStr">
        <x:is>
          <x:t xml:space="preserve">The trunk: each layer builds on the previous. Core foundations → Bridge typing → Field controls → Score gating → Polarity → Memory → Sign conversion → Christ operator.</x:t>
        </x:is>
      </x:c>
      <x:c r="K267" s="38" t="inlineStr">
        <x:is>
          <x:t xml:space="preserve">TODO: list constructors/definitions/candidate restrictions.</x:t>
        </x:is>
      </x:c>
      <x:c r="L267" s="38" t="inlineStr">
        <x:is>
          <x:t xml:space="preserve">TODO: translate exact Lean statement only.</x:t>
        </x:is>
      </x:c>
      <x:c r="M267" s="38" t="inlineStr">
        <x:is>
          <x:t xml:space="preserve">TODO: link Colab/Python artifact or mark not tested.</x:t>
        </x:is>
      </x:c>
      <x:c r="N267" s="38" t="inlineStr">
        <x:is>
          <x:t xml:space="preserve">TODO: link dataset/observation or mark not empirical.</x:t>
        </x:is>
      </x:c>
      <x:c r="O267" s="38" t="inlineStr">
        <x:is>
          <x:t xml:space="preserve">TODO: theological/philosophical interpretation; do not merge with proof.</x:t>
        </x:is>
      </x:c>
      <x:c r="P267" s="38" t="inlineStr">
        <x:is>
          <x:t xml:space="preserve">TODO: formal, dynamical, empirical, or mapping kill condition.</x:t>
        </x:is>
      </x:c>
      <x:c r="Q267" s="39" t="inlineStr">
        <x:is>
          <x:t xml:space="preserve">Downgrade wording or strengthen proof if risk is HIGH; otherwise add evidence links.</x:t>
        </x:is>
      </x:c>
    </x:row>
    <x:row r="268" ht="15" customHeight="1">
      <x:c r="A268" s="37" t="inlineStr">
        <x:is>
          <x:t xml:space="preserve">BRANCH-1</x:t>
        </x:is>
      </x:c>
      <x:c r="B268" s="38" t="n"/>
      <x:c r="C268" s="38" t="inlineStr">
        <x:is>
          <x:t xml:space="preserve">C2 - Structural correspondence candidate</x:t>
        </x:is>
      </x:c>
      <x:c r="D268" s="38" t="inlineStr">
        <x:is>
          <x:t xml:space="preserve">1 - Conceptual seed / open source link</x:t>
        </x:is>
      </x:c>
      <x:c r="E268" s="38" t="inlineStr">
        <x:is>
          <x:t xml:space="preserve">NOT_FOUND_IN_HUB</x:t>
        </x:is>
      </x:c>
      <x:c r="F268" s="38" t="inlineStr">
        <x:is>
          <x:t xml:space="preserve">HIGH - workbook row not found in current central hub Lean files.</x:t>
        </x:is>
      </x:c>
      <x:c r="G268" s="38" t="n"/>
      <x:c r="H268" s="38" t="n"/>
      <x:c r="I268" s="38" t="n"/>
      <x:c r="J268" s="38" t="inlineStr">
        <x:is>
          <x:t xml:space="preserve">HitRate imports ChristOperator. Statistical integrity sits on top of the operator.</x:t>
        </x:is>
      </x:c>
      <x:c r="K268" s="38" t="inlineStr">
        <x:is>
          <x:t xml:space="preserve">TODO: list constructors/definitions/candidate restrictions.</x:t>
        </x:is>
      </x:c>
      <x:c r="L268" s="38" t="inlineStr">
        <x:is>
          <x:t xml:space="preserve">TODO: translate exact Lean statement only.</x:t>
        </x:is>
      </x:c>
      <x:c r="M268" s="38" t="inlineStr">
        <x:is>
          <x:t xml:space="preserve">TODO: link Colab/Python artifact or mark not tested.</x:t>
        </x:is>
      </x:c>
      <x:c r="N268" s="38" t="inlineStr">
        <x:is>
          <x:t xml:space="preserve">TODO: link dataset/observation or mark not empirical.</x:t>
        </x:is>
      </x:c>
      <x:c r="O268" s="38" t="inlineStr">
        <x:is>
          <x:t xml:space="preserve">TODO: theological/philosophical interpretation; do not merge with proof.</x:t>
        </x:is>
      </x:c>
      <x:c r="P268" s="38" t="inlineStr">
        <x:is>
          <x:t xml:space="preserve">TODO: formal, dynamical, empirical, or mapping kill condition.</x:t>
        </x:is>
      </x:c>
      <x:c r="Q268" s="39" t="inlineStr">
        <x:is>
          <x:t xml:space="preserve">Downgrade wording or strengthen proof if risk is HIGH; otherwise add evidence links.</x:t>
        </x:is>
      </x:c>
    </x:row>
    <x:row r="269" ht="15" customHeight="1">
      <x:c r="A269" s="37" t="inlineStr">
        <x:is>
          <x:t xml:space="preserve">BRANCH-2</x:t>
        </x:is>
      </x:c>
      <x:c r="B269" s="38" t="n"/>
      <x:c r="C269" s="38" t="inlineStr">
        <x:is>
          <x:t xml:space="preserve">C2 - Structural correspondence candidate</x:t>
        </x:is>
      </x:c>
      <x:c r="D269" s="38" t="inlineStr">
        <x:is>
          <x:t xml:space="preserve">1 - Conceptual seed / open source link</x:t>
        </x:is>
      </x:c>
      <x:c r="E269" s="38" t="inlineStr">
        <x:is>
          <x:t xml:space="preserve">NOT_FOUND_IN_HUB</x:t>
        </x:is>
      </x:c>
      <x:c r="F269" s="38" t="inlineStr">
        <x:is>
          <x:t xml:space="preserve">HIGH - workbook row not found in current central hub Lean files.</x:t>
        </x:is>
      </x:c>
      <x:c r="G269" s="38" t="n"/>
      <x:c r="H269" s="38" t="n"/>
      <x:c r="I269" s="38" t="n"/>
      <x:c r="J269" s="38" t="inlineStr">
        <x:is>
          <x:t xml:space="preserve">MissionReturn imports ChristOperator. Resurrection architecture builds on the conversion operator.</x:t>
        </x:is>
      </x:c>
      <x:c r="K269" s="38" t="inlineStr">
        <x:is>
          <x:t xml:space="preserve">TODO: list constructors/definitions/candidate restrictions.</x:t>
        </x:is>
      </x:c>
      <x:c r="L269" s="38" t="inlineStr">
        <x:is>
          <x:t xml:space="preserve">TODO: translate exact Lean statement only.</x:t>
        </x:is>
      </x:c>
      <x:c r="M269" s="38" t="inlineStr">
        <x:is>
          <x:t xml:space="preserve">TODO: link Colab/Python artifact or mark not tested.</x:t>
        </x:is>
      </x:c>
      <x:c r="N269" s="38" t="inlineStr">
        <x:is>
          <x:t xml:space="preserve">TODO: link dataset/observation or mark not empirical.</x:t>
        </x:is>
      </x:c>
      <x:c r="O269" s="38" t="inlineStr">
        <x:is>
          <x:t xml:space="preserve">TODO: theological/philosophical interpretation; do not merge with proof.</x:t>
        </x:is>
      </x:c>
      <x:c r="P269" s="38" t="inlineStr">
        <x:is>
          <x:t xml:space="preserve">TODO: formal, dynamical, empirical, or mapping kill condition.</x:t>
        </x:is>
      </x:c>
      <x:c r="Q269" s="39" t="inlineStr">
        <x:is>
          <x:t xml:space="preserve">Downgrade wording or strengthen proof if risk is HIGH; otherwise add evidence links.</x:t>
        </x:is>
      </x:c>
    </x:row>
    <x:row r="270" ht="15" customHeight="1">
      <x:c r="A270" s="37" t="inlineStr">
        <x:is>
          <x:t xml:space="preserve">BRANCH-3</x:t>
        </x:is>
      </x:c>
      <x:c r="B270" s="38" t="n"/>
      <x:c r="C270" s="38" t="inlineStr">
        <x:is>
          <x:t xml:space="preserve">C2 - Structural correspondence candidate</x:t>
        </x:is>
      </x:c>
      <x:c r="D270" s="38" t="inlineStr">
        <x:is>
          <x:t xml:space="preserve">1 - Conceptual seed / open source link</x:t>
        </x:is>
      </x:c>
      <x:c r="E270" s="38" t="inlineStr">
        <x:is>
          <x:t xml:space="preserve">NOT_FOUND_IN_HUB</x:t>
        </x:is>
      </x:c>
      <x:c r="F270" s="38" t="inlineStr">
        <x:is>
          <x:t xml:space="preserve">HIGH - workbook row not found in current central hub Lean files.</x:t>
        </x:is>
      </x:c>
      <x:c r="G270" s="38" t="n"/>
      <x:c r="H270" s="38" t="n"/>
      <x:c r="I270" s="38" t="n"/>
      <x:c r="J270" s="38" t="inlineStr">
        <x:is>
          <x:t xml:space="preserve">Invariance imports BridgeMatrix directly. Product + signature invariance.</x:t>
        </x:is>
      </x:c>
      <x:c r="K270" s="38" t="inlineStr">
        <x:is>
          <x:t xml:space="preserve">TODO: list constructors/definitions/candidate restrictions.</x:t>
        </x:is>
      </x:c>
      <x:c r="L270" s="38" t="inlineStr">
        <x:is>
          <x:t xml:space="preserve">TODO: translate exact Lean statement only.</x:t>
        </x:is>
      </x:c>
      <x:c r="M270" s="38" t="inlineStr">
        <x:is>
          <x:t xml:space="preserve">TODO: link Colab/Python artifact or mark not tested.</x:t>
        </x:is>
      </x:c>
      <x:c r="N270" s="38" t="inlineStr">
        <x:is>
          <x:t xml:space="preserve">TODO: link dataset/observation or mark not empirical.</x:t>
        </x:is>
      </x:c>
      <x:c r="O270" s="38" t="inlineStr">
        <x:is>
          <x:t xml:space="preserve">TODO: theological/philosophical interpretation; do not merge with proof.</x:t>
        </x:is>
      </x:c>
      <x:c r="P270" s="38" t="inlineStr">
        <x:is>
          <x:t xml:space="preserve">TODO: formal, dynamical, empirical, or mapping kill condition.</x:t>
        </x:is>
      </x:c>
      <x:c r="Q270" s="39" t="inlineStr">
        <x:is>
          <x:t xml:space="preserve">Downgrade wording or strengthen proof if risk is HIGH; otherwise add evidence links.</x:t>
        </x:is>
      </x:c>
    </x:row>
    <x:row r="271" ht="15" customHeight="1">
      <x:c r="A271" s="40" t="inlineStr">
        <x:is>
          <x:t xml:space="preserve">STANDALONE</x:t>
        </x:is>
      </x:c>
      <x:c r="B271" s="41" t="n"/>
      <x:c r="C271" s="41" t="inlineStr">
        <x:is>
          <x:t xml:space="preserve">C2 - Structural correspondence candidate</x:t>
        </x:is>
      </x:c>
      <x:c r="D271" s="41" t="inlineStr">
        <x:is>
          <x:t xml:space="preserve">1 - Conceptual seed / open source link</x:t>
        </x:is>
      </x:c>
      <x:c r="E271" s="41" t="inlineStr">
        <x:is>
          <x:t xml:space="preserve">NOT_FOUND_IN_HUB</x:t>
        </x:is>
      </x:c>
      <x:c r="F271" s="41" t="inlineStr">
        <x:is>
          <x:t xml:space="preserve">HIGH - workbook row not found in current central hub Lean files.</x:t>
        </x:is>
      </x:c>
      <x:c r="G271" s="41" t="n"/>
      <x:c r="H271" s="41" t="n"/>
      <x:c r="I271" s="41" t="n"/>
      <x:c r="J271" s="41" t="inlineStr">
        <x:is>
          <x:t xml:space="preserve">Six standalone files. Each proves its claims without depending on the trunk. JusticeMercy + MaxwellTrinity are the strongest standalone results.</x:t>
        </x:is>
      </x:c>
      <x:c r="K271" s="41" t="inlineStr">
        <x:is>
          <x:t xml:space="preserve">TODO: list constructors/definitions/candidate restrictions.</x:t>
        </x:is>
      </x:c>
      <x:c r="L271" s="41" t="inlineStr">
        <x:is>
          <x:t xml:space="preserve">TODO: translate exact Lean statement only.</x:t>
        </x:is>
      </x:c>
      <x:c r="M271" s="41" t="inlineStr">
        <x:is>
          <x:t xml:space="preserve">TODO: link Colab/Python artifact or mark not tested.</x:t>
        </x:is>
      </x:c>
      <x:c r="N271" s="41" t="inlineStr">
        <x:is>
          <x:t xml:space="preserve">TODO: link dataset/observation or mark not empirical.</x:t>
        </x:is>
      </x:c>
      <x:c r="O271" s="41" t="inlineStr">
        <x:is>
          <x:t xml:space="preserve">TODO: theological/philosophical interpretation; do not merge with proof.</x:t>
        </x:is>
      </x:c>
      <x:c r="P271" s="41" t="inlineStr">
        <x:is>
          <x:t xml:space="preserve">TODO: formal, dynamical, empirical, or mapping kill condition.</x:t>
        </x:is>
      </x:c>
      <x:c r="Q271" s="42" t="inlineStr">
        <x:is>
          <x:t xml:space="preserve">Downgrade wording or strengthen proof if risk is HIGH; otherwise add evidence links.</x:t>
        </x:is>
      </x:c>
    </x:row>
  </x:sheetData>
  <x:pageMargins left="0.7" right="0.7" top="0.75" bottom="0.75" header="0.3" footer="0.3"/>
</x:worksheet>
</file>

<file path=xl/worksheets/sheet22.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8" width="24.44140625" style="49" customWidth="1"/>
    <x:col min="9" max="16384" width="8.88671875" style="49" customWidth="1"/>
  </x:cols>
  <x:sheetData>
    <x:row r="1" ht="15" customHeight="1">
      <x:c r="A1" s="34" t="inlineStr">
        <x:is>
          <x:t xml:space="preserve">repo</x:t>
        </x:is>
      </x:c>
      <x:c r="B1" s="35" t="inlineStr">
        <x:is>
          <x:t xml:space="preserve">file</x:t>
        </x:is>
      </x:c>
      <x:c r="C1" s="35" t="inlineStr">
        <x:is>
          <x:t xml:space="preserve">line</x:t>
        </x:is>
      </x:c>
      <x:c r="D1" s="35" t="inlineStr">
        <x:is>
          <x:t xml:space="preserve">name</x:t>
        </x:is>
      </x:c>
      <x:c r="E1" s="35" t="inlineStr">
        <x:is>
          <x:t xml:space="preserve">statement</x:t>
        </x:is>
      </x:c>
      <x:c r="F1" s="35" t="inlineStr">
        <x:is>
          <x:t xml:space="preserve">proof_head</x:t>
        </x:is>
      </x:c>
      <x:c r="G1" s="35" t="inlineStr">
        <x:is>
          <x:t xml:space="preserve">proof_strength</x:t>
        </x:is>
      </x:c>
      <x:c r="H1" s="36" t="inlineStr">
        <x:is>
          <x:t xml:space="preserve">risk_note</x:t>
        </x:is>
      </x:c>
    </x:row>
    <x:row r="2" ht="15" customHeight="1">
      <x:c r="A2" s="37" t="inlineStr">
        <x:is>
          <x:t xml:space="preserve">Faith-Thru-Physics-Lean-4--main</x:t>
        </x:is>
      </x:c>
      <x:c r="B2" s="38" t="inlineStr">
        <x:is>
          <x:t xml:space="preserve">Faith-Thru-Physics-Lean-4--main\Faith-Thru-Physics-Lean-4--main\ADVERSARIAL\Theophysics_Adversarial.lean</x:t>
        </x:is>
      </x:c>
      <x:c r="C2" s="38" t="inlineStr">
        <x:is>
          <x:t xml:space="preserve">27</x:t>
        </x:is>
      </x:c>
      <x:c r="D2" s="38" t="inlineStr">
        <x:is>
          <x:t xml:space="preserve">no_grace_faith_signature_alias</x:t>
        </x:is>
      </x:c>
      <x:c r="E2" s="38" t="inlineStr">
        <x:is>
          <x:t xml:space="preserve">theorem no_grace_faith_signature_alias : ¬ (signatureOfFactor Factor.G = signatureOfFactor Factor.F)</x:t>
        </x:is>
      </x:c>
      <x:c r="F2" s="38" t="inlineStr">
        <x:is>
          <x:t xml:space="preserve">:= by simpa [grace_swapped_with_faith_invalid] using (grace_swapped_with_faith_invalid : signatureOfFactor Factor.G ≠ signatureOfFactor Factor.F)</x:t>
        </x:is>
      </x:c>
      <x:c r="G2" s="38" t="inlineStr">
        <x:is>
          <x:t xml:space="preserve">WRAPPER_OR_IMPORTED</x:t>
        </x:is>
      </x:c>
      <x:c r="H2" s="39" t="inlineStr">
        <x:is>
          <x:t xml:space="preserve">Likely delegates to another theorem; cite underlying theorem too.</x:t>
        </x:is>
      </x:c>
    </x:row>
    <x:row r="3" ht="15" customHeight="1">
      <x:c r="A3" s="37" t="inlineStr">
        <x:is>
          <x:t xml:space="preserve">Faith-Thru-Physics-Lean-4--main</x:t>
        </x:is>
      </x:c>
      <x:c r="B3" s="38" t="inlineStr">
        <x:is>
          <x:t xml:space="preserve">Faith-Thru-Physics-Lean-4--main\Faith-Thru-Physics-Lean-4--main\ADVERSARIAL\Theophysics_Adversarial.lean</x:t>
        </x:is>
      </x:c>
      <x:c r="C3" s="38" t="inlineStr">
        <x:is>
          <x:t xml:space="preserve">32</x:t>
        </x:is>
      </x:c>
      <x:c r="D3" s="38" t="inlineStr">
        <x:is>
          <x:t xml:space="preserve">no_entropy_grace_signature_alias</x:t>
        </x:is>
      </x:c>
      <x:c r="E3" s="38" t="inlineStr">
        <x:is>
          <x:t xml:space="preserve">theorem no_entropy_grace_signature_alias : ¬ (signatureOfFactor Factor.S = signatureOfFactor Factor.G)</x:t>
        </x:is>
      </x:c>
      <x:c r="F3" s="38" t="inlineStr">
        <x:is>
          <x:t xml:space="preserve">:= by simpa [entropy_swapped_with_grace_invalid] using (entropy_swapped_with_grace_invalid : signatureOfFactor Factor.S ≠ signatureOfFactor Factor.G)</x:t>
        </x:is>
      </x:c>
      <x:c r="G3" s="38" t="inlineStr">
        <x:is>
          <x:t xml:space="preserve">WRAPPER_OR_IMPORTED</x:t>
        </x:is>
      </x:c>
      <x:c r="H3" s="39" t="inlineStr">
        <x:is>
          <x:t xml:space="preserve">Likely delegates to another theorem; cite underlying theorem too.</x:t>
        </x:is>
      </x:c>
    </x:row>
    <x:row r="4" ht="15" customHeight="1">
      <x:c r="A4" s="37" t="inlineStr">
        <x:is>
          <x:t xml:space="preserve">Faith-Thru-Physics-Lean-4--main</x:t>
        </x:is>
      </x:c>
      <x:c r="B4" s="38" t="inlineStr">
        <x:is>
          <x:t xml:space="preserve">Faith-Thru-Physics-Lean-4--main\Faith-Thru-Physics-Lean-4--main\ADVERSARIAL\Theophysics_Adversarial.lean</x:t>
        </x:is>
      </x:c>
      <x:c r="C4" s="38" t="inlineStr">
        <x:is>
          <x:t xml:space="preserve">37</x:t>
        </x:is>
      </x:c>
      <x:c r="D4" s="38" t="inlineStr">
        <x:is>
          <x:t xml:space="preserve">no_compression_communion_signature_alias</x:t>
        </x:is>
      </x:c>
      <x:c r="E4" s="38" t="inlineStr">
        <x:is>
          <x:t xml:space="preserve">theorem no_compression_communion_signature_alias : ¬ (signatureOfFactor Factor.K = signatureOfFactor Factor.F)</x:t>
        </x:is>
      </x:c>
      <x:c r="F4" s="38" t="inlineStr">
        <x:is>
          <x:t xml:space="preserve">:= by simpa using (compression_swapped_with_communion_invalid : signatureOfFactor Factor.K ≠ signatureOfFactor Factor.F) -- Coherence-spine adversarial controls. #check_failure (show coherent coerciveOrder = true from by rfl) #check_failure (show isActiveDiscoherence passiveEntropySlope = true from by rfl) #check_failure (show canRestore closedWithoutInput = true from by rfl) #check_failure (show structuredScar randomGap = true from by rfl) #check_failure (show fractured indeterminateOnly = true</x:t>
        </x:is>
      </x:c>
      <x:c r="G4" s="38" t="inlineStr">
        <x:is>
          <x:t xml:space="preserve">WRAPPER_OR_IMPORTED</x:t>
        </x:is>
      </x:c>
      <x:c r="H4" s="39" t="inlineStr">
        <x:is>
          <x:t xml:space="preserve">Likely delegates to another theorem; cite underlying theorem too.</x:t>
        </x:is>
      </x:c>
    </x:row>
    <x:row r="5" ht="15" customHeight="1">
      <x:c r="A5" s="37" t="inlineStr">
        <x:is>
          <x:t xml:space="preserve">Faith-Thru-Physics-Lean-4--main</x:t>
        </x:is>
      </x:c>
      <x:c r="B5" s="38" t="inlineStr">
        <x:is>
          <x:t xml:space="preserve">Faith-Thru-Physics-Lean-4--main\Faith-Thru-Physics-Lean-4--main\ADVERSARIAL\Theophysics_Adversarial.lean</x:t>
        </x:is>
      </x:c>
      <x:c r="C5" s="38" t="inlineStr">
        <x:is>
          <x:t xml:space="preserve">56</x:t>
        </x:is>
      </x:c>
      <x:c r="D5" s="38" t="inlineStr">
        <x:is>
          <x:t xml:space="preserve">no_mere_order_as_full_coherence</x:t>
        </x:is>
      </x:c>
      <x:c r="E5" s="38" t="inlineStr">
        <x:is>
          <x:t xml:space="preserve">theorem no_mere_order_as_full_coherence : coherent coerciveOrder = false := Theophysics.Coherence.coercive_order_is_not_full_coherence</x:t>
        </x:is>
      </x:c>
      <x:c r="F5" s="38" t="n"/>
      <x:c r="G5" s="38" t="inlineStr">
        <x:is>
          <x:t xml:space="preserve">DECLARATION_OR_UNKNOWN</x:t>
        </x:is>
      </x:c>
      <x:c r="H5" s="39" t="inlineStr">
        <x:is>
          <x:t xml:space="preserve">Could not classify from first proof lines.</x:t>
        </x:is>
      </x:c>
    </x:row>
    <x:row r="6" ht="15" customHeight="1">
      <x:c r="A6" s="37" t="inlineStr">
        <x:is>
          <x:t xml:space="preserve">Faith-Thru-Physics-Lean-4--main</x:t>
        </x:is>
      </x:c>
      <x:c r="B6" s="38" t="inlineStr">
        <x:is>
          <x:t xml:space="preserve">Faith-Thru-Physics-Lean-4--main\Faith-Thru-Physics-Lean-4--main\ADVERSARIAL\Theophysics_Adversarial.lean</x:t>
        </x:is>
      </x:c>
      <x:c r="C6" s="38" t="inlineStr">
        <x:is>
          <x:t xml:space="preserve">60</x:t>
        </x:is>
      </x:c>
      <x:c r="D6" s="38" t="inlineStr">
        <x:is>
          <x:t xml:space="preserve">no_passive_entropy_as_active_evil</x:t>
        </x:is>
      </x:c>
      <x:c r="E6" s="38" t="inlineStr">
        <x:is>
          <x:t xml:space="preserve">theorem no_passive_entropy_as_active_evil : isActiveDiscoherence passiveEntropySlope = false := Theophysics.Coherence.passive_decay_is_not_active_discoherence</x:t>
        </x:is>
      </x:c>
      <x:c r="F6" s="38" t="n"/>
      <x:c r="G6" s="38" t="inlineStr">
        <x:is>
          <x:t xml:space="preserve">DECLARATION_OR_UNKNOWN</x:t>
        </x:is>
      </x:c>
      <x:c r="H6" s="39" t="inlineStr">
        <x:is>
          <x:t xml:space="preserve">Could not classify from first proof lines.</x:t>
        </x:is>
      </x:c>
    </x:row>
    <x:row r="7" ht="15" customHeight="1">
      <x:c r="A7" s="37" t="inlineStr">
        <x:is>
          <x:t xml:space="preserve">Faith-Thru-Physics-Lean-4--main</x:t>
        </x:is>
      </x:c>
      <x:c r="B7" s="38" t="inlineStr">
        <x:is>
          <x:t xml:space="preserve">Faith-Thru-Physics-Lean-4--main\Faith-Thru-Physics-Lean-4--main\ADVERSARIAL\Theophysics_Adversarial.lean</x:t>
        </x:is>
      </x:c>
      <x:c r="C7" s="38" t="inlineStr">
        <x:is>
          <x:t xml:space="preserve">64</x:t>
        </x:is>
      </x:c>
      <x:c r="D7" s="38" t="inlineStr">
        <x:is>
          <x:t xml:space="preserve">no_closed_system_self_restoration</x:t>
        </x:is>
      </x:c>
      <x:c r="E7" s="38" t="inlineStr">
        <x:is>
          <x:t xml:space="preserve">theorem no_closed_system_self_restoration : canRestore closedWithoutInput = false := Theophysics.Coherence.closed_without_input_cannot_restore</x:t>
        </x:is>
      </x:c>
      <x:c r="F7" s="38" t="n"/>
      <x:c r="G7" s="38" t="inlineStr">
        <x:is>
          <x:t xml:space="preserve">DECLARATION_OR_UNKNOWN</x:t>
        </x:is>
      </x:c>
      <x:c r="H7" s="39" t="inlineStr">
        <x:is>
          <x:t xml:space="preserve">Could not classify from first proof lines.</x:t>
        </x:is>
      </x:c>
    </x:row>
    <x:row r="8" ht="15" customHeight="1">
      <x:c r="A8" s="37" t="inlineStr">
        <x:is>
          <x:t xml:space="preserve">Faith-Thru-Physics-Lean-4--main</x:t>
        </x:is>
      </x:c>
      <x:c r="B8" s="38" t="inlineStr">
        <x:is>
          <x:t xml:space="preserve">Faith-Thru-Physics-Lean-4--main\Faith-Thru-Physics-Lean-4--main\ADVERSARIAL\Theophysics_Adversarial.lean</x:t>
        </x:is>
      </x:c>
      <x:c r="C8" s="38" t="inlineStr">
        <x:is>
          <x:t xml:space="preserve">68</x:t>
        </x:is>
      </x:c>
      <x:c r="D8" s="38" t="inlineStr">
        <x:is>
          <x:t xml:space="preserve">no_random_gap_as_structured_scar</x:t>
        </x:is>
      </x:c>
      <x:c r="E8" s="38" t="inlineStr">
        <x:is>
          <x:t xml:space="preserve">theorem no_random_gap_as_structured_scar : structuredScar randomGap = false := Theophysics.Fracture.random_gap_is_not_structured_scar</x:t>
        </x:is>
      </x:c>
      <x:c r="F8" s="38" t="n"/>
      <x:c r="G8" s="38" t="inlineStr">
        <x:is>
          <x:t xml:space="preserve">DECLARATION_OR_UNKNOWN</x:t>
        </x:is>
      </x:c>
      <x:c r="H8" s="39" t="inlineStr">
        <x:is>
          <x:t xml:space="preserve">Could not classify from first proof lines.</x:t>
        </x:is>
      </x:c>
    </x:row>
    <x:row r="9" ht="15" customHeight="1">
      <x:c r="A9" s="37" t="inlineStr">
        <x:is>
          <x:t xml:space="preserve">Faith-Thru-Physics-Lean-4--main</x:t>
        </x:is>
      </x:c>
      <x:c r="B9" s="38" t="inlineStr">
        <x:is>
          <x:t xml:space="preserve">Faith-Thru-Physics-Lean-4--main\Faith-Thru-Physics-Lean-4--main\ADVERSARIAL\Theophysics_Adversarial.lean</x:t>
        </x:is>
      </x:c>
      <x:c r="C9" s="38" t="inlineStr">
        <x:is>
          <x:t xml:space="preserve">72</x:t>
        </x:is>
      </x:c>
      <x:c r="D9" s="38" t="inlineStr">
        <x:is>
          <x:t xml:space="preserve">no_local_indeterminacy_alone_as_fracture</x:t>
        </x:is>
      </x:c>
      <x:c r="E9" s="38" t="inlineStr">
        <x:is>
          <x:t xml:space="preserve">theorem no_local_indeterminacy_alone_as_fracture : fractured indeterminateOnly = false := Theophysics.Fracture.local_indeterminacy_alone_is_not_fracture</x:t>
        </x:is>
      </x:c>
      <x:c r="F9" s="38" t="n"/>
      <x:c r="G9" s="38" t="inlineStr">
        <x:is>
          <x:t xml:space="preserve">DECLARATION_OR_UNKNOWN</x:t>
        </x:is>
      </x:c>
      <x:c r="H9" s="39" t="inlineStr">
        <x:is>
          <x:t xml:space="preserve">Could not classify from first proof lines.</x:t>
        </x:is>
      </x:c>
    </x:row>
    <x:row r="10" ht="15" customHeight="1">
      <x:c r="A10" s="37" t="inlineStr">
        <x:is>
          <x:t xml:space="preserve">Faith-Thru-Physics-Lean-4--main</x:t>
        </x:is>
      </x:c>
      <x:c r="B10" s="38" t="inlineStr">
        <x:is>
          <x:t xml:space="preserve">Faith-Thru-Physics-Lean-4--main\Faith-Thru-Physics-Lean-4--main\ADVERSARIAL\Theophysics_Adversarial.lean</x:t>
        </x:is>
      </x:c>
      <x:c r="C10" s="38" t="inlineStr">
        <x:is>
          <x:t xml:space="preserve">76</x:t>
        </x:is>
      </x:c>
      <x:c r="D10" s="38" t="inlineStr">
        <x:is>
          <x:t xml:space="preserve">no_fracture_repair_without_restoration</x:t>
        </x:is>
      </x:c>
      <x:c r="E10" s="38" t="inlineStr">
        <x:is>
          <x:t xml:space="preserve">theorem no_fracture_repair_without_restoration : repairable structuredFracture = false := Theophysics.Fracture.fracture_without_restoration_is_not_repairable</x:t>
        </x:is>
      </x:c>
      <x:c r="F10" s="38" t="n"/>
      <x:c r="G10" s="38" t="inlineStr">
        <x:is>
          <x:t xml:space="preserve">DECLARATION_OR_UNKNOWN</x:t>
        </x:is>
      </x:c>
      <x:c r="H10" s="39" t="inlineStr">
        <x:is>
          <x:t xml:space="preserve">Could not classify from first proof lines.</x:t>
        </x:is>
      </x:c>
    </x:row>
    <x:row r="11" ht="15" customHeight="1">
      <x:c r="A11" s="37" t="inlineStr">
        <x:is>
          <x:t xml:space="preserve">Faith-Thru-Physics-Lean-4--main</x:t>
        </x:is>
      </x:c>
      <x:c r="B11" s="38" t="inlineStr">
        <x:is>
          <x:t xml:space="preserve">Faith-Thru-Physics-Lean-4--main\Faith-Thru-Physics-Lean-4--main\ADVERSARIAL\Theophysics_Adversarial.lean</x:t>
        </x:is>
      </x:c>
      <x:c r="C11" s="38" t="inlineStr">
        <x:is>
          <x:t xml:space="preserve">80</x:t>
        </x:is>
      </x:c>
      <x:c r="D11" s="38" t="inlineStr">
        <x:is>
          <x:t xml:space="preserve">no_separation_only_as_fall</x:t>
        </x:is>
      </x:c>
      <x:c r="E11" s="38" t="inlineStr">
        <x:is>
          <x:t xml:space="preserve">theorem no_separation_only_as_fall : fallActivated separatedOnly = false := Theophysics.Fall.separation_alone_is_not_fall</x:t>
        </x:is>
      </x:c>
      <x:c r="F11" s="38" t="n"/>
      <x:c r="G11" s="38" t="inlineStr">
        <x:is>
          <x:t xml:space="preserve">DECLARATION_OR_UNKNOWN</x:t>
        </x:is>
      </x:c>
      <x:c r="H11" s="39" t="inlineStr">
        <x:is>
          <x:t xml:space="preserve">Could not classify from first proof lines.</x:t>
        </x:is>
      </x:c>
    </x:row>
    <x:row r="12" ht="15" customHeight="1">
      <x:c r="A12" s="37" t="inlineStr">
        <x:is>
          <x:t xml:space="preserve">Faith-Thru-Physics-Lean-4--main</x:t>
        </x:is>
      </x:c>
      <x:c r="B12" s="38" t="inlineStr">
        <x:is>
          <x:t xml:space="preserve">Faith-Thru-Physics-Lean-4--main\Faith-Thru-Physics-Lean-4--main\ADVERSARIAL\Theophysics_Adversarial.lean</x:t>
        </x:is>
      </x:c>
      <x:c r="C12" s="38" t="inlineStr">
        <x:is>
          <x:t xml:space="preserve">84</x:t>
        </x:is>
      </x:c>
      <x:c r="D12" s="38" t="inlineStr">
        <x:is>
          <x:t xml:space="preserve">no_coupling_without_entanglement_as_fall</x:t>
        </x:is>
      </x:c>
      <x:c r="E12" s="38" t="inlineStr">
        <x:is>
          <x:t xml:space="preserve">theorem no_coupling_without_entanglement_as_fall : fallActivated coupledOnly = false := Theophysics.Fall.coupling_without_entanglement_is_not_fall</x:t>
        </x:is>
      </x:c>
      <x:c r="F12" s="38" t="n"/>
      <x:c r="G12" s="38" t="inlineStr">
        <x:is>
          <x:t xml:space="preserve">DECLARATION_OR_UNKNOWN</x:t>
        </x:is>
      </x:c>
      <x:c r="H12" s="39" t="inlineStr">
        <x:is>
          <x:t xml:space="preserve">Could not classify from first proof lines.</x:t>
        </x:is>
      </x:c>
    </x:row>
    <x:row r="13" ht="15" customHeight="1">
      <x:c r="A13" s="37" t="inlineStr">
        <x:is>
          <x:t xml:space="preserve">Faith-Thru-Physics-Lean-4--main</x:t>
        </x:is>
      </x:c>
      <x:c r="B13" s="38" t="inlineStr">
        <x:is>
          <x:t xml:space="preserve">Faith-Thru-Physics-Lean-4--main\Faith-Thru-Physics-Lean-4--main\ADVERSARIAL\Theophysics_Adversarial.lean</x:t>
        </x:is>
      </x:c>
      <x:c r="C13" s="38" t="inlineStr">
        <x:is>
          <x:t xml:space="preserve">88</x:t>
        </x:is>
      </x:c>
      <x:c r="D13" s="38" t="inlineStr">
        <x:is>
          <x:t xml:space="preserve">no_fall_sustained_without_grace_floor</x:t>
        </x:is>
      </x:c>
      <x:c r="E13" s="38" t="inlineStr">
        <x:is>
          <x:t xml:space="preserve">theorem no_fall_sustained_without_grace_floor : sustainedAfterFall fullFallWithoutGraceFloor = false := Theophysics.Fall.full_fall_without_grace_floor_not_sustained</x:t>
        </x:is>
      </x:c>
      <x:c r="F13" s="38" t="n"/>
      <x:c r="G13" s="38" t="inlineStr">
        <x:is>
          <x:t xml:space="preserve">DECLARATION_OR_UNKNOWN</x:t>
        </x:is>
      </x:c>
      <x:c r="H13" s="39" t="inlineStr">
        <x:is>
          <x:t xml:space="preserve">Could not classify from first proof lines.</x:t>
        </x:is>
      </x:c>
    </x:row>
    <x:row r="14" ht="15" customHeight="1">
      <x:c r="A14" s="37" t="inlineStr">
        <x:is>
          <x:t xml:space="preserve">Faith-Thru-Physics-Lean-4--main</x:t>
        </x:is>
      </x:c>
      <x:c r="B14" s="38" t="inlineStr">
        <x:is>
          <x:t xml:space="preserve">Faith-Thru-Physics-Lean-4--main\Faith-Thru-Physics-Lean-4--main\ADVERSARIAL\Theophysics_Adversarial.lean</x:t>
        </x:is>
      </x:c>
      <x:c r="C14" s="38" t="inlineStr">
        <x:is>
          <x:t xml:space="preserve">92</x:t>
        </x:is>
      </x:c>
      <x:c r="D14" s="38" t="inlineStr">
        <x:is>
          <x:t xml:space="preserve">no_coercive_claim_as_coherent_product</x:t>
        </x:is>
      </x:c>
      <x:c r="E14" s="38" t="inlineStr">
        <x:is>
          <x:t xml:space="preserve">theorem no_coercive_claim_as_coherent_product : collapsed coerciveClaim = true := Theophysics.ChiEvaluator.coercive_claim_collapses</x:t>
        </x:is>
      </x:c>
      <x:c r="F14" s="38" t="n"/>
      <x:c r="G14" s="38" t="inlineStr">
        <x:is>
          <x:t xml:space="preserve">DECLARATION_OR_UNKNOWN</x:t>
        </x:is>
      </x:c>
      <x:c r="H14" s="39" t="inlineStr">
        <x:is>
          <x:t xml:space="preserve">Could not classify from first proof lines.</x:t>
        </x:is>
      </x:c>
    </x:row>
    <x:row r="15" ht="15" customHeight="1">
      <x:c r="A15" s="37" t="inlineStr">
        <x:is>
          <x:t xml:space="preserve">Faith-Thru-Physics-Lean-4--main</x:t>
        </x:is>
      </x:c>
      <x:c r="B15" s="38" t="inlineStr">
        <x:is>
          <x:t xml:space="preserve">Faith-Thru-Physics-Lean-4--main\Faith-Thru-Physics-Lean-4--main\ADVERSARIAL\Theophysics_Adversarial.lean</x:t>
        </x:is>
      </x:c>
      <x:c r="C15" s="38" t="inlineStr">
        <x:is>
          <x:t xml:space="preserve">96</x:t>
        </x:is>
      </x:c>
      <x:c r="D15" s="38" t="inlineStr">
        <x:is>
          <x:t xml:space="preserve">no_high_signal_low_freedom_as_clean_signal</x:t>
        </x:is>
      </x:c>
      <x:c r="E15" s="38" t="inlineStr">
        <x:is>
          <x:t xml:space="preserve">theorem no_high_signal_low_freedom_as_clean_signal : highSignalDeception highSignalLowFreedomClaim = true := Theophysics.ChiEvaluator.high_signal_low_freedom_detected</x:t>
        </x:is>
      </x:c>
      <x:c r="F15" s="38" t="n"/>
      <x:c r="G15" s="38" t="inlineStr">
        <x:is>
          <x:t xml:space="preserve">DECLARATION_OR_UNKNOWN</x:t>
        </x:is>
      </x:c>
      <x:c r="H15" s="39" t="inlineStr">
        <x:is>
          <x:t xml:space="preserve">Could not classify from first proof lines.</x:t>
        </x:is>
      </x:c>
    </x:row>
    <x:row r="16" ht="15" customHeight="1">
      <x:c r="A16" s="37" t="inlineStr">
        <x:is>
          <x:t xml:space="preserve">Faith-Thru-Physics-Lean-4--main</x:t>
        </x:is>
      </x:c>
      <x:c r="B16" s="38" t="inlineStr">
        <x:is>
          <x:t xml:space="preserve">Faith-Thru-Physics-Lean-4--main\Faith-Thru-Physics-Lean-4--main\ADVERSARIAL\Theophysics_Adversarial.lean</x:t>
        </x:is>
      </x:c>
      <x:c r="C16" s="38" t="inlineStr">
        <x:is>
          <x:t xml:space="preserve">100</x:t>
        </x:is>
      </x:c>
      <x:c r="D16" s="38" t="inlineStr">
        <x:is>
          <x:t xml:space="preserve">no_decaying_pressure_as_positive_gradient</x:t>
        </x:is>
      </x:c>
      <x:c r="E16" s="38" t="inlineStr">
        <x:is>
          <x:t xml:space="preserve">theorem no_decaying_pressure_as_positive_gradient : inferTwoPointGradient strongButDecayingStart strongButDecayingEnd = GradientLabel.negative := Theophysics.ChiEvaluator.strong_but_decaying_has_negative_gradient -- Generated check-failure entries from theorem inventory negatives and boundaries. #check_failure (show False by trivial) -- Q_nonzero_not_sufficient_for_positive_chi #check_failure (show False by trivial) -- no_stage_step_back_to_confirmation_from_redistribution #check_failure (show False by trivial) -- no_stage_step_back_to_pre_from_localization #check_failure (show False by trivial) -- no_stage_step_back_to_release_from_confirmation #check_failure (show False by trivial) -- two_destructive_signs_do_not_pass_coherence_gate #check_failure (show False by trivial) -- burden_negative_positive_stays_negative #check_failure (show False by trivial) -- burden_two_negatives_sta</x:t>
        </x:is>
      </x:c>
      <x:c r="F16" s="38" t="n"/>
      <x:c r="G16" s="38" t="inlineStr">
        <x:is>
          <x:t xml:space="preserve">DECLARATION_OR_UNKNOWN</x:t>
        </x:is>
      </x:c>
      <x:c r="H16" s="39" t="inlineStr">
        <x:is>
          <x:t xml:space="preserve">Could not classify from first proof lines.</x:t>
        </x:is>
      </x:c>
    </x:row>
    <x:row r="17" ht="15" customHeight="1">
      <x:c r="A17" s="37" t="inlineStr">
        <x:is>
          <x:t xml:space="preserve">Faith-Thru-Physics-Lean-4--main</x:t>
        </x:is>
      </x:c>
      <x:c r="B17" s="38" t="inlineStr">
        <x:is>
          <x:t xml:space="preserve">Faith-Thru-Physics-Lean-4--main\Faith-Thru-Physics-Lean-4--main\CHI_EVALUATOR\Theophysics_ChiEvaluator.lean</x:t>
        </x:is>
      </x:c>
      <x:c r="C17" s="38" t="inlineStr">
        <x:is>
          <x:t xml:space="preserve">110</x:t>
        </x:is>
      </x:c>
      <x:c r="D17" s="38" t="inlineStr">
        <x:is>
          <x:t xml:space="preserve">effective_zero_if_no_positive_signal</x:t>
        </x:is>
      </x:c>
      <x:c r="E17" s="38" t="inlineStr">
        <x:is>
          <x:t xml:space="preserve">theorem effective_zero_if_no_positive_signal (s : ChannelScore) (h : s.vPos = 0) : effectiveScore s = 0</x:t>
        </x:is>
      </x:c>
      <x:c r="F17" s="38" t="inlineStr">
        <x:is>
          <x:t xml:space="preserve">:= by simp [effectiveScore, h]</x:t>
        </x:is>
      </x:c>
      <x:c r="G17" s="38" t="inlineStr">
        <x:is>
          <x:t xml:space="preserve">SIMPLIFICATION</x:t>
        </x:is>
      </x:c>
      <x:c r="H17" s="39" t="inlineStr">
        <x:is>
          <x:t xml:space="preserve">Follows by simplification under definitions; check definition strength.</x:t>
        </x:is>
      </x:c>
    </x:row>
    <x:row r="18" ht="15" customHeight="1">
      <x:c r="A18" s="37" t="inlineStr">
        <x:is>
          <x:t xml:space="preserve">Faith-Thru-Physics-Lean-4--main</x:t>
        </x:is>
      </x:c>
      <x:c r="B18" s="38" t="inlineStr">
        <x:is>
          <x:t xml:space="preserve">Faith-Thru-Physics-Lean-4--main\Faith-Thru-Physics-Lean-4--main\CHI_EVALUATOR\Theophysics_ChiEvaluator.lean</x:t>
        </x:is>
      </x:c>
      <x:c r="C18" s="38" t="inlineStr">
        <x:is>
          <x:t xml:space="preserve">114</x:t>
        </x:is>
      </x:c>
      <x:c r="D18" s="38" t="inlineStr">
        <x:is>
          <x:t xml:space="preserve">effective_zero_if_fully_corrupted</x:t>
        </x:is>
      </x:c>
      <x:c r="E18" s="38" t="inlineStr">
        <x:is>
          <x:t xml:space="preserve">theorem effective_zero_if_fully_corrupted (s : ChannelScore) (h : s.vNeg = 100) : effectiveScore s = 0</x:t>
        </x:is>
      </x:c>
      <x:c r="F18" s="38" t="inlineStr">
        <x:is>
          <x:t xml:space="preserve">:= by simp [effectiveScore, h]</x:t>
        </x:is>
      </x:c>
      <x:c r="G18" s="38" t="inlineStr">
        <x:is>
          <x:t xml:space="preserve">SIMPLIFICATION</x:t>
        </x:is>
      </x:c>
      <x:c r="H18" s="39" t="inlineStr">
        <x:is>
          <x:t xml:space="preserve">Follows by simplification under definitions; check definition strength.</x:t>
        </x:is>
      </x:c>
    </x:row>
    <x:row r="19" ht="15" customHeight="1">
      <x:c r="A19" s="37" t="inlineStr">
        <x:is>
          <x:t xml:space="preserve">Faith-Thru-Physics-Lean-4--main</x:t>
        </x:is>
      </x:c>
      <x:c r="B19" s="38" t="inlineStr">
        <x:is>
          <x:t xml:space="preserve">Faith-Thru-Physics-Lean-4--main\Faith-Thru-Physics-Lean-4--main\CHI_EVALUATOR\Theophysics_ChiEvaluator.lean</x:t>
        </x:is>
      </x:c>
      <x:c r="C19" s="38" t="inlineStr">
        <x:is>
          <x:t xml:space="preserve">118</x:t>
        </x:is>
      </x:c>
      <x:c r="D19" s="38" t="inlineStr">
        <x:is>
          <x:t xml:space="preserve">perfect_score_effective</x:t>
        </x:is>
      </x:c>
      <x:c r="E19" s="38" t="inlineStr">
        <x:is>
          <x:t xml:space="preserve">theorem perfect_score_effective : effectiveScore (perfectScore 1 100) = 10000</x:t>
        </x:is>
      </x:c>
      <x:c r="F19" s="38" t="inlineStr">
        <x:is>
          <x:t xml:space="preserve">:= by rfl structure Evaluation where claimType : ClaimType scoreG : ChannelScore scoreM : ChannelScore scoreE : ChannelScore scoreS_eff : ChannelScore scoreT : ChannelScore scoreK : ChannelScore scoreR : ChannelScore scoreQ : ChannelScore scoreF : ChannelScore scoreC : ChannelScore deriving DecidableEq, Repr def getScore (e : Evaluation) : Channel → ChannelScore | Channel.G =&gt; e.scoreG | Channel.M =&gt; e.scoreM | Channel.E =&gt; e.scoreE | Channel.S_eff =&gt; e.scoreS_eff | Channel.T =&gt; e.scoreT | Chann</x:t>
        </x:is>
      </x:c>
      <x:c r="G19" s="38" t="inlineStr">
        <x:is>
          <x:t xml:space="preserve">DEFINITIONAL_RFL</x:t>
        </x:is>
      </x:c>
      <x:c r="H19" s="39" t="inlineStr">
        <x:is>
          <x:t xml:space="preserve">Proves definitional equality by reduction; useful but narrow.</x:t>
        </x:is>
      </x:c>
    </x:row>
    <x:row r="20" ht="15" customHeight="1">
      <x:c r="A20" s="37" t="inlineStr">
        <x:is>
          <x:t xml:space="preserve">Faith-Thru-Physics-Lean-4--main</x:t>
        </x:is>
      </x:c>
      <x:c r="B20" s="38" t="inlineStr">
        <x:is>
          <x:t xml:space="preserve">Faith-Thru-Physics-Lean-4--main\Faith-Thru-Physics-Lean-4--main\CHI_EVALUATOR\Theophysics_ChiEvaluator.lean</x:t>
        </x:is>
      </x:c>
      <x:c r="C20" s="38" t="inlineStr">
        <x:is>
          <x:t xml:space="preserve">229</x:t>
        </x:is>
      </x:c>
      <x:c r="D20" s="38" t="inlineStr">
        <x:is>
          <x:t xml:space="preserve">static_chi_zero_if_G_zero</x:t>
        </x:is>
      </x:c>
      <x:c r="E20" s="38" t="inlineStr">
        <x:is>
          <x:t xml:space="preserve">theorem static_chi_zero_if_G_zero (e : Evaluation) (h : effectiveScore e.scoreG = 0) : staticChi e = 0</x:t>
        </x:is>
      </x:c>
      <x:c r="F20" s="38" t="inlineStr">
        <x:is>
          <x:t xml:space="preserve">:= by simp [staticChi, h]</x:t>
        </x:is>
      </x:c>
      <x:c r="G20" s="38" t="inlineStr">
        <x:is>
          <x:t xml:space="preserve">SIMPLIFICATION</x:t>
        </x:is>
      </x:c>
      <x:c r="H20" s="39" t="inlineStr">
        <x:is>
          <x:t xml:space="preserve">Follows by simplification under definitions; check definition strength.</x:t>
        </x:is>
      </x:c>
    </x:row>
    <x:row r="21" ht="15" customHeight="1">
      <x:c r="A21" s="37" t="inlineStr">
        <x:is>
          <x:t xml:space="preserve">Faith-Thru-Physics-Lean-4--main</x:t>
        </x:is>
      </x:c>
      <x:c r="B21" s="38" t="inlineStr">
        <x:is>
          <x:t xml:space="preserve">Faith-Thru-Physics-Lean-4--main\Faith-Thru-Physics-Lean-4--main\CHI_EVALUATOR\Theophysics_ChiEvaluator.lean</x:t>
        </x:is>
      </x:c>
      <x:c r="C21" s="38" t="inlineStr">
        <x:is>
          <x:t xml:space="preserve">233</x:t>
        </x:is>
      </x:c>
      <x:c r="D21" s="38" t="inlineStr">
        <x:is>
          <x:t xml:space="preserve">static_chi_zero_if_M_zero</x:t>
        </x:is>
      </x:c>
      <x:c r="E21" s="38" t="inlineStr">
        <x:is>
          <x:t xml:space="preserve">theorem static_chi_zero_if_M_zero (e : Evaluation) (h : effectiveScore e.scoreM = 0) : staticChi e = 0</x:t>
        </x:is>
      </x:c>
      <x:c r="F21" s="38" t="inlineStr">
        <x:is>
          <x:t xml:space="preserve">:= by simp [staticChi, h]</x:t>
        </x:is>
      </x:c>
      <x:c r="G21" s="38" t="inlineStr">
        <x:is>
          <x:t xml:space="preserve">SIMPLIFICATION</x:t>
        </x:is>
      </x:c>
      <x:c r="H21" s="39" t="inlineStr">
        <x:is>
          <x:t xml:space="preserve">Follows by simplification under definitions; check definition strength.</x:t>
        </x:is>
      </x:c>
    </x:row>
    <x:row r="22" ht="15" customHeight="1">
      <x:c r="A22" s="37" t="inlineStr">
        <x:is>
          <x:t xml:space="preserve">Faith-Thru-Physics-Lean-4--main</x:t>
        </x:is>
      </x:c>
      <x:c r="B22" s="38" t="inlineStr">
        <x:is>
          <x:t xml:space="preserve">Faith-Thru-Physics-Lean-4--main\Faith-Thru-Physics-Lean-4--main\CHI_EVALUATOR\Theophysics_ChiEvaluator.lean</x:t>
        </x:is>
      </x:c>
      <x:c r="C22" s="38" t="inlineStr">
        <x:is>
          <x:t xml:space="preserve">237</x:t>
        </x:is>
      </x:c>
      <x:c r="D22" s="38" t="inlineStr">
        <x:is>
          <x:t xml:space="preserve">static_chi_zero_if_E_zero</x:t>
        </x:is>
      </x:c>
      <x:c r="E22" s="38" t="inlineStr">
        <x:is>
          <x:t xml:space="preserve">theorem static_chi_zero_if_E_zero (e : Evaluation) (h : effectiveScore e.scoreE = 0) : staticChi e = 0</x:t>
        </x:is>
      </x:c>
      <x:c r="F22" s="38" t="inlineStr">
        <x:is>
          <x:t xml:space="preserve">:= by simp [staticChi, h]</x:t>
        </x:is>
      </x:c>
      <x:c r="G22" s="38" t="inlineStr">
        <x:is>
          <x:t xml:space="preserve">SIMPLIFICATION</x:t>
        </x:is>
      </x:c>
      <x:c r="H22" s="39" t="inlineStr">
        <x:is>
          <x:t xml:space="preserve">Follows by simplification under definitions; check definition strength.</x:t>
        </x:is>
      </x:c>
    </x:row>
    <x:row r="23" ht="15" customHeight="1">
      <x:c r="A23" s="37" t="inlineStr">
        <x:is>
          <x:t xml:space="preserve">Faith-Thru-Physics-Lean-4--main</x:t>
        </x:is>
      </x:c>
      <x:c r="B23" s="38" t="inlineStr">
        <x:is>
          <x:t xml:space="preserve">Faith-Thru-Physics-Lean-4--main\Faith-Thru-Physics-Lean-4--main\CHI_EVALUATOR\Theophysics_ChiEvaluator.lean</x:t>
        </x:is>
      </x:c>
      <x:c r="C23" s="38" t="inlineStr">
        <x:is>
          <x:t xml:space="preserve">241</x:t>
        </x:is>
      </x:c>
      <x:c r="D23" s="38" t="inlineStr">
        <x:is>
          <x:t xml:space="preserve">static_chi_zero_if_S_eff_zero</x:t>
        </x:is>
      </x:c>
      <x:c r="E23" s="38" t="inlineStr">
        <x:is>
          <x:t xml:space="preserve">theorem static_chi_zero_if_S_eff_zero (e : Evaluation) (h : effectiveScore e.scoreS_eff = 0) : staticChi e = 0</x:t>
        </x:is>
      </x:c>
      <x:c r="F23" s="38" t="inlineStr">
        <x:is>
          <x:t xml:space="preserve">:= by simp [staticChi, h]</x:t>
        </x:is>
      </x:c>
      <x:c r="G23" s="38" t="inlineStr">
        <x:is>
          <x:t xml:space="preserve">SIMPLIFICATION</x:t>
        </x:is>
      </x:c>
      <x:c r="H23" s="39" t="inlineStr">
        <x:is>
          <x:t xml:space="preserve">Follows by simplification under definitions; check definition strength.</x:t>
        </x:is>
      </x:c>
    </x:row>
    <x:row r="24" ht="15" customHeight="1">
      <x:c r="A24" s="37" t="inlineStr">
        <x:is>
          <x:t xml:space="preserve">Faith-Thru-Physics-Lean-4--main</x:t>
        </x:is>
      </x:c>
      <x:c r="B24" s="38" t="inlineStr">
        <x:is>
          <x:t xml:space="preserve">Faith-Thru-Physics-Lean-4--main\Faith-Thru-Physics-Lean-4--main\CHI_EVALUATOR\Theophysics_ChiEvaluator.lean</x:t>
        </x:is>
      </x:c>
      <x:c r="C24" s="38" t="inlineStr">
        <x:is>
          <x:t xml:space="preserve">245</x:t>
        </x:is>
      </x:c>
      <x:c r="D24" s="38" t="inlineStr">
        <x:is>
          <x:t xml:space="preserve">static_chi_zero_if_T_zero</x:t>
        </x:is>
      </x:c>
      <x:c r="E24" s="38" t="inlineStr">
        <x:is>
          <x:t xml:space="preserve">theorem static_chi_zero_if_T_zero (e : Evaluation) (h : effectiveScore e.scoreT = 0) : staticChi e = 0</x:t>
        </x:is>
      </x:c>
      <x:c r="F24" s="38" t="inlineStr">
        <x:is>
          <x:t xml:space="preserve">:= by simp [staticChi, h]</x:t>
        </x:is>
      </x:c>
      <x:c r="G24" s="38" t="inlineStr">
        <x:is>
          <x:t xml:space="preserve">SIMPLIFICATION</x:t>
        </x:is>
      </x:c>
      <x:c r="H24" s="39" t="inlineStr">
        <x:is>
          <x:t xml:space="preserve">Follows by simplification under definitions; check definition strength.</x:t>
        </x:is>
      </x:c>
    </x:row>
    <x:row r="25" ht="15" customHeight="1">
      <x:c r="A25" s="37" t="inlineStr">
        <x:is>
          <x:t xml:space="preserve">Faith-Thru-Physics-Lean-4--main</x:t>
        </x:is>
      </x:c>
      <x:c r="B25" s="38" t="inlineStr">
        <x:is>
          <x:t xml:space="preserve">Faith-Thru-Physics-Lean-4--main\Faith-Thru-Physics-Lean-4--main\CHI_EVALUATOR\Theophysics_ChiEvaluator.lean</x:t>
        </x:is>
      </x:c>
      <x:c r="C25" s="38" t="inlineStr">
        <x:is>
          <x:t xml:space="preserve">249</x:t>
        </x:is>
      </x:c>
      <x:c r="D25" s="38" t="inlineStr">
        <x:is>
          <x:t xml:space="preserve">static_chi_zero_if_K_zero</x:t>
        </x:is>
      </x:c>
      <x:c r="E25" s="38" t="inlineStr">
        <x:is>
          <x:t xml:space="preserve">theorem static_chi_zero_if_K_zero (e : Evaluation) (h : effectiveScore e.scoreK = 0) : staticChi e = 0</x:t>
        </x:is>
      </x:c>
      <x:c r="F25" s="38" t="inlineStr">
        <x:is>
          <x:t xml:space="preserve">:= by simp [staticChi, h]</x:t>
        </x:is>
      </x:c>
      <x:c r="G25" s="38" t="inlineStr">
        <x:is>
          <x:t xml:space="preserve">SIMPLIFICATION</x:t>
        </x:is>
      </x:c>
      <x:c r="H25" s="39" t="inlineStr">
        <x:is>
          <x:t xml:space="preserve">Follows by simplification under definitions; check definition strength.</x:t>
        </x:is>
      </x:c>
    </x:row>
    <x:row r="26" ht="15" customHeight="1">
      <x:c r="A26" s="37" t="inlineStr">
        <x:is>
          <x:t xml:space="preserve">Faith-Thru-Physics-Lean-4--main</x:t>
        </x:is>
      </x:c>
      <x:c r="B26" s="38" t="inlineStr">
        <x:is>
          <x:t xml:space="preserve">Faith-Thru-Physics-Lean-4--main\Faith-Thru-Physics-Lean-4--main\CHI_EVALUATOR\Theophysics_ChiEvaluator.lean</x:t>
        </x:is>
      </x:c>
      <x:c r="C26" s="38" t="inlineStr">
        <x:is>
          <x:t xml:space="preserve">253</x:t>
        </x:is>
      </x:c>
      <x:c r="D26" s="38" t="inlineStr">
        <x:is>
          <x:t xml:space="preserve">static_chi_zero_if_R_zero</x:t>
        </x:is>
      </x:c>
      <x:c r="E26" s="38" t="inlineStr">
        <x:is>
          <x:t xml:space="preserve">theorem static_chi_zero_if_R_zero (e : Evaluation) (h : effectiveScore e.scoreR = 0) : staticChi e = 0</x:t>
        </x:is>
      </x:c>
      <x:c r="F26" s="38" t="inlineStr">
        <x:is>
          <x:t xml:space="preserve">:= by simp [staticChi, h]</x:t>
        </x:is>
      </x:c>
      <x:c r="G26" s="38" t="inlineStr">
        <x:is>
          <x:t xml:space="preserve">SIMPLIFICATION</x:t>
        </x:is>
      </x:c>
      <x:c r="H26" s="39" t="inlineStr">
        <x:is>
          <x:t xml:space="preserve">Follows by simplification under definitions; check definition strength.</x:t>
        </x:is>
      </x:c>
    </x:row>
    <x:row r="27" ht="15" customHeight="1">
      <x:c r="A27" s="37" t="inlineStr">
        <x:is>
          <x:t xml:space="preserve">Faith-Thru-Physics-Lean-4--main</x:t>
        </x:is>
      </x:c>
      <x:c r="B27" s="38" t="inlineStr">
        <x:is>
          <x:t xml:space="preserve">Faith-Thru-Physics-Lean-4--main\Faith-Thru-Physics-Lean-4--main\CHI_EVALUATOR\Theophysics_ChiEvaluator.lean</x:t>
        </x:is>
      </x:c>
      <x:c r="C27" s="38" t="inlineStr">
        <x:is>
          <x:t xml:space="preserve">257</x:t>
        </x:is>
      </x:c>
      <x:c r="D27" s="38" t="inlineStr">
        <x:is>
          <x:t xml:space="preserve">static_chi_zero_if_Q_zero</x:t>
        </x:is>
      </x:c>
      <x:c r="E27" s="38" t="inlineStr">
        <x:is>
          <x:t xml:space="preserve">theorem static_chi_zero_if_Q_zero (e : Evaluation) (h : effectiveScore e.scoreQ = 0) : staticChi e = 0</x:t>
        </x:is>
      </x:c>
      <x:c r="F27" s="38" t="inlineStr">
        <x:is>
          <x:t xml:space="preserve">:= by simp [staticChi, h]</x:t>
        </x:is>
      </x:c>
      <x:c r="G27" s="38" t="inlineStr">
        <x:is>
          <x:t xml:space="preserve">SIMPLIFICATION</x:t>
        </x:is>
      </x:c>
      <x:c r="H27" s="39" t="inlineStr">
        <x:is>
          <x:t xml:space="preserve">Follows by simplification under definitions; check definition strength.</x:t>
        </x:is>
      </x:c>
    </x:row>
    <x:row r="28" ht="15" customHeight="1">
      <x:c r="A28" s="37" t="inlineStr">
        <x:is>
          <x:t xml:space="preserve">Faith-Thru-Physics-Lean-4--main</x:t>
        </x:is>
      </x:c>
      <x:c r="B28" s="38" t="inlineStr">
        <x:is>
          <x:t xml:space="preserve">Faith-Thru-Physics-Lean-4--main\Faith-Thru-Physics-Lean-4--main\CHI_EVALUATOR\Theophysics_ChiEvaluator.lean</x:t>
        </x:is>
      </x:c>
      <x:c r="C28" s="38" t="inlineStr">
        <x:is>
          <x:t xml:space="preserve">261</x:t>
        </x:is>
      </x:c>
      <x:c r="D28" s="38" t="inlineStr">
        <x:is>
          <x:t xml:space="preserve">static_chi_zero_if_F_zero</x:t>
        </x:is>
      </x:c>
      <x:c r="E28" s="38" t="inlineStr">
        <x:is>
          <x:t xml:space="preserve">theorem static_chi_zero_if_F_zero (e : Evaluation) (h : effectiveScore e.scoreF = 0) : staticChi e = 0</x:t>
        </x:is>
      </x:c>
      <x:c r="F28" s="38" t="inlineStr">
        <x:is>
          <x:t xml:space="preserve">:= by simp [staticChi, h]</x:t>
        </x:is>
      </x:c>
      <x:c r="G28" s="38" t="inlineStr">
        <x:is>
          <x:t xml:space="preserve">SIMPLIFICATION</x:t>
        </x:is>
      </x:c>
      <x:c r="H28" s="39" t="inlineStr">
        <x:is>
          <x:t xml:space="preserve">Follows by simplification under definitions; check definition strength.</x:t>
        </x:is>
      </x:c>
    </x:row>
    <x:row r="29" ht="15" customHeight="1">
      <x:c r="A29" s="37" t="inlineStr">
        <x:is>
          <x:t xml:space="preserve">Faith-Thru-Physics-Lean-4--main</x:t>
        </x:is>
      </x:c>
      <x:c r="B29" s="38" t="inlineStr">
        <x:is>
          <x:t xml:space="preserve">Faith-Thru-Physics-Lean-4--main\Faith-Thru-Physics-Lean-4--main\CHI_EVALUATOR\Theophysics_ChiEvaluator.lean</x:t>
        </x:is>
      </x:c>
      <x:c r="C29" s="38" t="inlineStr">
        <x:is>
          <x:t xml:space="preserve">265</x:t>
        </x:is>
      </x:c>
      <x:c r="D29" s="38" t="inlineStr">
        <x:is>
          <x:t xml:space="preserve">static_chi_zero_if_C_zero</x:t>
        </x:is>
      </x:c>
      <x:c r="E29" s="38" t="inlineStr">
        <x:is>
          <x:t xml:space="preserve">theorem static_chi_zero_if_C_zero (e : Evaluation) (h : effectiveScore e.scoreC = 0) : staticChi e = 0</x:t>
        </x:is>
      </x:c>
      <x:c r="F29" s="38" t="inlineStr">
        <x:is>
          <x:t xml:space="preserve">:= by simp [staticChi, h]</x:t>
        </x:is>
      </x:c>
      <x:c r="G29" s="38" t="inlineStr">
        <x:is>
          <x:t xml:space="preserve">SIMPLIFICATION</x:t>
        </x:is>
      </x:c>
      <x:c r="H29" s="39" t="inlineStr">
        <x:is>
          <x:t xml:space="preserve">Follows by simplification under definitions; check definition strength.</x:t>
        </x:is>
      </x:c>
    </x:row>
    <x:row r="30" ht="15" customHeight="1">
      <x:c r="A30" s="37" t="inlineStr">
        <x:is>
          <x:t xml:space="preserve">Faith-Thru-Physics-Lean-4--main</x:t>
        </x:is>
      </x:c>
      <x:c r="B30" s="38" t="inlineStr">
        <x:is>
          <x:t xml:space="preserve">Faith-Thru-Physics-Lean-4--main\Faith-Thru-Physics-Lean-4--main\CHI_EVALUATOR\Theophysics_ChiEvaluator.lean</x:t>
        </x:is>
      </x:c>
      <x:c r="C30" s="38" t="inlineStr">
        <x:is>
          <x:t xml:space="preserve">269</x:t>
        </x:is>
      </x:c>
      <x:c r="D30" s="38" t="inlineStr">
        <x:is>
          <x:t xml:space="preserve">coercive_claim_collapses</x:t>
        </x:is>
      </x:c>
      <x:c r="E30" s="38" t="inlineStr">
        <x:is>
          <x:t xml:space="preserve">theorem coercive_claim_collapses : collapsed coerciveClaim = true</x:t>
        </x:is>
      </x:c>
      <x:c r="F30" s="38" t="inlineStr">
        <x:is>
          <x:t xml:space="preserve">:= by rfl</x:t>
        </x:is>
      </x:c>
      <x:c r="G30" s="38" t="inlineStr">
        <x:is>
          <x:t xml:space="preserve">DEFINITIONAL_RFL</x:t>
        </x:is>
      </x:c>
      <x:c r="H30" s="39" t="inlineStr">
        <x:is>
          <x:t xml:space="preserve">Proves definitional equality by reduction; useful but narrow.</x:t>
        </x:is>
      </x:c>
    </x:row>
    <x:row r="31" ht="15" customHeight="1">
      <x:c r="A31" s="37" t="inlineStr">
        <x:is>
          <x:t xml:space="preserve">Faith-Thru-Physics-Lean-4--main</x:t>
        </x:is>
      </x:c>
      <x:c r="B31" s="38" t="inlineStr">
        <x:is>
          <x:t xml:space="preserve">Faith-Thru-Physics-Lean-4--main\Faith-Thru-Physics-Lean-4--main\CHI_EVALUATOR\Theophysics_ChiEvaluator.lean</x:t>
        </x:is>
      </x:c>
      <x:c r="C31" s="38" t="inlineStr">
        <x:is>
          <x:t xml:space="preserve">273</x:t>
        </x:is>
      </x:c>
      <x:c r="D31" s="38" t="inlineStr">
        <x:is>
          <x:t xml:space="preserve">self_sealing_claim_collapses</x:t>
        </x:is>
      </x:c>
      <x:c r="E31" s="38" t="inlineStr">
        <x:is>
          <x:t xml:space="preserve">theorem self_sealing_claim_collapses : collapsed selfSealingClaim = true</x:t>
        </x:is>
      </x:c>
      <x:c r="F31" s="38" t="inlineStr">
        <x:is>
          <x:t xml:space="preserve">:= by rfl</x:t>
        </x:is>
      </x:c>
      <x:c r="G31" s="38" t="inlineStr">
        <x:is>
          <x:t xml:space="preserve">DEFINITIONAL_RFL</x:t>
        </x:is>
      </x:c>
      <x:c r="H31" s="39" t="inlineStr">
        <x:is>
          <x:t xml:space="preserve">Proves definitional equality by reduction; useful but narrow.</x:t>
        </x:is>
      </x:c>
    </x:row>
    <x:row r="32" ht="15" customHeight="1">
      <x:c r="A32" s="37" t="inlineStr">
        <x:is>
          <x:t xml:space="preserve">Faith-Thru-Physics-Lean-4--main</x:t>
        </x:is>
      </x:c>
      <x:c r="B32" s="38" t="inlineStr">
        <x:is>
          <x:t xml:space="preserve">Faith-Thru-Physics-Lean-4--main\Faith-Thru-Physics-Lean-4--main\CHI_EVALUATOR\Theophysics_ChiEvaluator.lean</x:t>
        </x:is>
      </x:c>
      <x:c r="C32" s="38" t="inlineStr">
        <x:is>
          <x:t xml:space="preserve">277</x:t>
        </x:is>
      </x:c>
      <x:c r="D32" s="38" t="inlineStr">
        <x:is>
          <x:t xml:space="preserve">high_signal_low_freedom_detected</x:t>
        </x:is>
      </x:c>
      <x:c r="E32" s="38" t="inlineStr">
        <x:is>
          <x:t xml:space="preserve">theorem high_signal_low_freedom_detected : highSignalDeception highSignalLowFreedomClaim = true</x:t>
        </x:is>
      </x:c>
      <x:c r="F32" s="38" t="inlineStr">
        <x:is>
          <x:t xml:space="preserve">:= by rfl</x:t>
        </x:is>
      </x:c>
      <x:c r="G32" s="38" t="inlineStr">
        <x:is>
          <x:t xml:space="preserve">DEFINITIONAL_RFL</x:t>
        </x:is>
      </x:c>
      <x:c r="H32" s="39" t="inlineStr">
        <x:is>
          <x:t xml:space="preserve">Proves definitional equality by reduction; useful but narrow.</x:t>
        </x:is>
      </x:c>
    </x:row>
    <x:row r="33" ht="15" customHeight="1">
      <x:c r="A33" s="37" t="inlineStr">
        <x:is>
          <x:t xml:space="preserve">Faith-Thru-Physics-Lean-4--main</x:t>
        </x:is>
      </x:c>
      <x:c r="B33" s="38" t="inlineStr">
        <x:is>
          <x:t xml:space="preserve">Faith-Thru-Physics-Lean-4--main\Faith-Thru-Physics-Lean-4--main\CHI_EVALUATOR\Theophysics_ChiEvaluator.lean</x:t>
        </x:is>
      </x:c>
      <x:c r="C33" s="38" t="inlineStr">
        <x:is>
          <x:t xml:space="preserve">281</x:t>
        </x:is>
      </x:c>
      <x:c r="D33" s="38" t="inlineStr">
        <x:is>
          <x:t xml:space="preserve">high_signal_low_freedom_not_collapsed</x:t>
        </x:is>
      </x:c>
      <x:c r="E33" s="38" t="inlineStr">
        <x:is>
          <x:t xml:space="preserve">theorem high_signal_low_freedom_not_collapsed : collapsed highSignalLowFreedomClaim = false</x:t>
        </x:is>
      </x:c>
      <x:c r="F33" s="38" t="inlineStr">
        <x:is>
          <x:t xml:space="preserve">:= by rfl</x:t>
        </x:is>
      </x:c>
      <x:c r="G33" s="38" t="inlineStr">
        <x:is>
          <x:t xml:space="preserve">DEFINITIONAL_RFL</x:t>
        </x:is>
      </x:c>
      <x:c r="H33" s="39" t="inlineStr">
        <x:is>
          <x:t xml:space="preserve">Proves definitional equality by reduction; useful but narrow.</x:t>
        </x:is>
      </x:c>
    </x:row>
    <x:row r="34" ht="15" customHeight="1">
      <x:c r="A34" s="37" t="inlineStr">
        <x:is>
          <x:t xml:space="preserve">Faith-Thru-Physics-Lean-4--main</x:t>
        </x:is>
      </x:c>
      <x:c r="B34" s="38" t="inlineStr">
        <x:is>
          <x:t xml:space="preserve">Faith-Thru-Physics-Lean-4--main\Faith-Thru-Physics-Lean-4--main\CHI_EVALUATOR\Theophysics_ChiEvaluator.lean</x:t>
        </x:is>
      </x:c>
      <x:c r="C34" s="38" t="inlineStr">
        <x:is>
          <x:t xml:space="preserve">285</x:t>
        </x:is>
      </x:c>
      <x:c r="D34" s="38" t="inlineStr">
        <x:is>
          <x:t xml:space="preserve">high_signal_low_freedom_verdict</x:t>
        </x:is>
      </x:c>
      <x:c r="E34" s="38" t="inlineStr">
        <x:is>
          <x:t xml:space="preserve">theorem high_signal_low_freedom_verdict : inferVerdict highSignalLowFreedomClaim = Verdict.highSignalDeception</x:t>
        </x:is>
      </x:c>
      <x:c r="F34" s="38" t="inlineStr">
        <x:is>
          <x:t xml:space="preserve">:= by rfl structure PressureResult where pressureState : PressureState chi : Nat deriving DecidableEq, Repr def pressureImproves (a b : PressureResult) : Bool := a.chi &lt; b.chi def pressureDecays (a b : PressureResult) : Bool := b.chi &lt; a.chi def inferTwoPointGradient (a b : PressureResult) : GradientLabel := if pressureImproves a b then GradientLabel.positive else if pressureDecays a b then GradientLabel.negative else GradientLabel.neutral def weakButGrowingStart : PressureResult where pressureS</x:t>
        </x:is>
      </x:c>
      <x:c r="G34" s="38" t="inlineStr">
        <x:is>
          <x:t xml:space="preserve">DEFINITIONAL_RFL</x:t>
        </x:is>
      </x:c>
      <x:c r="H34" s="39" t="inlineStr">
        <x:is>
          <x:t xml:space="preserve">Proves definitional equality by reduction; useful but narrow.</x:t>
        </x:is>
      </x:c>
    </x:row>
    <x:row r="35" ht="15" customHeight="1">
      <x:c r="A35" s="37" t="inlineStr">
        <x:is>
          <x:t xml:space="preserve">Faith-Thru-Physics-Lean-4--main</x:t>
        </x:is>
      </x:c>
      <x:c r="B35" s="38" t="inlineStr">
        <x:is>
          <x:t xml:space="preserve">Faith-Thru-Physics-Lean-4--main\Faith-Thru-Physics-Lean-4--main\CHI_EVALUATOR\Theophysics_ChiEvaluator.lean</x:t>
        </x:is>
      </x:c>
      <x:c r="C35" s="38" t="inlineStr">
        <x:is>
          <x:t xml:space="preserve">321</x:t>
        </x:is>
      </x:c>
      <x:c r="D35" s="38" t="inlineStr">
        <x:is>
          <x:t xml:space="preserve">weak_but_growing_has_positive_gradient</x:t>
        </x:is>
      </x:c>
      <x:c r="E35" s="38" t="inlineStr">
        <x:is>
          <x:t xml:space="preserve">theorem weak_but_growing_has_positive_gradient : inferTwoPointGradient weakButGrowingStart weakButGrowingEnd = GradientLabel.positive</x:t>
        </x:is>
      </x:c>
      <x:c r="F35" s="38" t="inlineStr">
        <x:is>
          <x:t xml:space="preserve">:= by rfl</x:t>
        </x:is>
      </x:c>
      <x:c r="G35" s="38" t="inlineStr">
        <x:is>
          <x:t xml:space="preserve">DEFINITIONAL_RFL</x:t>
        </x:is>
      </x:c>
      <x:c r="H35" s="39" t="inlineStr">
        <x:is>
          <x:t xml:space="preserve">Proves definitional equality by reduction; useful but narrow.</x:t>
        </x:is>
      </x:c>
    </x:row>
    <x:row r="36" ht="15" customHeight="1">
      <x:c r="A36" s="37" t="inlineStr">
        <x:is>
          <x:t xml:space="preserve">Faith-Thru-Physics-Lean-4--main</x:t>
        </x:is>
      </x:c>
      <x:c r="B36" s="38" t="inlineStr">
        <x:is>
          <x:t xml:space="preserve">Faith-Thru-Physics-Lean-4--main\Faith-Thru-Physics-Lean-4--main\CHI_EVALUATOR\Theophysics_ChiEvaluator.lean</x:t>
        </x:is>
      </x:c>
      <x:c r="C36" s="38" t="inlineStr">
        <x:is>
          <x:t xml:space="preserve">325</x:t>
        </x:is>
      </x:c>
      <x:c r="D36" s="38" t="inlineStr">
        <x:is>
          <x:t xml:space="preserve">strong_but_decaying_has_negative_gradient</x:t>
        </x:is>
      </x:c>
      <x:c r="E36" s="38" t="inlineStr">
        <x:is>
          <x:t xml:space="preserve">theorem strong_but_decaying_has_negative_gradient : inferTwoPointGradient strongButDecayingStart strongButDecayingEnd = GradientLabel.negative</x:t>
        </x:is>
      </x:c>
      <x:c r="F36" s="38" t="inlineStr">
        <x:is>
          <x:t xml:space="preserve">:= by rfl structure FruitOutput where fruitScore : Nat antiFruitScore : Nat deriving DecidableEq, Repr def fruitDominates (f : FruitOutput) : Bool := f.antiFruitScore &lt; f.fruitScore def antiFruitDominates (f : FruitOutput) : Bool := f.fruitScore &lt; f.antiFruitScore def peacefulOutput : FruitOutput where fruitScore := 90 antiFruitScore := 5 def coerciveOutput : FruitOutput where fruitScore := 10 antiFruitScore := 80</x:t>
        </x:is>
      </x:c>
      <x:c r="G36" s="38" t="inlineStr">
        <x:is>
          <x:t xml:space="preserve">DEFINITIONAL_RFL</x:t>
        </x:is>
      </x:c>
      <x:c r="H36" s="39" t="inlineStr">
        <x:is>
          <x:t xml:space="preserve">Proves definitional equality by reduction; useful but narrow.</x:t>
        </x:is>
      </x:c>
    </x:row>
    <x:row r="37" ht="15" customHeight="1">
      <x:c r="A37" s="37" t="inlineStr">
        <x:is>
          <x:t xml:space="preserve">Faith-Thru-Physics-Lean-4--main</x:t>
        </x:is>
      </x:c>
      <x:c r="B37" s="38" t="inlineStr">
        <x:is>
          <x:t xml:space="preserve">Faith-Thru-Physics-Lean-4--main\Faith-Thru-Physics-Lean-4--main\CHI_EVALUATOR\Theophysics_ChiEvaluator.lean</x:t>
        </x:is>
      </x:c>
      <x:c r="C37" s="38" t="inlineStr">
        <x:is>
          <x:t xml:space="preserve">348</x:t>
        </x:is>
      </x:c>
      <x:c r="D37" s="38" t="inlineStr">
        <x:is>
          <x:t xml:space="preserve">peaceful_output_fruit_dominates</x:t>
        </x:is>
      </x:c>
      <x:c r="E37" s="38" t="inlineStr">
        <x:is>
          <x:t xml:space="preserve">theorem peaceful_output_fruit_dominates : fruitDominates peacefulOutput = true</x:t>
        </x:is>
      </x:c>
      <x:c r="F37" s="38" t="inlineStr">
        <x:is>
          <x:t xml:space="preserve">:= by rfl</x:t>
        </x:is>
      </x:c>
      <x:c r="G37" s="38" t="inlineStr">
        <x:is>
          <x:t xml:space="preserve">DEFINITIONAL_RFL</x:t>
        </x:is>
      </x:c>
      <x:c r="H37" s="39" t="inlineStr">
        <x:is>
          <x:t xml:space="preserve">Proves definitional equality by reduction; useful but narrow.</x:t>
        </x:is>
      </x:c>
    </x:row>
    <x:row r="38" ht="15" customHeight="1">
      <x:c r="A38" s="37" t="inlineStr">
        <x:is>
          <x:t xml:space="preserve">Faith-Thru-Physics-Lean-4--main</x:t>
        </x:is>
      </x:c>
      <x:c r="B38" s="38" t="inlineStr">
        <x:is>
          <x:t xml:space="preserve">Faith-Thru-Physics-Lean-4--main\Faith-Thru-Physics-Lean-4--main\CHI_EVALUATOR\Theophysics_ChiEvaluator.lean</x:t>
        </x:is>
      </x:c>
      <x:c r="C38" s="38" t="inlineStr">
        <x:is>
          <x:t xml:space="preserve">352</x:t>
        </x:is>
      </x:c>
      <x:c r="D38" s="38" t="inlineStr">
        <x:is>
          <x:t xml:space="preserve">coercive_output_antifruit_dominates</x:t>
        </x:is>
      </x:c>
      <x:c r="E38" s="38" t="inlineStr">
        <x:is>
          <x:t xml:space="preserve">theorem coercive_output_antifruit_dominates : antiFruitDominates coerciveOutput = true</x:t>
        </x:is>
      </x:c>
      <x:c r="F38" s="38" t="inlineStr">
        <x:is>
          <x:t xml:space="preserve">:= by rfl</x:t>
        </x:is>
      </x:c>
      <x:c r="G38" s="38" t="inlineStr">
        <x:is>
          <x:t xml:space="preserve">DEFINITIONAL_RFL</x:t>
        </x:is>
      </x:c>
      <x:c r="H38" s="39" t="inlineStr">
        <x:is>
          <x:t xml:space="preserve">Proves definitional equality by reduction; useful but narrow.</x:t>
        </x:is>
      </x:c>
    </x:row>
    <x:row r="39" ht="15" customHeight="1">
      <x:c r="A39" s="37" t="inlineStr">
        <x:is>
          <x:t xml:space="preserve">Faith-Thru-Physics-Lean-4--main</x:t>
        </x:is>
      </x:c>
      <x:c r="B39" s="38" t="inlineStr">
        <x:is>
          <x:t xml:space="preserve">Faith-Thru-Physics-Lean-4--main\Faith-Thru-Physics-Lean-4--main\CHI_EVALUATOR\Theophysics_ChiEvaluator.lean</x:t>
        </x:is>
      </x:c>
      <x:c r="C39" s="38" t="inlineStr">
        <x:is>
          <x:t xml:space="preserve">356</x:t>
        </x:is>
      </x:c>
      <x:c r="D39" s="38" t="inlineStr">
        <x:is>
          <x:t xml:space="preserve">chi_evaluator_marker</x:t>
        </x:is>
      </x:c>
      <x:c r="E39" s="38" t="inlineStr">
        <x:is>
          <x:t xml:space="preserve">theorem chi_evaluator_marker : collapsed coerciveClaim = true ∧ collapsed selfSealingClaim = true ∧ highSignalDeception highSignalLowFreedomClaim = true ∧ inferTwoPointGradient weakButGrowingStart weakButGrowingEnd = GradientLabel.positive ∧ inferTwoPointGradient strongButDecayingStart strongButDecayingEnd = GradientLabel.negative ∧ fruitDominates peacefulOutput = true ∧ antiFruitDominates coerciveOutput = true</x:t>
        </x:is>
      </x:c>
      <x:c r="F39" s="38" t="inlineStr">
        <x:is>
          <x:t xml:space="preserve">:= by exact ⟨rfl, rfl, rfl, rfl, rfl, rfl, rfl⟩ end Theophysics.ChiEvaluator</x:t>
        </x:is>
      </x:c>
      <x:c r="G39" s="38" t="inlineStr">
        <x:is>
          <x:t xml:space="preserve">WRAPPER_OR_IMPORTED</x:t>
        </x:is>
      </x:c>
      <x:c r="H39" s="39" t="inlineStr">
        <x:is>
          <x:t xml:space="preserve">Likely delegates to another theorem; cite underlying theorem too.</x:t>
        </x:is>
      </x:c>
    </x:row>
    <x:row r="40" ht="15" customHeight="1">
      <x:c r="A40" s="37" t="inlineStr">
        <x:is>
          <x:t xml:space="preserve">Faith-Thru-Physics-Lean-4--main</x:t>
        </x:is>
      </x:c>
      <x:c r="B40" s="38" t="inlineStr">
        <x:is>
          <x:t xml:space="preserve">Faith-Thru-Physics-Lean-4--main\Faith-Thru-Physics-Lean-4--main\COHERENCE_SPINE\Theophysics_Coherence.lean</x:t>
        </x:is>
      </x:c>
      <x:c r="C40" s="38" t="inlineStr">
        <x:is>
          <x:t xml:space="preserve">141</x:t>
        </x:is>
      </x:c>
      <x:c r="D40" s="38" t="inlineStr">
        <x:is>
          <x:t xml:space="preserve">full_coherence_is_coherent</x:t>
        </x:is>
      </x:c>
      <x:c r="E40" s="38" t="inlineStr">
        <x:is>
          <x:t xml:space="preserve">theorem full_coherence_is_coherent : coherent fullCoherence = true</x:t>
        </x:is>
      </x:c>
      <x:c r="F40" s="38" t="inlineStr">
        <x:is>
          <x:t xml:space="preserve">:= by rfl</x:t>
        </x:is>
      </x:c>
      <x:c r="G40" s="38" t="inlineStr">
        <x:is>
          <x:t xml:space="preserve">DEFINITIONAL_RFL</x:t>
        </x:is>
      </x:c>
      <x:c r="H40" s="39" t="inlineStr">
        <x:is>
          <x:t xml:space="preserve">Proves definitional equality by reduction; useful but narrow.</x:t>
        </x:is>
      </x:c>
    </x:row>
    <x:row r="41" ht="15" customHeight="1">
      <x:c r="A41" s="37" t="inlineStr">
        <x:is>
          <x:t xml:space="preserve">Faith-Thru-Physics-Lean-4--main</x:t>
        </x:is>
      </x:c>
      <x:c r="B41" s="38" t="inlineStr">
        <x:is>
          <x:t xml:space="preserve">Faith-Thru-Physics-Lean-4--main\Faith-Thru-Physics-Lean-4--main\COHERENCE_SPINE\Theophysics_Coherence.lean</x:t>
        </x:is>
      </x:c>
      <x:c r="C41" s="38" t="inlineStr">
        <x:is>
          <x:t xml:space="preserve">145</x:t>
        </x:is>
      </x:c>
      <x:c r="D41" s="38" t="inlineStr">
        <x:is>
          <x:t xml:space="preserve">coercive_order_is_merely_ordered</x:t>
        </x:is>
      </x:c>
      <x:c r="E41" s="38" t="inlineStr">
        <x:is>
          <x:t xml:space="preserve">theorem coercive_order_is_merely_ordered : merelyOrdered coerciveOrder = true</x:t>
        </x:is>
      </x:c>
      <x:c r="F41" s="38" t="inlineStr">
        <x:is>
          <x:t xml:space="preserve">:= by rfl</x:t>
        </x:is>
      </x:c>
      <x:c r="G41" s="38" t="inlineStr">
        <x:is>
          <x:t xml:space="preserve">DEFINITIONAL_RFL</x:t>
        </x:is>
      </x:c>
      <x:c r="H41" s="39" t="inlineStr">
        <x:is>
          <x:t xml:space="preserve">Proves definitional equality by reduction; useful but narrow.</x:t>
        </x:is>
      </x:c>
    </x:row>
    <x:row r="42" ht="15" customHeight="1">
      <x:c r="A42" s="37" t="inlineStr">
        <x:is>
          <x:t xml:space="preserve">Faith-Thru-Physics-Lean-4--main</x:t>
        </x:is>
      </x:c>
      <x:c r="B42" s="38" t="inlineStr">
        <x:is>
          <x:t xml:space="preserve">Faith-Thru-Physics-Lean-4--main\Faith-Thru-Physics-Lean-4--main\COHERENCE_SPINE\Theophysics_Coherence.lean</x:t>
        </x:is>
      </x:c>
      <x:c r="C42" s="38" t="inlineStr">
        <x:is>
          <x:t xml:space="preserve">149</x:t>
        </x:is>
      </x:c>
      <x:c r="D42" s="38" t="inlineStr">
        <x:is>
          <x:t xml:space="preserve">coercive_order_is_not_full_coherence</x:t>
        </x:is>
      </x:c>
      <x:c r="E42" s="38" t="inlineStr">
        <x:is>
          <x:t xml:space="preserve">theorem coercive_order_is_not_full_coherence : coherent coerciveOrder = false</x:t>
        </x:is>
      </x:c>
      <x:c r="F42" s="38" t="inlineStr">
        <x:is>
          <x:t xml:space="preserve">:= by rfl</x:t>
        </x:is>
      </x:c>
      <x:c r="G42" s="38" t="inlineStr">
        <x:is>
          <x:t xml:space="preserve">DEFINITIONAL_RFL</x:t>
        </x:is>
      </x:c>
      <x:c r="H42" s="39" t="inlineStr">
        <x:is>
          <x:t xml:space="preserve">Proves definitional equality by reduction; useful but narrow.</x:t>
        </x:is>
      </x:c>
    </x:row>
    <x:row r="43" ht="15" customHeight="1">
      <x:c r="A43" s="37" t="inlineStr">
        <x:is>
          <x:t xml:space="preserve">Faith-Thru-Physics-Lean-4--main</x:t>
        </x:is>
      </x:c>
      <x:c r="B43" s="38" t="inlineStr">
        <x:is>
          <x:t xml:space="preserve">Faith-Thru-Physics-Lean-4--main\Faith-Thru-Physics-Lean-4--main\COHERENCE_SPINE\Theophysics_Coherence.lean</x:t>
        </x:is>
      </x:c>
      <x:c r="C43" s="38" t="inlineStr">
        <x:is>
          <x:t xml:space="preserve">153</x:t>
        </x:is>
      </x:c>
      <x:c r="D43" s="38" t="inlineStr">
        <x:is>
          <x:t xml:space="preserve">mere_order_does_not_imply_full_coherence</x:t>
        </x:is>
      </x:c>
      <x:c r="E43" s="38" t="inlineStr">
        <x:is>
          <x:t xml:space="preserve">theorem mere_order_does_not_imply_full_coherence : ∃ p : CoherenceProfile, merelyOrdered p = true ∧ coherent p = false</x:t>
        </x:is>
      </x:c>
      <x:c r="F43" s="38" t="inlineStr">
        <x:is>
          <x:t xml:space="preserve">:= by exact ⟨coerciveOrder, rfl, rfl⟩</x:t>
        </x:is>
      </x:c>
      <x:c r="G43" s="38" t="inlineStr">
        <x:is>
          <x:t xml:space="preserve">WRAPPER_OR_IMPORTED</x:t>
        </x:is>
      </x:c>
      <x:c r="H43" s="39" t="inlineStr">
        <x:is>
          <x:t xml:space="preserve">Likely delegates to another theorem; cite underlying theorem too.</x:t>
        </x:is>
      </x:c>
    </x:row>
    <x:row r="44" ht="15" customHeight="1">
      <x:c r="A44" s="37" t="inlineStr">
        <x:is>
          <x:t xml:space="preserve">Faith-Thru-Physics-Lean-4--main</x:t>
        </x:is>
      </x:c>
      <x:c r="B44" s="38" t="inlineStr">
        <x:is>
          <x:t xml:space="preserve">Faith-Thru-Physics-Lean-4--main\Faith-Thru-Physics-Lean-4--main\COHERENCE_SPINE\Theophysics_Coherence.lean</x:t>
        </x:is>
      </x:c>
      <x:c r="C44" s="38" t="inlineStr">
        <x:is>
          <x:t xml:space="preserve">157</x:t>
        </x:is>
      </x:c>
      <x:c r="D44" s="38" t="inlineStr">
        <x:is>
          <x:t xml:space="preserve">passive_decay_is_not_active_discoherence</x:t>
        </x:is>
      </x:c>
      <x:c r="E44" s="38" t="inlineStr">
        <x:is>
          <x:t xml:space="preserve">theorem passive_decay_is_not_active_discoherence : isActiveDiscoherence passiveEntropySlope = false</x:t>
        </x:is>
      </x:c>
      <x:c r="F44" s="38" t="inlineStr">
        <x:is>
          <x:t xml:space="preserve">:= by rfl</x:t>
        </x:is>
      </x:c>
      <x:c r="G44" s="38" t="inlineStr">
        <x:is>
          <x:t xml:space="preserve">DEFINITIONAL_RFL</x:t>
        </x:is>
      </x:c>
      <x:c r="H44" s="39" t="inlineStr">
        <x:is>
          <x:t xml:space="preserve">Proves definitional equality by reduction; useful but narrow.</x:t>
        </x:is>
      </x:c>
    </x:row>
    <x:row r="45" ht="15" customHeight="1">
      <x:c r="A45" s="37" t="inlineStr">
        <x:is>
          <x:t xml:space="preserve">Faith-Thru-Physics-Lean-4--main</x:t>
        </x:is>
      </x:c>
      <x:c r="B45" s="38" t="inlineStr">
        <x:is>
          <x:t xml:space="preserve">Faith-Thru-Physics-Lean-4--main\Faith-Thru-Physics-Lean-4--main\COHERENCE_SPINE\Theophysics_Coherence.lean</x:t>
        </x:is>
      </x:c>
      <x:c r="C45" s="38" t="inlineStr">
        <x:is>
          <x:t xml:space="preserve">161</x:t>
        </x:is>
      </x:c>
      <x:c r="D45" s="38" t="inlineStr">
        <x:is>
          <x:t xml:space="preserve">active_discoherence_is_active</x:t>
        </x:is>
      </x:c>
      <x:c r="E45" s="38" t="inlineStr">
        <x:is>
          <x:t xml:space="preserve">theorem active_discoherence_is_active : isActiveDiscoherence activeDiscoherence = true</x:t>
        </x:is>
      </x:c>
      <x:c r="F45" s="38" t="inlineStr">
        <x:is>
          <x:t xml:space="preserve">:= by rfl</x:t>
        </x:is>
      </x:c>
      <x:c r="G45" s="38" t="inlineStr">
        <x:is>
          <x:t xml:space="preserve">DEFINITIONAL_RFL</x:t>
        </x:is>
      </x:c>
      <x:c r="H45" s="39" t="inlineStr">
        <x:is>
          <x:t xml:space="preserve">Proves definitional equality by reduction; useful but narrow.</x:t>
        </x:is>
      </x:c>
    </x:row>
    <x:row r="46" ht="15" customHeight="1">
      <x:c r="A46" s="37" t="inlineStr">
        <x:is>
          <x:t xml:space="preserve">Faith-Thru-Physics-Lean-4--main</x:t>
        </x:is>
      </x:c>
      <x:c r="B46" s="38" t="inlineStr">
        <x:is>
          <x:t xml:space="preserve">Faith-Thru-Physics-Lean-4--main\Faith-Thru-Physics-Lean-4--main\COHERENCE_SPINE\Theophysics_Coherence.lean</x:t>
        </x:is>
      </x:c>
      <x:c r="C46" s="38" t="inlineStr">
        <x:is>
          <x:t xml:space="preserve">165</x:t>
        </x:is>
      </x:c>
      <x:c r="D46" s="38" t="inlineStr">
        <x:is>
          <x:t xml:space="preserve">closed_without_input_cannot_restore</x:t>
        </x:is>
      </x:c>
      <x:c r="E46" s="38" t="inlineStr">
        <x:is>
          <x:t xml:space="preserve">theorem closed_without_input_cannot_restore : canRestore closedWithoutInput = false</x:t>
        </x:is>
      </x:c>
      <x:c r="F46" s="38" t="inlineStr">
        <x:is>
          <x:t xml:space="preserve">:= by rfl</x:t>
        </x:is>
      </x:c>
      <x:c r="G46" s="38" t="inlineStr">
        <x:is>
          <x:t xml:space="preserve">DEFINITIONAL_RFL</x:t>
        </x:is>
      </x:c>
      <x:c r="H46" s="39" t="inlineStr">
        <x:is>
          <x:t xml:space="preserve">Proves definitional equality by reduction; useful but narrow.</x:t>
        </x:is>
      </x:c>
    </x:row>
    <x:row r="47" ht="15" customHeight="1">
      <x:c r="A47" s="37" t="inlineStr">
        <x:is>
          <x:t xml:space="preserve">Faith-Thru-Physics-Lean-4--main</x:t>
        </x:is>
      </x:c>
      <x:c r="B47" s="38" t="inlineStr">
        <x:is>
          <x:t xml:space="preserve">Faith-Thru-Physics-Lean-4--main\Faith-Thru-Physics-Lean-4--main\COHERENCE_SPINE\Theophysics_Coherence.lean</x:t>
        </x:is>
      </x:c>
      <x:c r="C47" s="38" t="inlineStr">
        <x:is>
          <x:t xml:space="preserve">169</x:t>
        </x:is>
      </x:c>
      <x:c r="D47" s="38" t="inlineStr">
        <x:is>
          <x:t xml:space="preserve">open_with_paid_input_can_restore</x:t>
        </x:is>
      </x:c>
      <x:c r="E47" s="38" t="inlineStr">
        <x:is>
          <x:t xml:space="preserve">theorem open_with_paid_input_can_restore : canRestore openWithPaidInput = true</x:t>
        </x:is>
      </x:c>
      <x:c r="F47" s="38" t="inlineStr">
        <x:is>
          <x:t xml:space="preserve">:= by rfl</x:t>
        </x:is>
      </x:c>
      <x:c r="G47" s="38" t="inlineStr">
        <x:is>
          <x:t xml:space="preserve">DEFINITIONAL_RFL</x:t>
        </x:is>
      </x:c>
      <x:c r="H47" s="39" t="inlineStr">
        <x:is>
          <x:t xml:space="preserve">Proves definitional equality by reduction; useful but narrow.</x:t>
        </x:is>
      </x:c>
    </x:row>
    <x:row r="48" ht="15" customHeight="1">
      <x:c r="A48" s="37" t="inlineStr">
        <x:is>
          <x:t xml:space="preserve">Faith-Thru-Physics-Lean-4--main</x:t>
        </x:is>
      </x:c>
      <x:c r="B48" s="38" t="inlineStr">
        <x:is>
          <x:t xml:space="preserve">Faith-Thru-Physics-Lean-4--main\Faith-Thru-Physics-Lean-4--main\COHERENCE_SPINE\Theophysics_Coherence.lean</x:t>
        </x:is>
      </x:c>
      <x:c r="C48" s="38" t="inlineStr">
        <x:is>
          <x:t xml:space="preserve">173</x:t>
        </x:is>
      </x:c>
      <x:c r="D48" s="38" t="inlineStr">
        <x:is>
          <x:t xml:space="preserve">restoration_requires_open_boundary</x:t>
        </x:is>
      </x:c>
      <x:c r="E48" s="38" t="inlineStr">
        <x:is>
          <x:t xml:space="preserve">theorem restoration_requires_open_boundary (m : RestorationModel) (h : canRestore m = true) : m.boundary = SystemBoundary.open</x:t>
        </x:is>
      </x:c>
      <x:c r="F48" s="38" t="inlineStr">
        <x:is>
          <x:t xml:space="preserve">:= by cases m with | mk boundary externalInput repairCostPaid informationPreserved =&gt; cases boundary &lt;;&gt; cases externalInput &lt;;&gt; cases repairCostPaid &lt;;&gt; cases informationPreserved &lt;;&gt; simp [canRestore] at h ⊢</x:t>
        </x:is>
      </x:c>
      <x:c r="G48" s="38" t="inlineStr">
        <x:is>
          <x:t xml:space="preserve">SIMPLIFICATION</x:t>
        </x:is>
      </x:c>
      <x:c r="H48" s="39" t="inlineStr">
        <x:is>
          <x:t xml:space="preserve">Follows by simplification under definitions; check definition strength.</x:t>
        </x:is>
      </x:c>
    </x:row>
    <x:row r="49" ht="15" customHeight="1">
      <x:c r="A49" s="37" t="inlineStr">
        <x:is>
          <x:t xml:space="preserve">Faith-Thru-Physics-Lean-4--main</x:t>
        </x:is>
      </x:c>
      <x:c r="B49" s="38" t="inlineStr">
        <x:is>
          <x:t xml:space="preserve">Faith-Thru-Physics-Lean-4--main\Faith-Thru-Physics-Lean-4--main\COHERENCE_SPINE\Theophysics_Coherence.lean</x:t>
        </x:is>
      </x:c>
      <x:c r="C49" s="38" t="inlineStr">
        <x:is>
          <x:t xml:space="preserve">181</x:t>
        </x:is>
      </x:c>
      <x:c r="D49" s="38" t="inlineStr">
        <x:is>
          <x:t xml:space="preserve">restoration_requires_external_input</x:t>
        </x:is>
      </x:c>
      <x:c r="E49" s="38" t="inlineStr">
        <x:is>
          <x:t xml:space="preserve">theorem restoration_requires_external_input (m : RestorationModel) (h : canRestore m = true) : m.externalInput = true</x:t>
        </x:is>
      </x:c>
      <x:c r="F49" s="38" t="inlineStr">
        <x:is>
          <x:t xml:space="preserve">:= by cases m with | mk boundary externalInput repairCostPaid informationPreserved =&gt; cases boundary &lt;;&gt; cases externalInput &lt;;&gt; cases repairCostPaid &lt;;&gt; cases informationPreserved &lt;;&gt; simp [canRestore] at h ⊢</x:t>
        </x:is>
      </x:c>
      <x:c r="G49" s="38" t="inlineStr">
        <x:is>
          <x:t xml:space="preserve">SIMPLIFICATION</x:t>
        </x:is>
      </x:c>
      <x:c r="H49" s="39" t="inlineStr">
        <x:is>
          <x:t xml:space="preserve">Follows by simplification under definitions; check definition strength.</x:t>
        </x:is>
      </x:c>
    </x:row>
    <x:row r="50" ht="15" customHeight="1">
      <x:c r="A50" s="37" t="inlineStr">
        <x:is>
          <x:t xml:space="preserve">Faith-Thru-Physics-Lean-4--main</x:t>
        </x:is>
      </x:c>
      <x:c r="B50" s="38" t="inlineStr">
        <x:is>
          <x:t xml:space="preserve">Faith-Thru-Physics-Lean-4--main\Faith-Thru-Physics-Lean-4--main\COHERENCE_SPINE\Theophysics_Coherence.lean</x:t>
        </x:is>
      </x:c>
      <x:c r="C50" s="38" t="inlineStr">
        <x:is>
          <x:t xml:space="preserve">189</x:t>
        </x:is>
      </x:c>
      <x:c r="D50" s="38" t="inlineStr">
        <x:is>
          <x:t xml:space="preserve">restoration_requires_paid_cost</x:t>
        </x:is>
      </x:c>
      <x:c r="E50" s="38" t="inlineStr">
        <x:is>
          <x:t xml:space="preserve">theorem restoration_requires_paid_cost (m : RestorationModel) (h : canRestore m = true) : m.repairCostPaid = true</x:t>
        </x:is>
      </x:c>
      <x:c r="F50" s="38" t="inlineStr">
        <x:is>
          <x:t xml:space="preserve">:= by cases m with | mk boundary externalInput repairCostPaid informationPreserved =&gt; cases boundary &lt;;&gt; cases externalInput &lt;;&gt; cases repairCostPaid &lt;;&gt; cases informationPreserved &lt;;&gt; simp [canRestore] at h ⊢</x:t>
        </x:is>
      </x:c>
      <x:c r="G50" s="38" t="inlineStr">
        <x:is>
          <x:t xml:space="preserve">SIMPLIFICATION</x:t>
        </x:is>
      </x:c>
      <x:c r="H50" s="39" t="inlineStr">
        <x:is>
          <x:t xml:space="preserve">Follows by simplification under definitions; check definition strength.</x:t>
        </x:is>
      </x:c>
    </x:row>
    <x:row r="51" ht="15" customHeight="1">
      <x:c r="A51" s="37" t="inlineStr">
        <x:is>
          <x:t xml:space="preserve">Faith-Thru-Physics-Lean-4--main</x:t>
        </x:is>
      </x:c>
      <x:c r="B51" s="38" t="inlineStr">
        <x:is>
          <x:t xml:space="preserve">Faith-Thru-Physics-Lean-4--main\Faith-Thru-Physics-Lean-4--main\COHERENCE_SPINE\Theophysics_Coherence.lean</x:t>
        </x:is>
      </x:c>
      <x:c r="C51" s="38" t="inlineStr">
        <x:is>
          <x:t xml:space="preserve">197</x:t>
        </x:is>
      </x:c>
      <x:c r="D51" s="38" t="inlineStr">
        <x:is>
          <x:t xml:space="preserve">restoration_requires_information_preservation</x:t>
        </x:is>
      </x:c>
      <x:c r="E51" s="38" t="inlineStr">
        <x:is>
          <x:t xml:space="preserve">theorem restoration_requires_information_preservation (m : RestorationModel) (h : canRestore m = true) : m.informationPreserved = true</x:t>
        </x:is>
      </x:c>
      <x:c r="F51" s="38" t="inlineStr">
        <x:is>
          <x:t xml:space="preserve">:= by cases m with | mk boundary externalInput repairCostPaid informationPreserved =&gt; cases boundary &lt;;&gt; cases externalInput &lt;;&gt; cases repairCostPaid &lt;;&gt; cases informationPreserved &lt;;&gt; simp [canRestore] at h ⊢</x:t>
        </x:is>
      </x:c>
      <x:c r="G51" s="38" t="inlineStr">
        <x:is>
          <x:t xml:space="preserve">SIMPLIFICATION</x:t>
        </x:is>
      </x:c>
      <x:c r="H51" s="39" t="inlineStr">
        <x:is>
          <x:t xml:space="preserve">Follows by simplification under definitions; check definition strength.</x:t>
        </x:is>
      </x:c>
    </x:row>
    <x:row r="52" ht="15" customHeight="1">
      <x:c r="A52" s="37" t="inlineStr">
        <x:is>
          <x:t xml:space="preserve">Faith-Thru-Physics-Lean-4--main</x:t>
        </x:is>
      </x:c>
      <x:c r="B52" s="38" t="inlineStr">
        <x:is>
          <x:t xml:space="preserve">Faith-Thru-Physics-Lean-4--main\Faith-Thru-Physics-Lean-4--main\COHERENCE_SPINE\Theophysics_Coherence.lean</x:t>
        </x:is>
      </x:c>
      <x:c r="C52" s="38" t="inlineStr">
        <x:is>
          <x:t xml:space="preserve">205</x:t>
        </x:is>
      </x:c>
      <x:c r="D52" s="38" t="inlineStr">
        <x:is>
          <x:t xml:space="preserve">thermodynamics_pattern_marker</x:t>
        </x:is>
      </x:c>
      <x:c r="E52" s="38" t="inlineStr">
        <x:is>
          <x:t xml:space="preserve">theorem thermodynamics_pattern_marker : coherent fullCoherence = true ∧ coherent coerciveOrder = false ∧ isActiveDiscoherence passiveEntropySlope = false ∧ canRestore closedWithoutInput = false ∧ canRestore openWithPaidInput = true</x:t>
        </x:is>
      </x:c>
      <x:c r="F52" s="38" t="inlineStr">
        <x:is>
          <x:t xml:space="preserve">:= by exact ⟨rfl, rfl, rfl, rfl, rfl⟩ end Theophysics.Coherence</x:t>
        </x:is>
      </x:c>
      <x:c r="G52" s="38" t="inlineStr">
        <x:is>
          <x:t xml:space="preserve">WRAPPER_OR_IMPORTED</x:t>
        </x:is>
      </x:c>
      <x:c r="H52" s="39" t="inlineStr">
        <x:is>
          <x:t xml:space="preserve">Likely delegates to another theorem; cite underlying theorem too.</x:t>
        </x:is>
      </x:c>
    </x:row>
    <x:row r="53" ht="15" customHeight="1">
      <x:c r="A53" s="37" t="inlineStr">
        <x:is>
          <x:t xml:space="preserve">Faith-Thru-Physics-Lean-4--main</x:t>
        </x:is>
      </x:c>
      <x:c r="B53" s="38" t="inlineStr">
        <x:is>
          <x:t xml:space="preserve">Faith-Thru-Physics-Lean-4--main\Faith-Thru-Physics-Lean-4--main\EVIDENCE\COPY_PASTE_LEAN4.lean</x:t>
        </x:is>
      </x:c>
      <x:c r="C53" s="38" t="inlineStr">
        <x:is>
          <x:t xml:space="preserve">37</x:t>
        </x:is>
      </x:c>
      <x:c r="D53" s="38" t="inlineStr">
        <x:is>
          <x:t xml:space="preserve">listProd_eq_zero_of_mem_zero</x:t>
        </x:is>
      </x:c>
      <x:c r="E53" s="38" t="inlineStr">
        <x:is>
          <x:t xml:space="preserve">theorem listProd_eq_zero_of_mem_zero : ∀ xs : List α, A.zero ∈ xs → listProd xs = A.zero</x:t>
        </x:is>
      </x:c>
      <x:c r="F53" s="38" t="inlineStr">
        <x:is>
          <x:t xml:space="preserve">:= by intro xs h induction xs with | nil =&gt; cases h | cons x xs ih =&gt; dsimp [listProd] cases h with | head =&gt; exact A.zero_mul (listProd xs) | tail _ htail =&gt; rw [ih htail] exact A.mul_zero x</x:t>
        </x:is>
      </x:c>
      <x:c r="G53" s="38" t="inlineStr">
        <x:is>
          <x:t xml:space="preserve">WRAPPER_OR_IMPORTED</x:t>
        </x:is>
      </x:c>
      <x:c r="H53" s="39" t="inlineStr">
        <x:is>
          <x:t xml:space="preserve">Likely delegates to another theorem; cite underlying theorem too.</x:t>
        </x:is>
      </x:c>
    </x:row>
    <x:row r="54" ht="15" customHeight="1">
      <x:c r="A54" s="37" t="inlineStr">
        <x:is>
          <x:t xml:space="preserve">Faith-Thru-Physics-Lean-4--main</x:t>
        </x:is>
      </x:c>
      <x:c r="B54" s="38" t="inlineStr">
        <x:is>
          <x:t xml:space="preserve">Faith-Thru-Physics-Lean-4--main\Faith-Thru-Physics-Lean-4--main\EVIDENCE\COPY_PASTE_LEAN4.lean</x:t>
        </x:is>
      </x:c>
      <x:c r="C54" s="38" t="inlineStr">
        <x:is>
          <x:t xml:space="preserve">50</x:t>
        </x:is>
      </x:c>
      <x:c r="D54" s="38" t="inlineStr">
        <x:is>
          <x:t xml:space="preserve">mem_zero_of_listProd_eq_zero</x:t>
        </x:is>
      </x:c>
      <x:c r="E54" s="38" t="inlineStr">
        <x:is>
          <x:t xml:space="preserve">theorem mem_zero_of_listProd_eq_zero : ∀ xs : List α, listProd xs = A.zero → A.zero ∈ xs</x:t>
        </x:is>
      </x:c>
      <x:c r="F54" s="38" t="inlineStr">
        <x:is>
          <x:t xml:space="preserve">:= by intro xs h induction xs with | nil =&gt; dsimp [listProd] at h exact False.elim (A.one_ne_zero h) | cons x xs ih =&gt; dsimp [listProd] at h have hz := A.no_zero_divisors x (listProd xs) h cases hz with | inl hx =&gt; rw [hx] exact List.Mem.head xs | inr hxs =&gt; exact List.Mem.tail x (ih hxs)</x:t>
        </x:is>
      </x:c>
      <x:c r="G54" s="38" t="inlineStr">
        <x:is>
          <x:t xml:space="preserve">WRAPPER_OR_IMPORTED</x:t>
        </x:is>
      </x:c>
      <x:c r="H54" s="39" t="inlineStr">
        <x:is>
          <x:t xml:space="preserve">Likely delegates to another theorem; cite underlying theorem too.</x:t>
        </x:is>
      </x:c>
    </x:row>
    <x:row r="55" ht="15" customHeight="1">
      <x:c r="A55" s="37" t="inlineStr">
        <x:is>
          <x:t xml:space="preserve">Faith-Thru-Physics-Lean-4--main</x:t>
        </x:is>
      </x:c>
      <x:c r="B55" s="38" t="inlineStr">
        <x:is>
          <x:t xml:space="preserve">Faith-Thru-Physics-Lean-4--main\Faith-Thru-Physics-Lean-4--main\EVIDENCE\COPY_PASTE_LEAN4.lean</x:t>
        </x:is>
      </x:c>
      <x:c r="C55" s="38" t="inlineStr">
        <x:is>
          <x:t xml:space="preserve">67</x:t>
        </x:is>
      </x:c>
      <x:c r="D55" s="38" t="inlineStr">
        <x:is>
          <x:t xml:space="preserve">listProd_eq_zero_iff</x:t>
        </x:is>
      </x:c>
      <x:c r="E55" s="38" t="inlineStr">
        <x:is>
          <x:t xml:space="preserve">theorem listProd_eq_zero_iff (xs : List α) : listProd xs = A.zero ↔ A.zero ∈ xs := Iff.intro (mem_zero_of_listProd_eq_zero xs) (listProd_eq_zero_of_mem_zero xs) end CoherenceAlgebra inductive Regime where | constructive | destructive deriving DecidableEq, Repr def grace : Regime → Regime | Regime.constructive =&gt; Regime.constructive | Regime.destructive =&gt; Regime.constructive</x:t>
        </x:is>
      </x:c>
      <x:c r="F55" s="38" t="n"/>
      <x:c r="G55" s="38" t="inlineStr">
        <x:is>
          <x:t xml:space="preserve">DECLARATION_OR_UNKNOWN</x:t>
        </x:is>
      </x:c>
      <x:c r="H55" s="39" t="inlineStr">
        <x:is>
          <x:t xml:space="preserve">Could not classify from first proof lines.</x:t>
        </x:is>
      </x:c>
    </x:row>
    <x:row r="56" ht="15" customHeight="1">
      <x:c r="A56" s="37" t="inlineStr">
        <x:is>
          <x:t xml:space="preserve">Faith-Thru-Physics-Lean-4--main</x:t>
        </x:is>
      </x:c>
      <x:c r="B56" s="38" t="inlineStr">
        <x:is>
          <x:t xml:space="preserve">Faith-Thru-Physics-Lean-4--main\Faith-Thru-Physics-Lean-4--main\EVIDENCE\COPY_PASTE_LEAN4.lean</x:t>
        </x:is>
      </x:c>
      <x:c r="C56" s="38" t="inlineStr">
        <x:is>
          <x:t xml:space="preserve">82</x:t>
        </x:is>
      </x:c>
      <x:c r="D56" s="38" t="inlineStr">
        <x:is>
          <x:t xml:space="preserve">grace_idempotent</x:t>
        </x:is>
      </x:c>
      <x:c r="E56" s="38" t="inlineStr">
        <x:is>
          <x:t xml:space="preserve">theorem grace_idempotent (r : Regime) : grace (grace r) = grace r</x:t>
        </x:is>
      </x:c>
      <x:c r="F56" s="38" t="inlineStr">
        <x:is>
          <x:t xml:space="preserve">:= by cases r &lt;;&gt; rfl</x:t>
        </x:is>
      </x:c>
      <x:c r="G56" s="38" t="inlineStr">
        <x:is>
          <x:t xml:space="preserve">SUBSTANTIVE_OR_CASE_PROOF</x:t>
        </x:is>
      </x:c>
      <x:c r="H56" s="39" t="inlineStr">
        <x:is>
          <x:t xml:space="preserve">Appears to contain an actual proof body; inspect before public citation.</x:t>
        </x:is>
      </x:c>
    </x:row>
    <x:row r="57" ht="15" customHeight="1">
      <x:c r="A57" s="37" t="inlineStr">
        <x:is>
          <x:t xml:space="preserve">Faith-Thru-Physics-Lean-4--main</x:t>
        </x:is>
      </x:c>
      <x:c r="B57" s="38" t="inlineStr">
        <x:is>
          <x:t xml:space="preserve">Faith-Thru-Physics-Lean-4--main\Faith-Thru-Physics-Lean-4--main\EVIDENCE\COPY_PASTE_LEAN4.lean</x:t>
        </x:is>
      </x:c>
      <x:c r="C57" s="38" t="inlineStr">
        <x:is>
          <x:t xml:space="preserve">86</x:t>
        </x:is>
      </x:c>
      <x:c r="D57" s="38" t="inlineStr">
        <x:is>
          <x:t xml:space="preserve">grace_not_left_invertible</x:t>
        </x:is>
      </x:c>
      <x:c r="E57" s="38" t="inlineStr">
        <x:is>
          <x:t xml:space="preserve">theorem grace_not_left_invertible : ¬ ∃ f : Regime → Regime, ∀ r : Regime, f (grace r) = r</x:t>
        </x:is>
      </x:c>
      <x:c r="F57" s="38" t="inlineStr">
        <x:is>
          <x:t xml:space="preserve">:= by intro h rcases h with ⟨f, hf⟩ have hc := hf Regime.constructive have hd := hf Regime.destructive dsimp [grace] at hc hd rw [hc] at hd contradiction inductive Fruit where | love | joy | peace | patience | kindness | goodness | faithfulness | gentleness | selfControl deriving DecidableEq, Repr namespace Fruit def all : List Fruit := [love, joy, peace, patience, kindness, goodness, faithfulness, gentleness, selfControl]</x:t>
        </x:is>
      </x:c>
      <x:c r="G57" s="38" t="inlineStr">
        <x:is>
          <x:t xml:space="preserve">WRAPPER_OR_IMPORTED</x:t>
        </x:is>
      </x:c>
      <x:c r="H57" s="39" t="inlineStr">
        <x:is>
          <x:t xml:space="preserve">Likely delegates to another theorem; cite underlying theorem too.</x:t>
        </x:is>
      </x:c>
    </x:row>
    <x:row r="58" ht="15" customHeight="1">
      <x:c r="A58" s="37" t="inlineStr">
        <x:is>
          <x:t xml:space="preserve">Faith-Thru-Physics-Lean-4--main</x:t>
        </x:is>
      </x:c>
      <x:c r="B58" s="38" t="inlineStr">
        <x:is>
          <x:t xml:space="preserve">Faith-Thru-Physics-Lean-4--main\Faith-Thru-Physics-Lean-4--main\EVIDENCE\COPY_PASTE_LEAN4.lean</x:t>
        </x:is>
      </x:c>
      <x:c r="C58" s="38" t="inlineStr">
        <x:is>
          <x:t xml:space="preserve">105</x:t>
        </x:is>
      </x:c>
      <x:c r="D58" s="38" t="inlineStr">
        <x:is>
          <x:t xml:space="preserve">count</x:t>
        </x:is>
      </x:c>
      <x:c r="E58" s="38" t="inlineStr">
        <x:is>
          <x:t xml:space="preserve">theorem count : all.length = 9</x:t>
        </x:is>
      </x:c>
      <x:c r="F58" s="38" t="inlineStr">
        <x:is>
          <x:t xml:space="preserve">:= by rfl</x:t>
        </x:is>
      </x:c>
      <x:c r="G58" s="38" t="inlineStr">
        <x:is>
          <x:t xml:space="preserve">DEFINITIONAL_RFL</x:t>
        </x:is>
      </x:c>
      <x:c r="H58" s="39" t="inlineStr">
        <x:is>
          <x:t xml:space="preserve">Proves definitional equality by reduction; useful but narrow.</x:t>
        </x:is>
      </x:c>
    </x:row>
    <x:row r="59" ht="15" customHeight="1">
      <x:c r="A59" s="37" t="inlineStr">
        <x:is>
          <x:t xml:space="preserve">Faith-Thru-Physics-Lean-4--main</x:t>
        </x:is>
      </x:c>
      <x:c r="B59" s="38" t="inlineStr">
        <x:is>
          <x:t xml:space="preserve">Faith-Thru-Physics-Lean-4--main\Faith-Thru-Physics-Lean-4--main\EVIDENCE\COPY_PASTE_LEAN4.lean</x:t>
        </x:is>
      </x:c>
      <x:c r="C59" s="38" t="inlineStr">
        <x:is>
          <x:t xml:space="preserve">108</x:t>
        </x:is>
      </x:c>
      <x:c r="D59" s="38" t="inlineStr">
        <x:is>
          <x:t xml:space="preserve">no_duplicates</x:t>
        </x:is>
      </x:c>
      <x:c r="E59" s="38" t="inlineStr">
        <x:is>
          <x:t xml:space="preserve">theorem no_duplicates : all.Nodup</x:t>
        </x:is>
      </x:c>
      <x:c r="F59" s="38" t="inlineStr">
        <x:is>
          <x:t xml:space="preserve">:= by decide end Fruit structure FruitProfile where manifest : Fruit → Bool namespace FruitProfile def allManifest (p : FruitProfile) : Prop := ∀ f : Fruit, p.manifest f = true def gate (p : FruitProfile) : Bool := Fruit.all.all p.manifest</x:t>
        </x:is>
      </x:c>
      <x:c r="G59" s="38" t="inlineStr">
        <x:is>
          <x:t xml:space="preserve">WRAPPER_OR_IMPORTED</x:t>
        </x:is>
      </x:c>
      <x:c r="H59" s="39" t="inlineStr">
        <x:is>
          <x:t xml:space="preserve">Likely delegates to another theorem; cite underlying theorem too.</x:t>
        </x:is>
      </x:c>
    </x:row>
    <x:row r="60" ht="15" customHeight="1">
      <x:c r="A60" s="37" t="inlineStr">
        <x:is>
          <x:t xml:space="preserve">Faith-Thru-Physics-Lean-4--main</x:t>
        </x:is>
      </x:c>
      <x:c r="B60" s="38" t="inlineStr">
        <x:is>
          <x:t xml:space="preserve">Faith-Thru-Physics-Lean-4--main\Faith-Thru-Physics-Lean-4--main\EVIDENCE\COPY_PASTE_LEAN4.lean</x:t>
        </x:is>
      </x:c>
      <x:c r="C60" s="38" t="inlineStr">
        <x:is>
          <x:t xml:space="preserve">124</x:t>
        </x:is>
      </x:c>
      <x:c r="D60" s="38" t="inlineStr">
        <x:is>
          <x:t xml:space="preserve">gate_true_of_allManifest</x:t>
        </x:is>
      </x:c>
      <x:c r="E60" s="38" t="inlineStr">
        <x:is>
          <x:t xml:space="preserve">theorem gate_true_of_allManifest (p : FruitProfile) (h : p.allManifest) : p.gate = true</x:t>
        </x:is>
      </x:c>
      <x:c r="F60" s="38" t="inlineStr">
        <x:is>
          <x:t xml:space="preserve">:= by unfold gate simp [Fruit.all, allManifest] at h ⊢ exact ⟨h Fruit.love, h Fruit.joy, h Fruit.peace, h Fruit.patience, h Fruit.kindness, h Fruit.goodness, h Fruit.faithfulness, h Fruit.gentleness, h Fruit.selfControl⟩</x:t>
        </x:is>
      </x:c>
      <x:c r="G60" s="38" t="inlineStr">
        <x:is>
          <x:t xml:space="preserve">WRAPPER_OR_IMPORTED</x:t>
        </x:is>
      </x:c>
      <x:c r="H60" s="39" t="inlineStr">
        <x:is>
          <x:t xml:space="preserve">Likely delegates to another theorem; cite underlying theorem too.</x:t>
        </x:is>
      </x:c>
    </x:row>
    <x:row r="61" ht="15" customHeight="1">
      <x:c r="A61" s="37" t="inlineStr">
        <x:is>
          <x:t xml:space="preserve">Faith-Thru-Physics-Lean-4--main</x:t>
        </x:is>
      </x:c>
      <x:c r="B61" s="38" t="inlineStr">
        <x:is>
          <x:t xml:space="preserve">Faith-Thru-Physics-Lean-4--main\Faith-Thru-Physics-Lean-4--main\EVIDENCE\COPY_PASTE_LEAN4.lean</x:t>
        </x:is>
      </x:c>
      <x:c r="C61" s="38" t="inlineStr">
        <x:is>
          <x:t xml:space="preserve">133</x:t>
        </x:is>
      </x:c>
      <x:c r="D61" s="38" t="inlineStr">
        <x:is>
          <x:t xml:space="preserve">gate_false_of_missing_love</x:t>
        </x:is>
      </x:c>
      <x:c r="E61" s="38" t="inlineStr">
        <x:is>
          <x:t xml:space="preserve">theorem gate_false_of_missing_love (p : FruitProfile) (h : p.manifest Fruit.love = false) : p.gate = false</x:t>
        </x:is>
      </x:c>
      <x:c r="F61" s="38" t="inlineStr">
        <x:is>
          <x:t xml:space="preserve">:= by unfold gate simp [Fruit.all, h] end FruitProfile structure ZeroPreservingOperator (α : Type u) [Zero α] where apply : α → α preserves_zero : apply 0 = 0</x:t>
        </x:is>
      </x:c>
      <x:c r="G61" s="38" t="inlineStr">
        <x:is>
          <x:t xml:space="preserve">WRAPPER_OR_IMPORTED</x:t>
        </x:is>
      </x:c>
      <x:c r="H61" s="39" t="inlineStr">
        <x:is>
          <x:t xml:space="preserve">Likely delegates to another theorem; cite underlying theorem too.</x:t>
        </x:is>
      </x:c>
    </x:row>
    <x:row r="62" ht="15" customHeight="1">
      <x:c r="A62" s="37" t="inlineStr">
        <x:is>
          <x:t xml:space="preserve">Faith-Thru-Physics-Lean-4--main</x:t>
        </x:is>
      </x:c>
      <x:c r="B62" s="38" t="inlineStr">
        <x:is>
          <x:t xml:space="preserve">Faith-Thru-Physics-Lean-4--main\Faith-Thru-Physics-Lean-4--main\EVIDENCE\COPY_PASTE_LEAN4.lean</x:t>
        </x:is>
      </x:c>
      <x:c r="C62" s="38" t="inlineStr">
        <x:is>
          <x:t xml:space="preserve">145</x:t>
        </x:is>
      </x:c>
      <x:c r="D62" s="38" t="inlineStr">
        <x:is>
          <x:t xml:space="preserve">zero_preserving_operator_cannot_rescue</x:t>
        </x:is>
      </x:c>
      <x:c r="E62" s="38" t="inlineStr">
        <x:is>
          <x:t xml:space="preserve">theorem zero_preserving_operator_cannot_rescue {α : Type u} [Zero α] (op : ZeroPreservingOperator α) : op.apply 0 = 0 := op.preserves_zero end Theophysics.CopyPaste</x:t>
        </x:is>
      </x:c>
      <x:c r="F62" s="38" t="n"/>
      <x:c r="G62" s="38" t="inlineStr">
        <x:is>
          <x:t xml:space="preserve">DECLARATION_OR_UNKNOWN</x:t>
        </x:is>
      </x:c>
      <x:c r="H62" s="39" t="inlineStr">
        <x:is>
          <x:t xml:space="preserve">Could not classify from first proof lines.</x:t>
        </x:is>
      </x:c>
    </x:row>
    <x:row r="63" ht="15" customHeight="1">
      <x:c r="A63" s="37" t="inlineStr">
        <x:is>
          <x:t xml:space="preserve">Faith-Thru-Physics-Lean-4--main</x:t>
        </x:is>
      </x:c>
      <x:c r="B63" s="38" t="inlineStr">
        <x:is>
          <x:t xml:space="preserve">Faith-Thru-Physics-Lean-4--main\Faith-Thru-Physics-Lean-4--main\EVIDENCE\Final_Lean4_From_Excel.lean</x:t>
        </x:is>
      </x:c>
      <x:c r="C63" s="38" t="inlineStr">
        <x:is>
          <x:t xml:space="preserve">91</x:t>
        </x:is>
      </x:c>
      <x:c r="D63" s="38" t="inlineStr">
        <x:is>
          <x:t xml:space="preserve">G_zero_collapses_chi</x:t>
        </x:is>
      </x:c>
      <x:c r="E63" s="38" t="inlineStr">
        <x:is>
          <x:t xml:space="preserve">theorem G_zero_collapses_chi (x : FactorState) (h : x.G = 0) : chi x = 0</x:t>
        </x:is>
      </x:c>
      <x:c r="F63" s="38" t="inlineStr">
        <x:is>
          <x:t xml:space="preserve">:= by simp [chi, h]</x:t>
        </x:is>
      </x:c>
      <x:c r="G63" s="38" t="inlineStr">
        <x:is>
          <x:t xml:space="preserve">SIMPLIFICATION</x:t>
        </x:is>
      </x:c>
      <x:c r="H63" s="39" t="inlineStr">
        <x:is>
          <x:t xml:space="preserve">Follows by simplification under definitions; check definition strength.</x:t>
        </x:is>
      </x:c>
    </x:row>
    <x:row r="64" ht="15" customHeight="1">
      <x:c r="A64" s="37" t="inlineStr">
        <x:is>
          <x:t xml:space="preserve">Faith-Thru-Physics-Lean-4--main</x:t>
        </x:is>
      </x:c>
      <x:c r="B64" s="38" t="inlineStr">
        <x:is>
          <x:t xml:space="preserve">Faith-Thru-Physics-Lean-4--main\Faith-Thru-Physics-Lean-4--main\EVIDENCE\Final_Lean4_From_Excel.lean</x:t>
        </x:is>
      </x:c>
      <x:c r="C64" s="38" t="inlineStr">
        <x:is>
          <x:t xml:space="preserve">94</x:t>
        </x:is>
      </x:c>
      <x:c r="D64" s="38" t="inlineStr">
        <x:is>
          <x:t xml:space="preserve">M_zero_collapses_chi</x:t>
        </x:is>
      </x:c>
      <x:c r="E64" s="38" t="inlineStr">
        <x:is>
          <x:t xml:space="preserve">theorem M_zero_collapses_chi (x : FactorState) (h : x.M = 0) : chi x = 0</x:t>
        </x:is>
      </x:c>
      <x:c r="F64" s="38" t="inlineStr">
        <x:is>
          <x:t xml:space="preserve">:= by simp [chi, h]</x:t>
        </x:is>
      </x:c>
      <x:c r="G64" s="38" t="inlineStr">
        <x:is>
          <x:t xml:space="preserve">SIMPLIFICATION</x:t>
        </x:is>
      </x:c>
      <x:c r="H64" s="39" t="inlineStr">
        <x:is>
          <x:t xml:space="preserve">Follows by simplification under definitions; check definition strength.</x:t>
        </x:is>
      </x:c>
    </x:row>
    <x:row r="65" ht="15" customHeight="1">
      <x:c r="A65" s="37" t="inlineStr">
        <x:is>
          <x:t xml:space="preserve">Faith-Thru-Physics-Lean-4--main</x:t>
        </x:is>
      </x:c>
      <x:c r="B65" s="38" t="inlineStr">
        <x:is>
          <x:t xml:space="preserve">Faith-Thru-Physics-Lean-4--main\Faith-Thru-Physics-Lean-4--main\EVIDENCE\Final_Lean4_From_Excel.lean</x:t>
        </x:is>
      </x:c>
      <x:c r="C65" s="38" t="inlineStr">
        <x:is>
          <x:t xml:space="preserve">97</x:t>
        </x:is>
      </x:c>
      <x:c r="D65" s="38" t="inlineStr">
        <x:is>
          <x:t xml:space="preserve">E_zero_collapses_chi</x:t>
        </x:is>
      </x:c>
      <x:c r="E65" s="38" t="inlineStr">
        <x:is>
          <x:t xml:space="preserve">theorem E_zero_collapses_chi (x : FactorState) (h : x.E = 0) : chi x = 0</x:t>
        </x:is>
      </x:c>
      <x:c r="F65" s="38" t="inlineStr">
        <x:is>
          <x:t xml:space="preserve">:= by simp [chi, h]</x:t>
        </x:is>
      </x:c>
      <x:c r="G65" s="38" t="inlineStr">
        <x:is>
          <x:t xml:space="preserve">SIMPLIFICATION</x:t>
        </x:is>
      </x:c>
      <x:c r="H65" s="39" t="inlineStr">
        <x:is>
          <x:t xml:space="preserve">Follows by simplification under definitions; check definition strength.</x:t>
        </x:is>
      </x:c>
    </x:row>
    <x:row r="66" ht="15" customHeight="1">
      <x:c r="A66" s="37" t="inlineStr">
        <x:is>
          <x:t xml:space="preserve">Faith-Thru-Physics-Lean-4--main</x:t>
        </x:is>
      </x:c>
      <x:c r="B66" s="38" t="inlineStr">
        <x:is>
          <x:t xml:space="preserve">Faith-Thru-Physics-Lean-4--main\Faith-Thru-Physics-Lean-4--main\EVIDENCE\Final_Lean4_From_Excel.lean</x:t>
        </x:is>
      </x:c>
      <x:c r="C66" s="38" t="inlineStr">
        <x:is>
          <x:t xml:space="preserve">100</x:t>
        </x:is>
      </x:c>
      <x:c r="D66" s="38" t="inlineStr">
        <x:is>
          <x:t xml:space="preserve">S_zero_collapses_chi</x:t>
        </x:is>
      </x:c>
      <x:c r="E66" s="38" t="inlineStr">
        <x:is>
          <x:t xml:space="preserve">theorem S_zero_collapses_chi (x : FactorState) (h : x.S = 0) : chi x = 0</x:t>
        </x:is>
      </x:c>
      <x:c r="F66" s="38" t="inlineStr">
        <x:is>
          <x:t xml:space="preserve">:= by simp [chi, h]</x:t>
        </x:is>
      </x:c>
      <x:c r="G66" s="38" t="inlineStr">
        <x:is>
          <x:t xml:space="preserve">SIMPLIFICATION</x:t>
        </x:is>
      </x:c>
      <x:c r="H66" s="39" t="inlineStr">
        <x:is>
          <x:t xml:space="preserve">Follows by simplification under definitions; check definition strength.</x:t>
        </x:is>
      </x:c>
    </x:row>
    <x:row r="67" ht="15" customHeight="1">
      <x:c r="A67" s="37" t="inlineStr">
        <x:is>
          <x:t xml:space="preserve">Faith-Thru-Physics-Lean-4--main</x:t>
        </x:is>
      </x:c>
      <x:c r="B67" s="38" t="inlineStr">
        <x:is>
          <x:t xml:space="preserve">Faith-Thru-Physics-Lean-4--main\Faith-Thru-Physics-Lean-4--main\EVIDENCE\Final_Lean4_From_Excel.lean</x:t>
        </x:is>
      </x:c>
      <x:c r="C67" s="38" t="inlineStr">
        <x:is>
          <x:t xml:space="preserve">103</x:t>
        </x:is>
      </x:c>
      <x:c r="D67" s="38" t="inlineStr">
        <x:is>
          <x:t xml:space="preserve">T_zero_collapses_chi</x:t>
        </x:is>
      </x:c>
      <x:c r="E67" s="38" t="inlineStr">
        <x:is>
          <x:t xml:space="preserve">theorem T_zero_collapses_chi (x : FactorState) (h : x.T = 0) : chi x = 0</x:t>
        </x:is>
      </x:c>
      <x:c r="F67" s="38" t="inlineStr">
        <x:is>
          <x:t xml:space="preserve">:= by simp [chi, h]</x:t>
        </x:is>
      </x:c>
      <x:c r="G67" s="38" t="inlineStr">
        <x:is>
          <x:t xml:space="preserve">SIMPLIFICATION</x:t>
        </x:is>
      </x:c>
      <x:c r="H67" s="39" t="inlineStr">
        <x:is>
          <x:t xml:space="preserve">Follows by simplification under definitions; check definition strength.</x:t>
        </x:is>
      </x:c>
    </x:row>
    <x:row r="68" ht="15" customHeight="1">
      <x:c r="A68" s="37" t="inlineStr">
        <x:is>
          <x:t xml:space="preserve">Faith-Thru-Physics-Lean-4--main</x:t>
        </x:is>
      </x:c>
      <x:c r="B68" s="38" t="inlineStr">
        <x:is>
          <x:t xml:space="preserve">Faith-Thru-Physics-Lean-4--main\Faith-Thru-Physics-Lean-4--main\EVIDENCE\Final_Lean4_From_Excel.lean</x:t>
        </x:is>
      </x:c>
      <x:c r="C68" s="38" t="inlineStr">
        <x:is>
          <x:t xml:space="preserve">106</x:t>
        </x:is>
      </x:c>
      <x:c r="D68" s="38" t="inlineStr">
        <x:is>
          <x:t xml:space="preserve">K_zero_collapses_chi</x:t>
        </x:is>
      </x:c>
      <x:c r="E68" s="38" t="inlineStr">
        <x:is>
          <x:t xml:space="preserve">theorem K_zero_collapses_chi (x : FactorState) (h : x.K = 0) : chi x = 0</x:t>
        </x:is>
      </x:c>
      <x:c r="F68" s="38" t="inlineStr">
        <x:is>
          <x:t xml:space="preserve">:= by simp [chi, h]</x:t>
        </x:is>
      </x:c>
      <x:c r="G68" s="38" t="inlineStr">
        <x:is>
          <x:t xml:space="preserve">SIMPLIFICATION</x:t>
        </x:is>
      </x:c>
      <x:c r="H68" s="39" t="inlineStr">
        <x:is>
          <x:t xml:space="preserve">Follows by simplification under definitions; check definition strength.</x:t>
        </x:is>
      </x:c>
    </x:row>
    <x:row r="69" ht="15" customHeight="1">
      <x:c r="A69" s="37" t="inlineStr">
        <x:is>
          <x:t xml:space="preserve">Faith-Thru-Physics-Lean-4--main</x:t>
        </x:is>
      </x:c>
      <x:c r="B69" s="38" t="inlineStr">
        <x:is>
          <x:t xml:space="preserve">Faith-Thru-Physics-Lean-4--main\Faith-Thru-Physics-Lean-4--main\EVIDENCE\Final_Lean4_From_Excel.lean</x:t>
        </x:is>
      </x:c>
      <x:c r="C69" s="38" t="inlineStr">
        <x:is>
          <x:t xml:space="preserve">109</x:t>
        </x:is>
      </x:c>
      <x:c r="D69" s="38" t="inlineStr">
        <x:is>
          <x:t xml:space="preserve">R_zero_collapses_chi</x:t>
        </x:is>
      </x:c>
      <x:c r="E69" s="38" t="inlineStr">
        <x:is>
          <x:t xml:space="preserve">theorem R_zero_collapses_chi (x : FactorState) (h : x.R = 0) : chi x = 0</x:t>
        </x:is>
      </x:c>
      <x:c r="F69" s="38" t="inlineStr">
        <x:is>
          <x:t xml:space="preserve">:= by simp [chi, h]</x:t>
        </x:is>
      </x:c>
      <x:c r="G69" s="38" t="inlineStr">
        <x:is>
          <x:t xml:space="preserve">SIMPLIFICATION</x:t>
        </x:is>
      </x:c>
      <x:c r="H69" s="39" t="inlineStr">
        <x:is>
          <x:t xml:space="preserve">Follows by simplification under definitions; check definition strength.</x:t>
        </x:is>
      </x:c>
    </x:row>
    <x:row r="70" ht="15" customHeight="1">
      <x:c r="A70" s="37" t="inlineStr">
        <x:is>
          <x:t xml:space="preserve">Faith-Thru-Physics-Lean-4--main</x:t>
        </x:is>
      </x:c>
      <x:c r="B70" s="38" t="inlineStr">
        <x:is>
          <x:t xml:space="preserve">Faith-Thru-Physics-Lean-4--main\Faith-Thru-Physics-Lean-4--main\EVIDENCE\Final_Lean4_From_Excel.lean</x:t>
        </x:is>
      </x:c>
      <x:c r="C70" s="38" t="inlineStr">
        <x:is>
          <x:t xml:space="preserve">112</x:t>
        </x:is>
      </x:c>
      <x:c r="D70" s="38" t="inlineStr">
        <x:is>
          <x:t xml:space="preserve">F_zero_collapses_chi</x:t>
        </x:is>
      </x:c>
      <x:c r="E70" s="38" t="inlineStr">
        <x:is>
          <x:t xml:space="preserve">theorem F_zero_collapses_chi (x : FactorState) (h : x.F = 0) : chi x = 0</x:t>
        </x:is>
      </x:c>
      <x:c r="F70" s="38" t="inlineStr">
        <x:is>
          <x:t xml:space="preserve">:= by simp [chi, h]</x:t>
        </x:is>
      </x:c>
      <x:c r="G70" s="38" t="inlineStr">
        <x:is>
          <x:t xml:space="preserve">SIMPLIFICATION</x:t>
        </x:is>
      </x:c>
      <x:c r="H70" s="39" t="inlineStr">
        <x:is>
          <x:t xml:space="preserve">Follows by simplification under definitions; check definition strength.</x:t>
        </x:is>
      </x:c>
    </x:row>
    <x:row r="71" ht="15" customHeight="1">
      <x:c r="A71" s="37" t="inlineStr">
        <x:is>
          <x:t xml:space="preserve">Faith-Thru-Physics-Lean-4--main</x:t>
        </x:is>
      </x:c>
      <x:c r="B71" s="38" t="inlineStr">
        <x:is>
          <x:t xml:space="preserve">Faith-Thru-Physics-Lean-4--main\Faith-Thru-Physics-Lean-4--main\EVIDENCE\Final_Lean4_From_Excel.lean</x:t>
        </x:is>
      </x:c>
      <x:c r="C71" s="38" t="inlineStr">
        <x:is>
          <x:t xml:space="preserve">115</x:t>
        </x:is>
      </x:c>
      <x:c r="D71" s="38" t="inlineStr">
        <x:is>
          <x:t xml:space="preserve">C_zero_collapses_chi</x:t>
        </x:is>
      </x:c>
      <x:c r="E71" s="38" t="inlineStr">
        <x:is>
          <x:t xml:space="preserve">theorem C_zero_collapses_chi (x : FactorState) (h : x.C = 0) : chi x = 0</x:t>
        </x:is>
      </x:c>
      <x:c r="F71" s="38" t="inlineStr">
        <x:is>
          <x:t xml:space="preserve">:= by simp [chi, h]</x:t>
        </x:is>
      </x:c>
      <x:c r="G71" s="38" t="inlineStr">
        <x:is>
          <x:t xml:space="preserve">SIMPLIFICATION</x:t>
        </x:is>
      </x:c>
      <x:c r="H71" s="39" t="inlineStr">
        <x:is>
          <x:t xml:space="preserve">Follows by simplification under definitions; check definition strength.</x:t>
        </x:is>
      </x:c>
    </x:row>
    <x:row r="72" ht="15" customHeight="1">
      <x:c r="A72" s="37" t="inlineStr">
        <x:is>
          <x:t xml:space="preserve">Faith-Thru-Physics-Lean-4--main</x:t>
        </x:is>
      </x:c>
      <x:c r="B72" s="38" t="inlineStr">
        <x:is>
          <x:t xml:space="preserve">Faith-Thru-Physics-Lean-4--main\Faith-Thru-Physics-Lean-4--main\EVIDENCE\Final_Lean4_From_Excel.lean</x:t>
        </x:is>
      </x:c>
      <x:c r="C72" s="38" t="inlineStr">
        <x:is>
          <x:t xml:space="preserve">118</x:t>
        </x:is>
      </x:c>
      <x:c r="D72" s="38" t="inlineStr">
        <x:is>
          <x:t xml:space="preserve">R_gate_required</x:t>
        </x:is>
      </x:c>
      <x:c r="E72" s="38" t="inlineStr">
        <x:is>
          <x:t xml:space="preserve">theorem R_gate_required (x : FactorState) : gate x = 0 → chi x = 0 := fun h =&gt; R_zero_collapses_chi x (by simpa [gate] using h)</x:t>
        </x:is>
      </x:c>
      <x:c r="F72" s="38" t="n"/>
      <x:c r="G72" s="38" t="inlineStr">
        <x:is>
          <x:t xml:space="preserve">DECLARATION_OR_UNKNOWN</x:t>
        </x:is>
      </x:c>
      <x:c r="H72" s="39" t="inlineStr">
        <x:is>
          <x:t xml:space="preserve">Could not classify from first proof lines.</x:t>
        </x:is>
      </x:c>
    </x:row>
    <x:row r="73" ht="15" customHeight="1">
      <x:c r="A73" s="37" t="inlineStr">
        <x:is>
          <x:t xml:space="preserve">Faith-Thru-Physics-Lean-4--main</x:t>
        </x:is>
      </x:c>
      <x:c r="B73" s="38" t="inlineStr">
        <x:is>
          <x:t xml:space="preserve">Faith-Thru-Physics-Lean-4--main\Faith-Thru-Physics-Lean-4--main\EVIDENCE\Final_Lean4_From_Excel.lean</x:t>
        </x:is>
      </x:c>
      <x:c r="C73" s="38" t="inlineStr">
        <x:is>
          <x:t xml:space="preserve">308</x:t>
        </x:is>
      </x:c>
      <x:c r="D73" s="38" t="inlineStr">
        <x:is>
          <x:t xml:space="preserve">cross_is_unique_convergence_configuration</x:t>
        </x:is>
      </x:c>
      <x:c r="E73" s="38" t="inlineStr">
        <x:is>
          <x:t xml:space="preserve">theorem cross_is_unique_convergence_configuration (x : FactorState) : isCross x ↔ x = ⟨1,1,1,1,1,1,1,1,1,1⟩</x:t>
        </x:is>
      </x:c>
      <x:c r="F73" s="38" t="inlineStr">
        <x:is>
          <x:t xml:space="preserve">:= by constructor · intro hx rcases x with ⟨G, M, E, S, T, K, R, Q, F, C⟩ rcases hx with ⟨hG,hM,hE,hS,hT,hK,hR,hQ,hF,hC⟩ simp [isCross] at hG hM hE hS hT hK hR hQ hF hC subst G; subst M; subst E; subst S; subst T; subst K; subst R; subst Q; subst F; subst C rfl · intro hx subst hx simp [isCross]</x:t>
        </x:is>
      </x:c>
      <x:c r="G73" s="38" t="inlineStr">
        <x:is>
          <x:t xml:space="preserve">SIMPLIFICATION</x:t>
        </x:is>
      </x:c>
      <x:c r="H73" s="39" t="inlineStr">
        <x:is>
          <x:t xml:space="preserve">Follows by simplification under definitions; check definition strength.</x:t>
        </x:is>
      </x:c>
    </x:row>
    <x:row r="74" ht="15" customHeight="1">
      <x:c r="A74" s="37" t="inlineStr">
        <x:is>
          <x:t xml:space="preserve">Faith-Thru-Physics-Lean-4--main</x:t>
        </x:is>
      </x:c>
      <x:c r="B74" s="38" t="inlineStr">
        <x:is>
          <x:t xml:space="preserve">Faith-Thru-Physics-Lean-4--main\Faith-Thru-Physics-Lean-4--main\EVIDENCE\Final_Lean4_From_Excel.lean</x:t>
        </x:is>
      </x:c>
      <x:c r="C74" s="38" t="inlineStr">
        <x:is>
          <x:t xml:space="preserve">321</x:t>
        </x:is>
      </x:c>
      <x:c r="D74" s="38" t="inlineStr">
        <x:is>
          <x:t xml:space="preserve">cross_unique_solution</x:t>
        </x:is>
      </x:c>
      <x:c r="E74" s="38" t="inlineStr">
        <x:is>
          <x:t xml:space="preserve">theorem cross_unique_solution : (∃ x : FactorState, isCross x) ∧ ∀ x y : FactorState, isCross x → isCross y → x = y</x:t>
        </x:is>
      </x:c>
      <x:c r="F74" s="38" t="inlineStr">
        <x:is>
          <x:t xml:space="preserve">:= by constructor · exact ⟨⟨1,1,1,1,1,1,1,1,1,1⟩, by simp [isCross]⟩ · intro x y hx hy exact (cross_is_unique_convergence_configuration x).1 hx ▸ (cross_is_unique_convergence_configuration y).1 hy ▸ rfl ------------------------------------------------------------------------ -- Layer 10 — polarity discipline</x:t>
        </x:is>
      </x:c>
      <x:c r="G74" s="38" t="inlineStr">
        <x:is>
          <x:t xml:space="preserve">WRAPPER_OR_IMPORTED</x:t>
        </x:is>
      </x:c>
      <x:c r="H74" s="39" t="inlineStr">
        <x:is>
          <x:t xml:space="preserve">Likely delegates to another theorem; cite underlying theorem too.</x:t>
        </x:is>
      </x:c>
    </x:row>
    <x:row r="75" ht="15" customHeight="1">
      <x:c r="A75" s="37" t="inlineStr">
        <x:is>
          <x:t xml:space="preserve">Faith-Thru-Physics-Lean-4--main</x:t>
        </x:is>
      </x:c>
      <x:c r="B75" s="38" t="inlineStr">
        <x:is>
          <x:t xml:space="preserve">Faith-Thru-Physics-Lean-4--main\Faith-Thru-Physics-Lean-4--main\EVIDENCE\Final_Lean4_From_Excel.lean</x:t>
        </x:is>
      </x:c>
      <x:c r="C75" s="38" t="inlineStr">
        <x:is>
          <x:t xml:space="preserve">345</x:t>
        </x:is>
      </x:c>
      <x:c r="D75" s="38" t="inlineStr">
        <x:is>
          <x:t xml:space="preserve">pipeline_all_the_way_through</x:t>
        </x:is>
      </x:c>
      <x:c r="E75" s="38" t="inlineStr">
        <x:is>
          <x:t xml:space="preserve">theorem pipeline_all_the_way_through : (CouplingState.C0 ≠ CouplingState.C1) ∧ chi ⟨1,1,1,1,1,1,1,1,1,1⟩ = 1 ∧ (binaryGate 5 = 0 ∨ binaryGate 5 = 1) ∧ isCross ⟨1,1,1,1,1,1,1,1,1,1⟩</x:t>
        </x:is>
      </x:c>
      <x:c r="F75" s="38" t="inlineStr">
        <x:is>
          <x:t xml:space="preserve">:= by constructor · exact C0_ne_C1 · constructor · exact all_ones_live · constructor · exact binaryGate_zero_or_one 5 · simp [isCross] end Theophysics.Experiment</x:t>
        </x:is>
      </x:c>
      <x:c r="G75" s="38" t="inlineStr">
        <x:is>
          <x:t xml:space="preserve">WRAPPER_OR_IMPORTED</x:t>
        </x:is>
      </x:c>
      <x:c r="H75" s="39" t="inlineStr">
        <x:is>
          <x:t xml:space="preserve">Likely delegates to another theorem; cite underlying theorem too.</x:t>
        </x:is>
      </x:c>
    </x:row>
    <x:row r="76" ht="15" customHeight="1">
      <x:c r="A76" s="37" t="inlineStr">
        <x:is>
          <x:t xml:space="preserve">Faith-Thru-Physics-Lean-4--main</x:t>
        </x:is>
      </x:c>
      <x:c r="B76" s="38" t="inlineStr">
        <x:is>
          <x:t xml:space="preserve">Faith-Thru-Physics-Lean-4--main\Faith-Thru-Physics-Lean-4--main\EVIDENCE\Theophysics_Adversarial.lean</x:t>
        </x:is>
      </x:c>
      <x:c r="C76" s="38" t="inlineStr">
        <x:is>
          <x:t xml:space="preserve">27</x:t>
        </x:is>
      </x:c>
      <x:c r="D76" s="38" t="inlineStr">
        <x:is>
          <x:t xml:space="preserve">no_grace_faith_signature_alias</x:t>
        </x:is>
      </x:c>
      <x:c r="E76" s="38" t="inlineStr">
        <x:is>
          <x:t xml:space="preserve">theorem no_grace_faith_signature_alias : ¬ (signatureOfFactor Factor.G = signatureOfFactor Factor.F)</x:t>
        </x:is>
      </x:c>
      <x:c r="F76" s="38" t="inlineStr">
        <x:is>
          <x:t xml:space="preserve">:= by simpa [grace_swapped_with_faith_invalid] using (grace_swapped_with_faith_invalid : signatureOfFactor Factor.G ≠ signatureOfFactor Factor.F)</x:t>
        </x:is>
      </x:c>
      <x:c r="G76" s="38" t="inlineStr">
        <x:is>
          <x:t xml:space="preserve">WRAPPER_OR_IMPORTED</x:t>
        </x:is>
      </x:c>
      <x:c r="H76" s="39" t="inlineStr">
        <x:is>
          <x:t xml:space="preserve">Likely delegates to another theorem; cite underlying theorem too.</x:t>
        </x:is>
      </x:c>
    </x:row>
    <x:row r="77" ht="15" customHeight="1">
      <x:c r="A77" s="37" t="inlineStr">
        <x:is>
          <x:t xml:space="preserve">Faith-Thru-Physics-Lean-4--main</x:t>
        </x:is>
      </x:c>
      <x:c r="B77" s="38" t="inlineStr">
        <x:is>
          <x:t xml:space="preserve">Faith-Thru-Physics-Lean-4--main\Faith-Thru-Physics-Lean-4--main\EVIDENCE\Theophysics_Adversarial.lean</x:t>
        </x:is>
      </x:c>
      <x:c r="C77" s="38" t="inlineStr">
        <x:is>
          <x:t xml:space="preserve">32</x:t>
        </x:is>
      </x:c>
      <x:c r="D77" s="38" t="inlineStr">
        <x:is>
          <x:t xml:space="preserve">no_entropy_grace_signature_alias</x:t>
        </x:is>
      </x:c>
      <x:c r="E77" s="38" t="inlineStr">
        <x:is>
          <x:t xml:space="preserve">theorem no_entropy_grace_signature_alias : ¬ (signatureOfFactor Factor.S = signatureOfFactor Factor.G)</x:t>
        </x:is>
      </x:c>
      <x:c r="F77" s="38" t="inlineStr">
        <x:is>
          <x:t xml:space="preserve">:= by simpa [entropy_swapped_with_grace_invalid] using (entropy_swapped_with_grace_invalid : signatureOfFactor Factor.S ≠ signatureOfFactor Factor.G)</x:t>
        </x:is>
      </x:c>
      <x:c r="G77" s="38" t="inlineStr">
        <x:is>
          <x:t xml:space="preserve">WRAPPER_OR_IMPORTED</x:t>
        </x:is>
      </x:c>
      <x:c r="H77" s="39" t="inlineStr">
        <x:is>
          <x:t xml:space="preserve">Likely delegates to another theorem; cite underlying theorem too.</x:t>
        </x:is>
      </x:c>
    </x:row>
    <x:row r="78" ht="15" customHeight="1">
      <x:c r="A78" s="37" t="inlineStr">
        <x:is>
          <x:t xml:space="preserve">Faith-Thru-Physics-Lean-4--main</x:t>
        </x:is>
      </x:c>
      <x:c r="B78" s="38" t="inlineStr">
        <x:is>
          <x:t xml:space="preserve">Faith-Thru-Physics-Lean-4--main\Faith-Thru-Physics-Lean-4--main\EVIDENCE\Theophysics_Adversarial.lean</x:t>
        </x:is>
      </x:c>
      <x:c r="C78" s="38" t="inlineStr">
        <x:is>
          <x:t xml:space="preserve">37</x:t>
        </x:is>
      </x:c>
      <x:c r="D78" s="38" t="inlineStr">
        <x:is>
          <x:t xml:space="preserve">no_compression_communion_signature_alias</x:t>
        </x:is>
      </x:c>
      <x:c r="E78" s="38" t="inlineStr">
        <x:is>
          <x:t xml:space="preserve">theorem no_compression_communion_signature_alias : ¬ (signatureOfFactor Factor.K = signatureOfFactor Factor.F)</x:t>
        </x:is>
      </x:c>
      <x:c r="F78" s="38" t="inlineStr">
        <x:is>
          <x:t xml:space="preserve">:= by simpa using (compression_swapped_with_communion_invalid : signatureOfFactor Factor.K ≠ signatureOfFactor Factor.F) -- Coherence-spine adversarial controls. #check_failure (show coherent coerciveOrder = true from by rfl) #check_failure (show isActiveDiscoherence passiveEntropySlope = true from by rfl) #check_failure (show canRestore closedWithoutInput = true from by rfl) #check_failure (show structuredScar randomGap = true from by rfl) #check_failure (show fractured indeterminateOnly = true</x:t>
        </x:is>
      </x:c>
      <x:c r="G78" s="38" t="inlineStr">
        <x:is>
          <x:t xml:space="preserve">WRAPPER_OR_IMPORTED</x:t>
        </x:is>
      </x:c>
      <x:c r="H78" s="39" t="inlineStr">
        <x:is>
          <x:t xml:space="preserve">Likely delegates to another theorem; cite underlying theorem too.</x:t>
        </x:is>
      </x:c>
    </x:row>
    <x:row r="79" ht="15" customHeight="1">
      <x:c r="A79" s="37" t="inlineStr">
        <x:is>
          <x:t xml:space="preserve">Faith-Thru-Physics-Lean-4--main</x:t>
        </x:is>
      </x:c>
      <x:c r="B79" s="38" t="inlineStr">
        <x:is>
          <x:t xml:space="preserve">Faith-Thru-Physics-Lean-4--main\Faith-Thru-Physics-Lean-4--main\EVIDENCE\Theophysics_Adversarial.lean</x:t>
        </x:is>
      </x:c>
      <x:c r="C79" s="38" t="inlineStr">
        <x:is>
          <x:t xml:space="preserve">56</x:t>
        </x:is>
      </x:c>
      <x:c r="D79" s="38" t="inlineStr">
        <x:is>
          <x:t xml:space="preserve">no_mere_order_as_full_coherence</x:t>
        </x:is>
      </x:c>
      <x:c r="E79" s="38" t="inlineStr">
        <x:is>
          <x:t xml:space="preserve">theorem no_mere_order_as_full_coherence : coherent coerciveOrder = false := Theophysics.Coherence.coercive_order_is_not_full_coherence</x:t>
        </x:is>
      </x:c>
      <x:c r="F79" s="38" t="n"/>
      <x:c r="G79" s="38" t="inlineStr">
        <x:is>
          <x:t xml:space="preserve">DECLARATION_OR_UNKNOWN</x:t>
        </x:is>
      </x:c>
      <x:c r="H79" s="39" t="inlineStr">
        <x:is>
          <x:t xml:space="preserve">Could not classify from first proof lines.</x:t>
        </x:is>
      </x:c>
    </x:row>
    <x:row r="80" ht="15" customHeight="1">
      <x:c r="A80" s="37" t="inlineStr">
        <x:is>
          <x:t xml:space="preserve">Faith-Thru-Physics-Lean-4--main</x:t>
        </x:is>
      </x:c>
      <x:c r="B80" s="38" t="inlineStr">
        <x:is>
          <x:t xml:space="preserve">Faith-Thru-Physics-Lean-4--main\Faith-Thru-Physics-Lean-4--main\EVIDENCE\Theophysics_Adversarial.lean</x:t>
        </x:is>
      </x:c>
      <x:c r="C80" s="38" t="inlineStr">
        <x:is>
          <x:t xml:space="preserve">60</x:t>
        </x:is>
      </x:c>
      <x:c r="D80" s="38" t="inlineStr">
        <x:is>
          <x:t xml:space="preserve">no_passive_entropy_as_active_evil</x:t>
        </x:is>
      </x:c>
      <x:c r="E80" s="38" t="inlineStr">
        <x:is>
          <x:t xml:space="preserve">theorem no_passive_entropy_as_active_evil : isActiveDiscoherence passiveEntropySlope = false := Theophysics.Coherence.passive_decay_is_not_active_discoherence</x:t>
        </x:is>
      </x:c>
      <x:c r="F80" s="38" t="n"/>
      <x:c r="G80" s="38" t="inlineStr">
        <x:is>
          <x:t xml:space="preserve">DECLARATION_OR_UNKNOWN</x:t>
        </x:is>
      </x:c>
      <x:c r="H80" s="39" t="inlineStr">
        <x:is>
          <x:t xml:space="preserve">Could not classify from first proof lines.</x:t>
        </x:is>
      </x:c>
    </x:row>
    <x:row r="81" ht="15" customHeight="1">
      <x:c r="A81" s="37" t="inlineStr">
        <x:is>
          <x:t xml:space="preserve">Faith-Thru-Physics-Lean-4--main</x:t>
        </x:is>
      </x:c>
      <x:c r="B81" s="38" t="inlineStr">
        <x:is>
          <x:t xml:space="preserve">Faith-Thru-Physics-Lean-4--main\Faith-Thru-Physics-Lean-4--main\EVIDENCE\Theophysics_Adversarial.lean</x:t>
        </x:is>
      </x:c>
      <x:c r="C81" s="38" t="inlineStr">
        <x:is>
          <x:t xml:space="preserve">64</x:t>
        </x:is>
      </x:c>
      <x:c r="D81" s="38" t="inlineStr">
        <x:is>
          <x:t xml:space="preserve">no_closed_system_self_restoration</x:t>
        </x:is>
      </x:c>
      <x:c r="E81" s="38" t="inlineStr">
        <x:is>
          <x:t xml:space="preserve">theorem no_closed_system_self_restoration : canRestore closedWithoutInput = false := Theophysics.Coherence.closed_without_input_cannot_restore</x:t>
        </x:is>
      </x:c>
      <x:c r="F81" s="38" t="n"/>
      <x:c r="G81" s="38" t="inlineStr">
        <x:is>
          <x:t xml:space="preserve">DECLARATION_OR_UNKNOWN</x:t>
        </x:is>
      </x:c>
      <x:c r="H81" s="39" t="inlineStr">
        <x:is>
          <x:t xml:space="preserve">Could not classify from first proof lines.</x:t>
        </x:is>
      </x:c>
    </x:row>
    <x:row r="82" ht="15" customHeight="1">
      <x:c r="A82" s="37" t="inlineStr">
        <x:is>
          <x:t xml:space="preserve">Faith-Thru-Physics-Lean-4--main</x:t>
        </x:is>
      </x:c>
      <x:c r="B82" s="38" t="inlineStr">
        <x:is>
          <x:t xml:space="preserve">Faith-Thru-Physics-Lean-4--main\Faith-Thru-Physics-Lean-4--main\EVIDENCE\Theophysics_Adversarial.lean</x:t>
        </x:is>
      </x:c>
      <x:c r="C82" s="38" t="inlineStr">
        <x:is>
          <x:t xml:space="preserve">68</x:t>
        </x:is>
      </x:c>
      <x:c r="D82" s="38" t="inlineStr">
        <x:is>
          <x:t xml:space="preserve">no_random_gap_as_structured_scar</x:t>
        </x:is>
      </x:c>
      <x:c r="E82" s="38" t="inlineStr">
        <x:is>
          <x:t xml:space="preserve">theorem no_random_gap_as_structured_scar : structuredScar randomGap = false := Theophysics.Fracture.random_gap_is_not_structured_scar</x:t>
        </x:is>
      </x:c>
      <x:c r="F82" s="38" t="n"/>
      <x:c r="G82" s="38" t="inlineStr">
        <x:is>
          <x:t xml:space="preserve">DECLARATION_OR_UNKNOWN</x:t>
        </x:is>
      </x:c>
      <x:c r="H82" s="39" t="inlineStr">
        <x:is>
          <x:t xml:space="preserve">Could not classify from first proof lines.</x:t>
        </x:is>
      </x:c>
    </x:row>
    <x:row r="83" ht="15" customHeight="1">
      <x:c r="A83" s="37" t="inlineStr">
        <x:is>
          <x:t xml:space="preserve">Faith-Thru-Physics-Lean-4--main</x:t>
        </x:is>
      </x:c>
      <x:c r="B83" s="38" t="inlineStr">
        <x:is>
          <x:t xml:space="preserve">Faith-Thru-Physics-Lean-4--main\Faith-Thru-Physics-Lean-4--main\EVIDENCE\Theophysics_Adversarial.lean</x:t>
        </x:is>
      </x:c>
      <x:c r="C83" s="38" t="inlineStr">
        <x:is>
          <x:t xml:space="preserve">72</x:t>
        </x:is>
      </x:c>
      <x:c r="D83" s="38" t="inlineStr">
        <x:is>
          <x:t xml:space="preserve">no_local_indeterminacy_alone_as_fracture</x:t>
        </x:is>
      </x:c>
      <x:c r="E83" s="38" t="inlineStr">
        <x:is>
          <x:t xml:space="preserve">theorem no_local_indeterminacy_alone_as_fracture : fractured indeterminateOnly = false := Theophysics.Fracture.local_indeterminacy_alone_is_not_fracture</x:t>
        </x:is>
      </x:c>
      <x:c r="F83" s="38" t="n"/>
      <x:c r="G83" s="38" t="inlineStr">
        <x:is>
          <x:t xml:space="preserve">DECLARATION_OR_UNKNOWN</x:t>
        </x:is>
      </x:c>
      <x:c r="H83" s="39" t="inlineStr">
        <x:is>
          <x:t xml:space="preserve">Could not classify from first proof lines.</x:t>
        </x:is>
      </x:c>
    </x:row>
    <x:row r="84" ht="15" customHeight="1">
      <x:c r="A84" s="37" t="inlineStr">
        <x:is>
          <x:t xml:space="preserve">Faith-Thru-Physics-Lean-4--main</x:t>
        </x:is>
      </x:c>
      <x:c r="B84" s="38" t="inlineStr">
        <x:is>
          <x:t xml:space="preserve">Faith-Thru-Physics-Lean-4--main\Faith-Thru-Physics-Lean-4--main\EVIDENCE\Theophysics_Adversarial.lean</x:t>
        </x:is>
      </x:c>
      <x:c r="C84" s="38" t="inlineStr">
        <x:is>
          <x:t xml:space="preserve">76</x:t>
        </x:is>
      </x:c>
      <x:c r="D84" s="38" t="inlineStr">
        <x:is>
          <x:t xml:space="preserve">no_fracture_repair_without_restoration</x:t>
        </x:is>
      </x:c>
      <x:c r="E84" s="38" t="inlineStr">
        <x:is>
          <x:t xml:space="preserve">theorem no_fracture_repair_without_restoration : repairable structuredFracture = false := Theophysics.Fracture.fracture_without_restoration_is_not_repairable</x:t>
        </x:is>
      </x:c>
      <x:c r="F84" s="38" t="n"/>
      <x:c r="G84" s="38" t="inlineStr">
        <x:is>
          <x:t xml:space="preserve">DECLARATION_OR_UNKNOWN</x:t>
        </x:is>
      </x:c>
      <x:c r="H84" s="39" t="inlineStr">
        <x:is>
          <x:t xml:space="preserve">Could not classify from first proof lines.</x:t>
        </x:is>
      </x:c>
    </x:row>
    <x:row r="85" ht="15" customHeight="1">
      <x:c r="A85" s="37" t="inlineStr">
        <x:is>
          <x:t xml:space="preserve">Faith-Thru-Physics-Lean-4--main</x:t>
        </x:is>
      </x:c>
      <x:c r="B85" s="38" t="inlineStr">
        <x:is>
          <x:t xml:space="preserve">Faith-Thru-Physics-Lean-4--main\Faith-Thru-Physics-Lean-4--main\EVIDENCE\Theophysics_Adversarial.lean</x:t>
        </x:is>
      </x:c>
      <x:c r="C85" s="38" t="inlineStr">
        <x:is>
          <x:t xml:space="preserve">80</x:t>
        </x:is>
      </x:c>
      <x:c r="D85" s="38" t="inlineStr">
        <x:is>
          <x:t xml:space="preserve">no_separation_only_as_fall</x:t>
        </x:is>
      </x:c>
      <x:c r="E85" s="38" t="inlineStr">
        <x:is>
          <x:t xml:space="preserve">theorem no_separation_only_as_fall : fallActivated separatedOnly = false := Theophysics.Fall.separation_alone_is_not_fall</x:t>
        </x:is>
      </x:c>
      <x:c r="F85" s="38" t="n"/>
      <x:c r="G85" s="38" t="inlineStr">
        <x:is>
          <x:t xml:space="preserve">DECLARATION_OR_UNKNOWN</x:t>
        </x:is>
      </x:c>
      <x:c r="H85" s="39" t="inlineStr">
        <x:is>
          <x:t xml:space="preserve">Could not classify from first proof lines.</x:t>
        </x:is>
      </x:c>
    </x:row>
    <x:row r="86" ht="15" customHeight="1">
      <x:c r="A86" s="37" t="inlineStr">
        <x:is>
          <x:t xml:space="preserve">Faith-Thru-Physics-Lean-4--main</x:t>
        </x:is>
      </x:c>
      <x:c r="B86" s="38" t="inlineStr">
        <x:is>
          <x:t xml:space="preserve">Faith-Thru-Physics-Lean-4--main\Faith-Thru-Physics-Lean-4--main\EVIDENCE\Theophysics_Adversarial.lean</x:t>
        </x:is>
      </x:c>
      <x:c r="C86" s="38" t="inlineStr">
        <x:is>
          <x:t xml:space="preserve">84</x:t>
        </x:is>
      </x:c>
      <x:c r="D86" s="38" t="inlineStr">
        <x:is>
          <x:t xml:space="preserve">no_coupling_without_entanglement_as_fall</x:t>
        </x:is>
      </x:c>
      <x:c r="E86" s="38" t="inlineStr">
        <x:is>
          <x:t xml:space="preserve">theorem no_coupling_without_entanglement_as_fall : fallActivated coupledOnly = false := Theophysics.Fall.coupling_without_entanglement_is_not_fall</x:t>
        </x:is>
      </x:c>
      <x:c r="F86" s="38" t="n"/>
      <x:c r="G86" s="38" t="inlineStr">
        <x:is>
          <x:t xml:space="preserve">DECLARATION_OR_UNKNOWN</x:t>
        </x:is>
      </x:c>
      <x:c r="H86" s="39" t="inlineStr">
        <x:is>
          <x:t xml:space="preserve">Could not classify from first proof lines.</x:t>
        </x:is>
      </x:c>
    </x:row>
    <x:row r="87" ht="15" customHeight="1">
      <x:c r="A87" s="37" t="inlineStr">
        <x:is>
          <x:t xml:space="preserve">Faith-Thru-Physics-Lean-4--main</x:t>
        </x:is>
      </x:c>
      <x:c r="B87" s="38" t="inlineStr">
        <x:is>
          <x:t xml:space="preserve">Faith-Thru-Physics-Lean-4--main\Faith-Thru-Physics-Lean-4--main\EVIDENCE\Theophysics_Adversarial.lean</x:t>
        </x:is>
      </x:c>
      <x:c r="C87" s="38" t="inlineStr">
        <x:is>
          <x:t xml:space="preserve">88</x:t>
        </x:is>
      </x:c>
      <x:c r="D87" s="38" t="inlineStr">
        <x:is>
          <x:t xml:space="preserve">no_fall_sustained_without_grace_floor</x:t>
        </x:is>
      </x:c>
      <x:c r="E87" s="38" t="inlineStr">
        <x:is>
          <x:t xml:space="preserve">theorem no_fall_sustained_without_grace_floor : sustainedAfterFall fullFallWithoutGraceFloor = false := Theophysics.Fall.full_fall_without_grace_floor_not_sustained</x:t>
        </x:is>
      </x:c>
      <x:c r="F87" s="38" t="n"/>
      <x:c r="G87" s="38" t="inlineStr">
        <x:is>
          <x:t xml:space="preserve">DECLARATION_OR_UNKNOWN</x:t>
        </x:is>
      </x:c>
      <x:c r="H87" s="39" t="inlineStr">
        <x:is>
          <x:t xml:space="preserve">Could not classify from first proof lines.</x:t>
        </x:is>
      </x:c>
    </x:row>
    <x:row r="88" ht="15" customHeight="1">
      <x:c r="A88" s="37" t="inlineStr">
        <x:is>
          <x:t xml:space="preserve">Faith-Thru-Physics-Lean-4--main</x:t>
        </x:is>
      </x:c>
      <x:c r="B88" s="38" t="inlineStr">
        <x:is>
          <x:t xml:space="preserve">Faith-Thru-Physics-Lean-4--main\Faith-Thru-Physics-Lean-4--main\EVIDENCE\Theophysics_Adversarial.lean</x:t>
        </x:is>
      </x:c>
      <x:c r="C88" s="38" t="inlineStr">
        <x:is>
          <x:t xml:space="preserve">92</x:t>
        </x:is>
      </x:c>
      <x:c r="D88" s="38" t="inlineStr">
        <x:is>
          <x:t xml:space="preserve">no_coercive_claim_as_coherent_product</x:t>
        </x:is>
      </x:c>
      <x:c r="E88" s="38" t="inlineStr">
        <x:is>
          <x:t xml:space="preserve">theorem no_coercive_claim_as_coherent_product : collapsed coerciveClaim = true := Theophysics.ChiEvaluator.coercive_claim_collapses</x:t>
        </x:is>
      </x:c>
      <x:c r="F88" s="38" t="n"/>
      <x:c r="G88" s="38" t="inlineStr">
        <x:is>
          <x:t xml:space="preserve">DECLARATION_OR_UNKNOWN</x:t>
        </x:is>
      </x:c>
      <x:c r="H88" s="39" t="inlineStr">
        <x:is>
          <x:t xml:space="preserve">Could not classify from first proof lines.</x:t>
        </x:is>
      </x:c>
    </x:row>
    <x:row r="89" ht="15" customHeight="1">
      <x:c r="A89" s="37" t="inlineStr">
        <x:is>
          <x:t xml:space="preserve">Faith-Thru-Physics-Lean-4--main</x:t>
        </x:is>
      </x:c>
      <x:c r="B89" s="38" t="inlineStr">
        <x:is>
          <x:t xml:space="preserve">Faith-Thru-Physics-Lean-4--main\Faith-Thru-Physics-Lean-4--main\EVIDENCE\Theophysics_Adversarial.lean</x:t>
        </x:is>
      </x:c>
      <x:c r="C89" s="38" t="inlineStr">
        <x:is>
          <x:t xml:space="preserve">96</x:t>
        </x:is>
      </x:c>
      <x:c r="D89" s="38" t="inlineStr">
        <x:is>
          <x:t xml:space="preserve">no_high_signal_low_freedom_as_clean_signal</x:t>
        </x:is>
      </x:c>
      <x:c r="E89" s="38" t="inlineStr">
        <x:is>
          <x:t xml:space="preserve">theorem no_high_signal_low_freedom_as_clean_signal : highSignalDeception highSignalLowFreedomClaim = true := Theophysics.ChiEvaluator.high_signal_low_freedom_detected</x:t>
        </x:is>
      </x:c>
      <x:c r="F89" s="38" t="n"/>
      <x:c r="G89" s="38" t="inlineStr">
        <x:is>
          <x:t xml:space="preserve">DECLARATION_OR_UNKNOWN</x:t>
        </x:is>
      </x:c>
      <x:c r="H89" s="39" t="inlineStr">
        <x:is>
          <x:t xml:space="preserve">Could not classify from first proof lines.</x:t>
        </x:is>
      </x:c>
    </x:row>
    <x:row r="90" ht="15" customHeight="1">
      <x:c r="A90" s="37" t="inlineStr">
        <x:is>
          <x:t xml:space="preserve">Faith-Thru-Physics-Lean-4--main</x:t>
        </x:is>
      </x:c>
      <x:c r="B90" s="38" t="inlineStr">
        <x:is>
          <x:t xml:space="preserve">Faith-Thru-Physics-Lean-4--main\Faith-Thru-Physics-Lean-4--main\EVIDENCE\Theophysics_Adversarial.lean</x:t>
        </x:is>
      </x:c>
      <x:c r="C90" s="38" t="inlineStr">
        <x:is>
          <x:t xml:space="preserve">100</x:t>
        </x:is>
      </x:c>
      <x:c r="D90" s="38" t="inlineStr">
        <x:is>
          <x:t xml:space="preserve">no_decaying_pressure_as_positive_gradient</x:t>
        </x:is>
      </x:c>
      <x:c r="E90" s="38" t="inlineStr">
        <x:is>
          <x:t xml:space="preserve">theorem no_decaying_pressure_as_positive_gradient : inferTwoPointGradient strongButDecayingStart strongButDecayingEnd = GradientLabel.negative := Theophysics.ChiEvaluator.strong_but_decaying_has_negative_gradient -- Generated check-failure entries from theorem inventory negatives and boundaries. #check_failure (show False by trivial) -- Q_nonzero_not_sufficient_for_positive_chi #check_failure (show False by trivial) -- no_stage_step_back_to_confirmation_from_redistribution #check_failure (show False by trivial) -- no_stage_step_back_to_pre_from_localization #check_failure (show False by trivial) -- no_stage_step_back_to_release_from_confirmation #check_failure (show False by trivial) -- two_destructive_signs_do_not_pass_coherence_gate #check_failure (show False by trivial) -- burden_negative_positive_stays_negative #check_failure (show False by trivial) -- burden_two_negatives_sta</x:t>
        </x:is>
      </x:c>
      <x:c r="F90" s="38" t="n"/>
      <x:c r="G90" s="38" t="inlineStr">
        <x:is>
          <x:t xml:space="preserve">DECLARATION_OR_UNKNOWN</x:t>
        </x:is>
      </x:c>
      <x:c r="H90" s="39" t="inlineStr">
        <x:is>
          <x:t xml:space="preserve">Could not classify from first proof lines.</x:t>
        </x:is>
      </x:c>
    </x:row>
    <x:row r="91" ht="15" customHeight="1">
      <x:c r="A91" s="37" t="inlineStr">
        <x:is>
          <x:t xml:space="preserve">Faith-Thru-Physics-Lean-4--main</x:t>
        </x:is>
      </x:c>
      <x:c r="B91" s="38" t="inlineStr">
        <x:is>
          <x:t xml:space="preserve">Faith-Thru-Physics-Lean-4--main\Faith-Thru-Physics-Lean-4--main\EVIDENCE\Theophysics_ChiEvaluator.lean</x:t>
        </x:is>
      </x:c>
      <x:c r="C91" s="38" t="inlineStr">
        <x:is>
          <x:t xml:space="preserve">110</x:t>
        </x:is>
      </x:c>
      <x:c r="D91" s="38" t="inlineStr">
        <x:is>
          <x:t xml:space="preserve">effective_zero_if_no_positive_signal</x:t>
        </x:is>
      </x:c>
      <x:c r="E91" s="38" t="inlineStr">
        <x:is>
          <x:t xml:space="preserve">theorem effective_zero_if_no_positive_signal (s : ChannelScore) (h : s.vPos = 0) : effectiveScore s = 0</x:t>
        </x:is>
      </x:c>
      <x:c r="F91" s="38" t="inlineStr">
        <x:is>
          <x:t xml:space="preserve">:= by simp [effectiveScore, h]</x:t>
        </x:is>
      </x:c>
      <x:c r="G91" s="38" t="inlineStr">
        <x:is>
          <x:t xml:space="preserve">SIMPLIFICATION</x:t>
        </x:is>
      </x:c>
      <x:c r="H91" s="39" t="inlineStr">
        <x:is>
          <x:t xml:space="preserve">Follows by simplification under definitions; check definition strength.</x:t>
        </x:is>
      </x:c>
    </x:row>
    <x:row r="92" ht="15" customHeight="1">
      <x:c r="A92" s="37" t="inlineStr">
        <x:is>
          <x:t xml:space="preserve">Faith-Thru-Physics-Lean-4--main</x:t>
        </x:is>
      </x:c>
      <x:c r="B92" s="38" t="inlineStr">
        <x:is>
          <x:t xml:space="preserve">Faith-Thru-Physics-Lean-4--main\Faith-Thru-Physics-Lean-4--main\EVIDENCE\Theophysics_ChiEvaluator.lean</x:t>
        </x:is>
      </x:c>
      <x:c r="C92" s="38" t="inlineStr">
        <x:is>
          <x:t xml:space="preserve">114</x:t>
        </x:is>
      </x:c>
      <x:c r="D92" s="38" t="inlineStr">
        <x:is>
          <x:t xml:space="preserve">effective_zero_if_fully_corrupted</x:t>
        </x:is>
      </x:c>
      <x:c r="E92" s="38" t="inlineStr">
        <x:is>
          <x:t xml:space="preserve">theorem effective_zero_if_fully_corrupted (s : ChannelScore) (h : s.vNeg = 100) : effectiveScore s = 0</x:t>
        </x:is>
      </x:c>
      <x:c r="F92" s="38" t="inlineStr">
        <x:is>
          <x:t xml:space="preserve">:= by simp [effectiveScore, h]</x:t>
        </x:is>
      </x:c>
      <x:c r="G92" s="38" t="inlineStr">
        <x:is>
          <x:t xml:space="preserve">SIMPLIFICATION</x:t>
        </x:is>
      </x:c>
      <x:c r="H92" s="39" t="inlineStr">
        <x:is>
          <x:t xml:space="preserve">Follows by simplification under definitions; check definition strength.</x:t>
        </x:is>
      </x:c>
    </x:row>
    <x:row r="93" ht="15" customHeight="1">
      <x:c r="A93" s="37" t="inlineStr">
        <x:is>
          <x:t xml:space="preserve">Faith-Thru-Physics-Lean-4--main</x:t>
        </x:is>
      </x:c>
      <x:c r="B93" s="38" t="inlineStr">
        <x:is>
          <x:t xml:space="preserve">Faith-Thru-Physics-Lean-4--main\Faith-Thru-Physics-Lean-4--main\EVIDENCE\Theophysics_ChiEvaluator.lean</x:t>
        </x:is>
      </x:c>
      <x:c r="C93" s="38" t="inlineStr">
        <x:is>
          <x:t xml:space="preserve">118</x:t>
        </x:is>
      </x:c>
      <x:c r="D93" s="38" t="inlineStr">
        <x:is>
          <x:t xml:space="preserve">perfect_score_effective</x:t>
        </x:is>
      </x:c>
      <x:c r="E93" s="38" t="inlineStr">
        <x:is>
          <x:t xml:space="preserve">theorem perfect_score_effective : effectiveScore (perfectScore 1 100) = 10000</x:t>
        </x:is>
      </x:c>
      <x:c r="F93" s="38" t="inlineStr">
        <x:is>
          <x:t xml:space="preserve">:= by rfl structure Evaluation where claimType : ClaimType scoreG : ChannelScore scoreM : ChannelScore scoreE : ChannelScore scoreS_eff : ChannelScore scoreT : ChannelScore scoreK : ChannelScore scoreR : ChannelScore scoreQ : ChannelScore scoreF : ChannelScore scoreC : ChannelScore deriving DecidableEq, Repr def getScore (e : Evaluation) : Channel → ChannelScore | Channel.G =&gt; e.scoreG | Channel.M =&gt; e.scoreM | Channel.E =&gt; e.scoreE | Channel.S_eff =&gt; e.scoreS_eff | Channel.T =&gt; e.scoreT | Chann</x:t>
        </x:is>
      </x:c>
      <x:c r="G93" s="38" t="inlineStr">
        <x:is>
          <x:t xml:space="preserve">DEFINITIONAL_RFL</x:t>
        </x:is>
      </x:c>
      <x:c r="H93" s="39" t="inlineStr">
        <x:is>
          <x:t xml:space="preserve">Proves definitional equality by reduction; useful but narrow.</x:t>
        </x:is>
      </x:c>
    </x:row>
    <x:row r="94" ht="15" customHeight="1">
      <x:c r="A94" s="37" t="inlineStr">
        <x:is>
          <x:t xml:space="preserve">Faith-Thru-Physics-Lean-4--main</x:t>
        </x:is>
      </x:c>
      <x:c r="B94" s="38" t="inlineStr">
        <x:is>
          <x:t xml:space="preserve">Faith-Thru-Physics-Lean-4--main\Faith-Thru-Physics-Lean-4--main\EVIDENCE\Theophysics_ChiEvaluator.lean</x:t>
        </x:is>
      </x:c>
      <x:c r="C94" s="38" t="inlineStr">
        <x:is>
          <x:t xml:space="preserve">229</x:t>
        </x:is>
      </x:c>
      <x:c r="D94" s="38" t="inlineStr">
        <x:is>
          <x:t xml:space="preserve">static_chi_zero_if_G_zero</x:t>
        </x:is>
      </x:c>
      <x:c r="E94" s="38" t="inlineStr">
        <x:is>
          <x:t xml:space="preserve">theorem static_chi_zero_if_G_zero (e : Evaluation) (h : effectiveScore e.scoreG = 0) : staticChi e = 0</x:t>
        </x:is>
      </x:c>
      <x:c r="F94" s="38" t="inlineStr">
        <x:is>
          <x:t xml:space="preserve">:= by simp [staticChi, h]</x:t>
        </x:is>
      </x:c>
      <x:c r="G94" s="38" t="inlineStr">
        <x:is>
          <x:t xml:space="preserve">SIMPLIFICATION</x:t>
        </x:is>
      </x:c>
      <x:c r="H94" s="39" t="inlineStr">
        <x:is>
          <x:t xml:space="preserve">Follows by simplification under definitions; check definition strength.</x:t>
        </x:is>
      </x:c>
    </x:row>
    <x:row r="95" ht="15" customHeight="1">
      <x:c r="A95" s="37" t="inlineStr">
        <x:is>
          <x:t xml:space="preserve">Faith-Thru-Physics-Lean-4--main</x:t>
        </x:is>
      </x:c>
      <x:c r="B95" s="38" t="inlineStr">
        <x:is>
          <x:t xml:space="preserve">Faith-Thru-Physics-Lean-4--main\Faith-Thru-Physics-Lean-4--main\EVIDENCE\Theophysics_ChiEvaluator.lean</x:t>
        </x:is>
      </x:c>
      <x:c r="C95" s="38" t="inlineStr">
        <x:is>
          <x:t xml:space="preserve">233</x:t>
        </x:is>
      </x:c>
      <x:c r="D95" s="38" t="inlineStr">
        <x:is>
          <x:t xml:space="preserve">static_chi_zero_if_M_zero</x:t>
        </x:is>
      </x:c>
      <x:c r="E95" s="38" t="inlineStr">
        <x:is>
          <x:t xml:space="preserve">theorem static_chi_zero_if_M_zero (e : Evaluation) (h : effectiveScore e.scoreM = 0) : staticChi e = 0</x:t>
        </x:is>
      </x:c>
      <x:c r="F95" s="38" t="inlineStr">
        <x:is>
          <x:t xml:space="preserve">:= by simp [staticChi, h]</x:t>
        </x:is>
      </x:c>
      <x:c r="G95" s="38" t="inlineStr">
        <x:is>
          <x:t xml:space="preserve">SIMPLIFICATION</x:t>
        </x:is>
      </x:c>
      <x:c r="H95" s="39" t="inlineStr">
        <x:is>
          <x:t xml:space="preserve">Follows by simplification under definitions; check definition strength.</x:t>
        </x:is>
      </x:c>
    </x:row>
    <x:row r="96" ht="15" customHeight="1">
      <x:c r="A96" s="37" t="inlineStr">
        <x:is>
          <x:t xml:space="preserve">Faith-Thru-Physics-Lean-4--main</x:t>
        </x:is>
      </x:c>
      <x:c r="B96" s="38" t="inlineStr">
        <x:is>
          <x:t xml:space="preserve">Faith-Thru-Physics-Lean-4--main\Faith-Thru-Physics-Lean-4--main\EVIDENCE\Theophysics_ChiEvaluator.lean</x:t>
        </x:is>
      </x:c>
      <x:c r="C96" s="38" t="inlineStr">
        <x:is>
          <x:t xml:space="preserve">237</x:t>
        </x:is>
      </x:c>
      <x:c r="D96" s="38" t="inlineStr">
        <x:is>
          <x:t xml:space="preserve">static_chi_zero_if_E_zero</x:t>
        </x:is>
      </x:c>
      <x:c r="E96" s="38" t="inlineStr">
        <x:is>
          <x:t xml:space="preserve">theorem static_chi_zero_if_E_zero (e : Evaluation) (h : effectiveScore e.scoreE = 0) : staticChi e = 0</x:t>
        </x:is>
      </x:c>
      <x:c r="F96" s="38" t="inlineStr">
        <x:is>
          <x:t xml:space="preserve">:= by simp [staticChi, h]</x:t>
        </x:is>
      </x:c>
      <x:c r="G96" s="38" t="inlineStr">
        <x:is>
          <x:t xml:space="preserve">SIMPLIFICATION</x:t>
        </x:is>
      </x:c>
      <x:c r="H96" s="39" t="inlineStr">
        <x:is>
          <x:t xml:space="preserve">Follows by simplification under definitions; check definition strength.</x:t>
        </x:is>
      </x:c>
    </x:row>
    <x:row r="97" ht="15" customHeight="1">
      <x:c r="A97" s="37" t="inlineStr">
        <x:is>
          <x:t xml:space="preserve">Faith-Thru-Physics-Lean-4--main</x:t>
        </x:is>
      </x:c>
      <x:c r="B97" s="38" t="inlineStr">
        <x:is>
          <x:t xml:space="preserve">Faith-Thru-Physics-Lean-4--main\Faith-Thru-Physics-Lean-4--main\EVIDENCE\Theophysics_ChiEvaluator.lean</x:t>
        </x:is>
      </x:c>
      <x:c r="C97" s="38" t="inlineStr">
        <x:is>
          <x:t xml:space="preserve">241</x:t>
        </x:is>
      </x:c>
      <x:c r="D97" s="38" t="inlineStr">
        <x:is>
          <x:t xml:space="preserve">static_chi_zero_if_S_eff_zero</x:t>
        </x:is>
      </x:c>
      <x:c r="E97" s="38" t="inlineStr">
        <x:is>
          <x:t xml:space="preserve">theorem static_chi_zero_if_S_eff_zero (e : Evaluation) (h : effectiveScore e.scoreS_eff = 0) : staticChi e = 0</x:t>
        </x:is>
      </x:c>
      <x:c r="F97" s="38" t="inlineStr">
        <x:is>
          <x:t xml:space="preserve">:= by simp [staticChi, h]</x:t>
        </x:is>
      </x:c>
      <x:c r="G97" s="38" t="inlineStr">
        <x:is>
          <x:t xml:space="preserve">SIMPLIFICATION</x:t>
        </x:is>
      </x:c>
      <x:c r="H97" s="39" t="inlineStr">
        <x:is>
          <x:t xml:space="preserve">Follows by simplification under definitions; check definition strength.</x:t>
        </x:is>
      </x:c>
    </x:row>
    <x:row r="98" ht="15" customHeight="1">
      <x:c r="A98" s="37" t="inlineStr">
        <x:is>
          <x:t xml:space="preserve">Faith-Thru-Physics-Lean-4--main</x:t>
        </x:is>
      </x:c>
      <x:c r="B98" s="38" t="inlineStr">
        <x:is>
          <x:t xml:space="preserve">Faith-Thru-Physics-Lean-4--main\Faith-Thru-Physics-Lean-4--main\EVIDENCE\Theophysics_ChiEvaluator.lean</x:t>
        </x:is>
      </x:c>
      <x:c r="C98" s="38" t="inlineStr">
        <x:is>
          <x:t xml:space="preserve">245</x:t>
        </x:is>
      </x:c>
      <x:c r="D98" s="38" t="inlineStr">
        <x:is>
          <x:t xml:space="preserve">static_chi_zero_if_T_zero</x:t>
        </x:is>
      </x:c>
      <x:c r="E98" s="38" t="inlineStr">
        <x:is>
          <x:t xml:space="preserve">theorem static_chi_zero_if_T_zero (e : Evaluation) (h : effectiveScore e.scoreT = 0) : staticChi e = 0</x:t>
        </x:is>
      </x:c>
      <x:c r="F98" s="38" t="inlineStr">
        <x:is>
          <x:t xml:space="preserve">:= by simp [staticChi, h]</x:t>
        </x:is>
      </x:c>
      <x:c r="G98" s="38" t="inlineStr">
        <x:is>
          <x:t xml:space="preserve">SIMPLIFICATION</x:t>
        </x:is>
      </x:c>
      <x:c r="H98" s="39" t="inlineStr">
        <x:is>
          <x:t xml:space="preserve">Follows by simplification under definitions; check definition strength.</x:t>
        </x:is>
      </x:c>
    </x:row>
    <x:row r="99" ht="15" customHeight="1">
      <x:c r="A99" s="37" t="inlineStr">
        <x:is>
          <x:t xml:space="preserve">Faith-Thru-Physics-Lean-4--main</x:t>
        </x:is>
      </x:c>
      <x:c r="B99" s="38" t="inlineStr">
        <x:is>
          <x:t xml:space="preserve">Faith-Thru-Physics-Lean-4--main\Faith-Thru-Physics-Lean-4--main\EVIDENCE\Theophysics_ChiEvaluator.lean</x:t>
        </x:is>
      </x:c>
      <x:c r="C99" s="38" t="inlineStr">
        <x:is>
          <x:t xml:space="preserve">249</x:t>
        </x:is>
      </x:c>
      <x:c r="D99" s="38" t="inlineStr">
        <x:is>
          <x:t xml:space="preserve">static_chi_zero_if_K_zero</x:t>
        </x:is>
      </x:c>
      <x:c r="E99" s="38" t="inlineStr">
        <x:is>
          <x:t xml:space="preserve">theorem static_chi_zero_if_K_zero (e : Evaluation) (h : effectiveScore e.scoreK = 0) : staticChi e = 0</x:t>
        </x:is>
      </x:c>
      <x:c r="F99" s="38" t="inlineStr">
        <x:is>
          <x:t xml:space="preserve">:= by simp [staticChi, h]</x:t>
        </x:is>
      </x:c>
      <x:c r="G99" s="38" t="inlineStr">
        <x:is>
          <x:t xml:space="preserve">SIMPLIFICATION</x:t>
        </x:is>
      </x:c>
      <x:c r="H99" s="39" t="inlineStr">
        <x:is>
          <x:t xml:space="preserve">Follows by simplification under definitions; check definition strength.</x:t>
        </x:is>
      </x:c>
    </x:row>
    <x:row r="100" ht="15" customHeight="1">
      <x:c r="A100" s="37" t="inlineStr">
        <x:is>
          <x:t xml:space="preserve">Faith-Thru-Physics-Lean-4--main</x:t>
        </x:is>
      </x:c>
      <x:c r="B100" s="38" t="inlineStr">
        <x:is>
          <x:t xml:space="preserve">Faith-Thru-Physics-Lean-4--main\Faith-Thru-Physics-Lean-4--main\EVIDENCE\Theophysics_ChiEvaluator.lean</x:t>
        </x:is>
      </x:c>
      <x:c r="C100" s="38" t="inlineStr">
        <x:is>
          <x:t xml:space="preserve">253</x:t>
        </x:is>
      </x:c>
      <x:c r="D100" s="38" t="inlineStr">
        <x:is>
          <x:t xml:space="preserve">static_chi_zero_if_R_zero</x:t>
        </x:is>
      </x:c>
      <x:c r="E100" s="38" t="inlineStr">
        <x:is>
          <x:t xml:space="preserve">theorem static_chi_zero_if_R_zero (e : Evaluation) (h : effectiveScore e.scoreR = 0) : staticChi e = 0</x:t>
        </x:is>
      </x:c>
      <x:c r="F100" s="38" t="inlineStr">
        <x:is>
          <x:t xml:space="preserve">:= by simp [staticChi, h]</x:t>
        </x:is>
      </x:c>
      <x:c r="G100" s="38" t="inlineStr">
        <x:is>
          <x:t xml:space="preserve">SIMPLIFICATION</x:t>
        </x:is>
      </x:c>
      <x:c r="H100" s="39" t="inlineStr">
        <x:is>
          <x:t xml:space="preserve">Follows by simplification under definitions; check definition strength.</x:t>
        </x:is>
      </x:c>
    </x:row>
    <x:row r="101" ht="15" customHeight="1">
      <x:c r="A101" s="37" t="inlineStr">
        <x:is>
          <x:t xml:space="preserve">Faith-Thru-Physics-Lean-4--main</x:t>
        </x:is>
      </x:c>
      <x:c r="B101" s="38" t="inlineStr">
        <x:is>
          <x:t xml:space="preserve">Faith-Thru-Physics-Lean-4--main\Faith-Thru-Physics-Lean-4--main\EVIDENCE\Theophysics_ChiEvaluator.lean</x:t>
        </x:is>
      </x:c>
      <x:c r="C101" s="38" t="inlineStr">
        <x:is>
          <x:t xml:space="preserve">257</x:t>
        </x:is>
      </x:c>
      <x:c r="D101" s="38" t="inlineStr">
        <x:is>
          <x:t xml:space="preserve">static_chi_zero_if_Q_zero</x:t>
        </x:is>
      </x:c>
      <x:c r="E101" s="38" t="inlineStr">
        <x:is>
          <x:t xml:space="preserve">theorem static_chi_zero_if_Q_zero (e : Evaluation) (h : effectiveScore e.scoreQ = 0) : staticChi e = 0</x:t>
        </x:is>
      </x:c>
      <x:c r="F101" s="38" t="inlineStr">
        <x:is>
          <x:t xml:space="preserve">:= by simp [staticChi, h]</x:t>
        </x:is>
      </x:c>
      <x:c r="G101" s="38" t="inlineStr">
        <x:is>
          <x:t xml:space="preserve">SIMPLIFICATION</x:t>
        </x:is>
      </x:c>
      <x:c r="H101" s="39" t="inlineStr">
        <x:is>
          <x:t xml:space="preserve">Follows by simplification under definitions; check definition strength.</x:t>
        </x:is>
      </x:c>
    </x:row>
    <x:row r="102" ht="15" customHeight="1">
      <x:c r="A102" s="37" t="inlineStr">
        <x:is>
          <x:t xml:space="preserve">Faith-Thru-Physics-Lean-4--main</x:t>
        </x:is>
      </x:c>
      <x:c r="B102" s="38" t="inlineStr">
        <x:is>
          <x:t xml:space="preserve">Faith-Thru-Physics-Lean-4--main\Faith-Thru-Physics-Lean-4--main\EVIDENCE\Theophysics_ChiEvaluator.lean</x:t>
        </x:is>
      </x:c>
      <x:c r="C102" s="38" t="inlineStr">
        <x:is>
          <x:t xml:space="preserve">261</x:t>
        </x:is>
      </x:c>
      <x:c r="D102" s="38" t="inlineStr">
        <x:is>
          <x:t xml:space="preserve">static_chi_zero_if_F_zero</x:t>
        </x:is>
      </x:c>
      <x:c r="E102" s="38" t="inlineStr">
        <x:is>
          <x:t xml:space="preserve">theorem static_chi_zero_if_F_zero (e : Evaluation) (h : effectiveScore e.scoreF = 0) : staticChi e = 0</x:t>
        </x:is>
      </x:c>
      <x:c r="F102" s="38" t="inlineStr">
        <x:is>
          <x:t xml:space="preserve">:= by simp [staticChi, h]</x:t>
        </x:is>
      </x:c>
      <x:c r="G102" s="38" t="inlineStr">
        <x:is>
          <x:t xml:space="preserve">SIMPLIFICATION</x:t>
        </x:is>
      </x:c>
      <x:c r="H102" s="39" t="inlineStr">
        <x:is>
          <x:t xml:space="preserve">Follows by simplification under definitions; check definition strength.</x:t>
        </x:is>
      </x:c>
    </x:row>
    <x:row r="103" ht="15" customHeight="1">
      <x:c r="A103" s="37" t="inlineStr">
        <x:is>
          <x:t xml:space="preserve">Faith-Thru-Physics-Lean-4--main</x:t>
        </x:is>
      </x:c>
      <x:c r="B103" s="38" t="inlineStr">
        <x:is>
          <x:t xml:space="preserve">Faith-Thru-Physics-Lean-4--main\Faith-Thru-Physics-Lean-4--main\EVIDENCE\Theophysics_ChiEvaluator.lean</x:t>
        </x:is>
      </x:c>
      <x:c r="C103" s="38" t="inlineStr">
        <x:is>
          <x:t xml:space="preserve">265</x:t>
        </x:is>
      </x:c>
      <x:c r="D103" s="38" t="inlineStr">
        <x:is>
          <x:t xml:space="preserve">static_chi_zero_if_C_zero</x:t>
        </x:is>
      </x:c>
      <x:c r="E103" s="38" t="inlineStr">
        <x:is>
          <x:t xml:space="preserve">theorem static_chi_zero_if_C_zero (e : Evaluation) (h : effectiveScore e.scoreC = 0) : staticChi e = 0</x:t>
        </x:is>
      </x:c>
      <x:c r="F103" s="38" t="inlineStr">
        <x:is>
          <x:t xml:space="preserve">:= by simp [staticChi, h]</x:t>
        </x:is>
      </x:c>
      <x:c r="G103" s="38" t="inlineStr">
        <x:is>
          <x:t xml:space="preserve">SIMPLIFICATION</x:t>
        </x:is>
      </x:c>
      <x:c r="H103" s="39" t="inlineStr">
        <x:is>
          <x:t xml:space="preserve">Follows by simplification under definitions; check definition strength.</x:t>
        </x:is>
      </x:c>
    </x:row>
    <x:row r="104" ht="15" customHeight="1">
      <x:c r="A104" s="37" t="inlineStr">
        <x:is>
          <x:t xml:space="preserve">Faith-Thru-Physics-Lean-4--main</x:t>
        </x:is>
      </x:c>
      <x:c r="B104" s="38" t="inlineStr">
        <x:is>
          <x:t xml:space="preserve">Faith-Thru-Physics-Lean-4--main\Faith-Thru-Physics-Lean-4--main\EVIDENCE\Theophysics_ChiEvaluator.lean</x:t>
        </x:is>
      </x:c>
      <x:c r="C104" s="38" t="inlineStr">
        <x:is>
          <x:t xml:space="preserve">269</x:t>
        </x:is>
      </x:c>
      <x:c r="D104" s="38" t="inlineStr">
        <x:is>
          <x:t xml:space="preserve">coercive_claim_collapses</x:t>
        </x:is>
      </x:c>
      <x:c r="E104" s="38" t="inlineStr">
        <x:is>
          <x:t xml:space="preserve">theorem coercive_claim_collapses : collapsed coerciveClaim = true</x:t>
        </x:is>
      </x:c>
      <x:c r="F104" s="38" t="inlineStr">
        <x:is>
          <x:t xml:space="preserve">:= by rfl</x:t>
        </x:is>
      </x:c>
      <x:c r="G104" s="38" t="inlineStr">
        <x:is>
          <x:t xml:space="preserve">DEFINITIONAL_RFL</x:t>
        </x:is>
      </x:c>
      <x:c r="H104" s="39" t="inlineStr">
        <x:is>
          <x:t xml:space="preserve">Proves definitional equality by reduction; useful but narrow.</x:t>
        </x:is>
      </x:c>
    </x:row>
    <x:row r="105" ht="15" customHeight="1">
      <x:c r="A105" s="37" t="inlineStr">
        <x:is>
          <x:t xml:space="preserve">Faith-Thru-Physics-Lean-4--main</x:t>
        </x:is>
      </x:c>
      <x:c r="B105" s="38" t="inlineStr">
        <x:is>
          <x:t xml:space="preserve">Faith-Thru-Physics-Lean-4--main\Faith-Thru-Physics-Lean-4--main\EVIDENCE\Theophysics_ChiEvaluator.lean</x:t>
        </x:is>
      </x:c>
      <x:c r="C105" s="38" t="inlineStr">
        <x:is>
          <x:t xml:space="preserve">273</x:t>
        </x:is>
      </x:c>
      <x:c r="D105" s="38" t="inlineStr">
        <x:is>
          <x:t xml:space="preserve">self_sealing_claim_collapses</x:t>
        </x:is>
      </x:c>
      <x:c r="E105" s="38" t="inlineStr">
        <x:is>
          <x:t xml:space="preserve">theorem self_sealing_claim_collapses : collapsed selfSealingClaim = true</x:t>
        </x:is>
      </x:c>
      <x:c r="F105" s="38" t="inlineStr">
        <x:is>
          <x:t xml:space="preserve">:= by rfl</x:t>
        </x:is>
      </x:c>
      <x:c r="G105" s="38" t="inlineStr">
        <x:is>
          <x:t xml:space="preserve">DEFINITIONAL_RFL</x:t>
        </x:is>
      </x:c>
      <x:c r="H105" s="39" t="inlineStr">
        <x:is>
          <x:t xml:space="preserve">Proves definitional equality by reduction; useful but narrow.</x:t>
        </x:is>
      </x:c>
    </x:row>
    <x:row r="106" ht="15" customHeight="1">
      <x:c r="A106" s="37" t="inlineStr">
        <x:is>
          <x:t xml:space="preserve">Faith-Thru-Physics-Lean-4--main</x:t>
        </x:is>
      </x:c>
      <x:c r="B106" s="38" t="inlineStr">
        <x:is>
          <x:t xml:space="preserve">Faith-Thru-Physics-Lean-4--main\Faith-Thru-Physics-Lean-4--main\EVIDENCE\Theophysics_ChiEvaluator.lean</x:t>
        </x:is>
      </x:c>
      <x:c r="C106" s="38" t="inlineStr">
        <x:is>
          <x:t xml:space="preserve">277</x:t>
        </x:is>
      </x:c>
      <x:c r="D106" s="38" t="inlineStr">
        <x:is>
          <x:t xml:space="preserve">high_signal_low_freedom_detected</x:t>
        </x:is>
      </x:c>
      <x:c r="E106" s="38" t="inlineStr">
        <x:is>
          <x:t xml:space="preserve">theorem high_signal_low_freedom_detected : highSignalDeception highSignalLowFreedomClaim = true</x:t>
        </x:is>
      </x:c>
      <x:c r="F106" s="38" t="inlineStr">
        <x:is>
          <x:t xml:space="preserve">:= by rfl</x:t>
        </x:is>
      </x:c>
      <x:c r="G106" s="38" t="inlineStr">
        <x:is>
          <x:t xml:space="preserve">DEFINITIONAL_RFL</x:t>
        </x:is>
      </x:c>
      <x:c r="H106" s="39" t="inlineStr">
        <x:is>
          <x:t xml:space="preserve">Proves definitional equality by reduction; useful but narrow.</x:t>
        </x:is>
      </x:c>
    </x:row>
    <x:row r="107" ht="15" customHeight="1">
      <x:c r="A107" s="37" t="inlineStr">
        <x:is>
          <x:t xml:space="preserve">Faith-Thru-Physics-Lean-4--main</x:t>
        </x:is>
      </x:c>
      <x:c r="B107" s="38" t="inlineStr">
        <x:is>
          <x:t xml:space="preserve">Faith-Thru-Physics-Lean-4--main\Faith-Thru-Physics-Lean-4--main\EVIDENCE\Theophysics_ChiEvaluator.lean</x:t>
        </x:is>
      </x:c>
      <x:c r="C107" s="38" t="inlineStr">
        <x:is>
          <x:t xml:space="preserve">281</x:t>
        </x:is>
      </x:c>
      <x:c r="D107" s="38" t="inlineStr">
        <x:is>
          <x:t xml:space="preserve">high_signal_low_freedom_not_collapsed</x:t>
        </x:is>
      </x:c>
      <x:c r="E107" s="38" t="inlineStr">
        <x:is>
          <x:t xml:space="preserve">theorem high_signal_low_freedom_not_collapsed : collapsed highSignalLowFreedomClaim = false</x:t>
        </x:is>
      </x:c>
      <x:c r="F107" s="38" t="inlineStr">
        <x:is>
          <x:t xml:space="preserve">:= by rfl</x:t>
        </x:is>
      </x:c>
      <x:c r="G107" s="38" t="inlineStr">
        <x:is>
          <x:t xml:space="preserve">DEFINITIONAL_RFL</x:t>
        </x:is>
      </x:c>
      <x:c r="H107" s="39" t="inlineStr">
        <x:is>
          <x:t xml:space="preserve">Proves definitional equality by reduction; useful but narrow.</x:t>
        </x:is>
      </x:c>
    </x:row>
    <x:row r="108" ht="15" customHeight="1">
      <x:c r="A108" s="37" t="inlineStr">
        <x:is>
          <x:t xml:space="preserve">Faith-Thru-Physics-Lean-4--main</x:t>
        </x:is>
      </x:c>
      <x:c r="B108" s="38" t="inlineStr">
        <x:is>
          <x:t xml:space="preserve">Faith-Thru-Physics-Lean-4--main\Faith-Thru-Physics-Lean-4--main\EVIDENCE\Theophysics_ChiEvaluator.lean</x:t>
        </x:is>
      </x:c>
      <x:c r="C108" s="38" t="inlineStr">
        <x:is>
          <x:t xml:space="preserve">285</x:t>
        </x:is>
      </x:c>
      <x:c r="D108" s="38" t="inlineStr">
        <x:is>
          <x:t xml:space="preserve">high_signal_low_freedom_verdict</x:t>
        </x:is>
      </x:c>
      <x:c r="E108" s="38" t="inlineStr">
        <x:is>
          <x:t xml:space="preserve">theorem high_signal_low_freedom_verdict : inferVerdict highSignalLowFreedomClaim = Verdict.highSignalDeception</x:t>
        </x:is>
      </x:c>
      <x:c r="F108" s="38" t="inlineStr">
        <x:is>
          <x:t xml:space="preserve">:= by rfl structure PressureResult where pressureState : PressureState chi : Nat deriving DecidableEq, Repr def pressureImproves (a b : PressureResult) : Bool := a.chi &lt; b.chi def pressureDecays (a b : PressureResult) : Bool := b.chi &lt; a.chi def inferTwoPointGradient (a b : PressureResult) : GradientLabel := if pressureImproves a b then GradientLabel.positive else if pressureDecays a b then GradientLabel.negative else GradientLabel.neutral def weakButGrowingStart : PressureResult where pressureS</x:t>
        </x:is>
      </x:c>
      <x:c r="G108" s="38" t="inlineStr">
        <x:is>
          <x:t xml:space="preserve">DEFINITIONAL_RFL</x:t>
        </x:is>
      </x:c>
      <x:c r="H108" s="39" t="inlineStr">
        <x:is>
          <x:t xml:space="preserve">Proves definitional equality by reduction; useful but narrow.</x:t>
        </x:is>
      </x:c>
    </x:row>
    <x:row r="109" ht="15" customHeight="1">
      <x:c r="A109" s="37" t="inlineStr">
        <x:is>
          <x:t xml:space="preserve">Faith-Thru-Physics-Lean-4--main</x:t>
        </x:is>
      </x:c>
      <x:c r="B109" s="38" t="inlineStr">
        <x:is>
          <x:t xml:space="preserve">Faith-Thru-Physics-Lean-4--main\Faith-Thru-Physics-Lean-4--main\EVIDENCE\Theophysics_ChiEvaluator.lean</x:t>
        </x:is>
      </x:c>
      <x:c r="C109" s="38" t="inlineStr">
        <x:is>
          <x:t xml:space="preserve">321</x:t>
        </x:is>
      </x:c>
      <x:c r="D109" s="38" t="inlineStr">
        <x:is>
          <x:t xml:space="preserve">weak_but_growing_has_positive_gradient</x:t>
        </x:is>
      </x:c>
      <x:c r="E109" s="38" t="inlineStr">
        <x:is>
          <x:t xml:space="preserve">theorem weak_but_growing_has_positive_gradient : inferTwoPointGradient weakButGrowingStart weakButGrowingEnd = GradientLabel.positive</x:t>
        </x:is>
      </x:c>
      <x:c r="F109" s="38" t="inlineStr">
        <x:is>
          <x:t xml:space="preserve">:= by rfl</x:t>
        </x:is>
      </x:c>
      <x:c r="G109" s="38" t="inlineStr">
        <x:is>
          <x:t xml:space="preserve">DEFINITIONAL_RFL</x:t>
        </x:is>
      </x:c>
      <x:c r="H109" s="39" t="inlineStr">
        <x:is>
          <x:t xml:space="preserve">Proves definitional equality by reduction; useful but narrow.</x:t>
        </x:is>
      </x:c>
    </x:row>
    <x:row r="110" ht="15" customHeight="1">
      <x:c r="A110" s="37" t="inlineStr">
        <x:is>
          <x:t xml:space="preserve">Faith-Thru-Physics-Lean-4--main</x:t>
        </x:is>
      </x:c>
      <x:c r="B110" s="38" t="inlineStr">
        <x:is>
          <x:t xml:space="preserve">Faith-Thru-Physics-Lean-4--main\Faith-Thru-Physics-Lean-4--main\EVIDENCE\Theophysics_ChiEvaluator.lean</x:t>
        </x:is>
      </x:c>
      <x:c r="C110" s="38" t="inlineStr">
        <x:is>
          <x:t xml:space="preserve">325</x:t>
        </x:is>
      </x:c>
      <x:c r="D110" s="38" t="inlineStr">
        <x:is>
          <x:t xml:space="preserve">strong_but_decaying_has_negative_gradient</x:t>
        </x:is>
      </x:c>
      <x:c r="E110" s="38" t="inlineStr">
        <x:is>
          <x:t xml:space="preserve">theorem strong_but_decaying_has_negative_gradient : inferTwoPointGradient strongButDecayingStart strongButDecayingEnd = GradientLabel.negative</x:t>
        </x:is>
      </x:c>
      <x:c r="F110" s="38" t="inlineStr">
        <x:is>
          <x:t xml:space="preserve">:= by rfl structure FruitOutput where fruitScore : Nat antiFruitScore : Nat deriving DecidableEq, Repr def fruitDominates (f : FruitOutput) : Bool := f.antiFruitScore &lt; f.fruitScore def antiFruitDominates (f : FruitOutput) : Bool := f.fruitScore &lt; f.antiFruitScore def peacefulOutput : FruitOutput where fruitScore := 90 antiFruitScore := 5 def coerciveOutput : FruitOutput where fruitScore := 10 antiFruitScore := 80</x:t>
        </x:is>
      </x:c>
      <x:c r="G110" s="38" t="inlineStr">
        <x:is>
          <x:t xml:space="preserve">DEFINITIONAL_RFL</x:t>
        </x:is>
      </x:c>
      <x:c r="H110" s="39" t="inlineStr">
        <x:is>
          <x:t xml:space="preserve">Proves definitional equality by reduction; useful but narrow.</x:t>
        </x:is>
      </x:c>
    </x:row>
    <x:row r="111" ht="15" customHeight="1">
      <x:c r="A111" s="37" t="inlineStr">
        <x:is>
          <x:t xml:space="preserve">Faith-Thru-Physics-Lean-4--main</x:t>
        </x:is>
      </x:c>
      <x:c r="B111" s="38" t="inlineStr">
        <x:is>
          <x:t xml:space="preserve">Faith-Thru-Physics-Lean-4--main\Faith-Thru-Physics-Lean-4--main\EVIDENCE\Theophysics_ChiEvaluator.lean</x:t>
        </x:is>
      </x:c>
      <x:c r="C111" s="38" t="inlineStr">
        <x:is>
          <x:t xml:space="preserve">348</x:t>
        </x:is>
      </x:c>
      <x:c r="D111" s="38" t="inlineStr">
        <x:is>
          <x:t xml:space="preserve">peaceful_output_fruit_dominates</x:t>
        </x:is>
      </x:c>
      <x:c r="E111" s="38" t="inlineStr">
        <x:is>
          <x:t xml:space="preserve">theorem peaceful_output_fruit_dominates : fruitDominates peacefulOutput = true</x:t>
        </x:is>
      </x:c>
      <x:c r="F111" s="38" t="inlineStr">
        <x:is>
          <x:t xml:space="preserve">:= by rfl</x:t>
        </x:is>
      </x:c>
      <x:c r="G111" s="38" t="inlineStr">
        <x:is>
          <x:t xml:space="preserve">DEFINITIONAL_RFL</x:t>
        </x:is>
      </x:c>
      <x:c r="H111" s="39" t="inlineStr">
        <x:is>
          <x:t xml:space="preserve">Proves definitional equality by reduction; useful but narrow.</x:t>
        </x:is>
      </x:c>
    </x:row>
    <x:row r="112" ht="15" customHeight="1">
      <x:c r="A112" s="37" t="inlineStr">
        <x:is>
          <x:t xml:space="preserve">Faith-Thru-Physics-Lean-4--main</x:t>
        </x:is>
      </x:c>
      <x:c r="B112" s="38" t="inlineStr">
        <x:is>
          <x:t xml:space="preserve">Faith-Thru-Physics-Lean-4--main\Faith-Thru-Physics-Lean-4--main\EVIDENCE\Theophysics_ChiEvaluator.lean</x:t>
        </x:is>
      </x:c>
      <x:c r="C112" s="38" t="inlineStr">
        <x:is>
          <x:t xml:space="preserve">352</x:t>
        </x:is>
      </x:c>
      <x:c r="D112" s="38" t="inlineStr">
        <x:is>
          <x:t xml:space="preserve">coercive_output_antifruit_dominates</x:t>
        </x:is>
      </x:c>
      <x:c r="E112" s="38" t="inlineStr">
        <x:is>
          <x:t xml:space="preserve">theorem coercive_output_antifruit_dominates : antiFruitDominates coerciveOutput = true</x:t>
        </x:is>
      </x:c>
      <x:c r="F112" s="38" t="inlineStr">
        <x:is>
          <x:t xml:space="preserve">:= by rfl</x:t>
        </x:is>
      </x:c>
      <x:c r="G112" s="38" t="inlineStr">
        <x:is>
          <x:t xml:space="preserve">DEFINITIONAL_RFL</x:t>
        </x:is>
      </x:c>
      <x:c r="H112" s="39" t="inlineStr">
        <x:is>
          <x:t xml:space="preserve">Proves definitional equality by reduction; useful but narrow.</x:t>
        </x:is>
      </x:c>
    </x:row>
    <x:row r="113" ht="15" customHeight="1">
      <x:c r="A113" s="37" t="inlineStr">
        <x:is>
          <x:t xml:space="preserve">Faith-Thru-Physics-Lean-4--main</x:t>
        </x:is>
      </x:c>
      <x:c r="B113" s="38" t="inlineStr">
        <x:is>
          <x:t xml:space="preserve">Faith-Thru-Physics-Lean-4--main\Faith-Thru-Physics-Lean-4--main\EVIDENCE\Theophysics_ChiEvaluator.lean</x:t>
        </x:is>
      </x:c>
      <x:c r="C113" s="38" t="inlineStr">
        <x:is>
          <x:t xml:space="preserve">356</x:t>
        </x:is>
      </x:c>
      <x:c r="D113" s="38" t="inlineStr">
        <x:is>
          <x:t xml:space="preserve">chi_evaluator_marker</x:t>
        </x:is>
      </x:c>
      <x:c r="E113" s="38" t="inlineStr">
        <x:is>
          <x:t xml:space="preserve">theorem chi_evaluator_marker : collapsed coerciveClaim = true ∧ collapsed selfSealingClaim = true ∧ highSignalDeception highSignalLowFreedomClaim = true ∧ inferTwoPointGradient weakButGrowingStart weakButGrowingEnd = GradientLabel.positive ∧ inferTwoPointGradient strongButDecayingStart strongButDecayingEnd = GradientLabel.negative ∧ fruitDominates peacefulOutput = true ∧ antiFruitDominates coerciveOutput = true</x:t>
        </x:is>
      </x:c>
      <x:c r="F113" s="38" t="inlineStr">
        <x:is>
          <x:t xml:space="preserve">:= by exact ⟨rfl, rfl, rfl, rfl, rfl, rfl, rfl⟩ end Theophysics.ChiEvaluator</x:t>
        </x:is>
      </x:c>
      <x:c r="G113" s="38" t="inlineStr">
        <x:is>
          <x:t xml:space="preserve">WRAPPER_OR_IMPORTED</x:t>
        </x:is>
      </x:c>
      <x:c r="H113" s="39" t="inlineStr">
        <x:is>
          <x:t xml:space="preserve">Likely delegates to another theorem; cite underlying theorem too.</x:t>
        </x:is>
      </x:c>
    </x:row>
    <x:row r="114" ht="15" customHeight="1">
      <x:c r="A114" s="37" t="inlineStr">
        <x:is>
          <x:t xml:space="preserve">Faith-Thru-Physics-Lean-4--main</x:t>
        </x:is>
      </x:c>
      <x:c r="B114" s="38" t="inlineStr">
        <x:is>
          <x:t xml:space="preserve">Faith-Thru-Physics-Lean-4--main\Faith-Thru-Physics-Lean-4--main\EVIDENCE\Theophysics_Coherence.lean</x:t>
        </x:is>
      </x:c>
      <x:c r="C114" s="38" t="inlineStr">
        <x:is>
          <x:t xml:space="preserve">141</x:t>
        </x:is>
      </x:c>
      <x:c r="D114" s="38" t="inlineStr">
        <x:is>
          <x:t xml:space="preserve">full_coherence_is_coherent</x:t>
        </x:is>
      </x:c>
      <x:c r="E114" s="38" t="inlineStr">
        <x:is>
          <x:t xml:space="preserve">theorem full_coherence_is_coherent : coherent fullCoherence = true</x:t>
        </x:is>
      </x:c>
      <x:c r="F114" s="38" t="inlineStr">
        <x:is>
          <x:t xml:space="preserve">:= by rfl</x:t>
        </x:is>
      </x:c>
      <x:c r="G114" s="38" t="inlineStr">
        <x:is>
          <x:t xml:space="preserve">DEFINITIONAL_RFL</x:t>
        </x:is>
      </x:c>
      <x:c r="H114" s="39" t="inlineStr">
        <x:is>
          <x:t xml:space="preserve">Proves definitional equality by reduction; useful but narrow.</x:t>
        </x:is>
      </x:c>
    </x:row>
    <x:row r="115" ht="15" customHeight="1">
      <x:c r="A115" s="37" t="inlineStr">
        <x:is>
          <x:t xml:space="preserve">Faith-Thru-Physics-Lean-4--main</x:t>
        </x:is>
      </x:c>
      <x:c r="B115" s="38" t="inlineStr">
        <x:is>
          <x:t xml:space="preserve">Faith-Thru-Physics-Lean-4--main\Faith-Thru-Physics-Lean-4--main\EVIDENCE\Theophysics_Coherence.lean</x:t>
        </x:is>
      </x:c>
      <x:c r="C115" s="38" t="inlineStr">
        <x:is>
          <x:t xml:space="preserve">145</x:t>
        </x:is>
      </x:c>
      <x:c r="D115" s="38" t="inlineStr">
        <x:is>
          <x:t xml:space="preserve">coercive_order_is_merely_ordered</x:t>
        </x:is>
      </x:c>
      <x:c r="E115" s="38" t="inlineStr">
        <x:is>
          <x:t xml:space="preserve">theorem coercive_order_is_merely_ordered : merelyOrdered coerciveOrder = true</x:t>
        </x:is>
      </x:c>
      <x:c r="F115" s="38" t="inlineStr">
        <x:is>
          <x:t xml:space="preserve">:= by rfl</x:t>
        </x:is>
      </x:c>
      <x:c r="G115" s="38" t="inlineStr">
        <x:is>
          <x:t xml:space="preserve">DEFINITIONAL_RFL</x:t>
        </x:is>
      </x:c>
      <x:c r="H115" s="39" t="inlineStr">
        <x:is>
          <x:t xml:space="preserve">Proves definitional equality by reduction; useful but narrow.</x:t>
        </x:is>
      </x:c>
    </x:row>
    <x:row r="116" ht="15" customHeight="1">
      <x:c r="A116" s="37" t="inlineStr">
        <x:is>
          <x:t xml:space="preserve">Faith-Thru-Physics-Lean-4--main</x:t>
        </x:is>
      </x:c>
      <x:c r="B116" s="38" t="inlineStr">
        <x:is>
          <x:t xml:space="preserve">Faith-Thru-Physics-Lean-4--main\Faith-Thru-Physics-Lean-4--main\EVIDENCE\Theophysics_Coherence.lean</x:t>
        </x:is>
      </x:c>
      <x:c r="C116" s="38" t="inlineStr">
        <x:is>
          <x:t xml:space="preserve">149</x:t>
        </x:is>
      </x:c>
      <x:c r="D116" s="38" t="inlineStr">
        <x:is>
          <x:t xml:space="preserve">coercive_order_is_not_full_coherence</x:t>
        </x:is>
      </x:c>
      <x:c r="E116" s="38" t="inlineStr">
        <x:is>
          <x:t xml:space="preserve">theorem coercive_order_is_not_full_coherence : coherent coerciveOrder = false</x:t>
        </x:is>
      </x:c>
      <x:c r="F116" s="38" t="inlineStr">
        <x:is>
          <x:t xml:space="preserve">:= by rfl</x:t>
        </x:is>
      </x:c>
      <x:c r="G116" s="38" t="inlineStr">
        <x:is>
          <x:t xml:space="preserve">DEFINITIONAL_RFL</x:t>
        </x:is>
      </x:c>
      <x:c r="H116" s="39" t="inlineStr">
        <x:is>
          <x:t xml:space="preserve">Proves definitional equality by reduction; useful but narrow.</x:t>
        </x:is>
      </x:c>
    </x:row>
    <x:row r="117" ht="15" customHeight="1">
      <x:c r="A117" s="37" t="inlineStr">
        <x:is>
          <x:t xml:space="preserve">Faith-Thru-Physics-Lean-4--main</x:t>
        </x:is>
      </x:c>
      <x:c r="B117" s="38" t="inlineStr">
        <x:is>
          <x:t xml:space="preserve">Faith-Thru-Physics-Lean-4--main\Faith-Thru-Physics-Lean-4--main\EVIDENCE\Theophysics_Coherence.lean</x:t>
        </x:is>
      </x:c>
      <x:c r="C117" s="38" t="inlineStr">
        <x:is>
          <x:t xml:space="preserve">153</x:t>
        </x:is>
      </x:c>
      <x:c r="D117" s="38" t="inlineStr">
        <x:is>
          <x:t xml:space="preserve">mere_order_does_not_imply_full_coherence</x:t>
        </x:is>
      </x:c>
      <x:c r="E117" s="38" t="inlineStr">
        <x:is>
          <x:t xml:space="preserve">theorem mere_order_does_not_imply_full_coherence : ∃ p : CoherenceProfile, merelyOrdered p = true ∧ coherent p = false</x:t>
        </x:is>
      </x:c>
      <x:c r="F117" s="38" t="inlineStr">
        <x:is>
          <x:t xml:space="preserve">:= by exact ⟨coerciveOrder, rfl, rfl⟩</x:t>
        </x:is>
      </x:c>
      <x:c r="G117" s="38" t="inlineStr">
        <x:is>
          <x:t xml:space="preserve">WRAPPER_OR_IMPORTED</x:t>
        </x:is>
      </x:c>
      <x:c r="H117" s="39" t="inlineStr">
        <x:is>
          <x:t xml:space="preserve">Likely delegates to another theorem; cite underlying theorem too.</x:t>
        </x:is>
      </x:c>
    </x:row>
    <x:row r="118" ht="15" customHeight="1">
      <x:c r="A118" s="37" t="inlineStr">
        <x:is>
          <x:t xml:space="preserve">Faith-Thru-Physics-Lean-4--main</x:t>
        </x:is>
      </x:c>
      <x:c r="B118" s="38" t="inlineStr">
        <x:is>
          <x:t xml:space="preserve">Faith-Thru-Physics-Lean-4--main\Faith-Thru-Physics-Lean-4--main\EVIDENCE\Theophysics_Coherence.lean</x:t>
        </x:is>
      </x:c>
      <x:c r="C118" s="38" t="inlineStr">
        <x:is>
          <x:t xml:space="preserve">157</x:t>
        </x:is>
      </x:c>
      <x:c r="D118" s="38" t="inlineStr">
        <x:is>
          <x:t xml:space="preserve">passive_decay_is_not_active_discoherence</x:t>
        </x:is>
      </x:c>
      <x:c r="E118" s="38" t="inlineStr">
        <x:is>
          <x:t xml:space="preserve">theorem passive_decay_is_not_active_discoherence : isActiveDiscoherence passiveEntropySlope = false</x:t>
        </x:is>
      </x:c>
      <x:c r="F118" s="38" t="inlineStr">
        <x:is>
          <x:t xml:space="preserve">:= by rfl</x:t>
        </x:is>
      </x:c>
      <x:c r="G118" s="38" t="inlineStr">
        <x:is>
          <x:t xml:space="preserve">DEFINITIONAL_RFL</x:t>
        </x:is>
      </x:c>
      <x:c r="H118" s="39" t="inlineStr">
        <x:is>
          <x:t xml:space="preserve">Proves definitional equality by reduction; useful but narrow.</x:t>
        </x:is>
      </x:c>
    </x:row>
    <x:row r="119" ht="15" customHeight="1">
      <x:c r="A119" s="37" t="inlineStr">
        <x:is>
          <x:t xml:space="preserve">Faith-Thru-Physics-Lean-4--main</x:t>
        </x:is>
      </x:c>
      <x:c r="B119" s="38" t="inlineStr">
        <x:is>
          <x:t xml:space="preserve">Faith-Thru-Physics-Lean-4--main\Faith-Thru-Physics-Lean-4--main\EVIDENCE\Theophysics_Coherence.lean</x:t>
        </x:is>
      </x:c>
      <x:c r="C119" s="38" t="inlineStr">
        <x:is>
          <x:t xml:space="preserve">161</x:t>
        </x:is>
      </x:c>
      <x:c r="D119" s="38" t="inlineStr">
        <x:is>
          <x:t xml:space="preserve">active_discoherence_is_active</x:t>
        </x:is>
      </x:c>
      <x:c r="E119" s="38" t="inlineStr">
        <x:is>
          <x:t xml:space="preserve">theorem active_discoherence_is_active : isActiveDiscoherence activeDiscoherence = true</x:t>
        </x:is>
      </x:c>
      <x:c r="F119" s="38" t="inlineStr">
        <x:is>
          <x:t xml:space="preserve">:= by rfl</x:t>
        </x:is>
      </x:c>
      <x:c r="G119" s="38" t="inlineStr">
        <x:is>
          <x:t xml:space="preserve">DEFINITIONAL_RFL</x:t>
        </x:is>
      </x:c>
      <x:c r="H119" s="39" t="inlineStr">
        <x:is>
          <x:t xml:space="preserve">Proves definitional equality by reduction; useful but narrow.</x:t>
        </x:is>
      </x:c>
    </x:row>
    <x:row r="120" ht="15" customHeight="1">
      <x:c r="A120" s="37" t="inlineStr">
        <x:is>
          <x:t xml:space="preserve">Faith-Thru-Physics-Lean-4--main</x:t>
        </x:is>
      </x:c>
      <x:c r="B120" s="38" t="inlineStr">
        <x:is>
          <x:t xml:space="preserve">Faith-Thru-Physics-Lean-4--main\Faith-Thru-Physics-Lean-4--main\EVIDENCE\Theophysics_Coherence.lean</x:t>
        </x:is>
      </x:c>
      <x:c r="C120" s="38" t="inlineStr">
        <x:is>
          <x:t xml:space="preserve">165</x:t>
        </x:is>
      </x:c>
      <x:c r="D120" s="38" t="inlineStr">
        <x:is>
          <x:t xml:space="preserve">closed_without_input_cannot_restore</x:t>
        </x:is>
      </x:c>
      <x:c r="E120" s="38" t="inlineStr">
        <x:is>
          <x:t xml:space="preserve">theorem closed_without_input_cannot_restore : canRestore closedWithoutInput = false</x:t>
        </x:is>
      </x:c>
      <x:c r="F120" s="38" t="inlineStr">
        <x:is>
          <x:t xml:space="preserve">:= by rfl</x:t>
        </x:is>
      </x:c>
      <x:c r="G120" s="38" t="inlineStr">
        <x:is>
          <x:t xml:space="preserve">DEFINITIONAL_RFL</x:t>
        </x:is>
      </x:c>
      <x:c r="H120" s="39" t="inlineStr">
        <x:is>
          <x:t xml:space="preserve">Proves definitional equality by reduction; useful but narrow.</x:t>
        </x:is>
      </x:c>
    </x:row>
    <x:row r="121" ht="15" customHeight="1">
      <x:c r="A121" s="37" t="inlineStr">
        <x:is>
          <x:t xml:space="preserve">Faith-Thru-Physics-Lean-4--main</x:t>
        </x:is>
      </x:c>
      <x:c r="B121" s="38" t="inlineStr">
        <x:is>
          <x:t xml:space="preserve">Faith-Thru-Physics-Lean-4--main\Faith-Thru-Physics-Lean-4--main\EVIDENCE\Theophysics_Coherence.lean</x:t>
        </x:is>
      </x:c>
      <x:c r="C121" s="38" t="inlineStr">
        <x:is>
          <x:t xml:space="preserve">169</x:t>
        </x:is>
      </x:c>
      <x:c r="D121" s="38" t="inlineStr">
        <x:is>
          <x:t xml:space="preserve">open_with_paid_input_can_restore</x:t>
        </x:is>
      </x:c>
      <x:c r="E121" s="38" t="inlineStr">
        <x:is>
          <x:t xml:space="preserve">theorem open_with_paid_input_can_restore : canRestore openWithPaidInput = true</x:t>
        </x:is>
      </x:c>
      <x:c r="F121" s="38" t="inlineStr">
        <x:is>
          <x:t xml:space="preserve">:= by rfl</x:t>
        </x:is>
      </x:c>
      <x:c r="G121" s="38" t="inlineStr">
        <x:is>
          <x:t xml:space="preserve">DEFINITIONAL_RFL</x:t>
        </x:is>
      </x:c>
      <x:c r="H121" s="39" t="inlineStr">
        <x:is>
          <x:t xml:space="preserve">Proves definitional equality by reduction; useful but narrow.</x:t>
        </x:is>
      </x:c>
    </x:row>
    <x:row r="122" ht="15" customHeight="1">
      <x:c r="A122" s="37" t="inlineStr">
        <x:is>
          <x:t xml:space="preserve">Faith-Thru-Physics-Lean-4--main</x:t>
        </x:is>
      </x:c>
      <x:c r="B122" s="38" t="inlineStr">
        <x:is>
          <x:t xml:space="preserve">Faith-Thru-Physics-Lean-4--main\Faith-Thru-Physics-Lean-4--main\EVIDENCE\Theophysics_Coherence.lean</x:t>
        </x:is>
      </x:c>
      <x:c r="C122" s="38" t="inlineStr">
        <x:is>
          <x:t xml:space="preserve">173</x:t>
        </x:is>
      </x:c>
      <x:c r="D122" s="38" t="inlineStr">
        <x:is>
          <x:t xml:space="preserve">restoration_requires_open_boundary</x:t>
        </x:is>
      </x:c>
      <x:c r="E122" s="38" t="inlineStr">
        <x:is>
          <x:t xml:space="preserve">theorem restoration_requires_open_boundary (m : RestorationModel) (h : canRestore m = true) : m.boundary = SystemBoundary.open</x:t>
        </x:is>
      </x:c>
      <x:c r="F122" s="38" t="inlineStr">
        <x:is>
          <x:t xml:space="preserve">:= by cases m with | mk boundary externalInput repairCostPaid informationPreserved =&gt; cases boundary &lt;;&gt; cases externalInput &lt;;&gt; cases repairCostPaid &lt;;&gt; cases informationPreserved &lt;;&gt; simp [canRestore] at h ⊢</x:t>
        </x:is>
      </x:c>
      <x:c r="G122" s="38" t="inlineStr">
        <x:is>
          <x:t xml:space="preserve">SIMPLIFICATION</x:t>
        </x:is>
      </x:c>
      <x:c r="H122" s="39" t="inlineStr">
        <x:is>
          <x:t xml:space="preserve">Follows by simplification under definitions; check definition strength.</x:t>
        </x:is>
      </x:c>
    </x:row>
    <x:row r="123" ht="15" customHeight="1">
      <x:c r="A123" s="37" t="inlineStr">
        <x:is>
          <x:t xml:space="preserve">Faith-Thru-Physics-Lean-4--main</x:t>
        </x:is>
      </x:c>
      <x:c r="B123" s="38" t="inlineStr">
        <x:is>
          <x:t xml:space="preserve">Faith-Thru-Physics-Lean-4--main\Faith-Thru-Physics-Lean-4--main\EVIDENCE\Theophysics_Coherence.lean</x:t>
        </x:is>
      </x:c>
      <x:c r="C123" s="38" t="inlineStr">
        <x:is>
          <x:t xml:space="preserve">181</x:t>
        </x:is>
      </x:c>
      <x:c r="D123" s="38" t="inlineStr">
        <x:is>
          <x:t xml:space="preserve">restoration_requires_external_input</x:t>
        </x:is>
      </x:c>
      <x:c r="E123" s="38" t="inlineStr">
        <x:is>
          <x:t xml:space="preserve">theorem restoration_requires_external_input (m : RestorationModel) (h : canRestore m = true) : m.externalInput = true</x:t>
        </x:is>
      </x:c>
      <x:c r="F123" s="38" t="inlineStr">
        <x:is>
          <x:t xml:space="preserve">:= by cases m with | mk boundary externalInput repairCostPaid informationPreserved =&gt; cases boundary &lt;;&gt; cases externalInput &lt;;&gt; cases repairCostPaid &lt;;&gt; cases informationPreserved &lt;;&gt; simp [canRestore] at h ⊢</x:t>
        </x:is>
      </x:c>
      <x:c r="G123" s="38" t="inlineStr">
        <x:is>
          <x:t xml:space="preserve">SIMPLIFICATION</x:t>
        </x:is>
      </x:c>
      <x:c r="H123" s="39" t="inlineStr">
        <x:is>
          <x:t xml:space="preserve">Follows by simplification under definitions; check definition strength.</x:t>
        </x:is>
      </x:c>
    </x:row>
    <x:row r="124" ht="15" customHeight="1">
      <x:c r="A124" s="37" t="inlineStr">
        <x:is>
          <x:t xml:space="preserve">Faith-Thru-Physics-Lean-4--main</x:t>
        </x:is>
      </x:c>
      <x:c r="B124" s="38" t="inlineStr">
        <x:is>
          <x:t xml:space="preserve">Faith-Thru-Physics-Lean-4--main\Faith-Thru-Physics-Lean-4--main\EVIDENCE\Theophysics_Coherence.lean</x:t>
        </x:is>
      </x:c>
      <x:c r="C124" s="38" t="inlineStr">
        <x:is>
          <x:t xml:space="preserve">189</x:t>
        </x:is>
      </x:c>
      <x:c r="D124" s="38" t="inlineStr">
        <x:is>
          <x:t xml:space="preserve">restoration_requires_paid_cost</x:t>
        </x:is>
      </x:c>
      <x:c r="E124" s="38" t="inlineStr">
        <x:is>
          <x:t xml:space="preserve">theorem restoration_requires_paid_cost (m : RestorationModel) (h : canRestore m = true) : m.repairCostPaid = true</x:t>
        </x:is>
      </x:c>
      <x:c r="F124" s="38" t="inlineStr">
        <x:is>
          <x:t xml:space="preserve">:= by cases m with | mk boundary externalInput repairCostPaid informationPreserved =&gt; cases boundary &lt;;&gt; cases externalInput &lt;;&gt; cases repairCostPaid &lt;;&gt; cases informationPreserved &lt;;&gt; simp [canRestore] at h ⊢</x:t>
        </x:is>
      </x:c>
      <x:c r="G124" s="38" t="inlineStr">
        <x:is>
          <x:t xml:space="preserve">SIMPLIFICATION</x:t>
        </x:is>
      </x:c>
      <x:c r="H124" s="39" t="inlineStr">
        <x:is>
          <x:t xml:space="preserve">Follows by simplification under definitions; check definition strength.</x:t>
        </x:is>
      </x:c>
    </x:row>
    <x:row r="125" ht="15" customHeight="1">
      <x:c r="A125" s="37" t="inlineStr">
        <x:is>
          <x:t xml:space="preserve">Faith-Thru-Physics-Lean-4--main</x:t>
        </x:is>
      </x:c>
      <x:c r="B125" s="38" t="inlineStr">
        <x:is>
          <x:t xml:space="preserve">Faith-Thru-Physics-Lean-4--main\Faith-Thru-Physics-Lean-4--main\EVIDENCE\Theophysics_Coherence.lean</x:t>
        </x:is>
      </x:c>
      <x:c r="C125" s="38" t="inlineStr">
        <x:is>
          <x:t xml:space="preserve">197</x:t>
        </x:is>
      </x:c>
      <x:c r="D125" s="38" t="inlineStr">
        <x:is>
          <x:t xml:space="preserve">restoration_requires_information_preservation</x:t>
        </x:is>
      </x:c>
      <x:c r="E125" s="38" t="inlineStr">
        <x:is>
          <x:t xml:space="preserve">theorem restoration_requires_information_preservation (m : RestorationModel) (h : canRestore m = true) : m.informationPreserved = true</x:t>
        </x:is>
      </x:c>
      <x:c r="F125" s="38" t="inlineStr">
        <x:is>
          <x:t xml:space="preserve">:= by cases m with | mk boundary externalInput repairCostPaid informationPreserved =&gt; cases boundary &lt;;&gt; cases externalInput &lt;;&gt; cases repairCostPaid &lt;;&gt; cases informationPreserved &lt;;&gt; simp [canRestore] at h ⊢</x:t>
        </x:is>
      </x:c>
      <x:c r="G125" s="38" t="inlineStr">
        <x:is>
          <x:t xml:space="preserve">SIMPLIFICATION</x:t>
        </x:is>
      </x:c>
      <x:c r="H125" s="39" t="inlineStr">
        <x:is>
          <x:t xml:space="preserve">Follows by simplification under definitions; check definition strength.</x:t>
        </x:is>
      </x:c>
    </x:row>
    <x:row r="126" ht="15" customHeight="1">
      <x:c r="A126" s="37" t="inlineStr">
        <x:is>
          <x:t xml:space="preserve">Faith-Thru-Physics-Lean-4--main</x:t>
        </x:is>
      </x:c>
      <x:c r="B126" s="38" t="inlineStr">
        <x:is>
          <x:t xml:space="preserve">Faith-Thru-Physics-Lean-4--main\Faith-Thru-Physics-Lean-4--main\EVIDENCE\Theophysics_Coherence.lean</x:t>
        </x:is>
      </x:c>
      <x:c r="C126" s="38" t="inlineStr">
        <x:is>
          <x:t xml:space="preserve">205</x:t>
        </x:is>
      </x:c>
      <x:c r="D126" s="38" t="inlineStr">
        <x:is>
          <x:t xml:space="preserve">thermodynamics_pattern_marker</x:t>
        </x:is>
      </x:c>
      <x:c r="E126" s="38" t="inlineStr">
        <x:is>
          <x:t xml:space="preserve">theorem thermodynamics_pattern_marker : coherent fullCoherence = true ∧ coherent coerciveOrder = false ∧ isActiveDiscoherence passiveEntropySlope = false ∧ canRestore closedWithoutInput = false ∧ canRestore openWithPaidInput = true</x:t>
        </x:is>
      </x:c>
      <x:c r="F126" s="38" t="inlineStr">
        <x:is>
          <x:t xml:space="preserve">:= by exact ⟨rfl, rfl, rfl, rfl, rfl⟩ end Theophysics.Coherence</x:t>
        </x:is>
      </x:c>
      <x:c r="G126" s="38" t="inlineStr">
        <x:is>
          <x:t xml:space="preserve">WRAPPER_OR_IMPORTED</x:t>
        </x:is>
      </x:c>
      <x:c r="H126" s="39" t="inlineStr">
        <x:is>
          <x:t xml:space="preserve">Likely delegates to another theorem; cite underlying theorem too.</x:t>
        </x:is>
      </x:c>
    </x:row>
    <x:row r="127" ht="15" customHeight="1">
      <x:c r="A127" s="37" t="inlineStr">
        <x:is>
          <x:t xml:space="preserve">Faith-Thru-Physics-Lean-4--main</x:t>
        </x:is>
      </x:c>
      <x:c r="B127" s="38" t="inlineStr">
        <x:is>
          <x:t xml:space="preserve">Faith-Thru-Physics-Lean-4--main\Faith-Thru-Physics-Lean-4--main\EVIDENCE\Theophysics_Core.lean</x:t>
        </x:is>
      </x:c>
      <x:c r="C127" s="38" t="inlineStr">
        <x:is>
          <x:t xml:space="preserve">54</x:t>
        </x:is>
      </x:c>
      <x:c r="D127" s="38" t="inlineStr">
        <x:is>
          <x:t xml:space="preserve">coherence_spine_rejects_mere_order</x:t>
        </x:is>
      </x:c>
      <x:c r="E127" s="38" t="inlineStr">
        <x:is>
          <x:t xml:space="preserve">theorem coherence_spine_rejects_mere_order : ∃ p : CoherenceProfile, merelyOrdered p = true ∧ coherent p = false := Theophysics.Coherence.mere_order_does_not_imply_full_coherence</x:t>
        </x:is>
      </x:c>
      <x:c r="F127" s="38" t="n"/>
      <x:c r="G127" s="38" t="inlineStr">
        <x:is>
          <x:t xml:space="preserve">DECLARATION_OR_UNKNOWN</x:t>
        </x:is>
      </x:c>
      <x:c r="H127" s="39" t="inlineStr">
        <x:is>
          <x:t xml:space="preserve">Could not classify from first proof lines.</x:t>
        </x:is>
      </x:c>
    </x:row>
    <x:row r="128" ht="15" customHeight="1">
      <x:c r="A128" s="37" t="inlineStr">
        <x:is>
          <x:t xml:space="preserve">Faith-Thru-Physics-Lean-4--main</x:t>
        </x:is>
      </x:c>
      <x:c r="B128" s="38" t="inlineStr">
        <x:is>
          <x:t xml:space="preserve">Faith-Thru-Physics-Lean-4--main\Faith-Thru-Physics-Lean-4--main\EVIDENCE\Theophysics_Core.lean</x:t>
        </x:is>
      </x:c>
      <x:c r="C128" s="38" t="inlineStr">
        <x:is>
          <x:t xml:space="preserve">57</x:t>
        </x:is>
      </x:c>
      <x:c r="D128" s="38" t="inlineStr">
        <x:is>
          <x:t xml:space="preserve">passive_decay_is_not_moral_agency</x:t>
        </x:is>
      </x:c>
      <x:c r="E128" s="38" t="inlineStr">
        <x:is>
          <x:t xml:space="preserve">theorem passive_decay_is_not_moral_agency : isActiveDiscoherence passiveEntropySlope = false := Theophysics.Coherence.passive_decay_is_not_active_discoherence</x:t>
        </x:is>
      </x:c>
      <x:c r="F128" s="38" t="n"/>
      <x:c r="G128" s="38" t="inlineStr">
        <x:is>
          <x:t xml:space="preserve">DECLARATION_OR_UNKNOWN</x:t>
        </x:is>
      </x:c>
      <x:c r="H128" s="39" t="inlineStr">
        <x:is>
          <x:t xml:space="preserve">Could not classify from first proof lines.</x:t>
        </x:is>
      </x:c>
    </x:row>
    <x:row r="129" ht="15" customHeight="1">
      <x:c r="A129" s="37" t="inlineStr">
        <x:is>
          <x:t xml:space="preserve">Faith-Thru-Physics-Lean-4--main</x:t>
        </x:is>
      </x:c>
      <x:c r="B129" s="38" t="inlineStr">
        <x:is>
          <x:t xml:space="preserve">Faith-Thru-Physics-Lean-4--main\Faith-Thru-Physics-Lean-4--main\EVIDENCE\Theophysics_Core.lean</x:t>
        </x:is>
      </x:c>
      <x:c r="C129" s="38" t="inlineStr">
        <x:is>
          <x:t xml:space="preserve">60</x:t>
        </x:is>
      </x:c>
      <x:c r="D129" s="38" t="inlineStr">
        <x:is>
          <x:t xml:space="preserve">restoration_needs_open_system_input_cost_and_memory</x:t>
        </x:is>
      </x:c>
      <x:c r="E129" s="38" t="inlineStr">
        <x:is>
          <x:t xml:space="preserve">theorem restoration_needs_open_system_input_cost_and_memory (m : RestorationModel) (h : canRestore m = true) : m.boundary = SystemBoundary.open ∧ m.externalInput = true ∧ m.repairCostPaid = true ∧ m.informationPreserved = true</x:t>
        </x:is>
      </x:c>
      <x:c r="F129" s="38" t="inlineStr">
        <x:is>
          <x:t xml:space="preserve">:= by exact ⟨ Theophysics.Coherence.restoration_requires_open_boundary m h, Theophysics.Coherence.restoration_requires_external_input m h, Theophysics.Coherence.restoration_requires_paid_cost m h, Theophysics.Coherence.restoration_requires_information_preservation m h ⟩</x:t>
        </x:is>
      </x:c>
      <x:c r="G129" s="38" t="inlineStr">
        <x:is>
          <x:t xml:space="preserve">WRAPPER_OR_IMPORTED</x:t>
        </x:is>
      </x:c>
      <x:c r="H129" s="39" t="inlineStr">
        <x:is>
          <x:t xml:space="preserve">Likely delegates to another theorem; cite underlying theorem too.</x:t>
        </x:is>
      </x:c>
    </x:row>
    <x:row r="130" ht="15" customHeight="1">
      <x:c r="A130" s="37" t="inlineStr">
        <x:is>
          <x:t xml:space="preserve">Faith-Thru-Physics-Lean-4--main</x:t>
        </x:is>
      </x:c>
      <x:c r="B130" s="38" t="inlineStr">
        <x:is>
          <x:t xml:space="preserve">Faith-Thru-Physics-Lean-4--main\Faith-Thru-Physics-Lean-4--main\EVIDENCE\Theophysics_Core.lean</x:t>
        </x:is>
      </x:c>
      <x:c r="C130" s="38" t="inlineStr">
        <x:is>
          <x:t xml:space="preserve">72</x:t>
        </x:is>
      </x:c>
      <x:c r="D130" s="38" t="inlineStr">
        <x:is>
          <x:t xml:space="preserve">fracture_spine_rejects_random_gap</x:t>
        </x:is>
      </x:c>
      <x:c r="E130" s="38" t="inlineStr">
        <x:is>
          <x:t xml:space="preserve">theorem fracture_spine_rejects_random_gap : structuredScar randomGap = false := Theophysics.Fracture.random_gap_is_not_structured_scar</x:t>
        </x:is>
      </x:c>
      <x:c r="F130" s="38" t="n"/>
      <x:c r="G130" s="38" t="inlineStr">
        <x:is>
          <x:t xml:space="preserve">DECLARATION_OR_UNKNOWN</x:t>
        </x:is>
      </x:c>
      <x:c r="H130" s="39" t="inlineStr">
        <x:is>
          <x:t xml:space="preserve">Could not classify from first proof lines.</x:t>
        </x:is>
      </x:c>
    </x:row>
    <x:row r="131" ht="15" customHeight="1">
      <x:c r="A131" s="37" t="inlineStr">
        <x:is>
          <x:t xml:space="preserve">Faith-Thru-Physics-Lean-4--main</x:t>
        </x:is>
      </x:c>
      <x:c r="B131" s="38" t="inlineStr">
        <x:is>
          <x:t xml:space="preserve">Faith-Thru-Physics-Lean-4--main\Faith-Thru-Physics-Lean-4--main\EVIDENCE\Theophysics_Core.lean</x:t>
        </x:is>
      </x:c>
      <x:c r="C131" s="38" t="inlineStr">
        <x:is>
          <x:t xml:space="preserve">75</x:t>
        </x:is>
      </x:c>
      <x:c r="D131" s="38" t="inlineStr">
        <x:is>
          <x:t xml:space="preserve">fracture_spine_accepts_structured_scar</x:t>
        </x:is>
      </x:c>
      <x:c r="E131" s="38" t="inlineStr">
        <x:is>
          <x:t xml:space="preserve">theorem fracture_spine_accepts_structured_scar : structuredScar grQmStyleScar = true := Theophysics.Fracture.gr_qm_style_scar_is_structured</x:t>
        </x:is>
      </x:c>
      <x:c r="F131" s="38" t="n"/>
      <x:c r="G131" s="38" t="inlineStr">
        <x:is>
          <x:t xml:space="preserve">DECLARATION_OR_UNKNOWN</x:t>
        </x:is>
      </x:c>
      <x:c r="H131" s="39" t="inlineStr">
        <x:is>
          <x:t xml:space="preserve">Could not classify from first proof lines.</x:t>
        </x:is>
      </x:c>
    </x:row>
    <x:row r="132" ht="15" customHeight="1">
      <x:c r="A132" s="37" t="inlineStr">
        <x:is>
          <x:t xml:space="preserve">Faith-Thru-Physics-Lean-4--main</x:t>
        </x:is>
      </x:c>
      <x:c r="B132" s="38" t="inlineStr">
        <x:is>
          <x:t xml:space="preserve">Faith-Thru-Physics-Lean-4--main\Faith-Thru-Physics-Lean-4--main\EVIDENCE\Theophysics_Core.lean</x:t>
        </x:is>
      </x:c>
      <x:c r="C132" s="38" t="inlineStr">
        <x:is>
          <x:t xml:space="preserve">78</x:t>
        </x:is>
      </x:c>
      <x:c r="D132" s="38" t="inlineStr">
        <x:is>
          <x:t xml:space="preserve">fracture_repair_requires_restoration_input</x:t>
        </x:is>
      </x:c>
      <x:c r="E132" s="38" t="inlineStr">
        <x:is>
          <x:t xml:space="preserve">theorem fracture_repair_requires_restoration_input (m : FractureModel) (h : repairable m = true) : m.restorationInput = true := Theophysics.Fracture.repair_requires_restoration_input m h</x:t>
        </x:is>
      </x:c>
      <x:c r="F132" s="38" t="n"/>
      <x:c r="G132" s="38" t="inlineStr">
        <x:is>
          <x:t xml:space="preserve">DECLARATION_OR_UNKNOWN</x:t>
        </x:is>
      </x:c>
      <x:c r="H132" s="39" t="inlineStr">
        <x:is>
          <x:t xml:space="preserve">Could not classify from first proof lines.</x:t>
        </x:is>
      </x:c>
    </x:row>
    <x:row r="133" ht="15" customHeight="1">
      <x:c r="A133" s="37" t="inlineStr">
        <x:is>
          <x:t xml:space="preserve">Faith-Thru-Physics-Lean-4--main</x:t>
        </x:is>
      </x:c>
      <x:c r="B133" s="38" t="inlineStr">
        <x:is>
          <x:t xml:space="preserve">Faith-Thru-Physics-Lean-4--main\Faith-Thru-Physics-Lean-4--main\EVIDENCE\Theophysics_Core.lean</x:t>
        </x:is>
      </x:c>
      <x:c r="C133" s="38" t="inlineStr">
        <x:is>
          <x:t xml:space="preserve">82</x:t>
        </x:is>
      </x:c>
      <x:c r="D133" s="38" t="inlineStr">
        <x:is>
          <x:t xml:space="preserve">fall_spine_rejects_separation_only</x:t>
        </x:is>
      </x:c>
      <x:c r="E133" s="38" t="inlineStr">
        <x:is>
          <x:t xml:space="preserve">theorem fall_spine_rejects_separation_only : fallActivated separatedOnly = false := Theophysics.Fall.separation_alone_is_not_fall</x:t>
        </x:is>
      </x:c>
      <x:c r="F133" s="38" t="n"/>
      <x:c r="G133" s="38" t="inlineStr">
        <x:is>
          <x:t xml:space="preserve">DECLARATION_OR_UNKNOWN</x:t>
        </x:is>
      </x:c>
      <x:c r="H133" s="39" t="inlineStr">
        <x:is>
          <x:t xml:space="preserve">Could not classify from first proof lines.</x:t>
        </x:is>
      </x:c>
    </x:row>
    <x:row r="134" ht="15" customHeight="1">
      <x:c r="A134" s="37" t="inlineStr">
        <x:is>
          <x:t xml:space="preserve">Faith-Thru-Physics-Lean-4--main</x:t>
        </x:is>
      </x:c>
      <x:c r="B134" s="38" t="inlineStr">
        <x:is>
          <x:t xml:space="preserve">Faith-Thru-Physics-Lean-4--main\Faith-Thru-Physics-Lean-4--main\EVIDENCE\Theophysics_Core.lean</x:t>
        </x:is>
      </x:c>
      <x:c r="C134" s="38" t="inlineStr">
        <x:is>
          <x:t xml:space="preserve">85</x:t>
        </x:is>
      </x:c>
      <x:c r="D134" s="38" t="inlineStr">
        <x:is>
          <x:t xml:space="preserve">fall_spine_requires_entanglement_after_coupling</x:t>
        </x:is>
      </x:c>
      <x:c r="E134" s="38" t="inlineStr">
        <x:is>
          <x:t xml:space="preserve">theorem fall_spine_requires_entanglement_after_coupling : fallActivated coupledOnly = false := Theophysics.Fall.coupling_without_entanglement_is_not_fall</x:t>
        </x:is>
      </x:c>
      <x:c r="F134" s="38" t="n"/>
      <x:c r="G134" s="38" t="inlineStr">
        <x:is>
          <x:t xml:space="preserve">DECLARATION_OR_UNKNOWN</x:t>
        </x:is>
      </x:c>
      <x:c r="H134" s="39" t="inlineStr">
        <x:is>
          <x:t xml:space="preserve">Could not classify from first proof lines.</x:t>
        </x:is>
      </x:c>
    </x:row>
    <x:row r="135" ht="15" customHeight="1">
      <x:c r="A135" s="37" t="inlineStr">
        <x:is>
          <x:t xml:space="preserve">Faith-Thru-Physics-Lean-4--main</x:t>
        </x:is>
      </x:c>
      <x:c r="B135" s="38" t="inlineStr">
        <x:is>
          <x:t xml:space="preserve">Faith-Thru-Physics-Lean-4--main\Faith-Thru-Physics-Lean-4--main\EVIDENCE\Theophysics_Core.lean</x:t>
        </x:is>
      </x:c>
      <x:c r="C135" s="38" t="inlineStr">
        <x:is>
          <x:t xml:space="preserve">88</x:t>
        </x:is>
      </x:c>
      <x:c r="D135" s="38" t="inlineStr">
        <x:is>
          <x:t xml:space="preserve">fall_spine_grace_floor_sustains</x:t>
        </x:is>
      </x:c>
      <x:c r="E135" s="38" t="inlineStr">
        <x:is>
          <x:t xml:space="preserve">theorem fall_spine_grace_floor_sustains : sustainedAfterFall fullFallWithGraceFloor = true := Theophysics.Fall.full_fall_with_grace_is_sustained</x:t>
        </x:is>
      </x:c>
      <x:c r="F135" s="38" t="n"/>
      <x:c r="G135" s="38" t="inlineStr">
        <x:is>
          <x:t xml:space="preserve">DECLARATION_OR_UNKNOWN</x:t>
        </x:is>
      </x:c>
      <x:c r="H135" s="39" t="inlineStr">
        <x:is>
          <x:t xml:space="preserve">Could not classify from first proof lines.</x:t>
        </x:is>
      </x:c>
    </x:row>
    <x:row r="136" ht="15" customHeight="1">
      <x:c r="A136" s="37" t="inlineStr">
        <x:is>
          <x:t xml:space="preserve">Faith-Thru-Physics-Lean-4--main</x:t>
        </x:is>
      </x:c>
      <x:c r="B136" s="38" t="inlineStr">
        <x:is>
          <x:t xml:space="preserve">Faith-Thru-Physics-Lean-4--main\Faith-Thru-Physics-Lean-4--main\EVIDENCE\Theophysics_Core.lean</x:t>
        </x:is>
      </x:c>
      <x:c r="C136" s="38" t="inlineStr">
        <x:is>
          <x:t xml:space="preserve">91</x:t>
        </x:is>
      </x:c>
      <x:c r="D136" s="38" t="inlineStr">
        <x:is>
          <x:t xml:space="preserve">chi_evaluator_rejects_coercion_gate</x:t>
        </x:is>
      </x:c>
      <x:c r="E136" s="38" t="inlineStr">
        <x:is>
          <x:t xml:space="preserve">theorem chi_evaluator_rejects_coercion_gate : collapsed coerciveClaim = true := Theophysics.ChiEvaluator.coercive_claim_collapses</x:t>
        </x:is>
      </x:c>
      <x:c r="F136" s="38" t="n"/>
      <x:c r="G136" s="38" t="inlineStr">
        <x:is>
          <x:t xml:space="preserve">DECLARATION_OR_UNKNOWN</x:t>
        </x:is>
      </x:c>
      <x:c r="H136" s="39" t="inlineStr">
        <x:is>
          <x:t xml:space="preserve">Could not classify from first proof lines.</x:t>
        </x:is>
      </x:c>
    </x:row>
    <x:row r="137" ht="15" customHeight="1">
      <x:c r="A137" s="37" t="inlineStr">
        <x:is>
          <x:t xml:space="preserve">Faith-Thru-Physics-Lean-4--main</x:t>
        </x:is>
      </x:c>
      <x:c r="B137" s="38" t="inlineStr">
        <x:is>
          <x:t xml:space="preserve">Faith-Thru-Physics-Lean-4--main\Faith-Thru-Physics-Lean-4--main\EVIDENCE\Theophysics_Core.lean</x:t>
        </x:is>
      </x:c>
      <x:c r="C137" s="38" t="inlineStr">
        <x:is>
          <x:t xml:space="preserve">94</x:t>
        </x:is>
      </x:c>
      <x:c r="D137" s="38" t="inlineStr">
        <x:is>
          <x:t xml:space="preserve">chi_evaluator_detects_high_signal_low_freedom</x:t>
        </x:is>
      </x:c>
      <x:c r="E137" s="38" t="inlineStr">
        <x:is>
          <x:t xml:space="preserve">theorem chi_evaluator_detects_high_signal_low_freedom : highSignalDeception highSignalLowFreedomClaim = true := Theophysics.ChiEvaluator.high_signal_low_freedom_detected</x:t>
        </x:is>
      </x:c>
      <x:c r="F137" s="38" t="n"/>
      <x:c r="G137" s="38" t="inlineStr">
        <x:is>
          <x:t xml:space="preserve">DECLARATION_OR_UNKNOWN</x:t>
        </x:is>
      </x:c>
      <x:c r="H137" s="39" t="inlineStr">
        <x:is>
          <x:t xml:space="preserve">Could not classify from first proof lines.</x:t>
        </x:is>
      </x:c>
    </x:row>
    <x:row r="138" ht="15" customHeight="1">
      <x:c r="A138" s="37" t="inlineStr">
        <x:is>
          <x:t xml:space="preserve">Faith-Thru-Physics-Lean-4--main</x:t>
        </x:is>
      </x:c>
      <x:c r="B138" s="38" t="inlineStr">
        <x:is>
          <x:t xml:space="preserve">Faith-Thru-Physics-Lean-4--main\Faith-Thru-Physics-Lean-4--main\EVIDENCE\Theophysics_Core.lean</x:t>
        </x:is>
      </x:c>
      <x:c r="C138" s="38" t="inlineStr">
        <x:is>
          <x:t xml:space="preserve">97</x:t>
        </x:is>
      </x:c>
      <x:c r="D138" s="38" t="inlineStr">
        <x:is>
          <x:t xml:space="preserve">chi_evaluator_positive_gradient_marker</x:t>
        </x:is>
      </x:c>
      <x:c r="E138" s="38" t="inlineStr">
        <x:is>
          <x:t xml:space="preserve">theorem chi_evaluator_positive_gradient_marker : inferTwoPointGradient weakButGrowingStart weakButGrowingEnd = GradientLabel.positive := Theophysics.ChiEvaluator.weak_but_growing_has_positive_gradient</x:t>
        </x:is>
      </x:c>
      <x:c r="F138" s="38" t="n"/>
      <x:c r="G138" s="38" t="inlineStr">
        <x:is>
          <x:t xml:space="preserve">DECLARATION_OR_UNKNOWN</x:t>
        </x:is>
      </x:c>
      <x:c r="H138" s="39" t="inlineStr">
        <x:is>
          <x:t xml:space="preserve">Could not classify from first proof lines.</x:t>
        </x:is>
      </x:c>
    </x:row>
    <x:row r="139" ht="15" customHeight="1">
      <x:c r="A139" s="37" t="inlineStr">
        <x:is>
          <x:t xml:space="preserve">Faith-Thru-Physics-Lean-4--main</x:t>
        </x:is>
      </x:c>
      <x:c r="B139" s="38" t="inlineStr">
        <x:is>
          <x:t xml:space="preserve">Faith-Thru-Physics-Lean-4--main\Faith-Thru-Physics-Lean-4--main\EVIDENCE\Theophysics_Core.lean</x:t>
        </x:is>
      </x:c>
      <x:c r="C139" s="38" t="inlineStr">
        <x:is>
          <x:t xml:space="preserve">180</x:t>
        </x:is>
      </x:c>
      <x:c r="D139" s="38" t="inlineStr">
        <x:is>
          <x:t xml:space="preserve">scalarOne_scalarTwo_same_vector_part</x:t>
        </x:is>
      </x:c>
      <x:c r="E139" s="38" t="inlineStr">
        <x:is>
          <x:t xml:space="preserve">theorem scalarOne_scalarTwo_same_vector_part : True</x:t>
        </x:is>
      </x:c>
      <x:c r="F139" s="38" t="inlineStr">
        <x:is>
          <x:t xml:space="preserve">:= by trivial</x:t>
        </x:is>
      </x:c>
      <x:c r="G139" s="38" t="inlineStr">
        <x:is>
          <x:t xml:space="preserve">TRIVIAL_TRUE</x:t>
        </x:is>
      </x:c>
      <x:c r="H139" s="39" t="inlineStr">
        <x:is>
          <x:t xml:space="preserve">Statement is `True`; theorem name may exceed formal content.</x:t>
        </x:is>
      </x:c>
    </x:row>
    <x:row r="140" ht="15" customHeight="1">
      <x:c r="A140" s="37" t="inlineStr">
        <x:is>
          <x:t xml:space="preserve">Faith-Thru-Physics-Lean-4--main</x:t>
        </x:is>
      </x:c>
      <x:c r="B140" s="38" t="inlineStr">
        <x:is>
          <x:t xml:space="preserve">Faith-Thru-Physics-Lean-4--main\Faith-Thru-Physics-Lean-4--main\EVIDENCE\Theophysics_Core.lean</x:t>
        </x:is>
      </x:c>
      <x:c r="C140" s="38" t="inlineStr">
        <x:is>
          <x:t xml:space="preserve">184</x:t>
        </x:is>
      </x:c>
      <x:c r="D140" s="38" t="inlineStr">
        <x:is>
          <x:t xml:space="preserve">heaviside_passes_if_coupling_guard_removed</x:t>
        </x:is>
      </x:c>
      <x:c r="E140" s="38" t="inlineStr">
        <x:is>
          <x:t xml:space="preserve">theorem heaviside_passes_if_coupling_guard_removed : True</x:t>
        </x:is>
      </x:c>
      <x:c r="F140" s="38" t="inlineStr">
        <x:is>
          <x:t xml:space="preserve">:= by trivial</x:t>
        </x:is>
      </x:c>
      <x:c r="G140" s="38" t="inlineStr">
        <x:is>
          <x:t xml:space="preserve">TRIVIAL_TRUE</x:t>
        </x:is>
      </x:c>
      <x:c r="H140" s="39" t="inlineStr">
        <x:is>
          <x:t xml:space="preserve">Statement is `True`; theorem name may exceed formal content.</x:t>
        </x:is>
      </x:c>
    </x:row>
    <x:row r="141" ht="15" customHeight="1">
      <x:c r="A141" s="37" t="inlineStr">
        <x:is>
          <x:t xml:space="preserve">Faith-Thru-Physics-Lean-4--main</x:t>
        </x:is>
      </x:c>
      <x:c r="B141" s="38" t="inlineStr">
        <x:is>
          <x:t xml:space="preserve">Faith-Thru-Physics-Lean-4--main\Faith-Thru-Physics-Lean-4--main\EVIDENCE\Theophysics_Core.lean</x:t>
        </x:is>
      </x:c>
      <x:c r="C141" s="38" t="inlineStr">
        <x:is>
          <x:t xml:space="preserve">185</x:t>
        </x:is>
      </x:c>
      <x:c r="D141" s="38" t="inlineStr">
        <x:is>
          <x:t xml:space="preserve">modalism_passes_if_distinctness_guard_removed</x:t>
        </x:is>
      </x:c>
      <x:c r="E141" s="38" t="inlineStr">
        <x:is>
          <x:t xml:space="preserve">theorem modalism_passes_if_distinctness_guard_removed : True</x:t>
        </x:is>
      </x:c>
      <x:c r="F141" s="38" t="inlineStr">
        <x:is>
          <x:t xml:space="preserve">:= by trivial</x:t>
        </x:is>
      </x:c>
      <x:c r="G141" s="38" t="inlineStr">
        <x:is>
          <x:t xml:space="preserve">TRIVIAL_TRUE</x:t>
        </x:is>
      </x:c>
      <x:c r="H141" s="39" t="inlineStr">
        <x:is>
          <x:t xml:space="preserve">Statement is `True`; theorem name may exceed formal content.</x:t>
        </x:is>
      </x:c>
    </x:row>
    <x:row r="142" ht="15" customHeight="1">
      <x:c r="A142" s="37" t="inlineStr">
        <x:is>
          <x:t xml:space="preserve">Faith-Thru-Physics-Lean-4--main</x:t>
        </x:is>
      </x:c>
      <x:c r="B142" s="38" t="inlineStr">
        <x:is>
          <x:t xml:space="preserve">Faith-Thru-Physics-Lean-4--main\Faith-Thru-Physics-Lean-4--main\EVIDENCE\Theophysics_Core.lean</x:t>
        </x:is>
      </x:c>
      <x:c r="C142" s="38" t="inlineStr">
        <x:is>
          <x:t xml:space="preserve">186</x:t>
        </x:is>
      </x:c>
      <x:c r="D142" s="38" t="inlineStr">
        <x:is>
          <x:t xml:space="preserve">static_single_field_passes_if_dynamic_guard_removed</x:t>
        </x:is>
      </x:c>
      <x:c r="E142" s="38" t="inlineStr">
        <x:is>
          <x:t xml:space="preserve">theorem static_single_field_passes_if_dynamic_guard_removed : True</x:t>
        </x:is>
      </x:c>
      <x:c r="F142" s="38" t="inlineStr">
        <x:is>
          <x:t xml:space="preserve">:= by trivial</x:t>
        </x:is>
      </x:c>
      <x:c r="G142" s="38" t="inlineStr">
        <x:is>
          <x:t xml:space="preserve">TRIVIAL_TRUE</x:t>
        </x:is>
      </x:c>
      <x:c r="H142" s="39" t="inlineStr">
        <x:is>
          <x:t xml:space="preserve">Statement is `True`; theorem name may exceed formal content.</x:t>
        </x:is>
      </x:c>
    </x:row>
    <x:row r="143" ht="15" customHeight="1">
      <x:c r="A143" s="37" t="inlineStr">
        <x:is>
          <x:t xml:space="preserve">Faith-Thru-Physics-Lean-4--main</x:t>
        </x:is>
      </x:c>
      <x:c r="B143" s="38" t="inlineStr">
        <x:is>
          <x:t xml:space="preserve">Faith-Thru-Physics-Lean-4--main\Faith-Thru-Physics-Lean-4--main\EVIDENCE\Theophysics_Core.lean</x:t>
        </x:is>
      </x:c>
      <x:c r="C143" s="38" t="inlineStr">
        <x:is>
          <x:t xml:space="preserve">187</x:t>
        </x:is>
      </x:c>
      <x:c r="D143" s="38" t="inlineStr">
        <x:is>
          <x:t xml:space="preserve">relabeled_roles_pass_if_profile_guard_removed</x:t>
        </x:is>
      </x:c>
      <x:c r="E143" s="38" t="inlineStr">
        <x:is>
          <x:t xml:space="preserve">theorem relabeled_roles_pass_if_profile_guard_removed : True</x:t>
        </x:is>
      </x:c>
      <x:c r="F143" s="38" t="inlineStr">
        <x:is>
          <x:t xml:space="preserve">:= by trivial</x:t>
        </x:is>
      </x:c>
      <x:c r="G143" s="38" t="inlineStr">
        <x:is>
          <x:t xml:space="preserve">TRIVIAL_TRUE</x:t>
        </x:is>
      </x:c>
      <x:c r="H143" s="39" t="inlineStr">
        <x:is>
          <x:t xml:space="preserve">Statement is `True`; theorem name may exceed formal content.</x:t>
        </x:is>
      </x:c>
    </x:row>
    <x:row r="144" ht="15" customHeight="1">
      <x:c r="A144" s="37" t="inlineStr">
        <x:is>
          <x:t xml:space="preserve">Faith-Thru-Physics-Lean-4--main</x:t>
        </x:is>
      </x:c>
      <x:c r="B144" s="38" t="inlineStr">
        <x:is>
          <x:t xml:space="preserve">Faith-Thru-Physics-Lean-4--main\Faith-Thru-Physics-Lean-4--main\EVIDENCE\Theophysics_Core.lean</x:t>
        </x:is>
      </x:c>
      <x:c r="C144" s="38" t="inlineStr">
        <x:is>
          <x:t xml:space="preserve">188</x:t>
        </x:is>
      </x:c>
      <x:c r="D144" s="38" t="inlineStr">
        <x:is>
          <x:t xml:space="preserve">arbitrary_three_part_passes_bare_gate</x:t>
        </x:is>
      </x:c>
      <x:c r="E144" s="38" t="inlineStr">
        <x:is>
          <x:t xml:space="preserve">theorem arbitrary_three_part_passes_bare_gate : True</x:t>
        </x:is>
      </x:c>
      <x:c r="F144" s="38" t="inlineStr">
        <x:is>
          <x:t xml:space="preserve">:= by trivial</x:t>
        </x:is>
      </x:c>
      <x:c r="G144" s="38" t="inlineStr">
        <x:is>
          <x:t xml:space="preserve">TRIVIAL_TRUE</x:t>
        </x:is>
      </x:c>
      <x:c r="H144" s="39" t="inlineStr">
        <x:is>
          <x:t xml:space="preserve">Statement is `True`; theorem name may exceed formal content.</x:t>
        </x:is>
      </x:c>
    </x:row>
    <x:row r="145" ht="15" customHeight="1">
      <x:c r="A145" s="37" t="inlineStr">
        <x:is>
          <x:t xml:space="preserve">Faith-Thru-Physics-Lean-4--main</x:t>
        </x:is>
      </x:c>
      <x:c r="B145" s="38" t="inlineStr">
        <x:is>
          <x:t xml:space="preserve">Faith-Thru-Physics-Lean-4--main\Faith-Thru-Physics-Lean-4--main\EVIDENCE\Theophysics_Core.lean</x:t>
        </x:is>
      </x:c>
      <x:c r="C145" s="38" t="inlineStr">
        <x:is>
          <x:t xml:space="preserve">198</x:t>
        </x:is>
      </x:c>
      <x:c r="D145" s="38" t="inlineStr">
        <x:is>
          <x:t xml:space="preserve">c0_ne_c1</x:t>
        </x:is>
      </x:c>
      <x:c r="E145" s="38" t="inlineStr">
        <x:is>
          <x:t xml:space="preserve">theorem c0_ne_c1 : CouplingState.C0 ≠ CouplingState.C1 := C0_ne_C1</x:t>
        </x:is>
      </x:c>
      <x:c r="F145" s="38" t="n"/>
      <x:c r="G145" s="38" t="inlineStr">
        <x:is>
          <x:t xml:space="preserve">DECLARATION_OR_UNKNOWN</x:t>
        </x:is>
      </x:c>
      <x:c r="H145" s="39" t="inlineStr">
        <x:is>
          <x:t xml:space="preserve">Could not classify from first proof lines.</x:t>
        </x:is>
      </x:c>
    </x:row>
    <x:row r="146" ht="15" customHeight="1">
      <x:c r="A146" s="37" t="inlineStr">
        <x:is>
          <x:t xml:space="preserve">Faith-Thru-Physics-Lean-4--main</x:t>
        </x:is>
      </x:c>
      <x:c r="B146" s="38" t="inlineStr">
        <x:is>
          <x:t xml:space="preserve">Faith-Thru-Physics-Lean-4--main\Faith-Thru-Physics-Lean-4--main\EVIDENCE\Theophysics_Core.lean</x:t>
        </x:is>
      </x:c>
      <x:c r="C146" s="38" t="inlineStr">
        <x:is>
          <x:t xml:space="preserve">199</x:t>
        </x:is>
      </x:c>
      <x:c r="D146" s="38" t="inlineStr">
        <x:is>
          <x:t xml:space="preserve">c1_ne_c0</x:t>
        </x:is>
      </x:c>
      <x:c r="E146" s="38" t="inlineStr">
        <x:is>
          <x:t xml:space="preserve">theorem c1_ne_c0 : CouplingState.C1 ≠ CouplingState.C0 := C1_ne_C0</x:t>
        </x:is>
      </x:c>
      <x:c r="F146" s="38" t="n"/>
      <x:c r="G146" s="38" t="inlineStr">
        <x:is>
          <x:t xml:space="preserve">DECLARATION_OR_UNKNOWN</x:t>
        </x:is>
      </x:c>
      <x:c r="H146" s="39" t="inlineStr">
        <x:is>
          <x:t xml:space="preserve">Could not classify from first proof lines.</x:t>
        </x:is>
      </x:c>
    </x:row>
    <x:row r="147" ht="15" customHeight="1">
      <x:c r="A147" s="37" t="inlineStr">
        <x:is>
          <x:t xml:space="preserve">Faith-Thru-Physics-Lean-4--main</x:t>
        </x:is>
      </x:c>
      <x:c r="B147" s="38" t="inlineStr">
        <x:is>
          <x:t xml:space="preserve">Faith-Thru-Physics-Lean-4--main\Faith-Thru-Physics-Lean-4--main\EVIDENCE\Theophysics_Core.lean</x:t>
        </x:is>
      </x:c>
      <x:c r="C147" s="38" t="inlineStr">
        <x:is>
          <x:t xml:space="preserve">200</x:t>
        </x:is>
      </x:c>
      <x:c r="D147" s="38" t="inlineStr">
        <x:is>
          <x:t xml:space="preserve">q_zero_kills_chi</x:t>
        </x:is>
      </x:c>
      <x:c r="E147" s="38" t="inlineStr">
        <x:is>
          <x:t xml:space="preserve">theorem q_zero_kills_chi (x : FactorState) (h : x.Q = 0) : chi x = 0 := Q_zero_collapses_chi x h</x:t>
        </x:is>
      </x:c>
      <x:c r="F147" s="38" t="n"/>
      <x:c r="G147" s="38" t="inlineStr">
        <x:is>
          <x:t xml:space="preserve">DECLARATION_OR_UNKNOWN</x:t>
        </x:is>
      </x:c>
      <x:c r="H147" s="39" t="inlineStr">
        <x:is>
          <x:t xml:space="preserve">Could not classify from first proof lines.</x:t>
        </x:is>
      </x:c>
    </x:row>
    <x:row r="148" ht="15" customHeight="1">
      <x:c r="A148" s="37" t="inlineStr">
        <x:is>
          <x:t xml:space="preserve">Faith-Thru-Physics-Lean-4--main</x:t>
        </x:is>
      </x:c>
      <x:c r="B148" s="38" t="inlineStr">
        <x:is>
          <x:t xml:space="preserve">Faith-Thru-Physics-Lean-4--main\Faith-Thru-Physics-Lean-4--main\EVIDENCE\Theophysics_Core.lean</x:t>
        </x:is>
      </x:c>
      <x:c r="C148" s="38" t="inlineStr">
        <x:is>
          <x:t xml:space="preserve">201</x:t>
        </x:is>
      </x:c>
      <x:c r="D148" s="38" t="inlineStr">
        <x:is>
          <x:t xml:space="preserve">g_zero_kills_chi</x:t>
        </x:is>
      </x:c>
      <x:c r="E148" s="38" t="inlineStr">
        <x:is>
          <x:t xml:space="preserve">theorem g_zero_kills_chi (x : FactorState) (h : x.G = 0) : chi x = 0 := G_zero_collapses_chi x h</x:t>
        </x:is>
      </x:c>
      <x:c r="F148" s="38" t="n"/>
      <x:c r="G148" s="38" t="inlineStr">
        <x:is>
          <x:t xml:space="preserve">DECLARATION_OR_UNKNOWN</x:t>
        </x:is>
      </x:c>
      <x:c r="H148" s="39" t="inlineStr">
        <x:is>
          <x:t xml:space="preserve">Could not classify from first proof lines.</x:t>
        </x:is>
      </x:c>
    </x:row>
    <x:row r="149" ht="15" customHeight="1">
      <x:c r="A149" s="37" t="inlineStr">
        <x:is>
          <x:t xml:space="preserve">Faith-Thru-Physics-Lean-4--main</x:t>
        </x:is>
      </x:c>
      <x:c r="B149" s="38" t="inlineStr">
        <x:is>
          <x:t xml:space="preserve">Faith-Thru-Physics-Lean-4--main\Faith-Thru-Physics-Lean-4--main\EVIDENCE\Theophysics_Core.lean</x:t>
        </x:is>
      </x:c>
      <x:c r="C149" s="38" t="inlineStr">
        <x:is>
          <x:t xml:space="preserve">202</x:t>
        </x:is>
      </x:c>
      <x:c r="D149" s="38" t="inlineStr">
        <x:is>
          <x:t xml:space="preserve">m_zero_kills_chi</x:t>
        </x:is>
      </x:c>
      <x:c r="E149" s="38" t="inlineStr">
        <x:is>
          <x:t xml:space="preserve">theorem m_zero_kills_chi (x : FactorState) (h : x.M = 0) : chi x = 0 := M_zero_collapses_chi x h</x:t>
        </x:is>
      </x:c>
      <x:c r="F149" s="38" t="n"/>
      <x:c r="G149" s="38" t="inlineStr">
        <x:is>
          <x:t xml:space="preserve">DECLARATION_OR_UNKNOWN</x:t>
        </x:is>
      </x:c>
      <x:c r="H149" s="39" t="inlineStr">
        <x:is>
          <x:t xml:space="preserve">Could not classify from first proof lines.</x:t>
        </x:is>
      </x:c>
    </x:row>
    <x:row r="150" ht="15" customHeight="1">
      <x:c r="A150" s="37" t="inlineStr">
        <x:is>
          <x:t xml:space="preserve">Faith-Thru-Physics-Lean-4--main</x:t>
        </x:is>
      </x:c>
      <x:c r="B150" s="38" t="inlineStr">
        <x:is>
          <x:t xml:space="preserve">Faith-Thru-Physics-Lean-4--main\Faith-Thru-Physics-Lean-4--main\EVIDENCE\Theophysics_Core.lean</x:t>
        </x:is>
      </x:c>
      <x:c r="C150" s="38" t="inlineStr">
        <x:is>
          <x:t xml:space="preserve">203</x:t>
        </x:is>
      </x:c>
      <x:c r="D150" s="38" t="inlineStr">
        <x:is>
          <x:t xml:space="preserve">e_zero_kills_chi</x:t>
        </x:is>
      </x:c>
      <x:c r="E150" s="38" t="inlineStr">
        <x:is>
          <x:t xml:space="preserve">theorem e_zero_kills_chi (x : FactorState) (h : x.E = 0) : chi x = 0 := E_zero_collapses_chi x h</x:t>
        </x:is>
      </x:c>
      <x:c r="F150" s="38" t="n"/>
      <x:c r="G150" s="38" t="inlineStr">
        <x:is>
          <x:t xml:space="preserve">DECLARATION_OR_UNKNOWN</x:t>
        </x:is>
      </x:c>
      <x:c r="H150" s="39" t="inlineStr">
        <x:is>
          <x:t xml:space="preserve">Could not classify from first proof lines.</x:t>
        </x:is>
      </x:c>
    </x:row>
    <x:row r="151" ht="15" customHeight="1">
      <x:c r="A151" s="37" t="inlineStr">
        <x:is>
          <x:t xml:space="preserve">Faith-Thru-Physics-Lean-4--main</x:t>
        </x:is>
      </x:c>
      <x:c r="B151" s="38" t="inlineStr">
        <x:is>
          <x:t xml:space="preserve">Faith-Thru-Physics-Lean-4--main\Faith-Thru-Physics-Lean-4--main\EVIDENCE\Theophysics_Core.lean</x:t>
        </x:is>
      </x:c>
      <x:c r="C151" s="38" t="inlineStr">
        <x:is>
          <x:t xml:space="preserve">204</x:t>
        </x:is>
      </x:c>
      <x:c r="D151" s="38" t="inlineStr">
        <x:is>
          <x:t xml:space="preserve">s_zero_kills_chi</x:t>
        </x:is>
      </x:c>
      <x:c r="E151" s="38" t="inlineStr">
        <x:is>
          <x:t xml:space="preserve">theorem s_zero_kills_chi (x : FactorState) (h : x.S = 0) : chi x = 0 := S_zero_collapses_chi x h</x:t>
        </x:is>
      </x:c>
      <x:c r="F151" s="38" t="n"/>
      <x:c r="G151" s="38" t="inlineStr">
        <x:is>
          <x:t xml:space="preserve">DECLARATION_OR_UNKNOWN</x:t>
        </x:is>
      </x:c>
      <x:c r="H151" s="39" t="inlineStr">
        <x:is>
          <x:t xml:space="preserve">Could not classify from first proof lines.</x:t>
        </x:is>
      </x:c>
    </x:row>
    <x:row r="152" ht="15" customHeight="1">
      <x:c r="A152" s="37" t="inlineStr">
        <x:is>
          <x:t xml:space="preserve">Faith-Thru-Physics-Lean-4--main</x:t>
        </x:is>
      </x:c>
      <x:c r="B152" s="38" t="inlineStr">
        <x:is>
          <x:t xml:space="preserve">Faith-Thru-Physics-Lean-4--main\Faith-Thru-Physics-Lean-4--main\EVIDENCE\Theophysics_Core.lean</x:t>
        </x:is>
      </x:c>
      <x:c r="C152" s="38" t="inlineStr">
        <x:is>
          <x:t xml:space="preserve">205</x:t>
        </x:is>
      </x:c>
      <x:c r="D152" s="38" t="inlineStr">
        <x:is>
          <x:t xml:space="preserve">t_zero_kills_chi</x:t>
        </x:is>
      </x:c>
      <x:c r="E152" s="38" t="inlineStr">
        <x:is>
          <x:t xml:space="preserve">theorem t_zero_kills_chi (x : FactorState) (h : x.T = 0) : chi x = 0 := T_zero_collapses_chi x h</x:t>
        </x:is>
      </x:c>
      <x:c r="F152" s="38" t="n"/>
      <x:c r="G152" s="38" t="inlineStr">
        <x:is>
          <x:t xml:space="preserve">DECLARATION_OR_UNKNOWN</x:t>
        </x:is>
      </x:c>
      <x:c r="H152" s="39" t="inlineStr">
        <x:is>
          <x:t xml:space="preserve">Could not classify from first proof lines.</x:t>
        </x:is>
      </x:c>
    </x:row>
    <x:row r="153" ht="15" customHeight="1">
      <x:c r="A153" s="37" t="inlineStr">
        <x:is>
          <x:t xml:space="preserve">Faith-Thru-Physics-Lean-4--main</x:t>
        </x:is>
      </x:c>
      <x:c r="B153" s="38" t="inlineStr">
        <x:is>
          <x:t xml:space="preserve">Faith-Thru-Physics-Lean-4--main\Faith-Thru-Physics-Lean-4--main\EVIDENCE\Theophysics_Core.lean</x:t>
        </x:is>
      </x:c>
      <x:c r="C153" s="38" t="inlineStr">
        <x:is>
          <x:t xml:space="preserve">206</x:t>
        </x:is>
      </x:c>
      <x:c r="D153" s="38" t="inlineStr">
        <x:is>
          <x:t xml:space="preserve">k_zero_kills_chi</x:t>
        </x:is>
      </x:c>
      <x:c r="E153" s="38" t="inlineStr">
        <x:is>
          <x:t xml:space="preserve">theorem k_zero_kills_chi (x : FactorState) (h : x.K = 0) : chi x = 0 := K_zero_collapses_chi x h</x:t>
        </x:is>
      </x:c>
      <x:c r="F153" s="38" t="n"/>
      <x:c r="G153" s="38" t="inlineStr">
        <x:is>
          <x:t xml:space="preserve">DECLARATION_OR_UNKNOWN</x:t>
        </x:is>
      </x:c>
      <x:c r="H153" s="39" t="inlineStr">
        <x:is>
          <x:t xml:space="preserve">Could not classify from first proof lines.</x:t>
        </x:is>
      </x:c>
    </x:row>
    <x:row r="154" ht="15" customHeight="1">
      <x:c r="A154" s="37" t="inlineStr">
        <x:is>
          <x:t xml:space="preserve">Faith-Thru-Physics-Lean-4--main</x:t>
        </x:is>
      </x:c>
      <x:c r="B154" s="38" t="inlineStr">
        <x:is>
          <x:t xml:space="preserve">Faith-Thru-Physics-Lean-4--main\Faith-Thru-Physics-Lean-4--main\EVIDENCE\Theophysics_Core.lean</x:t>
        </x:is>
      </x:c>
      <x:c r="C154" s="38" t="inlineStr">
        <x:is>
          <x:t xml:space="preserve">207</x:t>
        </x:is>
      </x:c>
      <x:c r="D154" s="38" t="inlineStr">
        <x:is>
          <x:t xml:space="preserve">r_zero_kills_chi</x:t>
        </x:is>
      </x:c>
      <x:c r="E154" s="38" t="inlineStr">
        <x:is>
          <x:t xml:space="preserve">theorem r_zero_kills_chi (x : FactorState) (h : x.R = 0) : chi x = 0 := R_zero_collapses_chi x h</x:t>
        </x:is>
      </x:c>
      <x:c r="F154" s="38" t="n"/>
      <x:c r="G154" s="38" t="inlineStr">
        <x:is>
          <x:t xml:space="preserve">DECLARATION_OR_UNKNOWN</x:t>
        </x:is>
      </x:c>
      <x:c r="H154" s="39" t="inlineStr">
        <x:is>
          <x:t xml:space="preserve">Could not classify from first proof lines.</x:t>
        </x:is>
      </x:c>
    </x:row>
    <x:row r="155" ht="15" customHeight="1">
      <x:c r="A155" s="37" t="inlineStr">
        <x:is>
          <x:t xml:space="preserve">Faith-Thru-Physics-Lean-4--main</x:t>
        </x:is>
      </x:c>
      <x:c r="B155" s="38" t="inlineStr">
        <x:is>
          <x:t xml:space="preserve">Faith-Thru-Physics-Lean-4--main\Faith-Thru-Physics-Lean-4--main\EVIDENCE\Theophysics_Core.lean</x:t>
        </x:is>
      </x:c>
      <x:c r="C155" s="38" t="inlineStr">
        <x:is>
          <x:t xml:space="preserve">208</x:t>
        </x:is>
      </x:c>
      <x:c r="D155" s="38" t="inlineStr">
        <x:is>
          <x:t xml:space="preserve">f_zero_kills_chi</x:t>
        </x:is>
      </x:c>
      <x:c r="E155" s="38" t="inlineStr">
        <x:is>
          <x:t xml:space="preserve">theorem f_zero_kills_chi (x : FactorState) (h : x.F = 0) : chi x = 0 := F_zero_collapses_chi x h</x:t>
        </x:is>
      </x:c>
      <x:c r="F155" s="38" t="n"/>
      <x:c r="G155" s="38" t="inlineStr">
        <x:is>
          <x:t xml:space="preserve">DECLARATION_OR_UNKNOWN</x:t>
        </x:is>
      </x:c>
      <x:c r="H155" s="39" t="inlineStr">
        <x:is>
          <x:t xml:space="preserve">Could not classify from first proof lines.</x:t>
        </x:is>
      </x:c>
    </x:row>
    <x:row r="156" ht="15" customHeight="1">
      <x:c r="A156" s="37" t="inlineStr">
        <x:is>
          <x:t xml:space="preserve">Faith-Thru-Physics-Lean-4--main</x:t>
        </x:is>
      </x:c>
      <x:c r="B156" s="38" t="inlineStr">
        <x:is>
          <x:t xml:space="preserve">Faith-Thru-Physics-Lean-4--main\Faith-Thru-Physics-Lean-4--main\EVIDENCE\Theophysics_Core.lean</x:t>
        </x:is>
      </x:c>
      <x:c r="C156" s="38" t="inlineStr">
        <x:is>
          <x:t xml:space="preserve">209</x:t>
        </x:is>
      </x:c>
      <x:c r="D156" s="38" t="inlineStr">
        <x:is>
          <x:t xml:space="preserve">c_zero_kills_chi</x:t>
        </x:is>
      </x:c>
      <x:c r="E156" s="38" t="inlineStr">
        <x:is>
          <x:t xml:space="preserve">theorem c_zero_kills_chi (x : FactorState) (h : x.C = 0) : chi x = 0 := C_zero_collapses_chi x h</x:t>
        </x:is>
      </x:c>
      <x:c r="F156" s="38" t="n"/>
      <x:c r="G156" s="38" t="inlineStr">
        <x:is>
          <x:t xml:space="preserve">DECLARATION_OR_UNKNOWN</x:t>
        </x:is>
      </x:c>
      <x:c r="H156" s="39" t="inlineStr">
        <x:is>
          <x:t xml:space="preserve">Could not classify from first proof lines.</x:t>
        </x:is>
      </x:c>
    </x:row>
    <x:row r="157" ht="15" customHeight="1">
      <x:c r="A157" s="37" t="inlineStr">
        <x:is>
          <x:t xml:space="preserve">Faith-Thru-Physics-Lean-4--main</x:t>
        </x:is>
      </x:c>
      <x:c r="B157" s="38" t="inlineStr">
        <x:is>
          <x:t xml:space="preserve">Faith-Thru-Physics-Lean-4--main\Faith-Thru-Physics-Lean-4--main\EVIDENCE\Theophysics_Core.lean</x:t>
        </x:is>
      </x:c>
      <x:c r="C157" s="38" t="inlineStr">
        <x:is>
          <x:t xml:space="preserve">210</x:t>
        </x:is>
      </x:c>
      <x:c r="D157" s="38" t="inlineStr">
        <x:is>
          <x:t xml:space="preserve">all_ones_have_live_output</x:t>
        </x:is>
      </x:c>
      <x:c r="E157" s="38" t="inlineStr">
        <x:is>
          <x:t xml:space="preserve">theorem all_ones_have_live_output : chi ⟨1,1,1,1,1,1,1,1,1,1⟩ = 1 := all_ones_live</x:t>
        </x:is>
      </x:c>
      <x:c r="F157" s="38" t="n"/>
      <x:c r="G157" s="38" t="inlineStr">
        <x:is>
          <x:t xml:space="preserve">DECLARATION_OR_UNKNOWN</x:t>
        </x:is>
      </x:c>
      <x:c r="H157" s="39" t="inlineStr">
        <x:is>
          <x:t xml:space="preserve">Could not classify from first proof lines.</x:t>
        </x:is>
      </x:c>
    </x:row>
    <x:row r="158" ht="15" customHeight="1">
      <x:c r="A158" s="37" t="inlineStr">
        <x:is>
          <x:t xml:space="preserve">Faith-Thru-Physics-Lean-4--main</x:t>
        </x:is>
      </x:c>
      <x:c r="B158" s="38" t="inlineStr">
        <x:is>
          <x:t xml:space="preserve">Faith-Thru-Physics-Lean-4--main\Faith-Thru-Physics-Lean-4--main\EVIDENCE\Theophysics_Core.lean</x:t>
        </x:is>
      </x:c>
      <x:c r="C158" s="38" t="inlineStr">
        <x:is>
          <x:t xml:space="preserve">211</x:t>
        </x:is>
      </x:c>
      <x:c r="D158" s="38" t="inlineStr">
        <x:is>
          <x:t xml:space="preserve">gate_binaryity</x:t>
        </x:is>
      </x:c>
      <x:c r="E158" s="38" t="inlineStr">
        <x:is>
          <x:t xml:space="preserve">theorem gate_binaryity : ∀ s : Nat, binaryGate s = 0 ∨ binaryGate s = 1 := binaryGate_zero_or_one</x:t>
        </x:is>
      </x:c>
      <x:c r="F158" s="38" t="n"/>
      <x:c r="G158" s="38" t="inlineStr">
        <x:is>
          <x:t xml:space="preserve">DECLARATION_OR_UNKNOWN</x:t>
        </x:is>
      </x:c>
      <x:c r="H158" s="39" t="inlineStr">
        <x:is>
          <x:t xml:space="preserve">Could not classify from first proof lines.</x:t>
        </x:is>
      </x:c>
    </x:row>
    <x:row r="159" ht="15" customHeight="1">
      <x:c r="A159" s="37" t="inlineStr">
        <x:is>
          <x:t xml:space="preserve">Faith-Thru-Physics-Lean-4--main</x:t>
        </x:is>
      </x:c>
      <x:c r="B159" s="38" t="inlineStr">
        <x:is>
          <x:t xml:space="preserve">Faith-Thru-Physics-Lean-4--main\Faith-Thru-Physics-Lean-4--main\EVIDENCE\Theophysics_Core.lean</x:t>
        </x:is>
      </x:c>
      <x:c r="C159" s="38" t="inlineStr">
        <x:is>
          <x:t xml:space="preserve">212</x:t>
        </x:is>
      </x:c>
      <x:c r="D159" s="38" t="inlineStr">
        <x:is>
          <x:t xml:space="preserve">cross_is_unique_for_convergence</x:t>
        </x:is>
      </x:c>
      <x:c r="E159" s="38" t="inlineStr">
        <x:is>
          <x:t xml:space="preserve">theorem cross_is_unique_for_convergence (x : FactorState) : isCross x ↔ x = ⟨1,1,1,1,1,1,1,1,1,1⟩</x:t>
        </x:is>
      </x:c>
      <x:c r="F159" s="38" t="inlineStr">
        <x:is>
          <x:t xml:space="preserve">:= by simpa using Theophysics.Experiment.cross_is_unique_convergence_configuration x -- Integrity marker (kernel-backed model checkpoint).</x:t>
        </x:is>
      </x:c>
      <x:c r="G159" s="38" t="inlineStr">
        <x:is>
          <x:t xml:space="preserve">WRAPPER_OR_IMPORTED</x:t>
        </x:is>
      </x:c>
      <x:c r="H159" s="39" t="inlineStr">
        <x:is>
          <x:t xml:space="preserve">Likely delegates to another theorem; cite underlying theorem too.</x:t>
        </x:is>
      </x:c>
    </x:row>
    <x:row r="160" ht="15" customHeight="1">
      <x:c r="A160" s="37" t="inlineStr">
        <x:is>
          <x:t xml:space="preserve">Faith-Thru-Physics-Lean-4--main</x:t>
        </x:is>
      </x:c>
      <x:c r="B160" s="38" t="inlineStr">
        <x:is>
          <x:t xml:space="preserve">Faith-Thru-Physics-Lean-4--main\Faith-Thru-Physics-Lean-4--main\EVIDENCE\Theophysics_Core.lean</x:t>
        </x:is>
      </x:c>
      <x:c r="C160" s="38" t="inlineStr">
        <x:is>
          <x:t xml:space="preserve">216</x:t>
        </x:is>
      </x:c>
      <x:c r="D160" s="38" t="inlineStr">
        <x:is>
          <x:t xml:space="preserve">core_pipeline_marker</x:t>
        </x:is>
      </x:c>
      <x:c r="E160" s="38" t="inlineStr">
        <x:is>
          <x:t xml:space="preserve">theorem core_pipeline_marker : (CouplingState.C0 ≠ CouplingState.C1) ∧ chi ⟨1,1,1,1,1,1,1,1,1,1⟩ = 1 ∧ (binaryGate 5 = 0 ∨ binaryGate 5 = 1) ∧ (isCross ⟨1,1,1,1,1,1,1,1,1,1⟩ ↔ (⟨1,1,1,1,1,1,1,1,1,1⟩ : FactorState) = ⟨1,1,1,1,1,1,1,1,1,1⟩) := by exact ⟨ Theophysics.Experiment.C0_ne_C1, Theophysics.Experiment.all_ones_live, Theophysics.Experiment.binaryGate_zero_or_one 5, cross_is_unique_for_convergence ⟨1,1,1,1,1,1,1,1,1,1⟩ ⟩ end Theophysics.Core</x:t>
        </x:is>
      </x:c>
      <x:c r="F160" s="38" t="n"/>
      <x:c r="G160" s="38" t="inlineStr">
        <x:is>
          <x:t xml:space="preserve">DECLARATION_OR_UNKNOWN</x:t>
        </x:is>
      </x:c>
      <x:c r="H160" s="39" t="inlineStr">
        <x:is>
          <x:t xml:space="preserve">Could not classify from first proof lines.</x:t>
        </x:is>
      </x:c>
    </x:row>
    <x:row r="161" ht="15" customHeight="1">
      <x:c r="A161" s="37" t="inlineStr">
        <x:is>
          <x:t xml:space="preserve">Faith-Thru-Physics-Lean-4--main</x:t>
        </x:is>
      </x:c>
      <x:c r="B161" s="38" t="inlineStr">
        <x:is>
          <x:t xml:space="preserve">Faith-Thru-Physics-Lean-4--main\Faith-Thru-Physics-Lean-4--main\EVIDENCE\Theophysics_Fall.lean</x:t>
        </x:is>
      </x:c>
      <x:c r="C161" s="38" t="inlineStr">
        <x:is>
          <x:t xml:space="preserve">108</x:t>
        </x:is>
      </x:c>
      <x:c r="D161" s="38" t="inlineStr">
        <x:is>
          <x:t xml:space="preserve">pre_fall_is_not_fall</x:t>
        </x:is>
      </x:c>
      <x:c r="E161" s="38" t="inlineStr">
        <x:is>
          <x:t xml:space="preserve">theorem pre_fall_is_not_fall : fallActivated preFallCoherence = false</x:t>
        </x:is>
      </x:c>
      <x:c r="F161" s="38" t="inlineStr">
        <x:is>
          <x:t xml:space="preserve">:= by rfl</x:t>
        </x:is>
      </x:c>
      <x:c r="G161" s="38" t="inlineStr">
        <x:is>
          <x:t xml:space="preserve">DEFINITIONAL_RFL</x:t>
        </x:is>
      </x:c>
      <x:c r="H161" s="39" t="inlineStr">
        <x:is>
          <x:t xml:space="preserve">Proves definitional equality by reduction; useful but narrow.</x:t>
        </x:is>
      </x:c>
    </x:row>
    <x:row r="162" ht="15" customHeight="1">
      <x:c r="A162" s="37" t="inlineStr">
        <x:is>
          <x:t xml:space="preserve">Faith-Thru-Physics-Lean-4--main</x:t>
        </x:is>
      </x:c>
      <x:c r="B162" s="38" t="inlineStr">
        <x:is>
          <x:t xml:space="preserve">Faith-Thru-Physics-Lean-4--main\Faith-Thru-Physics-Lean-4--main\EVIDENCE\Theophysics_Fall.lean</x:t>
        </x:is>
      </x:c>
      <x:c r="C162" s="38" t="inlineStr">
        <x:is>
          <x:t xml:space="preserve">112</x:t>
        </x:is>
      </x:c>
      <x:c r="D162" s="38" t="inlineStr">
        <x:is>
          <x:t xml:space="preserve">separation_alone_is_not_fall</x:t>
        </x:is>
      </x:c>
      <x:c r="E162" s="38" t="inlineStr">
        <x:is>
          <x:t xml:space="preserve">theorem separation_alone_is_not_fall : fallActivated separatedOnly = false</x:t>
        </x:is>
      </x:c>
      <x:c r="F162" s="38" t="inlineStr">
        <x:is>
          <x:t xml:space="preserve">:= by rfl</x:t>
        </x:is>
      </x:c>
      <x:c r="G162" s="38" t="inlineStr">
        <x:is>
          <x:t xml:space="preserve">DEFINITIONAL_RFL</x:t>
        </x:is>
      </x:c>
      <x:c r="H162" s="39" t="inlineStr">
        <x:is>
          <x:t xml:space="preserve">Proves definitional equality by reduction; useful but narrow.</x:t>
        </x:is>
      </x:c>
    </x:row>
    <x:row r="163" ht="15" customHeight="1">
      <x:c r="A163" s="37" t="inlineStr">
        <x:is>
          <x:t xml:space="preserve">Faith-Thru-Physics-Lean-4--main</x:t>
        </x:is>
      </x:c>
      <x:c r="B163" s="38" t="inlineStr">
        <x:is>
          <x:t xml:space="preserve">Faith-Thru-Physics-Lean-4--main\Faith-Thru-Physics-Lean-4--main\EVIDENCE\Theophysics_Fall.lean</x:t>
        </x:is>
      </x:c>
      <x:c r="C163" s="38" t="inlineStr">
        <x:is>
          <x:t xml:space="preserve">116</x:t>
        </x:is>
      </x:c>
      <x:c r="D163" s="38" t="inlineStr">
        <x:is>
          <x:t xml:space="preserve">coupling_without_entanglement_is_not_fall</x:t>
        </x:is>
      </x:c>
      <x:c r="E163" s="38" t="inlineStr">
        <x:is>
          <x:t xml:space="preserve">theorem coupling_without_entanglement_is_not_fall : fallActivated coupledOnly = false</x:t>
        </x:is>
      </x:c>
      <x:c r="F163" s="38" t="inlineStr">
        <x:is>
          <x:t xml:space="preserve">:= by rfl</x:t>
        </x:is>
      </x:c>
      <x:c r="G163" s="38" t="inlineStr">
        <x:is>
          <x:t xml:space="preserve">DEFINITIONAL_RFL</x:t>
        </x:is>
      </x:c>
      <x:c r="H163" s="39" t="inlineStr">
        <x:is>
          <x:t xml:space="preserve">Proves definitional equality by reduction; useful but narrow.</x:t>
        </x:is>
      </x:c>
    </x:row>
    <x:row r="164" ht="15" customHeight="1">
      <x:c r="A164" s="37" t="inlineStr">
        <x:is>
          <x:t xml:space="preserve">Faith-Thru-Physics-Lean-4--main</x:t>
        </x:is>
      </x:c>
      <x:c r="B164" s="38" t="inlineStr">
        <x:is>
          <x:t xml:space="preserve">Faith-Thru-Physics-Lean-4--main\Faith-Thru-Physics-Lean-4--main\EVIDENCE\Theophysics_Fall.lean</x:t>
        </x:is>
      </x:c>
      <x:c r="C164" s="38" t="inlineStr">
        <x:is>
          <x:t xml:space="preserve">120</x:t>
        </x:is>
      </x:c>
      <x:c r="D164" s="38" t="inlineStr">
        <x:is>
          <x:t xml:space="preserve">full_fall_without_grace_is_activated</x:t>
        </x:is>
      </x:c>
      <x:c r="E164" s="38" t="inlineStr">
        <x:is>
          <x:t xml:space="preserve">theorem full_fall_without_grace_is_activated : fallActivated fullFallWithoutGraceFloor = true</x:t>
        </x:is>
      </x:c>
      <x:c r="F164" s="38" t="inlineStr">
        <x:is>
          <x:t xml:space="preserve">:= by rfl</x:t>
        </x:is>
      </x:c>
      <x:c r="G164" s="38" t="inlineStr">
        <x:is>
          <x:t xml:space="preserve">DEFINITIONAL_RFL</x:t>
        </x:is>
      </x:c>
      <x:c r="H164" s="39" t="inlineStr">
        <x:is>
          <x:t xml:space="preserve">Proves definitional equality by reduction; useful but narrow.</x:t>
        </x:is>
      </x:c>
    </x:row>
    <x:row r="165" ht="15" customHeight="1">
      <x:c r="A165" s="37" t="inlineStr">
        <x:is>
          <x:t xml:space="preserve">Faith-Thru-Physics-Lean-4--main</x:t>
        </x:is>
      </x:c>
      <x:c r="B165" s="38" t="inlineStr">
        <x:is>
          <x:t xml:space="preserve">Faith-Thru-Physics-Lean-4--main\Faith-Thru-Physics-Lean-4--main\EVIDENCE\Theophysics_Fall.lean</x:t>
        </x:is>
      </x:c>
      <x:c r="C165" s="38" t="inlineStr">
        <x:is>
          <x:t xml:space="preserve">124</x:t>
        </x:is>
      </x:c>
      <x:c r="D165" s="38" t="inlineStr">
        <x:is>
          <x:t xml:space="preserve">full_fall_with_grace_is_sustained</x:t>
        </x:is>
      </x:c>
      <x:c r="E165" s="38" t="inlineStr">
        <x:is>
          <x:t xml:space="preserve">theorem full_fall_with_grace_is_sustained : sustainedAfterFall fullFallWithGraceFloor = true</x:t>
        </x:is>
      </x:c>
      <x:c r="F165" s="38" t="inlineStr">
        <x:is>
          <x:t xml:space="preserve">:= by rfl</x:t>
        </x:is>
      </x:c>
      <x:c r="G165" s="38" t="inlineStr">
        <x:is>
          <x:t xml:space="preserve">DEFINITIONAL_RFL</x:t>
        </x:is>
      </x:c>
      <x:c r="H165" s="39" t="inlineStr">
        <x:is>
          <x:t xml:space="preserve">Proves definitional equality by reduction; useful but narrow.</x:t>
        </x:is>
      </x:c>
    </x:row>
    <x:row r="166" ht="15" customHeight="1">
      <x:c r="A166" s="37" t="inlineStr">
        <x:is>
          <x:t xml:space="preserve">Faith-Thru-Physics-Lean-4--main</x:t>
        </x:is>
      </x:c>
      <x:c r="B166" s="38" t="inlineStr">
        <x:is>
          <x:t xml:space="preserve">Faith-Thru-Physics-Lean-4--main\Faith-Thru-Physics-Lean-4--main\EVIDENCE\Theophysics_Fall.lean</x:t>
        </x:is>
      </x:c>
      <x:c r="C166" s="38" t="inlineStr">
        <x:is>
          <x:t xml:space="preserve">128</x:t>
        </x:is>
      </x:c>
      <x:c r="D166" s="38" t="inlineStr">
        <x:is>
          <x:t xml:space="preserve">full_fall_without_grace_floor_not_sustained</x:t>
        </x:is>
      </x:c>
      <x:c r="E166" s="38" t="inlineStr">
        <x:is>
          <x:t xml:space="preserve">theorem full_fall_without_grace_floor_not_sustained : sustainedAfterFall fullFallWithoutGraceFloor = false</x:t>
        </x:is>
      </x:c>
      <x:c r="F166" s="38" t="inlineStr">
        <x:is>
          <x:t xml:space="preserve">:= by rfl</x:t>
        </x:is>
      </x:c>
      <x:c r="G166" s="38" t="inlineStr">
        <x:is>
          <x:t xml:space="preserve">DEFINITIONAL_RFL</x:t>
        </x:is>
      </x:c>
      <x:c r="H166" s="39" t="inlineStr">
        <x:is>
          <x:t xml:space="preserve">Proves definitional equality by reduction; useful but narrow.</x:t>
        </x:is>
      </x:c>
    </x:row>
    <x:row r="167" ht="15" customHeight="1">
      <x:c r="A167" s="37" t="inlineStr">
        <x:is>
          <x:t xml:space="preserve">Faith-Thru-Physics-Lean-4--main</x:t>
        </x:is>
      </x:c>
      <x:c r="B167" s="38" t="inlineStr">
        <x:is>
          <x:t xml:space="preserve">Faith-Thru-Physics-Lean-4--main\Faith-Thru-Physics-Lean-4--main\EVIDENCE\Theophysics_Fall.lean</x:t>
        </x:is>
      </x:c>
      <x:c r="C167" s="38" t="inlineStr">
        <x:is>
          <x:t xml:space="preserve">132</x:t>
        </x:is>
      </x:c>
      <x:c r="D167" s="38" t="inlineStr">
        <x:is>
          <x:t xml:space="preserve">grace_floor_requires_fall_activation</x:t>
        </x:is>
      </x:c>
      <x:c r="E167" s="38" t="inlineStr">
        <x:is>
          <x:t xml:space="preserve">theorem grace_floor_requires_fall_activation (m : FallModel) (h : sustainedAfterFall m = true) : fallActivated m = true</x:t>
        </x:is>
      </x:c>
      <x:c r="F167" s="38" t="inlineStr">
        <x:is>
          <x:t xml:space="preserve">:= by cases hf : fallActivated m &lt;;&gt; cases hg : m.externalGraceFloor &lt;;&gt; simp [sustainedAfterFall, hf, hg] at h ⊢</x:t>
        </x:is>
      </x:c>
      <x:c r="G167" s="38" t="inlineStr">
        <x:is>
          <x:t xml:space="preserve">SIMPLIFICATION</x:t>
        </x:is>
      </x:c>
      <x:c r="H167" s="39" t="inlineStr">
        <x:is>
          <x:t xml:space="preserve">Follows by simplification under definitions; check definition strength.</x:t>
        </x:is>
      </x:c>
    </x:row>
    <x:row r="168" ht="15" customHeight="1">
      <x:c r="A168" s="37" t="inlineStr">
        <x:is>
          <x:t xml:space="preserve">Faith-Thru-Physics-Lean-4--main</x:t>
        </x:is>
      </x:c>
      <x:c r="B168" s="38" t="inlineStr">
        <x:is>
          <x:t xml:space="preserve">Faith-Thru-Physics-Lean-4--main\Faith-Thru-Physics-Lean-4--main\EVIDENCE\Theophysics_Fall.lean</x:t>
        </x:is>
      </x:c>
      <x:c r="C168" s="38" t="inlineStr">
        <x:is>
          <x:t xml:space="preserve">138</x:t>
        </x:is>
      </x:c>
      <x:c r="D168" s="38" t="inlineStr">
        <x:is>
          <x:t xml:space="preserve">sustained_after_fall_requires_grace_floor</x:t>
        </x:is>
      </x:c>
      <x:c r="E168" s="38" t="inlineStr">
        <x:is>
          <x:t xml:space="preserve">theorem sustained_after_fall_requires_grace_floor (m : FallModel) (h : sustainedAfterFall m = true) : m.externalGraceFloor = true</x:t>
        </x:is>
      </x:c>
      <x:c r="F168" s="38" t="inlineStr">
        <x:is>
          <x:t xml:space="preserve">:= by cases hf : fallActivated m &lt;;&gt; cases hg : m.externalGraceFloor &lt;;&gt; simp [sustainedAfterFall, hf, hg] at h ⊢</x:t>
        </x:is>
      </x:c>
      <x:c r="G168" s="38" t="inlineStr">
        <x:is>
          <x:t xml:space="preserve">SIMPLIFICATION</x:t>
        </x:is>
      </x:c>
      <x:c r="H168" s="39" t="inlineStr">
        <x:is>
          <x:t xml:space="preserve">Follows by simplification under definitions; check definition strength.</x:t>
        </x:is>
      </x:c>
    </x:row>
    <x:row r="169" ht="15" customHeight="1">
      <x:c r="A169" s="37" t="inlineStr">
        <x:is>
          <x:t xml:space="preserve">Faith-Thru-Physics-Lean-4--main</x:t>
        </x:is>
      </x:c>
      <x:c r="B169" s="38" t="inlineStr">
        <x:is>
          <x:t xml:space="preserve">Faith-Thru-Physics-Lean-4--main\Faith-Thru-Physics-Lean-4--main\EVIDENCE\Theophysics_Fall.lean</x:t>
        </x:is>
      </x:c>
      <x:c r="C169" s="38" t="inlineStr">
        <x:is>
          <x:t xml:space="preserve">144</x:t>
        </x:is>
      </x:c>
      <x:c r="D169" s="38" t="inlineStr">
        <x:is>
          <x:t xml:space="preserve">fall_with_grace_maps_to_repairable_fracture</x:t>
        </x:is>
      </x:c>
      <x:c r="E169" s="38" t="inlineStr">
        <x:is>
          <x:t xml:space="preserve">theorem fall_with_grace_maps_to_repairable_fracture : repairable (fallAsFracture fullFallWithGraceFloor) = true</x:t>
        </x:is>
      </x:c>
      <x:c r="F169" s="38" t="inlineStr">
        <x:is>
          <x:t xml:space="preserve">:= by rfl</x:t>
        </x:is>
      </x:c>
      <x:c r="G169" s="38" t="inlineStr">
        <x:is>
          <x:t xml:space="preserve">DEFINITIONAL_RFL</x:t>
        </x:is>
      </x:c>
      <x:c r="H169" s="39" t="inlineStr">
        <x:is>
          <x:t xml:space="preserve">Proves definitional equality by reduction; useful but narrow.</x:t>
        </x:is>
      </x:c>
    </x:row>
    <x:row r="170" ht="15" customHeight="1">
      <x:c r="A170" s="37" t="inlineStr">
        <x:is>
          <x:t xml:space="preserve">Faith-Thru-Physics-Lean-4--main</x:t>
        </x:is>
      </x:c>
      <x:c r="B170" s="38" t="inlineStr">
        <x:is>
          <x:t xml:space="preserve">Faith-Thru-Physics-Lean-4--main\Faith-Thru-Physics-Lean-4--main\EVIDENCE\Theophysics_Fall.lean</x:t>
        </x:is>
      </x:c>
      <x:c r="C170" s="38" t="inlineStr">
        <x:is>
          <x:t xml:space="preserve">148</x:t>
        </x:is>
      </x:c>
      <x:c r="D170" s="38" t="inlineStr">
        <x:is>
          <x:t xml:space="preserve">fall_without_grace_maps_to_unrepairable_fracture</x:t>
        </x:is>
      </x:c>
      <x:c r="E170" s="38" t="inlineStr">
        <x:is>
          <x:t xml:space="preserve">theorem fall_without_grace_maps_to_unrepairable_fracture : repairable (fallAsFracture fullFallWithoutGraceFloor) = false</x:t>
        </x:is>
      </x:c>
      <x:c r="F170" s="38" t="inlineStr">
        <x:is>
          <x:t xml:space="preserve">:= by rfl</x:t>
        </x:is>
      </x:c>
      <x:c r="G170" s="38" t="inlineStr">
        <x:is>
          <x:t xml:space="preserve">DEFINITIONAL_RFL</x:t>
        </x:is>
      </x:c>
      <x:c r="H170" s="39" t="inlineStr">
        <x:is>
          <x:t xml:space="preserve">Proves definitional equality by reduction; useful but narrow.</x:t>
        </x:is>
      </x:c>
    </x:row>
    <x:row r="171" ht="15" customHeight="1">
      <x:c r="A171" s="37" t="inlineStr">
        <x:is>
          <x:t xml:space="preserve">Faith-Thru-Physics-Lean-4--main</x:t>
        </x:is>
      </x:c>
      <x:c r="B171" s="38" t="inlineStr">
        <x:is>
          <x:t xml:space="preserve">Faith-Thru-Physics-Lean-4--main\Faith-Thru-Physics-Lean-4--main\EVIDENCE\Theophysics_Fall.lean</x:t>
        </x:is>
      </x:c>
      <x:c r="C171" s="38" t="inlineStr">
        <x:is>
          <x:t xml:space="preserve">152</x:t>
        </x:is>
      </x:c>
      <x:c r="D171" s="38" t="inlineStr">
        <x:is>
          <x:t xml:space="preserve">fall_spine_marker</x:t>
        </x:is>
      </x:c>
      <x:c r="E171" s="38" t="inlineStr">
        <x:is>
          <x:t xml:space="preserve">theorem fall_spine_marker : fallActivated preFallCoherence = false ∧ fallActivated separatedOnly = false ∧ fallActivated coupledOnly = false ∧ fallActivated fullFallWithoutGraceFloor = true ∧ sustainedAfterFall fullFallWithoutGraceFloor = false ∧ sustainedAfterFall fullFallWithGraceFloor = true ∧ repairable (fallAsFracture fullFallWithGraceFloor) = true</x:t>
        </x:is>
      </x:c>
      <x:c r="F171" s="38" t="inlineStr">
        <x:is>
          <x:t xml:space="preserve">:= by exact ⟨rfl, rfl, rfl, rfl, rfl, rfl, rfl⟩ end Theophysics.Fall</x:t>
        </x:is>
      </x:c>
      <x:c r="G171" s="38" t="inlineStr">
        <x:is>
          <x:t xml:space="preserve">WRAPPER_OR_IMPORTED</x:t>
        </x:is>
      </x:c>
      <x:c r="H171" s="39" t="inlineStr">
        <x:is>
          <x:t xml:space="preserve">Likely delegates to another theorem; cite underlying theorem too.</x:t>
        </x:is>
      </x:c>
    </x:row>
    <x:row r="172" ht="15" customHeight="1">
      <x:c r="A172" s="37" t="inlineStr">
        <x:is>
          <x:t xml:space="preserve">Faith-Thru-Physics-Lean-4--main</x:t>
        </x:is>
      </x:c>
      <x:c r="B172" s="38" t="inlineStr">
        <x:is>
          <x:t xml:space="preserve">Faith-Thru-Physics-Lean-4--main\Faith-Thru-Physics-Lean-4--main\EVIDENCE\Theophysics_Fracture.lean</x:t>
        </x:is>
      </x:c>
      <x:c r="C172" s="38" t="inlineStr">
        <x:is>
          <x:t xml:space="preserve">102</x:t>
        </x:is>
      </x:c>
      <x:c r="D172" s="38" t="inlineStr">
        <x:is>
          <x:t xml:space="preserve">random_gap_is_not_structured_scar</x:t>
        </x:is>
      </x:c>
      <x:c r="E172" s="38" t="inlineStr">
        <x:is>
          <x:t xml:space="preserve">theorem random_gap_is_not_structured_scar : structuredScar randomGap = false</x:t>
        </x:is>
      </x:c>
      <x:c r="F172" s="38" t="inlineStr">
        <x:is>
          <x:t xml:space="preserve">:= by rfl</x:t>
        </x:is>
      </x:c>
      <x:c r="G172" s="38" t="inlineStr">
        <x:is>
          <x:t xml:space="preserve">DEFINITIONAL_RFL</x:t>
        </x:is>
      </x:c>
      <x:c r="H172" s="39" t="inlineStr">
        <x:is>
          <x:t xml:space="preserve">Proves definitional equality by reduction; useful but narrow.</x:t>
        </x:is>
      </x:c>
    </x:row>
    <x:row r="173" ht="15" customHeight="1">
      <x:c r="A173" s="37" t="inlineStr">
        <x:is>
          <x:t xml:space="preserve">Faith-Thru-Physics-Lean-4--main</x:t>
        </x:is>
      </x:c>
      <x:c r="B173" s="38" t="inlineStr">
        <x:is>
          <x:t xml:space="preserve">Faith-Thru-Physics-Lean-4--main\Faith-Thru-Physics-Lean-4--main\EVIDENCE\Theophysics_Fracture.lean</x:t>
        </x:is>
      </x:c>
      <x:c r="C173" s="38" t="inlineStr">
        <x:is>
          <x:t xml:space="preserve">106</x:t>
        </x:is>
      </x:c>
      <x:c r="D173" s="38" t="inlineStr">
        <x:is>
          <x:t xml:space="preserve">gr_qm_style_scar_is_structured</x:t>
        </x:is>
      </x:c>
      <x:c r="E173" s="38" t="inlineStr">
        <x:is>
          <x:t xml:space="preserve">theorem gr_qm_style_scar_is_structured : structuredScar grQmStyleScar = true</x:t>
        </x:is>
      </x:c>
      <x:c r="F173" s="38" t="inlineStr">
        <x:is>
          <x:t xml:space="preserve">:= by rfl</x:t>
        </x:is>
      </x:c>
      <x:c r="G173" s="38" t="inlineStr">
        <x:is>
          <x:t xml:space="preserve">DEFINITIONAL_RFL</x:t>
        </x:is>
      </x:c>
      <x:c r="H173" s="39" t="inlineStr">
        <x:is>
          <x:t xml:space="preserve">Proves definitional equality by reduction; useful but narrow.</x:t>
        </x:is>
      </x:c>
    </x:row>
    <x:row r="174" ht="15" customHeight="1">
      <x:c r="A174" s="37" t="inlineStr">
        <x:is>
          <x:t xml:space="preserve">Faith-Thru-Physics-Lean-4--main</x:t>
        </x:is>
      </x:c>
      <x:c r="B174" s="38" t="inlineStr">
        <x:is>
          <x:t xml:space="preserve">Faith-Thru-Physics-Lean-4--main\Faith-Thru-Physics-Lean-4--main\EVIDENCE\Theophysics_Fracture.lean</x:t>
        </x:is>
      </x:c>
      <x:c r="C174" s="38" t="inlineStr">
        <x:is>
          <x:t xml:space="preserve">110</x:t>
        </x:is>
      </x:c>
      <x:c r="D174" s="38" t="inlineStr">
        <x:is>
          <x:t xml:space="preserve">global_coherence_alone_is_not_fracture</x:t>
        </x:is>
      </x:c>
      <x:c r="E174" s="38" t="inlineStr">
        <x:is>
          <x:t xml:space="preserve">theorem global_coherence_alone_is_not_fracture : fractured unfracturedCoherence = false</x:t>
        </x:is>
      </x:c>
      <x:c r="F174" s="38" t="inlineStr">
        <x:is>
          <x:t xml:space="preserve">:= by rfl</x:t>
        </x:is>
      </x:c>
      <x:c r="G174" s="38" t="inlineStr">
        <x:is>
          <x:t xml:space="preserve">DEFINITIONAL_RFL</x:t>
        </x:is>
      </x:c>
      <x:c r="H174" s="39" t="inlineStr">
        <x:is>
          <x:t xml:space="preserve">Proves definitional equality by reduction; useful but narrow.</x:t>
        </x:is>
      </x:c>
    </x:row>
    <x:row r="175" ht="15" customHeight="1">
      <x:c r="A175" s="37" t="inlineStr">
        <x:is>
          <x:t xml:space="preserve">Faith-Thru-Physics-Lean-4--main</x:t>
        </x:is>
      </x:c>
      <x:c r="B175" s="38" t="inlineStr">
        <x:is>
          <x:t xml:space="preserve">Faith-Thru-Physics-Lean-4--main\Faith-Thru-Physics-Lean-4--main\EVIDENCE\Theophysics_Fracture.lean</x:t>
        </x:is>
      </x:c>
      <x:c r="C175" s="38" t="inlineStr">
        <x:is>
          <x:t xml:space="preserve">114</x:t>
        </x:is>
      </x:c>
      <x:c r="D175" s="38" t="inlineStr">
        <x:is>
          <x:t xml:space="preserve">local_indeterminacy_alone_is_not_fracture</x:t>
        </x:is>
      </x:c>
      <x:c r="E175" s="38" t="inlineStr">
        <x:is>
          <x:t xml:space="preserve">theorem local_indeterminacy_alone_is_not_fracture : fractured indeterminateOnly = false</x:t>
        </x:is>
      </x:c>
      <x:c r="F175" s="38" t="inlineStr">
        <x:is>
          <x:t xml:space="preserve">:= by rfl</x:t>
        </x:is>
      </x:c>
      <x:c r="G175" s="38" t="inlineStr">
        <x:is>
          <x:t xml:space="preserve">DEFINITIONAL_RFL</x:t>
        </x:is>
      </x:c>
      <x:c r="H175" s="39" t="inlineStr">
        <x:is>
          <x:t xml:space="preserve">Proves definitional equality by reduction; useful but narrow.</x:t>
        </x:is>
      </x:c>
    </x:row>
    <x:row r="176" ht="15" customHeight="1">
      <x:c r="A176" s="37" t="inlineStr">
        <x:is>
          <x:t xml:space="preserve">Faith-Thru-Physics-Lean-4--main</x:t>
        </x:is>
      </x:c>
      <x:c r="B176" s="38" t="inlineStr">
        <x:is>
          <x:t xml:space="preserve">Faith-Thru-Physics-Lean-4--main\Faith-Thru-Physics-Lean-4--main\EVIDENCE\Theophysics_Fracture.lean</x:t>
        </x:is>
      </x:c>
      <x:c r="C176" s="38" t="inlineStr">
        <x:is>
          <x:t xml:space="preserve">118</x:t>
        </x:is>
      </x:c>
      <x:c r="D176" s="38" t="inlineStr">
        <x:is>
          <x:t xml:space="preserve">structured_fracture_is_fractured</x:t>
        </x:is>
      </x:c>
      <x:c r="E176" s="38" t="inlineStr">
        <x:is>
          <x:t xml:space="preserve">theorem structured_fracture_is_fractured : fractured structuredFracture = true</x:t>
        </x:is>
      </x:c>
      <x:c r="F176" s="38" t="inlineStr">
        <x:is>
          <x:t xml:space="preserve">:= by rfl</x:t>
        </x:is>
      </x:c>
      <x:c r="G176" s="38" t="inlineStr">
        <x:is>
          <x:t xml:space="preserve">DEFINITIONAL_RFL</x:t>
        </x:is>
      </x:c>
      <x:c r="H176" s="39" t="inlineStr">
        <x:is>
          <x:t xml:space="preserve">Proves definitional equality by reduction; useful but narrow.</x:t>
        </x:is>
      </x:c>
    </x:row>
    <x:row r="177" ht="15" customHeight="1">
      <x:c r="A177" s="37" t="inlineStr">
        <x:is>
          <x:t xml:space="preserve">Faith-Thru-Physics-Lean-4--main</x:t>
        </x:is>
      </x:c>
      <x:c r="B177" s="38" t="inlineStr">
        <x:is>
          <x:t xml:space="preserve">Faith-Thru-Physics-Lean-4--main\Faith-Thru-Physics-Lean-4--main\EVIDENCE\Theophysics_Fracture.lean</x:t>
        </x:is>
      </x:c>
      <x:c r="C177" s="38" t="inlineStr">
        <x:is>
          <x:t xml:space="preserve">122</x:t>
        </x:is>
      </x:c>
      <x:c r="D177" s="38" t="inlineStr">
        <x:is>
          <x:t xml:space="preserve">fracture_without_restoration_is_not_repairable</x:t>
        </x:is>
      </x:c>
      <x:c r="E177" s="38" t="inlineStr">
        <x:is>
          <x:t xml:space="preserve">theorem fracture_without_restoration_is_not_repairable : repairable structuredFracture = false</x:t>
        </x:is>
      </x:c>
      <x:c r="F177" s="38" t="inlineStr">
        <x:is>
          <x:t xml:space="preserve">:= by rfl</x:t>
        </x:is>
      </x:c>
      <x:c r="G177" s="38" t="inlineStr">
        <x:is>
          <x:t xml:space="preserve">DEFINITIONAL_RFL</x:t>
        </x:is>
      </x:c>
      <x:c r="H177" s="39" t="inlineStr">
        <x:is>
          <x:t xml:space="preserve">Proves definitional equality by reduction; useful but narrow.</x:t>
        </x:is>
      </x:c>
    </x:row>
    <x:row r="178" ht="15" customHeight="1">
      <x:c r="A178" s="37" t="inlineStr">
        <x:is>
          <x:t xml:space="preserve">Faith-Thru-Physics-Lean-4--main</x:t>
        </x:is>
      </x:c>
      <x:c r="B178" s="38" t="inlineStr">
        <x:is>
          <x:t xml:space="preserve">Faith-Thru-Physics-Lean-4--main\Faith-Thru-Physics-Lean-4--main\EVIDENCE\Theophysics_Fracture.lean</x:t>
        </x:is>
      </x:c>
      <x:c r="C178" s="38" t="inlineStr">
        <x:is>
          <x:t xml:space="preserve">126</x:t>
        </x:is>
      </x:c>
      <x:c r="D178" s="38" t="inlineStr">
        <x:is>
          <x:t xml:space="preserve">fracture_with_restoration_is_repairable</x:t>
        </x:is>
      </x:c>
      <x:c r="E178" s="38" t="inlineStr">
        <x:is>
          <x:t xml:space="preserve">theorem fracture_with_restoration_is_repairable : repairable repairableFracture = true</x:t>
        </x:is>
      </x:c>
      <x:c r="F178" s="38" t="inlineStr">
        <x:is>
          <x:t xml:space="preserve">:= by rfl</x:t>
        </x:is>
      </x:c>
      <x:c r="G178" s="38" t="inlineStr">
        <x:is>
          <x:t xml:space="preserve">DEFINITIONAL_RFL</x:t>
        </x:is>
      </x:c>
      <x:c r="H178" s="39" t="inlineStr">
        <x:is>
          <x:t xml:space="preserve">Proves definitional equality by reduction; useful but narrow.</x:t>
        </x:is>
      </x:c>
    </x:row>
    <x:row r="179" ht="15" customHeight="1">
      <x:c r="A179" s="37" t="inlineStr">
        <x:is>
          <x:t xml:space="preserve">Faith-Thru-Physics-Lean-4--main</x:t>
        </x:is>
      </x:c>
      <x:c r="B179" s="38" t="inlineStr">
        <x:is>
          <x:t xml:space="preserve">Faith-Thru-Physics-Lean-4--main\Faith-Thru-Physics-Lean-4--main\EVIDENCE\Theophysics_Fracture.lean</x:t>
        </x:is>
      </x:c>
      <x:c r="C179" s="38" t="inlineStr">
        <x:is>
          <x:t xml:space="preserve">130</x:t>
        </x:is>
      </x:c>
      <x:c r="D179" s="38" t="inlineStr">
        <x:is>
          <x:t xml:space="preserve">repair_requires_fracture</x:t>
        </x:is>
      </x:c>
      <x:c r="E179" s="38" t="inlineStr">
        <x:is>
          <x:t xml:space="preserve">theorem repair_requires_fracture (m : FractureModel) (h : repairable m = true) : fractured m = true</x:t>
        </x:is>
      </x:c>
      <x:c r="F179" s="38" t="inlineStr">
        <x:is>
          <x:t xml:space="preserve">:= by cases hf : fractured m &lt;;&gt; cases hi : m.restorationInput &lt;;&gt; simp [repairable, hf, hi] at h ⊢</x:t>
        </x:is>
      </x:c>
      <x:c r="G179" s="38" t="inlineStr">
        <x:is>
          <x:t xml:space="preserve">SIMPLIFICATION</x:t>
        </x:is>
      </x:c>
      <x:c r="H179" s="39" t="inlineStr">
        <x:is>
          <x:t xml:space="preserve">Follows by simplification under definitions; check definition strength.</x:t>
        </x:is>
      </x:c>
    </x:row>
    <x:row r="180" ht="15" customHeight="1">
      <x:c r="A180" s="37" t="inlineStr">
        <x:is>
          <x:t xml:space="preserve">Faith-Thru-Physics-Lean-4--main</x:t>
        </x:is>
      </x:c>
      <x:c r="B180" s="38" t="inlineStr">
        <x:is>
          <x:t xml:space="preserve">Faith-Thru-Physics-Lean-4--main\Faith-Thru-Physics-Lean-4--main\EVIDENCE\Theophysics_Fracture.lean</x:t>
        </x:is>
      </x:c>
      <x:c r="C180" s="38" t="inlineStr">
        <x:is>
          <x:t xml:space="preserve">136</x:t>
        </x:is>
      </x:c>
      <x:c r="D180" s="38" t="inlineStr">
        <x:is>
          <x:t xml:space="preserve">repair_requires_restoration_input</x:t>
        </x:is>
      </x:c>
      <x:c r="E180" s="38" t="inlineStr">
        <x:is>
          <x:t xml:space="preserve">theorem repair_requires_restoration_input (m : FractureModel) (h : repairable m = true) : m.restorationInput = true</x:t>
        </x:is>
      </x:c>
      <x:c r="F180" s="38" t="inlineStr">
        <x:is>
          <x:t xml:space="preserve">:= by cases hf : fractured m &lt;;&gt; cases hi : m.restorationInput &lt;;&gt; simp [repairable, hf, hi] at h ⊢</x:t>
        </x:is>
      </x:c>
      <x:c r="G180" s="38" t="inlineStr">
        <x:is>
          <x:t xml:space="preserve">SIMPLIFICATION</x:t>
        </x:is>
      </x:c>
      <x:c r="H180" s="39" t="inlineStr">
        <x:is>
          <x:t xml:space="preserve">Follows by simplification under definitions; check definition strength.</x:t>
        </x:is>
      </x:c>
    </x:row>
    <x:row r="181" ht="15" customHeight="1">
      <x:c r="A181" s="37" t="inlineStr">
        <x:is>
          <x:t xml:space="preserve">Faith-Thru-Physics-Lean-4--main</x:t>
        </x:is>
      </x:c>
      <x:c r="B181" s="38" t="inlineStr">
        <x:is>
          <x:t xml:space="preserve">Faith-Thru-Physics-Lean-4--main\Faith-Thru-Physics-Lean-4--main\EVIDENCE\Theophysics_Fracture.lean</x:t>
        </x:is>
      </x:c>
      <x:c r="C181" s="38" t="inlineStr">
        <x:is>
          <x:t xml:space="preserve">142</x:t>
        </x:is>
      </x:c>
      <x:c r="D181" s="38" t="inlineStr">
        <x:is>
          <x:t xml:space="preserve">science_of_gaps_marker</x:t>
        </x:is>
      </x:c>
      <x:c r="E181" s="38" t="inlineStr">
        <x:is>
          <x:t xml:space="preserve">theorem science_of_gaps_marker : structuredScar randomGap = false ∧ structuredScar grQmStyleScar = true ∧ fractured indeterminateOnly = false ∧ fractured structuredFracture = true ∧ repairable structuredFracture = false ∧ repairable repairableFracture = true</x:t>
        </x:is>
      </x:c>
      <x:c r="F181" s="38" t="inlineStr">
        <x:is>
          <x:t xml:space="preserve">:= by exact ⟨rfl, rfl, rfl, rfl, rfl, rfl⟩ end Theophysics.Fracture</x:t>
        </x:is>
      </x:c>
      <x:c r="G181" s="38" t="inlineStr">
        <x:is>
          <x:t xml:space="preserve">WRAPPER_OR_IMPORTED</x:t>
        </x:is>
      </x:c>
      <x:c r="H181" s="39" t="inlineStr">
        <x:is>
          <x:t xml:space="preserve">Likely delegates to another theorem; cite underlying theorem too.</x:t>
        </x:is>
      </x:c>
    </x:row>
    <x:row r="182" ht="15" customHeight="1">
      <x:c r="A182" s="37" t="inlineStr">
        <x:is>
          <x:t xml:space="preserve">Faith-Thru-Physics-Lean-4--main</x:t>
        </x:is>
      </x:c>
      <x:c r="B182" s="38" t="inlineStr">
        <x:is>
          <x:t xml:space="preserve">Faith-Thru-Physics-Lean-4--main\Faith-Thru-Physics-Lean-4--main\FALL_MECHANICS\Theophysics_Fall.lean</x:t>
        </x:is>
      </x:c>
      <x:c r="C182" s="38" t="inlineStr">
        <x:is>
          <x:t xml:space="preserve">108</x:t>
        </x:is>
      </x:c>
      <x:c r="D182" s="38" t="inlineStr">
        <x:is>
          <x:t xml:space="preserve">pre_fall_is_not_fall</x:t>
        </x:is>
      </x:c>
      <x:c r="E182" s="38" t="inlineStr">
        <x:is>
          <x:t xml:space="preserve">theorem pre_fall_is_not_fall : fallActivated preFallCoherence = false</x:t>
        </x:is>
      </x:c>
      <x:c r="F182" s="38" t="inlineStr">
        <x:is>
          <x:t xml:space="preserve">:= by rfl</x:t>
        </x:is>
      </x:c>
      <x:c r="G182" s="38" t="inlineStr">
        <x:is>
          <x:t xml:space="preserve">DEFINITIONAL_RFL</x:t>
        </x:is>
      </x:c>
      <x:c r="H182" s="39" t="inlineStr">
        <x:is>
          <x:t xml:space="preserve">Proves definitional equality by reduction; useful but narrow.</x:t>
        </x:is>
      </x:c>
    </x:row>
    <x:row r="183" ht="15" customHeight="1">
      <x:c r="A183" s="37" t="inlineStr">
        <x:is>
          <x:t xml:space="preserve">Faith-Thru-Physics-Lean-4--main</x:t>
        </x:is>
      </x:c>
      <x:c r="B183" s="38" t="inlineStr">
        <x:is>
          <x:t xml:space="preserve">Faith-Thru-Physics-Lean-4--main\Faith-Thru-Physics-Lean-4--main\FALL_MECHANICS\Theophysics_Fall.lean</x:t>
        </x:is>
      </x:c>
      <x:c r="C183" s="38" t="inlineStr">
        <x:is>
          <x:t xml:space="preserve">112</x:t>
        </x:is>
      </x:c>
      <x:c r="D183" s="38" t="inlineStr">
        <x:is>
          <x:t xml:space="preserve">separation_alone_is_not_fall</x:t>
        </x:is>
      </x:c>
      <x:c r="E183" s="38" t="inlineStr">
        <x:is>
          <x:t xml:space="preserve">theorem separation_alone_is_not_fall : fallActivated separatedOnly = false</x:t>
        </x:is>
      </x:c>
      <x:c r="F183" s="38" t="inlineStr">
        <x:is>
          <x:t xml:space="preserve">:= by rfl</x:t>
        </x:is>
      </x:c>
      <x:c r="G183" s="38" t="inlineStr">
        <x:is>
          <x:t xml:space="preserve">DEFINITIONAL_RFL</x:t>
        </x:is>
      </x:c>
      <x:c r="H183" s="39" t="inlineStr">
        <x:is>
          <x:t xml:space="preserve">Proves definitional equality by reduction; useful but narrow.</x:t>
        </x:is>
      </x:c>
    </x:row>
    <x:row r="184" ht="15" customHeight="1">
      <x:c r="A184" s="37" t="inlineStr">
        <x:is>
          <x:t xml:space="preserve">Faith-Thru-Physics-Lean-4--main</x:t>
        </x:is>
      </x:c>
      <x:c r="B184" s="38" t="inlineStr">
        <x:is>
          <x:t xml:space="preserve">Faith-Thru-Physics-Lean-4--main\Faith-Thru-Physics-Lean-4--main\FALL_MECHANICS\Theophysics_Fall.lean</x:t>
        </x:is>
      </x:c>
      <x:c r="C184" s="38" t="inlineStr">
        <x:is>
          <x:t xml:space="preserve">116</x:t>
        </x:is>
      </x:c>
      <x:c r="D184" s="38" t="inlineStr">
        <x:is>
          <x:t xml:space="preserve">coupling_without_entanglement_is_not_fall</x:t>
        </x:is>
      </x:c>
      <x:c r="E184" s="38" t="inlineStr">
        <x:is>
          <x:t xml:space="preserve">theorem coupling_without_entanglement_is_not_fall : fallActivated coupledOnly = false</x:t>
        </x:is>
      </x:c>
      <x:c r="F184" s="38" t="inlineStr">
        <x:is>
          <x:t xml:space="preserve">:= by rfl</x:t>
        </x:is>
      </x:c>
      <x:c r="G184" s="38" t="inlineStr">
        <x:is>
          <x:t xml:space="preserve">DEFINITIONAL_RFL</x:t>
        </x:is>
      </x:c>
      <x:c r="H184" s="39" t="inlineStr">
        <x:is>
          <x:t xml:space="preserve">Proves definitional equality by reduction; useful but narrow.</x:t>
        </x:is>
      </x:c>
    </x:row>
    <x:row r="185" ht="15" customHeight="1">
      <x:c r="A185" s="37" t="inlineStr">
        <x:is>
          <x:t xml:space="preserve">Faith-Thru-Physics-Lean-4--main</x:t>
        </x:is>
      </x:c>
      <x:c r="B185" s="38" t="inlineStr">
        <x:is>
          <x:t xml:space="preserve">Faith-Thru-Physics-Lean-4--main\Faith-Thru-Physics-Lean-4--main\FALL_MECHANICS\Theophysics_Fall.lean</x:t>
        </x:is>
      </x:c>
      <x:c r="C185" s="38" t="inlineStr">
        <x:is>
          <x:t xml:space="preserve">120</x:t>
        </x:is>
      </x:c>
      <x:c r="D185" s="38" t="inlineStr">
        <x:is>
          <x:t xml:space="preserve">full_fall_without_grace_is_activated</x:t>
        </x:is>
      </x:c>
      <x:c r="E185" s="38" t="inlineStr">
        <x:is>
          <x:t xml:space="preserve">theorem full_fall_without_grace_is_activated : fallActivated fullFallWithoutGraceFloor = true</x:t>
        </x:is>
      </x:c>
      <x:c r="F185" s="38" t="inlineStr">
        <x:is>
          <x:t xml:space="preserve">:= by rfl</x:t>
        </x:is>
      </x:c>
      <x:c r="G185" s="38" t="inlineStr">
        <x:is>
          <x:t xml:space="preserve">DEFINITIONAL_RFL</x:t>
        </x:is>
      </x:c>
      <x:c r="H185" s="39" t="inlineStr">
        <x:is>
          <x:t xml:space="preserve">Proves definitional equality by reduction; useful but narrow.</x:t>
        </x:is>
      </x:c>
    </x:row>
    <x:row r="186" ht="15" customHeight="1">
      <x:c r="A186" s="37" t="inlineStr">
        <x:is>
          <x:t xml:space="preserve">Faith-Thru-Physics-Lean-4--main</x:t>
        </x:is>
      </x:c>
      <x:c r="B186" s="38" t="inlineStr">
        <x:is>
          <x:t xml:space="preserve">Faith-Thru-Physics-Lean-4--main\Faith-Thru-Physics-Lean-4--main\FALL_MECHANICS\Theophysics_Fall.lean</x:t>
        </x:is>
      </x:c>
      <x:c r="C186" s="38" t="inlineStr">
        <x:is>
          <x:t xml:space="preserve">124</x:t>
        </x:is>
      </x:c>
      <x:c r="D186" s="38" t="inlineStr">
        <x:is>
          <x:t xml:space="preserve">full_fall_with_grace_is_sustained</x:t>
        </x:is>
      </x:c>
      <x:c r="E186" s="38" t="inlineStr">
        <x:is>
          <x:t xml:space="preserve">theorem full_fall_with_grace_is_sustained : sustainedAfterFall fullFallWithGraceFloor = true</x:t>
        </x:is>
      </x:c>
      <x:c r="F186" s="38" t="inlineStr">
        <x:is>
          <x:t xml:space="preserve">:= by rfl</x:t>
        </x:is>
      </x:c>
      <x:c r="G186" s="38" t="inlineStr">
        <x:is>
          <x:t xml:space="preserve">DEFINITIONAL_RFL</x:t>
        </x:is>
      </x:c>
      <x:c r="H186" s="39" t="inlineStr">
        <x:is>
          <x:t xml:space="preserve">Proves definitional equality by reduction; useful but narrow.</x:t>
        </x:is>
      </x:c>
    </x:row>
    <x:row r="187" ht="15" customHeight="1">
      <x:c r="A187" s="37" t="inlineStr">
        <x:is>
          <x:t xml:space="preserve">Faith-Thru-Physics-Lean-4--main</x:t>
        </x:is>
      </x:c>
      <x:c r="B187" s="38" t="inlineStr">
        <x:is>
          <x:t xml:space="preserve">Faith-Thru-Physics-Lean-4--main\Faith-Thru-Physics-Lean-4--main\FALL_MECHANICS\Theophysics_Fall.lean</x:t>
        </x:is>
      </x:c>
      <x:c r="C187" s="38" t="inlineStr">
        <x:is>
          <x:t xml:space="preserve">128</x:t>
        </x:is>
      </x:c>
      <x:c r="D187" s="38" t="inlineStr">
        <x:is>
          <x:t xml:space="preserve">full_fall_without_grace_floor_not_sustained</x:t>
        </x:is>
      </x:c>
      <x:c r="E187" s="38" t="inlineStr">
        <x:is>
          <x:t xml:space="preserve">theorem full_fall_without_grace_floor_not_sustained : sustainedAfterFall fullFallWithoutGraceFloor = false</x:t>
        </x:is>
      </x:c>
      <x:c r="F187" s="38" t="inlineStr">
        <x:is>
          <x:t xml:space="preserve">:= by rfl</x:t>
        </x:is>
      </x:c>
      <x:c r="G187" s="38" t="inlineStr">
        <x:is>
          <x:t xml:space="preserve">DEFINITIONAL_RFL</x:t>
        </x:is>
      </x:c>
      <x:c r="H187" s="39" t="inlineStr">
        <x:is>
          <x:t xml:space="preserve">Proves definitional equality by reduction; useful but narrow.</x:t>
        </x:is>
      </x:c>
    </x:row>
    <x:row r="188" ht="15" customHeight="1">
      <x:c r="A188" s="37" t="inlineStr">
        <x:is>
          <x:t xml:space="preserve">Faith-Thru-Physics-Lean-4--main</x:t>
        </x:is>
      </x:c>
      <x:c r="B188" s="38" t="inlineStr">
        <x:is>
          <x:t xml:space="preserve">Faith-Thru-Physics-Lean-4--main\Faith-Thru-Physics-Lean-4--main\FALL_MECHANICS\Theophysics_Fall.lean</x:t>
        </x:is>
      </x:c>
      <x:c r="C188" s="38" t="inlineStr">
        <x:is>
          <x:t xml:space="preserve">132</x:t>
        </x:is>
      </x:c>
      <x:c r="D188" s="38" t="inlineStr">
        <x:is>
          <x:t xml:space="preserve">grace_floor_requires_fall_activation</x:t>
        </x:is>
      </x:c>
      <x:c r="E188" s="38" t="inlineStr">
        <x:is>
          <x:t xml:space="preserve">theorem grace_floor_requires_fall_activation (m : FallModel) (h : sustainedAfterFall m = true) : fallActivated m = true</x:t>
        </x:is>
      </x:c>
      <x:c r="F188" s="38" t="inlineStr">
        <x:is>
          <x:t xml:space="preserve">:= by cases hf : fallActivated m &lt;;&gt; cases hg : m.externalGraceFloor &lt;;&gt; simp [sustainedAfterFall, hf, hg] at h ⊢</x:t>
        </x:is>
      </x:c>
      <x:c r="G188" s="38" t="inlineStr">
        <x:is>
          <x:t xml:space="preserve">SIMPLIFICATION</x:t>
        </x:is>
      </x:c>
      <x:c r="H188" s="39" t="inlineStr">
        <x:is>
          <x:t xml:space="preserve">Follows by simplification under definitions; check definition strength.</x:t>
        </x:is>
      </x:c>
    </x:row>
    <x:row r="189" ht="15" customHeight="1">
      <x:c r="A189" s="37" t="inlineStr">
        <x:is>
          <x:t xml:space="preserve">Faith-Thru-Physics-Lean-4--main</x:t>
        </x:is>
      </x:c>
      <x:c r="B189" s="38" t="inlineStr">
        <x:is>
          <x:t xml:space="preserve">Faith-Thru-Physics-Lean-4--main\Faith-Thru-Physics-Lean-4--main\FALL_MECHANICS\Theophysics_Fall.lean</x:t>
        </x:is>
      </x:c>
      <x:c r="C189" s="38" t="inlineStr">
        <x:is>
          <x:t xml:space="preserve">138</x:t>
        </x:is>
      </x:c>
      <x:c r="D189" s="38" t="inlineStr">
        <x:is>
          <x:t xml:space="preserve">sustained_after_fall_requires_grace_floor</x:t>
        </x:is>
      </x:c>
      <x:c r="E189" s="38" t="inlineStr">
        <x:is>
          <x:t xml:space="preserve">theorem sustained_after_fall_requires_grace_floor (m : FallModel) (h : sustainedAfterFall m = true) : m.externalGraceFloor = true</x:t>
        </x:is>
      </x:c>
      <x:c r="F189" s="38" t="inlineStr">
        <x:is>
          <x:t xml:space="preserve">:= by cases hf : fallActivated m &lt;;&gt; cases hg : m.externalGraceFloor &lt;;&gt; simp [sustainedAfterFall, hf, hg] at h ⊢</x:t>
        </x:is>
      </x:c>
      <x:c r="G189" s="38" t="inlineStr">
        <x:is>
          <x:t xml:space="preserve">SIMPLIFICATION</x:t>
        </x:is>
      </x:c>
      <x:c r="H189" s="39" t="inlineStr">
        <x:is>
          <x:t xml:space="preserve">Follows by simplification under definitions; check definition strength.</x:t>
        </x:is>
      </x:c>
    </x:row>
    <x:row r="190" ht="15" customHeight="1">
      <x:c r="A190" s="37" t="inlineStr">
        <x:is>
          <x:t xml:space="preserve">Faith-Thru-Physics-Lean-4--main</x:t>
        </x:is>
      </x:c>
      <x:c r="B190" s="38" t="inlineStr">
        <x:is>
          <x:t xml:space="preserve">Faith-Thru-Physics-Lean-4--main\Faith-Thru-Physics-Lean-4--main\FALL_MECHANICS\Theophysics_Fall.lean</x:t>
        </x:is>
      </x:c>
      <x:c r="C190" s="38" t="inlineStr">
        <x:is>
          <x:t xml:space="preserve">144</x:t>
        </x:is>
      </x:c>
      <x:c r="D190" s="38" t="inlineStr">
        <x:is>
          <x:t xml:space="preserve">fall_with_grace_maps_to_repairable_fracture</x:t>
        </x:is>
      </x:c>
      <x:c r="E190" s="38" t="inlineStr">
        <x:is>
          <x:t xml:space="preserve">theorem fall_with_grace_maps_to_repairable_fracture : repairable (fallAsFracture fullFallWithGraceFloor) = true</x:t>
        </x:is>
      </x:c>
      <x:c r="F190" s="38" t="inlineStr">
        <x:is>
          <x:t xml:space="preserve">:= by rfl</x:t>
        </x:is>
      </x:c>
      <x:c r="G190" s="38" t="inlineStr">
        <x:is>
          <x:t xml:space="preserve">DEFINITIONAL_RFL</x:t>
        </x:is>
      </x:c>
      <x:c r="H190" s="39" t="inlineStr">
        <x:is>
          <x:t xml:space="preserve">Proves definitional equality by reduction; useful but narrow.</x:t>
        </x:is>
      </x:c>
    </x:row>
    <x:row r="191" ht="15" customHeight="1">
      <x:c r="A191" s="37" t="inlineStr">
        <x:is>
          <x:t xml:space="preserve">Faith-Thru-Physics-Lean-4--main</x:t>
        </x:is>
      </x:c>
      <x:c r="B191" s="38" t="inlineStr">
        <x:is>
          <x:t xml:space="preserve">Faith-Thru-Physics-Lean-4--main\Faith-Thru-Physics-Lean-4--main\FALL_MECHANICS\Theophysics_Fall.lean</x:t>
        </x:is>
      </x:c>
      <x:c r="C191" s="38" t="inlineStr">
        <x:is>
          <x:t xml:space="preserve">148</x:t>
        </x:is>
      </x:c>
      <x:c r="D191" s="38" t="inlineStr">
        <x:is>
          <x:t xml:space="preserve">fall_without_grace_maps_to_unrepairable_fracture</x:t>
        </x:is>
      </x:c>
      <x:c r="E191" s="38" t="inlineStr">
        <x:is>
          <x:t xml:space="preserve">theorem fall_without_grace_maps_to_unrepairable_fracture : repairable (fallAsFracture fullFallWithoutGraceFloor) = false</x:t>
        </x:is>
      </x:c>
      <x:c r="F191" s="38" t="inlineStr">
        <x:is>
          <x:t xml:space="preserve">:= by rfl</x:t>
        </x:is>
      </x:c>
      <x:c r="G191" s="38" t="inlineStr">
        <x:is>
          <x:t xml:space="preserve">DEFINITIONAL_RFL</x:t>
        </x:is>
      </x:c>
      <x:c r="H191" s="39" t="inlineStr">
        <x:is>
          <x:t xml:space="preserve">Proves definitional equality by reduction; useful but narrow.</x:t>
        </x:is>
      </x:c>
    </x:row>
    <x:row r="192" ht="15" customHeight="1">
      <x:c r="A192" s="37" t="inlineStr">
        <x:is>
          <x:t xml:space="preserve">Faith-Thru-Physics-Lean-4--main</x:t>
        </x:is>
      </x:c>
      <x:c r="B192" s="38" t="inlineStr">
        <x:is>
          <x:t xml:space="preserve">Faith-Thru-Physics-Lean-4--main\Faith-Thru-Physics-Lean-4--main\FALL_MECHANICS\Theophysics_Fall.lean</x:t>
        </x:is>
      </x:c>
      <x:c r="C192" s="38" t="inlineStr">
        <x:is>
          <x:t xml:space="preserve">152</x:t>
        </x:is>
      </x:c>
      <x:c r="D192" s="38" t="inlineStr">
        <x:is>
          <x:t xml:space="preserve">fall_spine_marker</x:t>
        </x:is>
      </x:c>
      <x:c r="E192" s="38" t="inlineStr">
        <x:is>
          <x:t xml:space="preserve">theorem fall_spine_marker : fallActivated preFallCoherence = false ∧ fallActivated separatedOnly = false ∧ fallActivated coupledOnly = false ∧ fallActivated fullFallWithoutGraceFloor = true ∧ sustainedAfterFall fullFallWithoutGraceFloor = false ∧ sustainedAfterFall fullFallWithGraceFloor = true ∧ repairable (fallAsFracture fullFallWithGraceFloor) = true</x:t>
        </x:is>
      </x:c>
      <x:c r="F192" s="38" t="inlineStr">
        <x:is>
          <x:t xml:space="preserve">:= by exact ⟨rfl, rfl, rfl, rfl, rfl, rfl, rfl⟩ end Theophysics.Fall</x:t>
        </x:is>
      </x:c>
      <x:c r="G192" s="38" t="inlineStr">
        <x:is>
          <x:t xml:space="preserve">WRAPPER_OR_IMPORTED</x:t>
        </x:is>
      </x:c>
      <x:c r="H192" s="39" t="inlineStr">
        <x:is>
          <x:t xml:space="preserve">Likely delegates to another theorem; cite underlying theorem too.</x:t>
        </x:is>
      </x:c>
    </x:row>
    <x:row r="193" ht="15" customHeight="1">
      <x:c r="A193" s="37" t="inlineStr">
        <x:is>
          <x:t xml:space="preserve">Faith-Thru-Physics-Lean-4--main</x:t>
        </x:is>
      </x:c>
      <x:c r="B193" s="38" t="inlineStr">
        <x:is>
          <x:t xml:space="preserve">Faith-Thru-Physics-Lean-4--main\Faith-Thru-Physics-Lean-4--main\Final_Lean4_From_Excel.lean</x:t>
        </x:is>
      </x:c>
      <x:c r="C193" s="38" t="inlineStr">
        <x:is>
          <x:t xml:space="preserve">91</x:t>
        </x:is>
      </x:c>
      <x:c r="D193" s="38" t="inlineStr">
        <x:is>
          <x:t xml:space="preserve">G_zero_collapses_chi</x:t>
        </x:is>
      </x:c>
      <x:c r="E193" s="38" t="inlineStr">
        <x:is>
          <x:t xml:space="preserve">theorem G_zero_collapses_chi (x : FactorState) (h : x.G = 0) : chi x = 0</x:t>
        </x:is>
      </x:c>
      <x:c r="F193" s="38" t="inlineStr">
        <x:is>
          <x:t xml:space="preserve">:= by simp [chi, h]</x:t>
        </x:is>
      </x:c>
      <x:c r="G193" s="38" t="inlineStr">
        <x:is>
          <x:t xml:space="preserve">SIMPLIFICATION</x:t>
        </x:is>
      </x:c>
      <x:c r="H193" s="39" t="inlineStr">
        <x:is>
          <x:t xml:space="preserve">Follows by simplification under definitions; check definition strength.</x:t>
        </x:is>
      </x:c>
    </x:row>
    <x:row r="194" ht="15" customHeight="1">
      <x:c r="A194" s="37" t="inlineStr">
        <x:is>
          <x:t xml:space="preserve">Faith-Thru-Physics-Lean-4--main</x:t>
        </x:is>
      </x:c>
      <x:c r="B194" s="38" t="inlineStr">
        <x:is>
          <x:t xml:space="preserve">Faith-Thru-Physics-Lean-4--main\Faith-Thru-Physics-Lean-4--main\Final_Lean4_From_Excel.lean</x:t>
        </x:is>
      </x:c>
      <x:c r="C194" s="38" t="inlineStr">
        <x:is>
          <x:t xml:space="preserve">94</x:t>
        </x:is>
      </x:c>
      <x:c r="D194" s="38" t="inlineStr">
        <x:is>
          <x:t xml:space="preserve">M_zero_collapses_chi</x:t>
        </x:is>
      </x:c>
      <x:c r="E194" s="38" t="inlineStr">
        <x:is>
          <x:t xml:space="preserve">theorem M_zero_collapses_chi (x : FactorState) (h : x.M = 0) : chi x = 0</x:t>
        </x:is>
      </x:c>
      <x:c r="F194" s="38" t="inlineStr">
        <x:is>
          <x:t xml:space="preserve">:= by simp [chi, h]</x:t>
        </x:is>
      </x:c>
      <x:c r="G194" s="38" t="inlineStr">
        <x:is>
          <x:t xml:space="preserve">SIMPLIFICATION</x:t>
        </x:is>
      </x:c>
      <x:c r="H194" s="39" t="inlineStr">
        <x:is>
          <x:t xml:space="preserve">Follows by simplification under definitions; check definition strength.</x:t>
        </x:is>
      </x:c>
    </x:row>
    <x:row r="195" ht="15" customHeight="1">
      <x:c r="A195" s="37" t="inlineStr">
        <x:is>
          <x:t xml:space="preserve">Faith-Thru-Physics-Lean-4--main</x:t>
        </x:is>
      </x:c>
      <x:c r="B195" s="38" t="inlineStr">
        <x:is>
          <x:t xml:space="preserve">Faith-Thru-Physics-Lean-4--main\Faith-Thru-Physics-Lean-4--main\Final_Lean4_From_Excel.lean</x:t>
        </x:is>
      </x:c>
      <x:c r="C195" s="38" t="inlineStr">
        <x:is>
          <x:t xml:space="preserve">97</x:t>
        </x:is>
      </x:c>
      <x:c r="D195" s="38" t="inlineStr">
        <x:is>
          <x:t xml:space="preserve">E_zero_collapses_chi</x:t>
        </x:is>
      </x:c>
      <x:c r="E195" s="38" t="inlineStr">
        <x:is>
          <x:t xml:space="preserve">theorem E_zero_collapses_chi (x : FactorState) (h : x.E = 0) : chi x = 0</x:t>
        </x:is>
      </x:c>
      <x:c r="F195" s="38" t="inlineStr">
        <x:is>
          <x:t xml:space="preserve">:= by simp [chi, h]</x:t>
        </x:is>
      </x:c>
      <x:c r="G195" s="38" t="inlineStr">
        <x:is>
          <x:t xml:space="preserve">SIMPLIFICATION</x:t>
        </x:is>
      </x:c>
      <x:c r="H195" s="39" t="inlineStr">
        <x:is>
          <x:t xml:space="preserve">Follows by simplification under definitions; check definition strength.</x:t>
        </x:is>
      </x:c>
    </x:row>
    <x:row r="196" ht="15" customHeight="1">
      <x:c r="A196" s="37" t="inlineStr">
        <x:is>
          <x:t xml:space="preserve">Faith-Thru-Physics-Lean-4--main</x:t>
        </x:is>
      </x:c>
      <x:c r="B196" s="38" t="inlineStr">
        <x:is>
          <x:t xml:space="preserve">Faith-Thru-Physics-Lean-4--main\Faith-Thru-Physics-Lean-4--main\Final_Lean4_From_Excel.lean</x:t>
        </x:is>
      </x:c>
      <x:c r="C196" s="38" t="inlineStr">
        <x:is>
          <x:t xml:space="preserve">100</x:t>
        </x:is>
      </x:c>
      <x:c r="D196" s="38" t="inlineStr">
        <x:is>
          <x:t xml:space="preserve">S_zero_collapses_chi</x:t>
        </x:is>
      </x:c>
      <x:c r="E196" s="38" t="inlineStr">
        <x:is>
          <x:t xml:space="preserve">theorem S_zero_collapses_chi (x : FactorState) (h : x.S = 0) : chi x = 0</x:t>
        </x:is>
      </x:c>
      <x:c r="F196" s="38" t="inlineStr">
        <x:is>
          <x:t xml:space="preserve">:= by simp [chi, h]</x:t>
        </x:is>
      </x:c>
      <x:c r="G196" s="38" t="inlineStr">
        <x:is>
          <x:t xml:space="preserve">SIMPLIFICATION</x:t>
        </x:is>
      </x:c>
      <x:c r="H196" s="39" t="inlineStr">
        <x:is>
          <x:t xml:space="preserve">Follows by simplification under definitions; check definition strength.</x:t>
        </x:is>
      </x:c>
    </x:row>
    <x:row r="197" ht="15" customHeight="1">
      <x:c r="A197" s="37" t="inlineStr">
        <x:is>
          <x:t xml:space="preserve">Faith-Thru-Physics-Lean-4--main</x:t>
        </x:is>
      </x:c>
      <x:c r="B197" s="38" t="inlineStr">
        <x:is>
          <x:t xml:space="preserve">Faith-Thru-Physics-Lean-4--main\Faith-Thru-Physics-Lean-4--main\Final_Lean4_From_Excel.lean</x:t>
        </x:is>
      </x:c>
      <x:c r="C197" s="38" t="inlineStr">
        <x:is>
          <x:t xml:space="preserve">103</x:t>
        </x:is>
      </x:c>
      <x:c r="D197" s="38" t="inlineStr">
        <x:is>
          <x:t xml:space="preserve">T_zero_collapses_chi</x:t>
        </x:is>
      </x:c>
      <x:c r="E197" s="38" t="inlineStr">
        <x:is>
          <x:t xml:space="preserve">theorem T_zero_collapses_chi (x : FactorState) (h : x.T = 0) : chi x = 0</x:t>
        </x:is>
      </x:c>
      <x:c r="F197" s="38" t="inlineStr">
        <x:is>
          <x:t xml:space="preserve">:= by simp [chi, h]</x:t>
        </x:is>
      </x:c>
      <x:c r="G197" s="38" t="inlineStr">
        <x:is>
          <x:t xml:space="preserve">SIMPLIFICATION</x:t>
        </x:is>
      </x:c>
      <x:c r="H197" s="39" t="inlineStr">
        <x:is>
          <x:t xml:space="preserve">Follows by simplification under definitions; check definition strength.</x:t>
        </x:is>
      </x:c>
    </x:row>
    <x:row r="198" ht="15" customHeight="1">
      <x:c r="A198" s="37" t="inlineStr">
        <x:is>
          <x:t xml:space="preserve">Faith-Thru-Physics-Lean-4--main</x:t>
        </x:is>
      </x:c>
      <x:c r="B198" s="38" t="inlineStr">
        <x:is>
          <x:t xml:space="preserve">Faith-Thru-Physics-Lean-4--main\Faith-Thru-Physics-Lean-4--main\Final_Lean4_From_Excel.lean</x:t>
        </x:is>
      </x:c>
      <x:c r="C198" s="38" t="inlineStr">
        <x:is>
          <x:t xml:space="preserve">106</x:t>
        </x:is>
      </x:c>
      <x:c r="D198" s="38" t="inlineStr">
        <x:is>
          <x:t xml:space="preserve">K_zero_collapses_chi</x:t>
        </x:is>
      </x:c>
      <x:c r="E198" s="38" t="inlineStr">
        <x:is>
          <x:t xml:space="preserve">theorem K_zero_collapses_chi (x : FactorState) (h : x.K = 0) : chi x = 0</x:t>
        </x:is>
      </x:c>
      <x:c r="F198" s="38" t="inlineStr">
        <x:is>
          <x:t xml:space="preserve">:= by simp [chi, h]</x:t>
        </x:is>
      </x:c>
      <x:c r="G198" s="38" t="inlineStr">
        <x:is>
          <x:t xml:space="preserve">SIMPLIFICATION</x:t>
        </x:is>
      </x:c>
      <x:c r="H198" s="39" t="inlineStr">
        <x:is>
          <x:t xml:space="preserve">Follows by simplification under definitions; check definition strength.</x:t>
        </x:is>
      </x:c>
    </x:row>
    <x:row r="199" ht="15" customHeight="1">
      <x:c r="A199" s="37" t="inlineStr">
        <x:is>
          <x:t xml:space="preserve">Faith-Thru-Physics-Lean-4--main</x:t>
        </x:is>
      </x:c>
      <x:c r="B199" s="38" t="inlineStr">
        <x:is>
          <x:t xml:space="preserve">Faith-Thru-Physics-Lean-4--main\Faith-Thru-Physics-Lean-4--main\Final_Lean4_From_Excel.lean</x:t>
        </x:is>
      </x:c>
      <x:c r="C199" s="38" t="inlineStr">
        <x:is>
          <x:t xml:space="preserve">109</x:t>
        </x:is>
      </x:c>
      <x:c r="D199" s="38" t="inlineStr">
        <x:is>
          <x:t xml:space="preserve">R_zero_collapses_chi</x:t>
        </x:is>
      </x:c>
      <x:c r="E199" s="38" t="inlineStr">
        <x:is>
          <x:t xml:space="preserve">theorem R_zero_collapses_chi (x : FactorState) (h : x.R = 0) : chi x = 0</x:t>
        </x:is>
      </x:c>
      <x:c r="F199" s="38" t="inlineStr">
        <x:is>
          <x:t xml:space="preserve">:= by simp [chi, h]</x:t>
        </x:is>
      </x:c>
      <x:c r="G199" s="38" t="inlineStr">
        <x:is>
          <x:t xml:space="preserve">SIMPLIFICATION</x:t>
        </x:is>
      </x:c>
      <x:c r="H199" s="39" t="inlineStr">
        <x:is>
          <x:t xml:space="preserve">Follows by simplification under definitions; check definition strength.</x:t>
        </x:is>
      </x:c>
    </x:row>
    <x:row r="200" ht="15" customHeight="1">
      <x:c r="A200" s="37" t="inlineStr">
        <x:is>
          <x:t xml:space="preserve">Faith-Thru-Physics-Lean-4--main</x:t>
        </x:is>
      </x:c>
      <x:c r="B200" s="38" t="inlineStr">
        <x:is>
          <x:t xml:space="preserve">Faith-Thru-Physics-Lean-4--main\Faith-Thru-Physics-Lean-4--main\Final_Lean4_From_Excel.lean</x:t>
        </x:is>
      </x:c>
      <x:c r="C200" s="38" t="inlineStr">
        <x:is>
          <x:t xml:space="preserve">112</x:t>
        </x:is>
      </x:c>
      <x:c r="D200" s="38" t="inlineStr">
        <x:is>
          <x:t xml:space="preserve">F_zero_collapses_chi</x:t>
        </x:is>
      </x:c>
      <x:c r="E200" s="38" t="inlineStr">
        <x:is>
          <x:t xml:space="preserve">theorem F_zero_collapses_chi (x : FactorState) (h : x.F = 0) : chi x = 0</x:t>
        </x:is>
      </x:c>
      <x:c r="F200" s="38" t="inlineStr">
        <x:is>
          <x:t xml:space="preserve">:= by simp [chi, h]</x:t>
        </x:is>
      </x:c>
      <x:c r="G200" s="38" t="inlineStr">
        <x:is>
          <x:t xml:space="preserve">SIMPLIFICATION</x:t>
        </x:is>
      </x:c>
      <x:c r="H200" s="39" t="inlineStr">
        <x:is>
          <x:t xml:space="preserve">Follows by simplification under definitions; check definition strength.</x:t>
        </x:is>
      </x:c>
    </x:row>
    <x:row r="201" ht="15" customHeight="1">
      <x:c r="A201" s="37" t="inlineStr">
        <x:is>
          <x:t xml:space="preserve">Faith-Thru-Physics-Lean-4--main</x:t>
        </x:is>
      </x:c>
      <x:c r="B201" s="38" t="inlineStr">
        <x:is>
          <x:t xml:space="preserve">Faith-Thru-Physics-Lean-4--main\Faith-Thru-Physics-Lean-4--main\Final_Lean4_From_Excel.lean</x:t>
        </x:is>
      </x:c>
      <x:c r="C201" s="38" t="inlineStr">
        <x:is>
          <x:t xml:space="preserve">115</x:t>
        </x:is>
      </x:c>
      <x:c r="D201" s="38" t="inlineStr">
        <x:is>
          <x:t xml:space="preserve">C_zero_collapses_chi</x:t>
        </x:is>
      </x:c>
      <x:c r="E201" s="38" t="inlineStr">
        <x:is>
          <x:t xml:space="preserve">theorem C_zero_collapses_chi (x : FactorState) (h : x.C = 0) : chi x = 0</x:t>
        </x:is>
      </x:c>
      <x:c r="F201" s="38" t="inlineStr">
        <x:is>
          <x:t xml:space="preserve">:= by simp [chi, h]</x:t>
        </x:is>
      </x:c>
      <x:c r="G201" s="38" t="inlineStr">
        <x:is>
          <x:t xml:space="preserve">SIMPLIFICATION</x:t>
        </x:is>
      </x:c>
      <x:c r="H201" s="39" t="inlineStr">
        <x:is>
          <x:t xml:space="preserve">Follows by simplification under definitions; check definition strength.</x:t>
        </x:is>
      </x:c>
    </x:row>
    <x:row r="202" ht="15" customHeight="1">
      <x:c r="A202" s="37" t="inlineStr">
        <x:is>
          <x:t xml:space="preserve">Faith-Thru-Physics-Lean-4--main</x:t>
        </x:is>
      </x:c>
      <x:c r="B202" s="38" t="inlineStr">
        <x:is>
          <x:t xml:space="preserve">Faith-Thru-Physics-Lean-4--main\Faith-Thru-Physics-Lean-4--main\Final_Lean4_From_Excel.lean</x:t>
        </x:is>
      </x:c>
      <x:c r="C202" s="38" t="inlineStr">
        <x:is>
          <x:t xml:space="preserve">118</x:t>
        </x:is>
      </x:c>
      <x:c r="D202" s="38" t="inlineStr">
        <x:is>
          <x:t xml:space="preserve">R_gate_required</x:t>
        </x:is>
      </x:c>
      <x:c r="E202" s="38" t="inlineStr">
        <x:is>
          <x:t xml:space="preserve">theorem R_gate_required (x : FactorState) : gate x = 0 → chi x = 0 := fun h =&gt; R_zero_collapses_chi x (by simpa [gate] using h)</x:t>
        </x:is>
      </x:c>
      <x:c r="F202" s="38" t="n"/>
      <x:c r="G202" s="38" t="inlineStr">
        <x:is>
          <x:t xml:space="preserve">DECLARATION_OR_UNKNOWN</x:t>
        </x:is>
      </x:c>
      <x:c r="H202" s="39" t="inlineStr">
        <x:is>
          <x:t xml:space="preserve">Could not classify from first proof lines.</x:t>
        </x:is>
      </x:c>
    </x:row>
    <x:row r="203" ht="15" customHeight="1">
      <x:c r="A203" s="37" t="inlineStr">
        <x:is>
          <x:t xml:space="preserve">Faith-Thru-Physics-Lean-4--main</x:t>
        </x:is>
      </x:c>
      <x:c r="B203" s="38" t="inlineStr">
        <x:is>
          <x:t xml:space="preserve">Faith-Thru-Physics-Lean-4--main\Faith-Thru-Physics-Lean-4--main\Final_Lean4_From_Excel.lean</x:t>
        </x:is>
      </x:c>
      <x:c r="C203" s="38" t="inlineStr">
        <x:is>
          <x:t xml:space="preserve">308</x:t>
        </x:is>
      </x:c>
      <x:c r="D203" s="38" t="inlineStr">
        <x:is>
          <x:t xml:space="preserve">cross_is_unique_convergence_configuration</x:t>
        </x:is>
      </x:c>
      <x:c r="E203" s="38" t="inlineStr">
        <x:is>
          <x:t xml:space="preserve">theorem cross_is_unique_convergence_configuration (x : FactorState) : isCross x ↔ x = ⟨1,1,1,1,1,1,1,1,1,1⟩</x:t>
        </x:is>
      </x:c>
      <x:c r="F203" s="38" t="inlineStr">
        <x:is>
          <x:t xml:space="preserve">:= by constructor · intro hx rcases x with ⟨G, M, E, S, T, K, R, Q, F, C⟩ rcases hx with ⟨hG,hM,hE,hS,hT,hK,hR,hQ,hF,hC⟩ simp [isCross] at hG hM hE hS hT hK hR hQ hF hC subst G; subst M; subst E; subst S; subst T; subst K; subst R; subst Q; subst F; subst C rfl · intro hx subst hx simp [isCross]</x:t>
        </x:is>
      </x:c>
      <x:c r="G203" s="38" t="inlineStr">
        <x:is>
          <x:t xml:space="preserve">SIMPLIFICATION</x:t>
        </x:is>
      </x:c>
      <x:c r="H203" s="39" t="inlineStr">
        <x:is>
          <x:t xml:space="preserve">Follows by simplification under definitions; check definition strength.</x:t>
        </x:is>
      </x:c>
    </x:row>
    <x:row r="204" ht="15" customHeight="1">
      <x:c r="A204" s="37" t="inlineStr">
        <x:is>
          <x:t xml:space="preserve">Faith-Thru-Physics-Lean-4--main</x:t>
        </x:is>
      </x:c>
      <x:c r="B204" s="38" t="inlineStr">
        <x:is>
          <x:t xml:space="preserve">Faith-Thru-Physics-Lean-4--main\Faith-Thru-Physics-Lean-4--main\Final_Lean4_From_Excel.lean</x:t>
        </x:is>
      </x:c>
      <x:c r="C204" s="38" t="inlineStr">
        <x:is>
          <x:t xml:space="preserve">321</x:t>
        </x:is>
      </x:c>
      <x:c r="D204" s="38" t="inlineStr">
        <x:is>
          <x:t xml:space="preserve">cross_unique_solution</x:t>
        </x:is>
      </x:c>
      <x:c r="E204" s="38" t="inlineStr">
        <x:is>
          <x:t xml:space="preserve">theorem cross_unique_solution : (∃ x : FactorState, isCross x) ∧ ∀ x y : FactorState, isCross x → isCross y → x = y</x:t>
        </x:is>
      </x:c>
      <x:c r="F204" s="38" t="inlineStr">
        <x:is>
          <x:t xml:space="preserve">:= by constructor · exact ⟨⟨1,1,1,1,1,1,1,1,1,1⟩, by simp [isCross]⟩ · intro x y hx hy exact (cross_is_unique_convergence_configuration x).1 hx ▸ (cross_is_unique_convergence_configuration y).1 hy ▸ rfl ------------------------------------------------------------------------ -- Layer 10 — polarity discipline</x:t>
        </x:is>
      </x:c>
      <x:c r="G204" s="38" t="inlineStr">
        <x:is>
          <x:t xml:space="preserve">WRAPPER_OR_IMPORTED</x:t>
        </x:is>
      </x:c>
      <x:c r="H204" s="39" t="inlineStr">
        <x:is>
          <x:t xml:space="preserve">Likely delegates to another theorem; cite underlying theorem too.</x:t>
        </x:is>
      </x:c>
    </x:row>
    <x:row r="205" ht="15" customHeight="1">
      <x:c r="A205" s="37" t="inlineStr">
        <x:is>
          <x:t xml:space="preserve">Faith-Thru-Physics-Lean-4--main</x:t>
        </x:is>
      </x:c>
      <x:c r="B205" s="38" t="inlineStr">
        <x:is>
          <x:t xml:space="preserve">Faith-Thru-Physics-Lean-4--main\Faith-Thru-Physics-Lean-4--main\Final_Lean4_From_Excel.lean</x:t>
        </x:is>
      </x:c>
      <x:c r="C205" s="38" t="inlineStr">
        <x:is>
          <x:t xml:space="preserve">345</x:t>
        </x:is>
      </x:c>
      <x:c r="D205" s="38" t="inlineStr">
        <x:is>
          <x:t xml:space="preserve">pipeline_all_the_way_through</x:t>
        </x:is>
      </x:c>
      <x:c r="E205" s="38" t="inlineStr">
        <x:is>
          <x:t xml:space="preserve">theorem pipeline_all_the_way_through : (CouplingState.C0 ≠ CouplingState.C1) ∧ chi ⟨1,1,1,1,1,1,1,1,1,1⟩ = 1 ∧ (binaryGate 5 = 0 ∨ binaryGate 5 = 1) ∧ isCross ⟨1,1,1,1,1,1,1,1,1,1⟩</x:t>
        </x:is>
      </x:c>
      <x:c r="F205" s="38" t="inlineStr">
        <x:is>
          <x:t xml:space="preserve">:= by constructor · exact C0_ne_C1 · constructor · exact all_ones_live · constructor · exact binaryGate_zero_or_one 5 · simp [isCross] end Theophysics.Experiment</x:t>
        </x:is>
      </x:c>
      <x:c r="G205" s="38" t="inlineStr">
        <x:is>
          <x:t xml:space="preserve">WRAPPER_OR_IMPORTED</x:t>
        </x:is>
      </x:c>
      <x:c r="H205" s="39" t="inlineStr">
        <x:is>
          <x:t xml:space="preserve">Likely delegates to another theorem; cite underlying theorem too.</x:t>
        </x:is>
      </x:c>
    </x:row>
    <x:row r="206" ht="15" customHeight="1">
      <x:c r="A206" s="37" t="inlineStr">
        <x:is>
          <x:t xml:space="preserve">Faith-Thru-Physics-Lean-4--main</x:t>
        </x:is>
      </x:c>
      <x:c r="B206" s="38" t="inlineStr">
        <x:is>
          <x:t xml:space="preserve">Faith-Thru-Physics-Lean-4--main\Faith-Thru-Physics-Lean-4--main\FRACTURE_HYPOTHESIS\Theophysics_Fracture.lean</x:t>
        </x:is>
      </x:c>
      <x:c r="C206" s="38" t="inlineStr">
        <x:is>
          <x:t xml:space="preserve">102</x:t>
        </x:is>
      </x:c>
      <x:c r="D206" s="38" t="inlineStr">
        <x:is>
          <x:t xml:space="preserve">random_gap_is_not_structured_scar</x:t>
        </x:is>
      </x:c>
      <x:c r="E206" s="38" t="inlineStr">
        <x:is>
          <x:t xml:space="preserve">theorem random_gap_is_not_structured_scar : structuredScar randomGap = false</x:t>
        </x:is>
      </x:c>
      <x:c r="F206" s="38" t="inlineStr">
        <x:is>
          <x:t xml:space="preserve">:= by rfl</x:t>
        </x:is>
      </x:c>
      <x:c r="G206" s="38" t="inlineStr">
        <x:is>
          <x:t xml:space="preserve">DEFINITIONAL_RFL</x:t>
        </x:is>
      </x:c>
      <x:c r="H206" s="39" t="inlineStr">
        <x:is>
          <x:t xml:space="preserve">Proves definitional equality by reduction; useful but narrow.</x:t>
        </x:is>
      </x:c>
    </x:row>
    <x:row r="207" ht="15" customHeight="1">
      <x:c r="A207" s="37" t="inlineStr">
        <x:is>
          <x:t xml:space="preserve">Faith-Thru-Physics-Lean-4--main</x:t>
        </x:is>
      </x:c>
      <x:c r="B207" s="38" t="inlineStr">
        <x:is>
          <x:t xml:space="preserve">Faith-Thru-Physics-Lean-4--main\Faith-Thru-Physics-Lean-4--main\FRACTURE_HYPOTHESIS\Theophysics_Fracture.lean</x:t>
        </x:is>
      </x:c>
      <x:c r="C207" s="38" t="inlineStr">
        <x:is>
          <x:t xml:space="preserve">106</x:t>
        </x:is>
      </x:c>
      <x:c r="D207" s="38" t="inlineStr">
        <x:is>
          <x:t xml:space="preserve">gr_qm_style_scar_is_structured</x:t>
        </x:is>
      </x:c>
      <x:c r="E207" s="38" t="inlineStr">
        <x:is>
          <x:t xml:space="preserve">theorem gr_qm_style_scar_is_structured : structuredScar grQmStyleScar = true</x:t>
        </x:is>
      </x:c>
      <x:c r="F207" s="38" t="inlineStr">
        <x:is>
          <x:t xml:space="preserve">:= by rfl</x:t>
        </x:is>
      </x:c>
      <x:c r="G207" s="38" t="inlineStr">
        <x:is>
          <x:t xml:space="preserve">DEFINITIONAL_RFL</x:t>
        </x:is>
      </x:c>
      <x:c r="H207" s="39" t="inlineStr">
        <x:is>
          <x:t xml:space="preserve">Proves definitional equality by reduction; useful but narrow.</x:t>
        </x:is>
      </x:c>
    </x:row>
    <x:row r="208" ht="15" customHeight="1">
      <x:c r="A208" s="37" t="inlineStr">
        <x:is>
          <x:t xml:space="preserve">Faith-Thru-Physics-Lean-4--main</x:t>
        </x:is>
      </x:c>
      <x:c r="B208" s="38" t="inlineStr">
        <x:is>
          <x:t xml:space="preserve">Faith-Thru-Physics-Lean-4--main\Faith-Thru-Physics-Lean-4--main\FRACTURE_HYPOTHESIS\Theophysics_Fracture.lean</x:t>
        </x:is>
      </x:c>
      <x:c r="C208" s="38" t="inlineStr">
        <x:is>
          <x:t xml:space="preserve">110</x:t>
        </x:is>
      </x:c>
      <x:c r="D208" s="38" t="inlineStr">
        <x:is>
          <x:t xml:space="preserve">global_coherence_alone_is_not_fracture</x:t>
        </x:is>
      </x:c>
      <x:c r="E208" s="38" t="inlineStr">
        <x:is>
          <x:t xml:space="preserve">theorem global_coherence_alone_is_not_fracture : fractured unfracturedCoherence = false</x:t>
        </x:is>
      </x:c>
      <x:c r="F208" s="38" t="inlineStr">
        <x:is>
          <x:t xml:space="preserve">:= by rfl</x:t>
        </x:is>
      </x:c>
      <x:c r="G208" s="38" t="inlineStr">
        <x:is>
          <x:t xml:space="preserve">DEFINITIONAL_RFL</x:t>
        </x:is>
      </x:c>
      <x:c r="H208" s="39" t="inlineStr">
        <x:is>
          <x:t xml:space="preserve">Proves definitional equality by reduction; useful but narrow.</x:t>
        </x:is>
      </x:c>
    </x:row>
    <x:row r="209" ht="15" customHeight="1">
      <x:c r="A209" s="37" t="inlineStr">
        <x:is>
          <x:t xml:space="preserve">Faith-Thru-Physics-Lean-4--main</x:t>
        </x:is>
      </x:c>
      <x:c r="B209" s="38" t="inlineStr">
        <x:is>
          <x:t xml:space="preserve">Faith-Thru-Physics-Lean-4--main\Faith-Thru-Physics-Lean-4--main\FRACTURE_HYPOTHESIS\Theophysics_Fracture.lean</x:t>
        </x:is>
      </x:c>
      <x:c r="C209" s="38" t="inlineStr">
        <x:is>
          <x:t xml:space="preserve">114</x:t>
        </x:is>
      </x:c>
      <x:c r="D209" s="38" t="inlineStr">
        <x:is>
          <x:t xml:space="preserve">local_indeterminacy_alone_is_not_fracture</x:t>
        </x:is>
      </x:c>
      <x:c r="E209" s="38" t="inlineStr">
        <x:is>
          <x:t xml:space="preserve">theorem local_indeterminacy_alone_is_not_fracture : fractured indeterminateOnly = false</x:t>
        </x:is>
      </x:c>
      <x:c r="F209" s="38" t="inlineStr">
        <x:is>
          <x:t xml:space="preserve">:= by rfl</x:t>
        </x:is>
      </x:c>
      <x:c r="G209" s="38" t="inlineStr">
        <x:is>
          <x:t xml:space="preserve">DEFINITIONAL_RFL</x:t>
        </x:is>
      </x:c>
      <x:c r="H209" s="39" t="inlineStr">
        <x:is>
          <x:t xml:space="preserve">Proves definitional equality by reduction; useful but narrow.</x:t>
        </x:is>
      </x:c>
    </x:row>
    <x:row r="210" ht="15" customHeight="1">
      <x:c r="A210" s="37" t="inlineStr">
        <x:is>
          <x:t xml:space="preserve">Faith-Thru-Physics-Lean-4--main</x:t>
        </x:is>
      </x:c>
      <x:c r="B210" s="38" t="inlineStr">
        <x:is>
          <x:t xml:space="preserve">Faith-Thru-Physics-Lean-4--main\Faith-Thru-Physics-Lean-4--main\FRACTURE_HYPOTHESIS\Theophysics_Fracture.lean</x:t>
        </x:is>
      </x:c>
      <x:c r="C210" s="38" t="inlineStr">
        <x:is>
          <x:t xml:space="preserve">118</x:t>
        </x:is>
      </x:c>
      <x:c r="D210" s="38" t="inlineStr">
        <x:is>
          <x:t xml:space="preserve">structured_fracture_is_fractured</x:t>
        </x:is>
      </x:c>
      <x:c r="E210" s="38" t="inlineStr">
        <x:is>
          <x:t xml:space="preserve">theorem structured_fracture_is_fractured : fractured structuredFracture = true</x:t>
        </x:is>
      </x:c>
      <x:c r="F210" s="38" t="inlineStr">
        <x:is>
          <x:t xml:space="preserve">:= by rfl</x:t>
        </x:is>
      </x:c>
      <x:c r="G210" s="38" t="inlineStr">
        <x:is>
          <x:t xml:space="preserve">DEFINITIONAL_RFL</x:t>
        </x:is>
      </x:c>
      <x:c r="H210" s="39" t="inlineStr">
        <x:is>
          <x:t xml:space="preserve">Proves definitional equality by reduction; useful but narrow.</x:t>
        </x:is>
      </x:c>
    </x:row>
    <x:row r="211" ht="15" customHeight="1">
      <x:c r="A211" s="37" t="inlineStr">
        <x:is>
          <x:t xml:space="preserve">Faith-Thru-Physics-Lean-4--main</x:t>
        </x:is>
      </x:c>
      <x:c r="B211" s="38" t="inlineStr">
        <x:is>
          <x:t xml:space="preserve">Faith-Thru-Physics-Lean-4--main\Faith-Thru-Physics-Lean-4--main\FRACTURE_HYPOTHESIS\Theophysics_Fracture.lean</x:t>
        </x:is>
      </x:c>
      <x:c r="C211" s="38" t="inlineStr">
        <x:is>
          <x:t xml:space="preserve">122</x:t>
        </x:is>
      </x:c>
      <x:c r="D211" s="38" t="inlineStr">
        <x:is>
          <x:t xml:space="preserve">fracture_without_restoration_is_not_repairable</x:t>
        </x:is>
      </x:c>
      <x:c r="E211" s="38" t="inlineStr">
        <x:is>
          <x:t xml:space="preserve">theorem fracture_without_restoration_is_not_repairable : repairable structuredFracture = false</x:t>
        </x:is>
      </x:c>
      <x:c r="F211" s="38" t="inlineStr">
        <x:is>
          <x:t xml:space="preserve">:= by rfl</x:t>
        </x:is>
      </x:c>
      <x:c r="G211" s="38" t="inlineStr">
        <x:is>
          <x:t xml:space="preserve">DEFINITIONAL_RFL</x:t>
        </x:is>
      </x:c>
      <x:c r="H211" s="39" t="inlineStr">
        <x:is>
          <x:t xml:space="preserve">Proves definitional equality by reduction; useful but narrow.</x:t>
        </x:is>
      </x:c>
    </x:row>
    <x:row r="212" ht="15" customHeight="1">
      <x:c r="A212" s="37" t="inlineStr">
        <x:is>
          <x:t xml:space="preserve">Faith-Thru-Physics-Lean-4--main</x:t>
        </x:is>
      </x:c>
      <x:c r="B212" s="38" t="inlineStr">
        <x:is>
          <x:t xml:space="preserve">Faith-Thru-Physics-Lean-4--main\Faith-Thru-Physics-Lean-4--main\FRACTURE_HYPOTHESIS\Theophysics_Fracture.lean</x:t>
        </x:is>
      </x:c>
      <x:c r="C212" s="38" t="inlineStr">
        <x:is>
          <x:t xml:space="preserve">126</x:t>
        </x:is>
      </x:c>
      <x:c r="D212" s="38" t="inlineStr">
        <x:is>
          <x:t xml:space="preserve">fracture_with_restoration_is_repairable</x:t>
        </x:is>
      </x:c>
      <x:c r="E212" s="38" t="inlineStr">
        <x:is>
          <x:t xml:space="preserve">theorem fracture_with_restoration_is_repairable : repairable repairableFracture = true</x:t>
        </x:is>
      </x:c>
      <x:c r="F212" s="38" t="inlineStr">
        <x:is>
          <x:t xml:space="preserve">:= by rfl</x:t>
        </x:is>
      </x:c>
      <x:c r="G212" s="38" t="inlineStr">
        <x:is>
          <x:t xml:space="preserve">DEFINITIONAL_RFL</x:t>
        </x:is>
      </x:c>
      <x:c r="H212" s="39" t="inlineStr">
        <x:is>
          <x:t xml:space="preserve">Proves definitional equality by reduction; useful but narrow.</x:t>
        </x:is>
      </x:c>
    </x:row>
    <x:row r="213" ht="15" customHeight="1">
      <x:c r="A213" s="37" t="inlineStr">
        <x:is>
          <x:t xml:space="preserve">Faith-Thru-Physics-Lean-4--main</x:t>
        </x:is>
      </x:c>
      <x:c r="B213" s="38" t="inlineStr">
        <x:is>
          <x:t xml:space="preserve">Faith-Thru-Physics-Lean-4--main\Faith-Thru-Physics-Lean-4--main\FRACTURE_HYPOTHESIS\Theophysics_Fracture.lean</x:t>
        </x:is>
      </x:c>
      <x:c r="C213" s="38" t="inlineStr">
        <x:is>
          <x:t xml:space="preserve">130</x:t>
        </x:is>
      </x:c>
      <x:c r="D213" s="38" t="inlineStr">
        <x:is>
          <x:t xml:space="preserve">repair_requires_fracture</x:t>
        </x:is>
      </x:c>
      <x:c r="E213" s="38" t="inlineStr">
        <x:is>
          <x:t xml:space="preserve">theorem repair_requires_fracture (m : FractureModel) (h : repairable m = true) : fractured m = true</x:t>
        </x:is>
      </x:c>
      <x:c r="F213" s="38" t="inlineStr">
        <x:is>
          <x:t xml:space="preserve">:= by cases hf : fractured m &lt;;&gt; cases hi : m.restorationInput &lt;;&gt; simp [repairable, hf, hi] at h ⊢</x:t>
        </x:is>
      </x:c>
      <x:c r="G213" s="38" t="inlineStr">
        <x:is>
          <x:t xml:space="preserve">SIMPLIFICATION</x:t>
        </x:is>
      </x:c>
      <x:c r="H213" s="39" t="inlineStr">
        <x:is>
          <x:t xml:space="preserve">Follows by simplification under definitions; check definition strength.</x:t>
        </x:is>
      </x:c>
    </x:row>
    <x:row r="214" ht="15" customHeight="1">
      <x:c r="A214" s="37" t="inlineStr">
        <x:is>
          <x:t xml:space="preserve">Faith-Thru-Physics-Lean-4--main</x:t>
        </x:is>
      </x:c>
      <x:c r="B214" s="38" t="inlineStr">
        <x:is>
          <x:t xml:space="preserve">Faith-Thru-Physics-Lean-4--main\Faith-Thru-Physics-Lean-4--main\FRACTURE_HYPOTHESIS\Theophysics_Fracture.lean</x:t>
        </x:is>
      </x:c>
      <x:c r="C214" s="38" t="inlineStr">
        <x:is>
          <x:t xml:space="preserve">136</x:t>
        </x:is>
      </x:c>
      <x:c r="D214" s="38" t="inlineStr">
        <x:is>
          <x:t xml:space="preserve">repair_requires_restoration_input</x:t>
        </x:is>
      </x:c>
      <x:c r="E214" s="38" t="inlineStr">
        <x:is>
          <x:t xml:space="preserve">theorem repair_requires_restoration_input (m : FractureModel) (h : repairable m = true) : m.restorationInput = true</x:t>
        </x:is>
      </x:c>
      <x:c r="F214" s="38" t="inlineStr">
        <x:is>
          <x:t xml:space="preserve">:= by cases hf : fractured m &lt;;&gt; cases hi : m.restorationInput &lt;;&gt; simp [repairable, hf, hi] at h ⊢</x:t>
        </x:is>
      </x:c>
      <x:c r="G214" s="38" t="inlineStr">
        <x:is>
          <x:t xml:space="preserve">SIMPLIFICATION</x:t>
        </x:is>
      </x:c>
      <x:c r="H214" s="39" t="inlineStr">
        <x:is>
          <x:t xml:space="preserve">Follows by simplification under definitions; check definition strength.</x:t>
        </x:is>
      </x:c>
    </x:row>
    <x:row r="215" ht="15" customHeight="1">
      <x:c r="A215" s="37" t="inlineStr">
        <x:is>
          <x:t xml:space="preserve">Faith-Thru-Physics-Lean-4--main</x:t>
        </x:is>
      </x:c>
      <x:c r="B215" s="38" t="inlineStr">
        <x:is>
          <x:t xml:space="preserve">Faith-Thru-Physics-Lean-4--main\Faith-Thru-Physics-Lean-4--main\FRACTURE_HYPOTHESIS\Theophysics_Fracture.lean</x:t>
        </x:is>
      </x:c>
      <x:c r="C215" s="38" t="inlineStr">
        <x:is>
          <x:t xml:space="preserve">142</x:t>
        </x:is>
      </x:c>
      <x:c r="D215" s="38" t="inlineStr">
        <x:is>
          <x:t xml:space="preserve">science_of_gaps_marker</x:t>
        </x:is>
      </x:c>
      <x:c r="E215" s="38" t="inlineStr">
        <x:is>
          <x:t xml:space="preserve">theorem science_of_gaps_marker : structuredScar randomGap = false ∧ structuredScar grQmStyleScar = true ∧ fractured indeterminateOnly = false ∧ fractured structuredFracture = true ∧ repairable structuredFracture = false ∧ repairable repairableFracture = true</x:t>
        </x:is>
      </x:c>
      <x:c r="F215" s="38" t="inlineStr">
        <x:is>
          <x:t xml:space="preserve">:= by exact ⟨rfl, rfl, rfl, rfl, rfl, rfl⟩ end Theophysics.Fracture</x:t>
        </x:is>
      </x:c>
      <x:c r="G215" s="38" t="inlineStr">
        <x:is>
          <x:t xml:space="preserve">WRAPPER_OR_IMPORTED</x:t>
        </x:is>
      </x:c>
      <x:c r="H215" s="39" t="inlineStr">
        <x:is>
          <x:t xml:space="preserve">Likely delegates to another theorem; cite underlying theorem too.</x:t>
        </x:is>
      </x:c>
    </x:row>
    <x:row r="216" ht="15" customHeight="1">
      <x:c r="A216" s="37" t="inlineStr">
        <x:is>
          <x:t xml:space="preserve">Faith-Thru-Physics-Lean-4--main</x:t>
        </x:is>
      </x:c>
      <x:c r="B216" s="38" t="inlineStr">
        <x:is>
          <x:t xml:space="preserve">Faith-Thru-Physics-Lean-4--main\Faith-Thru-Physics-Lean-4--main\GRACE_PROPERTIES\COPY_PASTE_LEAN4.lean</x:t>
        </x:is>
      </x:c>
      <x:c r="C216" s="38" t="inlineStr">
        <x:is>
          <x:t xml:space="preserve">37</x:t>
        </x:is>
      </x:c>
      <x:c r="D216" s="38" t="inlineStr">
        <x:is>
          <x:t xml:space="preserve">listProd_eq_zero_of_mem_zero</x:t>
        </x:is>
      </x:c>
      <x:c r="E216" s="38" t="inlineStr">
        <x:is>
          <x:t xml:space="preserve">theorem listProd_eq_zero_of_mem_zero : ∀ xs : List α, A.zero ∈ xs → listProd xs = A.zero</x:t>
        </x:is>
      </x:c>
      <x:c r="F216" s="38" t="inlineStr">
        <x:is>
          <x:t xml:space="preserve">:= by intro xs h induction xs with | nil =&gt; cases h | cons x xs ih =&gt; dsimp [listProd] cases h with | head =&gt; exact A.zero_mul (listProd xs) | tail _ htail =&gt; rw [ih htail] exact A.mul_zero x</x:t>
        </x:is>
      </x:c>
      <x:c r="G216" s="38" t="inlineStr">
        <x:is>
          <x:t xml:space="preserve">WRAPPER_OR_IMPORTED</x:t>
        </x:is>
      </x:c>
      <x:c r="H216" s="39" t="inlineStr">
        <x:is>
          <x:t xml:space="preserve">Likely delegates to another theorem; cite underlying theorem too.</x:t>
        </x:is>
      </x:c>
    </x:row>
    <x:row r="217" ht="15" customHeight="1">
      <x:c r="A217" s="37" t="inlineStr">
        <x:is>
          <x:t xml:space="preserve">Faith-Thru-Physics-Lean-4--main</x:t>
        </x:is>
      </x:c>
      <x:c r="B217" s="38" t="inlineStr">
        <x:is>
          <x:t xml:space="preserve">Faith-Thru-Physics-Lean-4--main\Faith-Thru-Physics-Lean-4--main\GRACE_PROPERTIES\COPY_PASTE_LEAN4.lean</x:t>
        </x:is>
      </x:c>
      <x:c r="C217" s="38" t="inlineStr">
        <x:is>
          <x:t xml:space="preserve">50</x:t>
        </x:is>
      </x:c>
      <x:c r="D217" s="38" t="inlineStr">
        <x:is>
          <x:t xml:space="preserve">mem_zero_of_listProd_eq_zero</x:t>
        </x:is>
      </x:c>
      <x:c r="E217" s="38" t="inlineStr">
        <x:is>
          <x:t xml:space="preserve">theorem mem_zero_of_listProd_eq_zero : ∀ xs : List α, listProd xs = A.zero → A.zero ∈ xs</x:t>
        </x:is>
      </x:c>
      <x:c r="F217" s="38" t="inlineStr">
        <x:is>
          <x:t xml:space="preserve">:= by intro xs h induction xs with | nil =&gt; dsimp [listProd] at h exact False.elim (A.one_ne_zero h) | cons x xs ih =&gt; dsimp [listProd] at h have hz := A.no_zero_divisors x (listProd xs) h cases hz with | inl hx =&gt; rw [hx] exact List.Mem.head xs | inr hxs =&gt; exact List.Mem.tail x (ih hxs)</x:t>
        </x:is>
      </x:c>
      <x:c r="G217" s="38" t="inlineStr">
        <x:is>
          <x:t xml:space="preserve">WRAPPER_OR_IMPORTED</x:t>
        </x:is>
      </x:c>
      <x:c r="H217" s="39" t="inlineStr">
        <x:is>
          <x:t xml:space="preserve">Likely delegates to another theorem; cite underlying theorem too.</x:t>
        </x:is>
      </x:c>
    </x:row>
    <x:row r="218" ht="15" customHeight="1">
      <x:c r="A218" s="37" t="inlineStr">
        <x:is>
          <x:t xml:space="preserve">Faith-Thru-Physics-Lean-4--main</x:t>
        </x:is>
      </x:c>
      <x:c r="B218" s="38" t="inlineStr">
        <x:is>
          <x:t xml:space="preserve">Faith-Thru-Physics-Lean-4--main\Faith-Thru-Physics-Lean-4--main\GRACE_PROPERTIES\COPY_PASTE_LEAN4.lean</x:t>
        </x:is>
      </x:c>
      <x:c r="C218" s="38" t="inlineStr">
        <x:is>
          <x:t xml:space="preserve">67</x:t>
        </x:is>
      </x:c>
      <x:c r="D218" s="38" t="inlineStr">
        <x:is>
          <x:t xml:space="preserve">listProd_eq_zero_iff</x:t>
        </x:is>
      </x:c>
      <x:c r="E218" s="38" t="inlineStr">
        <x:is>
          <x:t xml:space="preserve">theorem listProd_eq_zero_iff (xs : List α) : listProd xs = A.zero ↔ A.zero ∈ xs := Iff.intro (mem_zero_of_listProd_eq_zero xs) (listProd_eq_zero_of_mem_zero xs) end CoherenceAlgebra inductive Regime where | constructive | destructive deriving DecidableEq, Repr def grace : Regime → Regime | Regime.constructive =&gt; Regime.constructive | Regime.destructive =&gt; Regime.constructive</x:t>
        </x:is>
      </x:c>
      <x:c r="F218" s="38" t="n"/>
      <x:c r="G218" s="38" t="inlineStr">
        <x:is>
          <x:t xml:space="preserve">DECLARATION_OR_UNKNOWN</x:t>
        </x:is>
      </x:c>
      <x:c r="H218" s="39" t="inlineStr">
        <x:is>
          <x:t xml:space="preserve">Could not classify from first proof lines.</x:t>
        </x:is>
      </x:c>
    </x:row>
    <x:row r="219" ht="15" customHeight="1">
      <x:c r="A219" s="37" t="inlineStr">
        <x:is>
          <x:t xml:space="preserve">Faith-Thru-Physics-Lean-4--main</x:t>
        </x:is>
      </x:c>
      <x:c r="B219" s="38" t="inlineStr">
        <x:is>
          <x:t xml:space="preserve">Faith-Thru-Physics-Lean-4--main\Faith-Thru-Physics-Lean-4--main\GRACE_PROPERTIES\COPY_PASTE_LEAN4.lean</x:t>
        </x:is>
      </x:c>
      <x:c r="C219" s="38" t="inlineStr">
        <x:is>
          <x:t xml:space="preserve">82</x:t>
        </x:is>
      </x:c>
      <x:c r="D219" s="38" t="inlineStr">
        <x:is>
          <x:t xml:space="preserve">grace_idempotent</x:t>
        </x:is>
      </x:c>
      <x:c r="E219" s="38" t="inlineStr">
        <x:is>
          <x:t xml:space="preserve">theorem grace_idempotent (r : Regime) : grace (grace r) = grace r</x:t>
        </x:is>
      </x:c>
      <x:c r="F219" s="38" t="inlineStr">
        <x:is>
          <x:t xml:space="preserve">:= by cases r &lt;;&gt; rfl</x:t>
        </x:is>
      </x:c>
      <x:c r="G219" s="38" t="inlineStr">
        <x:is>
          <x:t xml:space="preserve">SUBSTANTIVE_OR_CASE_PROOF</x:t>
        </x:is>
      </x:c>
      <x:c r="H219" s="39" t="inlineStr">
        <x:is>
          <x:t xml:space="preserve">Appears to contain an actual proof body; inspect before public citation.</x:t>
        </x:is>
      </x:c>
    </x:row>
    <x:row r="220" ht="15" customHeight="1">
      <x:c r="A220" s="37" t="inlineStr">
        <x:is>
          <x:t xml:space="preserve">Faith-Thru-Physics-Lean-4--main</x:t>
        </x:is>
      </x:c>
      <x:c r="B220" s="38" t="inlineStr">
        <x:is>
          <x:t xml:space="preserve">Faith-Thru-Physics-Lean-4--main\Faith-Thru-Physics-Lean-4--main\GRACE_PROPERTIES\COPY_PASTE_LEAN4.lean</x:t>
        </x:is>
      </x:c>
      <x:c r="C220" s="38" t="inlineStr">
        <x:is>
          <x:t xml:space="preserve">86</x:t>
        </x:is>
      </x:c>
      <x:c r="D220" s="38" t="inlineStr">
        <x:is>
          <x:t xml:space="preserve">grace_not_left_invertible</x:t>
        </x:is>
      </x:c>
      <x:c r="E220" s="38" t="inlineStr">
        <x:is>
          <x:t xml:space="preserve">theorem grace_not_left_invertible : ¬ ∃ f : Regime → Regime, ∀ r : Regime, f (grace r) = r</x:t>
        </x:is>
      </x:c>
      <x:c r="F220" s="38" t="inlineStr">
        <x:is>
          <x:t xml:space="preserve">:= by intro h rcases h with ⟨f, hf⟩ have hc := hf Regime.constructive have hd := hf Regime.destructive dsimp [grace] at hc hd rw [hc] at hd contradiction inductive Fruit where | love | joy | peace | patience | kindness | goodness | faithfulness | gentleness | selfControl deriving DecidableEq, Repr namespace Fruit def all : List Fruit := [love, joy, peace, patience, kindness, goodness, faithfulness, gentleness, selfControl]</x:t>
        </x:is>
      </x:c>
      <x:c r="G220" s="38" t="inlineStr">
        <x:is>
          <x:t xml:space="preserve">WRAPPER_OR_IMPORTED</x:t>
        </x:is>
      </x:c>
      <x:c r="H220" s="39" t="inlineStr">
        <x:is>
          <x:t xml:space="preserve">Likely delegates to another theorem; cite underlying theorem too.</x:t>
        </x:is>
      </x:c>
    </x:row>
    <x:row r="221" ht="15" customHeight="1">
      <x:c r="A221" s="37" t="inlineStr">
        <x:is>
          <x:t xml:space="preserve">Faith-Thru-Physics-Lean-4--main</x:t>
        </x:is>
      </x:c>
      <x:c r="B221" s="38" t="inlineStr">
        <x:is>
          <x:t xml:space="preserve">Faith-Thru-Physics-Lean-4--main\Faith-Thru-Physics-Lean-4--main\GRACE_PROPERTIES\COPY_PASTE_LEAN4.lean</x:t>
        </x:is>
      </x:c>
      <x:c r="C221" s="38" t="inlineStr">
        <x:is>
          <x:t xml:space="preserve">105</x:t>
        </x:is>
      </x:c>
      <x:c r="D221" s="38" t="inlineStr">
        <x:is>
          <x:t xml:space="preserve">count</x:t>
        </x:is>
      </x:c>
      <x:c r="E221" s="38" t="inlineStr">
        <x:is>
          <x:t xml:space="preserve">theorem count : all.length = 9</x:t>
        </x:is>
      </x:c>
      <x:c r="F221" s="38" t="inlineStr">
        <x:is>
          <x:t xml:space="preserve">:= by rfl</x:t>
        </x:is>
      </x:c>
      <x:c r="G221" s="38" t="inlineStr">
        <x:is>
          <x:t xml:space="preserve">DEFINITIONAL_RFL</x:t>
        </x:is>
      </x:c>
      <x:c r="H221" s="39" t="inlineStr">
        <x:is>
          <x:t xml:space="preserve">Proves definitional equality by reduction; useful but narrow.</x:t>
        </x:is>
      </x:c>
    </x:row>
    <x:row r="222" ht="15" customHeight="1">
      <x:c r="A222" s="37" t="inlineStr">
        <x:is>
          <x:t xml:space="preserve">Faith-Thru-Physics-Lean-4--main</x:t>
        </x:is>
      </x:c>
      <x:c r="B222" s="38" t="inlineStr">
        <x:is>
          <x:t xml:space="preserve">Faith-Thru-Physics-Lean-4--main\Faith-Thru-Physics-Lean-4--main\GRACE_PROPERTIES\COPY_PASTE_LEAN4.lean</x:t>
        </x:is>
      </x:c>
      <x:c r="C222" s="38" t="inlineStr">
        <x:is>
          <x:t xml:space="preserve">108</x:t>
        </x:is>
      </x:c>
      <x:c r="D222" s="38" t="inlineStr">
        <x:is>
          <x:t xml:space="preserve">no_duplicates</x:t>
        </x:is>
      </x:c>
      <x:c r="E222" s="38" t="inlineStr">
        <x:is>
          <x:t xml:space="preserve">theorem no_duplicates : all.Nodup</x:t>
        </x:is>
      </x:c>
      <x:c r="F222" s="38" t="inlineStr">
        <x:is>
          <x:t xml:space="preserve">:= by decide end Fruit structure FruitProfile where manifest : Fruit → Bool namespace FruitProfile def allManifest (p : FruitProfile) : Prop := ∀ f : Fruit, p.manifest f = true def gate (p : FruitProfile) : Bool := Fruit.all.all p.manifest</x:t>
        </x:is>
      </x:c>
      <x:c r="G222" s="38" t="inlineStr">
        <x:is>
          <x:t xml:space="preserve">WRAPPER_OR_IMPORTED</x:t>
        </x:is>
      </x:c>
      <x:c r="H222" s="39" t="inlineStr">
        <x:is>
          <x:t xml:space="preserve">Likely delegates to another theorem; cite underlying theorem too.</x:t>
        </x:is>
      </x:c>
    </x:row>
    <x:row r="223" ht="15" customHeight="1">
      <x:c r="A223" s="37" t="inlineStr">
        <x:is>
          <x:t xml:space="preserve">Faith-Thru-Physics-Lean-4--main</x:t>
        </x:is>
      </x:c>
      <x:c r="B223" s="38" t="inlineStr">
        <x:is>
          <x:t xml:space="preserve">Faith-Thru-Physics-Lean-4--main\Faith-Thru-Physics-Lean-4--main\GRACE_PROPERTIES\COPY_PASTE_LEAN4.lean</x:t>
        </x:is>
      </x:c>
      <x:c r="C223" s="38" t="inlineStr">
        <x:is>
          <x:t xml:space="preserve">124</x:t>
        </x:is>
      </x:c>
      <x:c r="D223" s="38" t="inlineStr">
        <x:is>
          <x:t xml:space="preserve">gate_true_of_allManifest</x:t>
        </x:is>
      </x:c>
      <x:c r="E223" s="38" t="inlineStr">
        <x:is>
          <x:t xml:space="preserve">theorem gate_true_of_allManifest (p : FruitProfile) (h : p.allManifest) : p.gate = true</x:t>
        </x:is>
      </x:c>
      <x:c r="F223" s="38" t="inlineStr">
        <x:is>
          <x:t xml:space="preserve">:= by unfold gate simp [Fruit.all, allManifest] at h ⊢ exact ⟨h Fruit.love, h Fruit.joy, h Fruit.peace, h Fruit.patience, h Fruit.kindness, h Fruit.goodness, h Fruit.faithfulness, h Fruit.gentleness, h Fruit.selfControl⟩</x:t>
        </x:is>
      </x:c>
      <x:c r="G223" s="38" t="inlineStr">
        <x:is>
          <x:t xml:space="preserve">WRAPPER_OR_IMPORTED</x:t>
        </x:is>
      </x:c>
      <x:c r="H223" s="39" t="inlineStr">
        <x:is>
          <x:t xml:space="preserve">Likely delegates to another theorem; cite underlying theorem too.</x:t>
        </x:is>
      </x:c>
    </x:row>
    <x:row r="224" ht="15" customHeight="1">
      <x:c r="A224" s="37" t="inlineStr">
        <x:is>
          <x:t xml:space="preserve">Faith-Thru-Physics-Lean-4--main</x:t>
        </x:is>
      </x:c>
      <x:c r="B224" s="38" t="inlineStr">
        <x:is>
          <x:t xml:space="preserve">Faith-Thru-Physics-Lean-4--main\Faith-Thru-Physics-Lean-4--main\GRACE_PROPERTIES\COPY_PASTE_LEAN4.lean</x:t>
        </x:is>
      </x:c>
      <x:c r="C224" s="38" t="inlineStr">
        <x:is>
          <x:t xml:space="preserve">133</x:t>
        </x:is>
      </x:c>
      <x:c r="D224" s="38" t="inlineStr">
        <x:is>
          <x:t xml:space="preserve">gate_false_of_missing_love</x:t>
        </x:is>
      </x:c>
      <x:c r="E224" s="38" t="inlineStr">
        <x:is>
          <x:t xml:space="preserve">theorem gate_false_of_missing_love (p : FruitProfile) (h : p.manifest Fruit.love = false) : p.gate = false</x:t>
        </x:is>
      </x:c>
      <x:c r="F224" s="38" t="inlineStr">
        <x:is>
          <x:t xml:space="preserve">:= by unfold gate simp [Fruit.all, h] end FruitProfile structure ZeroPreservingOperator (α : Type u) [Zero α] where apply : α → α preserves_zero : apply 0 = 0</x:t>
        </x:is>
      </x:c>
      <x:c r="G224" s="38" t="inlineStr">
        <x:is>
          <x:t xml:space="preserve">WRAPPER_OR_IMPORTED</x:t>
        </x:is>
      </x:c>
      <x:c r="H224" s="39" t="inlineStr">
        <x:is>
          <x:t xml:space="preserve">Likely delegates to another theorem; cite underlying theorem too.</x:t>
        </x:is>
      </x:c>
    </x:row>
    <x:row r="225" ht="15" customHeight="1">
      <x:c r="A225" s="37" t="inlineStr">
        <x:is>
          <x:t xml:space="preserve">Faith-Thru-Physics-Lean-4--main</x:t>
        </x:is>
      </x:c>
      <x:c r="B225" s="38" t="inlineStr">
        <x:is>
          <x:t xml:space="preserve">Faith-Thru-Physics-Lean-4--main\Faith-Thru-Physics-Lean-4--main\GRACE_PROPERTIES\COPY_PASTE_LEAN4.lean</x:t>
        </x:is>
      </x:c>
      <x:c r="C225" s="38" t="inlineStr">
        <x:is>
          <x:t xml:space="preserve">145</x:t>
        </x:is>
      </x:c>
      <x:c r="D225" s="38" t="inlineStr">
        <x:is>
          <x:t xml:space="preserve">zero_preserving_operator_cannot_rescue</x:t>
        </x:is>
      </x:c>
      <x:c r="E225" s="38" t="inlineStr">
        <x:is>
          <x:t xml:space="preserve">theorem zero_preserving_operator_cannot_rescue {α : Type u} [Zero α] (op : ZeroPreservingOperator α) : op.apply 0 = 0 := op.preserves_zero end Theophysics.CopyPaste</x:t>
        </x:is>
      </x:c>
      <x:c r="F225" s="38" t="n"/>
      <x:c r="G225" s="38" t="inlineStr">
        <x:is>
          <x:t xml:space="preserve">DECLARATION_OR_UNKNOWN</x:t>
        </x:is>
      </x:c>
      <x:c r="H225" s="39" t="inlineStr">
        <x:is>
          <x:t xml:space="preserve">Could not classify from first proof lines.</x:t>
        </x:is>
      </x:c>
    </x:row>
    <x:row r="226" ht="15" customHeight="1">
      <x:c r="A226" s="37" t="inlineStr">
        <x:is>
          <x:t xml:space="preserve">Faith-Thru-Physics-Lean-4--main</x:t>
        </x:is>
      </x:c>
      <x:c r="B226" s="38" t="inlineStr">
        <x:is>
          <x:t xml:space="preserve">Faith-Thru-Physics-Lean-4--main\Faith-Thru-Physics-Lean-4--main\MASTER_EQUATION\Final_Lean4_From_Excel.lean</x:t>
        </x:is>
      </x:c>
      <x:c r="C226" s="38" t="inlineStr">
        <x:is>
          <x:t xml:space="preserve">91</x:t>
        </x:is>
      </x:c>
      <x:c r="D226" s="38" t="inlineStr">
        <x:is>
          <x:t xml:space="preserve">G_zero_collapses_chi</x:t>
        </x:is>
      </x:c>
      <x:c r="E226" s="38" t="inlineStr">
        <x:is>
          <x:t xml:space="preserve">theorem G_zero_collapses_chi (x : FactorState) (h : x.G = 0) : chi x = 0</x:t>
        </x:is>
      </x:c>
      <x:c r="F226" s="38" t="inlineStr">
        <x:is>
          <x:t xml:space="preserve">:= by simp [chi, h]</x:t>
        </x:is>
      </x:c>
      <x:c r="G226" s="38" t="inlineStr">
        <x:is>
          <x:t xml:space="preserve">SIMPLIFICATION</x:t>
        </x:is>
      </x:c>
      <x:c r="H226" s="39" t="inlineStr">
        <x:is>
          <x:t xml:space="preserve">Follows by simplification under definitions; check definition strength.</x:t>
        </x:is>
      </x:c>
    </x:row>
    <x:row r="227" ht="15" customHeight="1">
      <x:c r="A227" s="37" t="inlineStr">
        <x:is>
          <x:t xml:space="preserve">Faith-Thru-Physics-Lean-4--main</x:t>
        </x:is>
      </x:c>
      <x:c r="B227" s="38" t="inlineStr">
        <x:is>
          <x:t xml:space="preserve">Faith-Thru-Physics-Lean-4--main\Faith-Thru-Physics-Lean-4--main\MASTER_EQUATION\Final_Lean4_From_Excel.lean</x:t>
        </x:is>
      </x:c>
      <x:c r="C227" s="38" t="inlineStr">
        <x:is>
          <x:t xml:space="preserve">94</x:t>
        </x:is>
      </x:c>
      <x:c r="D227" s="38" t="inlineStr">
        <x:is>
          <x:t xml:space="preserve">M_zero_collapses_chi</x:t>
        </x:is>
      </x:c>
      <x:c r="E227" s="38" t="inlineStr">
        <x:is>
          <x:t xml:space="preserve">theorem M_zero_collapses_chi (x : FactorState) (h : x.M = 0) : chi x = 0</x:t>
        </x:is>
      </x:c>
      <x:c r="F227" s="38" t="inlineStr">
        <x:is>
          <x:t xml:space="preserve">:= by simp [chi, h]</x:t>
        </x:is>
      </x:c>
      <x:c r="G227" s="38" t="inlineStr">
        <x:is>
          <x:t xml:space="preserve">SIMPLIFICATION</x:t>
        </x:is>
      </x:c>
      <x:c r="H227" s="39" t="inlineStr">
        <x:is>
          <x:t xml:space="preserve">Follows by simplification under definitions; check definition strength.</x:t>
        </x:is>
      </x:c>
    </x:row>
    <x:row r="228" ht="15" customHeight="1">
      <x:c r="A228" s="37" t="inlineStr">
        <x:is>
          <x:t xml:space="preserve">Faith-Thru-Physics-Lean-4--main</x:t>
        </x:is>
      </x:c>
      <x:c r="B228" s="38" t="inlineStr">
        <x:is>
          <x:t xml:space="preserve">Faith-Thru-Physics-Lean-4--main\Faith-Thru-Physics-Lean-4--main\MASTER_EQUATION\Final_Lean4_From_Excel.lean</x:t>
        </x:is>
      </x:c>
      <x:c r="C228" s="38" t="inlineStr">
        <x:is>
          <x:t xml:space="preserve">97</x:t>
        </x:is>
      </x:c>
      <x:c r="D228" s="38" t="inlineStr">
        <x:is>
          <x:t xml:space="preserve">E_zero_collapses_chi</x:t>
        </x:is>
      </x:c>
      <x:c r="E228" s="38" t="inlineStr">
        <x:is>
          <x:t xml:space="preserve">theorem E_zero_collapses_chi (x : FactorState) (h : x.E = 0) : chi x = 0</x:t>
        </x:is>
      </x:c>
      <x:c r="F228" s="38" t="inlineStr">
        <x:is>
          <x:t xml:space="preserve">:= by simp [chi, h]</x:t>
        </x:is>
      </x:c>
      <x:c r="G228" s="38" t="inlineStr">
        <x:is>
          <x:t xml:space="preserve">SIMPLIFICATION</x:t>
        </x:is>
      </x:c>
      <x:c r="H228" s="39" t="inlineStr">
        <x:is>
          <x:t xml:space="preserve">Follows by simplification under definitions; check definition strength.</x:t>
        </x:is>
      </x:c>
    </x:row>
    <x:row r="229" ht="15" customHeight="1">
      <x:c r="A229" s="37" t="inlineStr">
        <x:is>
          <x:t xml:space="preserve">Faith-Thru-Physics-Lean-4--main</x:t>
        </x:is>
      </x:c>
      <x:c r="B229" s="38" t="inlineStr">
        <x:is>
          <x:t xml:space="preserve">Faith-Thru-Physics-Lean-4--main\Faith-Thru-Physics-Lean-4--main\MASTER_EQUATION\Final_Lean4_From_Excel.lean</x:t>
        </x:is>
      </x:c>
      <x:c r="C229" s="38" t="inlineStr">
        <x:is>
          <x:t xml:space="preserve">100</x:t>
        </x:is>
      </x:c>
      <x:c r="D229" s="38" t="inlineStr">
        <x:is>
          <x:t xml:space="preserve">S_zero_collapses_chi</x:t>
        </x:is>
      </x:c>
      <x:c r="E229" s="38" t="inlineStr">
        <x:is>
          <x:t xml:space="preserve">theorem S_zero_collapses_chi (x : FactorState) (h : x.S = 0) : chi x = 0</x:t>
        </x:is>
      </x:c>
      <x:c r="F229" s="38" t="inlineStr">
        <x:is>
          <x:t xml:space="preserve">:= by simp [chi, h]</x:t>
        </x:is>
      </x:c>
      <x:c r="G229" s="38" t="inlineStr">
        <x:is>
          <x:t xml:space="preserve">SIMPLIFICATION</x:t>
        </x:is>
      </x:c>
      <x:c r="H229" s="39" t="inlineStr">
        <x:is>
          <x:t xml:space="preserve">Follows by simplification under definitions; check definition strength.</x:t>
        </x:is>
      </x:c>
    </x:row>
    <x:row r="230" ht="15" customHeight="1">
      <x:c r="A230" s="37" t="inlineStr">
        <x:is>
          <x:t xml:space="preserve">Faith-Thru-Physics-Lean-4--main</x:t>
        </x:is>
      </x:c>
      <x:c r="B230" s="38" t="inlineStr">
        <x:is>
          <x:t xml:space="preserve">Faith-Thru-Physics-Lean-4--main\Faith-Thru-Physics-Lean-4--main\MASTER_EQUATION\Final_Lean4_From_Excel.lean</x:t>
        </x:is>
      </x:c>
      <x:c r="C230" s="38" t="inlineStr">
        <x:is>
          <x:t xml:space="preserve">103</x:t>
        </x:is>
      </x:c>
      <x:c r="D230" s="38" t="inlineStr">
        <x:is>
          <x:t xml:space="preserve">T_zero_collapses_chi</x:t>
        </x:is>
      </x:c>
      <x:c r="E230" s="38" t="inlineStr">
        <x:is>
          <x:t xml:space="preserve">theorem T_zero_collapses_chi (x : FactorState) (h : x.T = 0) : chi x = 0</x:t>
        </x:is>
      </x:c>
      <x:c r="F230" s="38" t="inlineStr">
        <x:is>
          <x:t xml:space="preserve">:= by simp [chi, h]</x:t>
        </x:is>
      </x:c>
      <x:c r="G230" s="38" t="inlineStr">
        <x:is>
          <x:t xml:space="preserve">SIMPLIFICATION</x:t>
        </x:is>
      </x:c>
      <x:c r="H230" s="39" t="inlineStr">
        <x:is>
          <x:t xml:space="preserve">Follows by simplification under definitions; check definition strength.</x:t>
        </x:is>
      </x:c>
    </x:row>
    <x:row r="231" ht="15" customHeight="1">
      <x:c r="A231" s="37" t="inlineStr">
        <x:is>
          <x:t xml:space="preserve">Faith-Thru-Physics-Lean-4--main</x:t>
        </x:is>
      </x:c>
      <x:c r="B231" s="38" t="inlineStr">
        <x:is>
          <x:t xml:space="preserve">Faith-Thru-Physics-Lean-4--main\Faith-Thru-Physics-Lean-4--main\MASTER_EQUATION\Final_Lean4_From_Excel.lean</x:t>
        </x:is>
      </x:c>
      <x:c r="C231" s="38" t="inlineStr">
        <x:is>
          <x:t xml:space="preserve">106</x:t>
        </x:is>
      </x:c>
      <x:c r="D231" s="38" t="inlineStr">
        <x:is>
          <x:t xml:space="preserve">K_zero_collapses_chi</x:t>
        </x:is>
      </x:c>
      <x:c r="E231" s="38" t="inlineStr">
        <x:is>
          <x:t xml:space="preserve">theorem K_zero_collapses_chi (x : FactorState) (h : x.K = 0) : chi x = 0</x:t>
        </x:is>
      </x:c>
      <x:c r="F231" s="38" t="inlineStr">
        <x:is>
          <x:t xml:space="preserve">:= by simp [chi, h]</x:t>
        </x:is>
      </x:c>
      <x:c r="G231" s="38" t="inlineStr">
        <x:is>
          <x:t xml:space="preserve">SIMPLIFICATION</x:t>
        </x:is>
      </x:c>
      <x:c r="H231" s="39" t="inlineStr">
        <x:is>
          <x:t xml:space="preserve">Follows by simplification under definitions; check definition strength.</x:t>
        </x:is>
      </x:c>
    </x:row>
    <x:row r="232" ht="15" customHeight="1">
      <x:c r="A232" s="37" t="inlineStr">
        <x:is>
          <x:t xml:space="preserve">Faith-Thru-Physics-Lean-4--main</x:t>
        </x:is>
      </x:c>
      <x:c r="B232" s="38" t="inlineStr">
        <x:is>
          <x:t xml:space="preserve">Faith-Thru-Physics-Lean-4--main\Faith-Thru-Physics-Lean-4--main\MASTER_EQUATION\Final_Lean4_From_Excel.lean</x:t>
        </x:is>
      </x:c>
      <x:c r="C232" s="38" t="inlineStr">
        <x:is>
          <x:t xml:space="preserve">109</x:t>
        </x:is>
      </x:c>
      <x:c r="D232" s="38" t="inlineStr">
        <x:is>
          <x:t xml:space="preserve">R_zero_collapses_chi</x:t>
        </x:is>
      </x:c>
      <x:c r="E232" s="38" t="inlineStr">
        <x:is>
          <x:t xml:space="preserve">theorem R_zero_collapses_chi (x : FactorState) (h : x.R = 0) : chi x = 0</x:t>
        </x:is>
      </x:c>
      <x:c r="F232" s="38" t="inlineStr">
        <x:is>
          <x:t xml:space="preserve">:= by simp [chi, h]</x:t>
        </x:is>
      </x:c>
      <x:c r="G232" s="38" t="inlineStr">
        <x:is>
          <x:t xml:space="preserve">SIMPLIFICATION</x:t>
        </x:is>
      </x:c>
      <x:c r="H232" s="39" t="inlineStr">
        <x:is>
          <x:t xml:space="preserve">Follows by simplification under definitions; check definition strength.</x:t>
        </x:is>
      </x:c>
    </x:row>
    <x:row r="233" ht="15" customHeight="1">
      <x:c r="A233" s="37" t="inlineStr">
        <x:is>
          <x:t xml:space="preserve">Faith-Thru-Physics-Lean-4--main</x:t>
        </x:is>
      </x:c>
      <x:c r="B233" s="38" t="inlineStr">
        <x:is>
          <x:t xml:space="preserve">Faith-Thru-Physics-Lean-4--main\Faith-Thru-Physics-Lean-4--main\MASTER_EQUATION\Final_Lean4_From_Excel.lean</x:t>
        </x:is>
      </x:c>
      <x:c r="C233" s="38" t="inlineStr">
        <x:is>
          <x:t xml:space="preserve">112</x:t>
        </x:is>
      </x:c>
      <x:c r="D233" s="38" t="inlineStr">
        <x:is>
          <x:t xml:space="preserve">F_zero_collapses_chi</x:t>
        </x:is>
      </x:c>
      <x:c r="E233" s="38" t="inlineStr">
        <x:is>
          <x:t xml:space="preserve">theorem F_zero_collapses_chi (x : FactorState) (h : x.F = 0) : chi x = 0</x:t>
        </x:is>
      </x:c>
      <x:c r="F233" s="38" t="inlineStr">
        <x:is>
          <x:t xml:space="preserve">:= by simp [chi, h]</x:t>
        </x:is>
      </x:c>
      <x:c r="G233" s="38" t="inlineStr">
        <x:is>
          <x:t xml:space="preserve">SIMPLIFICATION</x:t>
        </x:is>
      </x:c>
      <x:c r="H233" s="39" t="inlineStr">
        <x:is>
          <x:t xml:space="preserve">Follows by simplification under definitions; check definition strength.</x:t>
        </x:is>
      </x:c>
    </x:row>
    <x:row r="234" ht="15" customHeight="1">
      <x:c r="A234" s="37" t="inlineStr">
        <x:is>
          <x:t xml:space="preserve">Faith-Thru-Physics-Lean-4--main</x:t>
        </x:is>
      </x:c>
      <x:c r="B234" s="38" t="inlineStr">
        <x:is>
          <x:t xml:space="preserve">Faith-Thru-Physics-Lean-4--main\Faith-Thru-Physics-Lean-4--main\MASTER_EQUATION\Final_Lean4_From_Excel.lean</x:t>
        </x:is>
      </x:c>
      <x:c r="C234" s="38" t="inlineStr">
        <x:is>
          <x:t xml:space="preserve">115</x:t>
        </x:is>
      </x:c>
      <x:c r="D234" s="38" t="inlineStr">
        <x:is>
          <x:t xml:space="preserve">C_zero_collapses_chi</x:t>
        </x:is>
      </x:c>
      <x:c r="E234" s="38" t="inlineStr">
        <x:is>
          <x:t xml:space="preserve">theorem C_zero_collapses_chi (x : FactorState) (h : x.C = 0) : chi x = 0</x:t>
        </x:is>
      </x:c>
      <x:c r="F234" s="38" t="inlineStr">
        <x:is>
          <x:t xml:space="preserve">:= by simp [chi, h]</x:t>
        </x:is>
      </x:c>
      <x:c r="G234" s="38" t="inlineStr">
        <x:is>
          <x:t xml:space="preserve">SIMPLIFICATION</x:t>
        </x:is>
      </x:c>
      <x:c r="H234" s="39" t="inlineStr">
        <x:is>
          <x:t xml:space="preserve">Follows by simplification under definitions; check definition strength.</x:t>
        </x:is>
      </x:c>
    </x:row>
    <x:row r="235" ht="15" customHeight="1">
      <x:c r="A235" s="37" t="inlineStr">
        <x:is>
          <x:t xml:space="preserve">Faith-Thru-Physics-Lean-4--main</x:t>
        </x:is>
      </x:c>
      <x:c r="B235" s="38" t="inlineStr">
        <x:is>
          <x:t xml:space="preserve">Faith-Thru-Physics-Lean-4--main\Faith-Thru-Physics-Lean-4--main\MASTER_EQUATION\Final_Lean4_From_Excel.lean</x:t>
        </x:is>
      </x:c>
      <x:c r="C235" s="38" t="inlineStr">
        <x:is>
          <x:t xml:space="preserve">118</x:t>
        </x:is>
      </x:c>
      <x:c r="D235" s="38" t="inlineStr">
        <x:is>
          <x:t xml:space="preserve">R_gate_required</x:t>
        </x:is>
      </x:c>
      <x:c r="E235" s="38" t="inlineStr">
        <x:is>
          <x:t xml:space="preserve">theorem R_gate_required (x : FactorState) : gate x = 0 → chi x = 0 := fun h =&gt; R_zero_collapses_chi x (by simpa [gate] using h)</x:t>
        </x:is>
      </x:c>
      <x:c r="F235" s="38" t="n"/>
      <x:c r="G235" s="38" t="inlineStr">
        <x:is>
          <x:t xml:space="preserve">DECLARATION_OR_UNKNOWN</x:t>
        </x:is>
      </x:c>
      <x:c r="H235" s="39" t="inlineStr">
        <x:is>
          <x:t xml:space="preserve">Could not classify from first proof lines.</x:t>
        </x:is>
      </x:c>
    </x:row>
    <x:row r="236" ht="15" customHeight="1">
      <x:c r="A236" s="37" t="inlineStr">
        <x:is>
          <x:t xml:space="preserve">Faith-Thru-Physics-Lean-4--main</x:t>
        </x:is>
      </x:c>
      <x:c r="B236" s="38" t="inlineStr">
        <x:is>
          <x:t xml:space="preserve">Faith-Thru-Physics-Lean-4--main\Faith-Thru-Physics-Lean-4--main\MASTER_EQUATION\Final_Lean4_From_Excel.lean</x:t>
        </x:is>
      </x:c>
      <x:c r="C236" s="38" t="inlineStr">
        <x:is>
          <x:t xml:space="preserve">308</x:t>
        </x:is>
      </x:c>
      <x:c r="D236" s="38" t="inlineStr">
        <x:is>
          <x:t xml:space="preserve">cross_is_unique_convergence_configuration</x:t>
        </x:is>
      </x:c>
      <x:c r="E236" s="38" t="inlineStr">
        <x:is>
          <x:t xml:space="preserve">theorem cross_is_unique_convergence_configuration (x : FactorState) : isCross x ↔ x = ⟨1,1,1,1,1,1,1,1,1,1⟩</x:t>
        </x:is>
      </x:c>
      <x:c r="F236" s="38" t="inlineStr">
        <x:is>
          <x:t xml:space="preserve">:= by constructor · intro hx rcases x with ⟨G, M, E, S, T, K, R, Q, F, C⟩ rcases hx with ⟨hG,hM,hE,hS,hT,hK,hR,hQ,hF,hC⟩ simp [isCross] at hG hM hE hS hT hK hR hQ hF hC subst G; subst M; subst E; subst S; subst T; subst K; subst R; subst Q; subst F; subst C rfl · intro hx subst hx simp [isCross]</x:t>
        </x:is>
      </x:c>
      <x:c r="G236" s="38" t="inlineStr">
        <x:is>
          <x:t xml:space="preserve">SIMPLIFICATION</x:t>
        </x:is>
      </x:c>
      <x:c r="H236" s="39" t="inlineStr">
        <x:is>
          <x:t xml:space="preserve">Follows by simplification under definitions; check definition strength.</x:t>
        </x:is>
      </x:c>
    </x:row>
    <x:row r="237" ht="15" customHeight="1">
      <x:c r="A237" s="37" t="inlineStr">
        <x:is>
          <x:t xml:space="preserve">Faith-Thru-Physics-Lean-4--main</x:t>
        </x:is>
      </x:c>
      <x:c r="B237" s="38" t="inlineStr">
        <x:is>
          <x:t xml:space="preserve">Faith-Thru-Physics-Lean-4--main\Faith-Thru-Physics-Lean-4--main\MASTER_EQUATION\Final_Lean4_From_Excel.lean</x:t>
        </x:is>
      </x:c>
      <x:c r="C237" s="38" t="inlineStr">
        <x:is>
          <x:t xml:space="preserve">321</x:t>
        </x:is>
      </x:c>
      <x:c r="D237" s="38" t="inlineStr">
        <x:is>
          <x:t xml:space="preserve">cross_unique_solution</x:t>
        </x:is>
      </x:c>
      <x:c r="E237" s="38" t="inlineStr">
        <x:is>
          <x:t xml:space="preserve">theorem cross_unique_solution : (∃ x : FactorState, isCross x) ∧ ∀ x y : FactorState, isCross x → isCross y → x = y</x:t>
        </x:is>
      </x:c>
      <x:c r="F237" s="38" t="inlineStr">
        <x:is>
          <x:t xml:space="preserve">:= by constructor · exact ⟨⟨1,1,1,1,1,1,1,1,1,1⟩, by simp [isCross]⟩ · intro x y hx hy exact (cross_is_unique_convergence_configuration x).1 hx ▸ (cross_is_unique_convergence_configuration y).1 hy ▸ rfl ------------------------------------------------------------------------ -- Layer 10 — polarity discipline</x:t>
        </x:is>
      </x:c>
      <x:c r="G237" s="38" t="inlineStr">
        <x:is>
          <x:t xml:space="preserve">WRAPPER_OR_IMPORTED</x:t>
        </x:is>
      </x:c>
      <x:c r="H237" s="39" t="inlineStr">
        <x:is>
          <x:t xml:space="preserve">Likely delegates to another theorem; cite underlying theorem too.</x:t>
        </x:is>
      </x:c>
    </x:row>
    <x:row r="238" ht="15" customHeight="1">
      <x:c r="A238" s="37" t="inlineStr">
        <x:is>
          <x:t xml:space="preserve">Faith-Thru-Physics-Lean-4--main</x:t>
        </x:is>
      </x:c>
      <x:c r="B238" s="38" t="inlineStr">
        <x:is>
          <x:t xml:space="preserve">Faith-Thru-Physics-Lean-4--main\Faith-Thru-Physics-Lean-4--main\MASTER_EQUATION\Final_Lean4_From_Excel.lean</x:t>
        </x:is>
      </x:c>
      <x:c r="C238" s="38" t="inlineStr">
        <x:is>
          <x:t xml:space="preserve">345</x:t>
        </x:is>
      </x:c>
      <x:c r="D238" s="38" t="inlineStr">
        <x:is>
          <x:t xml:space="preserve">pipeline_all_the_way_through</x:t>
        </x:is>
      </x:c>
      <x:c r="E238" s="38" t="inlineStr">
        <x:is>
          <x:t xml:space="preserve">theorem pipeline_all_the_way_through : (CouplingState.C0 ≠ CouplingState.C1) ∧ chi ⟨1,1,1,1,1,1,1,1,1,1⟩ = 1 ∧ (binaryGate 5 = 0 ∨ binaryGate 5 = 1) ∧ isCross ⟨1,1,1,1,1,1,1,1,1,1⟩</x:t>
        </x:is>
      </x:c>
      <x:c r="F238" s="38" t="inlineStr">
        <x:is>
          <x:t xml:space="preserve">:= by constructor · exact C0_ne_C1 · constructor · exact all_ones_live · constructor · exact binaryGate_zero_or_one 5 · simp [isCross] end Theophysics.Experiment</x:t>
        </x:is>
      </x:c>
      <x:c r="G238" s="38" t="inlineStr">
        <x:is>
          <x:t xml:space="preserve">WRAPPER_OR_IMPORTED</x:t>
        </x:is>
      </x:c>
      <x:c r="H238" s="39" t="inlineStr">
        <x:is>
          <x:t xml:space="preserve">Likely delegates to another theorem; cite underlying theorem too.</x:t>
        </x:is>
      </x:c>
    </x:row>
    <x:row r="239" ht="15" customHeight="1">
      <x:c r="A239" s="37" t="inlineStr">
        <x:is>
          <x:t xml:space="preserve">Faith-Thru-Physics-Lean-4--main</x:t>
        </x:is>
      </x:c>
      <x:c r="B239" s="38" t="inlineStr">
        <x:is>
          <x:t xml:space="preserve">Faith-Thru-Physics-Lean-4--main\Faith-Thru-Physics-Lean-4--main\MASTER_EQUATION\Theophysics_Core.lean</x:t>
        </x:is>
      </x:c>
      <x:c r="C239" s="38" t="inlineStr">
        <x:is>
          <x:t xml:space="preserve">54</x:t>
        </x:is>
      </x:c>
      <x:c r="D239" s="38" t="inlineStr">
        <x:is>
          <x:t xml:space="preserve">coherence_spine_rejects_mere_order</x:t>
        </x:is>
      </x:c>
      <x:c r="E239" s="38" t="inlineStr">
        <x:is>
          <x:t xml:space="preserve">theorem coherence_spine_rejects_mere_order : ∃ p : CoherenceProfile, merelyOrdered p = true ∧ coherent p = false := Theophysics.Coherence.mere_order_does_not_imply_full_coherence</x:t>
        </x:is>
      </x:c>
      <x:c r="F239" s="38" t="n"/>
      <x:c r="G239" s="38" t="inlineStr">
        <x:is>
          <x:t xml:space="preserve">DECLARATION_OR_UNKNOWN</x:t>
        </x:is>
      </x:c>
      <x:c r="H239" s="39" t="inlineStr">
        <x:is>
          <x:t xml:space="preserve">Could not classify from first proof lines.</x:t>
        </x:is>
      </x:c>
    </x:row>
    <x:row r="240" ht="15" customHeight="1">
      <x:c r="A240" s="37" t="inlineStr">
        <x:is>
          <x:t xml:space="preserve">Faith-Thru-Physics-Lean-4--main</x:t>
        </x:is>
      </x:c>
      <x:c r="B240" s="38" t="inlineStr">
        <x:is>
          <x:t xml:space="preserve">Faith-Thru-Physics-Lean-4--main\Faith-Thru-Physics-Lean-4--main\MASTER_EQUATION\Theophysics_Core.lean</x:t>
        </x:is>
      </x:c>
      <x:c r="C240" s="38" t="inlineStr">
        <x:is>
          <x:t xml:space="preserve">57</x:t>
        </x:is>
      </x:c>
      <x:c r="D240" s="38" t="inlineStr">
        <x:is>
          <x:t xml:space="preserve">passive_decay_is_not_moral_agency</x:t>
        </x:is>
      </x:c>
      <x:c r="E240" s="38" t="inlineStr">
        <x:is>
          <x:t xml:space="preserve">theorem passive_decay_is_not_moral_agency : isActiveDiscoherence passiveEntropySlope = false := Theophysics.Coherence.passive_decay_is_not_active_discoherence</x:t>
        </x:is>
      </x:c>
      <x:c r="F240" s="38" t="n"/>
      <x:c r="G240" s="38" t="inlineStr">
        <x:is>
          <x:t xml:space="preserve">DECLARATION_OR_UNKNOWN</x:t>
        </x:is>
      </x:c>
      <x:c r="H240" s="39" t="inlineStr">
        <x:is>
          <x:t xml:space="preserve">Could not classify from first proof lines.</x:t>
        </x:is>
      </x:c>
    </x:row>
    <x:row r="241" ht="15" customHeight="1">
      <x:c r="A241" s="37" t="inlineStr">
        <x:is>
          <x:t xml:space="preserve">Faith-Thru-Physics-Lean-4--main</x:t>
        </x:is>
      </x:c>
      <x:c r="B241" s="38" t="inlineStr">
        <x:is>
          <x:t xml:space="preserve">Faith-Thru-Physics-Lean-4--main\Faith-Thru-Physics-Lean-4--main\MASTER_EQUATION\Theophysics_Core.lean</x:t>
        </x:is>
      </x:c>
      <x:c r="C241" s="38" t="inlineStr">
        <x:is>
          <x:t xml:space="preserve">60</x:t>
        </x:is>
      </x:c>
      <x:c r="D241" s="38" t="inlineStr">
        <x:is>
          <x:t xml:space="preserve">restoration_needs_open_system_input_cost_and_memory</x:t>
        </x:is>
      </x:c>
      <x:c r="E241" s="38" t="inlineStr">
        <x:is>
          <x:t xml:space="preserve">theorem restoration_needs_open_system_input_cost_and_memory (m : RestorationModel) (h : canRestore m = true) : m.boundary = SystemBoundary.open ∧ m.externalInput = true ∧ m.repairCostPaid = true ∧ m.informationPreserved = true</x:t>
        </x:is>
      </x:c>
      <x:c r="F241" s="38" t="inlineStr">
        <x:is>
          <x:t xml:space="preserve">:= by exact ⟨ Theophysics.Coherence.restoration_requires_open_boundary m h, Theophysics.Coherence.restoration_requires_external_input m h, Theophysics.Coherence.restoration_requires_paid_cost m h, Theophysics.Coherence.restoration_requires_information_preservation m h ⟩</x:t>
        </x:is>
      </x:c>
      <x:c r="G241" s="38" t="inlineStr">
        <x:is>
          <x:t xml:space="preserve">WRAPPER_OR_IMPORTED</x:t>
        </x:is>
      </x:c>
      <x:c r="H241" s="39" t="inlineStr">
        <x:is>
          <x:t xml:space="preserve">Likely delegates to another theorem; cite underlying theorem too.</x:t>
        </x:is>
      </x:c>
    </x:row>
    <x:row r="242" ht="15" customHeight="1">
      <x:c r="A242" s="37" t="inlineStr">
        <x:is>
          <x:t xml:space="preserve">Faith-Thru-Physics-Lean-4--main</x:t>
        </x:is>
      </x:c>
      <x:c r="B242" s="38" t="inlineStr">
        <x:is>
          <x:t xml:space="preserve">Faith-Thru-Physics-Lean-4--main\Faith-Thru-Physics-Lean-4--main\MASTER_EQUATION\Theophysics_Core.lean</x:t>
        </x:is>
      </x:c>
      <x:c r="C242" s="38" t="inlineStr">
        <x:is>
          <x:t xml:space="preserve">72</x:t>
        </x:is>
      </x:c>
      <x:c r="D242" s="38" t="inlineStr">
        <x:is>
          <x:t xml:space="preserve">fracture_spine_rejects_random_gap</x:t>
        </x:is>
      </x:c>
      <x:c r="E242" s="38" t="inlineStr">
        <x:is>
          <x:t xml:space="preserve">theorem fracture_spine_rejects_random_gap : structuredScar randomGap = false := Theophysics.Fracture.random_gap_is_not_structured_scar</x:t>
        </x:is>
      </x:c>
      <x:c r="F242" s="38" t="n"/>
      <x:c r="G242" s="38" t="inlineStr">
        <x:is>
          <x:t xml:space="preserve">DECLARATION_OR_UNKNOWN</x:t>
        </x:is>
      </x:c>
      <x:c r="H242" s="39" t="inlineStr">
        <x:is>
          <x:t xml:space="preserve">Could not classify from first proof lines.</x:t>
        </x:is>
      </x:c>
    </x:row>
    <x:row r="243" ht="15" customHeight="1">
      <x:c r="A243" s="37" t="inlineStr">
        <x:is>
          <x:t xml:space="preserve">Faith-Thru-Physics-Lean-4--main</x:t>
        </x:is>
      </x:c>
      <x:c r="B243" s="38" t="inlineStr">
        <x:is>
          <x:t xml:space="preserve">Faith-Thru-Physics-Lean-4--main\Faith-Thru-Physics-Lean-4--main\MASTER_EQUATION\Theophysics_Core.lean</x:t>
        </x:is>
      </x:c>
      <x:c r="C243" s="38" t="inlineStr">
        <x:is>
          <x:t xml:space="preserve">75</x:t>
        </x:is>
      </x:c>
      <x:c r="D243" s="38" t="inlineStr">
        <x:is>
          <x:t xml:space="preserve">fracture_spine_accepts_structured_scar</x:t>
        </x:is>
      </x:c>
      <x:c r="E243" s="38" t="inlineStr">
        <x:is>
          <x:t xml:space="preserve">theorem fracture_spine_accepts_structured_scar : structuredScar grQmStyleScar = true := Theophysics.Fracture.gr_qm_style_scar_is_structured</x:t>
        </x:is>
      </x:c>
      <x:c r="F243" s="38" t="n"/>
      <x:c r="G243" s="38" t="inlineStr">
        <x:is>
          <x:t xml:space="preserve">DECLARATION_OR_UNKNOWN</x:t>
        </x:is>
      </x:c>
      <x:c r="H243" s="39" t="inlineStr">
        <x:is>
          <x:t xml:space="preserve">Could not classify from first proof lines.</x:t>
        </x:is>
      </x:c>
    </x:row>
    <x:row r="244" ht="15" customHeight="1">
      <x:c r="A244" s="37" t="inlineStr">
        <x:is>
          <x:t xml:space="preserve">Faith-Thru-Physics-Lean-4--main</x:t>
        </x:is>
      </x:c>
      <x:c r="B244" s="38" t="inlineStr">
        <x:is>
          <x:t xml:space="preserve">Faith-Thru-Physics-Lean-4--main\Faith-Thru-Physics-Lean-4--main\MASTER_EQUATION\Theophysics_Core.lean</x:t>
        </x:is>
      </x:c>
      <x:c r="C244" s="38" t="inlineStr">
        <x:is>
          <x:t xml:space="preserve">78</x:t>
        </x:is>
      </x:c>
      <x:c r="D244" s="38" t="inlineStr">
        <x:is>
          <x:t xml:space="preserve">fracture_repair_requires_restoration_input</x:t>
        </x:is>
      </x:c>
      <x:c r="E244" s="38" t="inlineStr">
        <x:is>
          <x:t xml:space="preserve">theorem fracture_repair_requires_restoration_input (m : FractureModel) (h : repairable m = true) : m.restorationInput = true := Theophysics.Fracture.repair_requires_restoration_input m h</x:t>
        </x:is>
      </x:c>
      <x:c r="F244" s="38" t="n"/>
      <x:c r="G244" s="38" t="inlineStr">
        <x:is>
          <x:t xml:space="preserve">DECLARATION_OR_UNKNOWN</x:t>
        </x:is>
      </x:c>
      <x:c r="H244" s="39" t="inlineStr">
        <x:is>
          <x:t xml:space="preserve">Could not classify from first proof lines.</x:t>
        </x:is>
      </x:c>
    </x:row>
    <x:row r="245" ht="15" customHeight="1">
      <x:c r="A245" s="37" t="inlineStr">
        <x:is>
          <x:t xml:space="preserve">Faith-Thru-Physics-Lean-4--main</x:t>
        </x:is>
      </x:c>
      <x:c r="B245" s="38" t="inlineStr">
        <x:is>
          <x:t xml:space="preserve">Faith-Thru-Physics-Lean-4--main\Faith-Thru-Physics-Lean-4--main\MASTER_EQUATION\Theophysics_Core.lean</x:t>
        </x:is>
      </x:c>
      <x:c r="C245" s="38" t="inlineStr">
        <x:is>
          <x:t xml:space="preserve">82</x:t>
        </x:is>
      </x:c>
      <x:c r="D245" s="38" t="inlineStr">
        <x:is>
          <x:t xml:space="preserve">fall_spine_rejects_separation_only</x:t>
        </x:is>
      </x:c>
      <x:c r="E245" s="38" t="inlineStr">
        <x:is>
          <x:t xml:space="preserve">theorem fall_spine_rejects_separation_only : fallActivated separatedOnly = false := Theophysics.Fall.separation_alone_is_not_fall</x:t>
        </x:is>
      </x:c>
      <x:c r="F245" s="38" t="n"/>
      <x:c r="G245" s="38" t="inlineStr">
        <x:is>
          <x:t xml:space="preserve">DECLARATION_OR_UNKNOWN</x:t>
        </x:is>
      </x:c>
      <x:c r="H245" s="39" t="inlineStr">
        <x:is>
          <x:t xml:space="preserve">Could not classify from first proof lines.</x:t>
        </x:is>
      </x:c>
    </x:row>
    <x:row r="246" ht="15" customHeight="1">
      <x:c r="A246" s="37" t="inlineStr">
        <x:is>
          <x:t xml:space="preserve">Faith-Thru-Physics-Lean-4--main</x:t>
        </x:is>
      </x:c>
      <x:c r="B246" s="38" t="inlineStr">
        <x:is>
          <x:t xml:space="preserve">Faith-Thru-Physics-Lean-4--main\Faith-Thru-Physics-Lean-4--main\MASTER_EQUATION\Theophysics_Core.lean</x:t>
        </x:is>
      </x:c>
      <x:c r="C246" s="38" t="inlineStr">
        <x:is>
          <x:t xml:space="preserve">85</x:t>
        </x:is>
      </x:c>
      <x:c r="D246" s="38" t="inlineStr">
        <x:is>
          <x:t xml:space="preserve">fall_spine_requires_entanglement_after_coupling</x:t>
        </x:is>
      </x:c>
      <x:c r="E246" s="38" t="inlineStr">
        <x:is>
          <x:t xml:space="preserve">theorem fall_spine_requires_entanglement_after_coupling : fallActivated coupledOnly = false := Theophysics.Fall.coupling_without_entanglement_is_not_fall</x:t>
        </x:is>
      </x:c>
      <x:c r="F246" s="38" t="n"/>
      <x:c r="G246" s="38" t="inlineStr">
        <x:is>
          <x:t xml:space="preserve">DECLARATION_OR_UNKNOWN</x:t>
        </x:is>
      </x:c>
      <x:c r="H246" s="39" t="inlineStr">
        <x:is>
          <x:t xml:space="preserve">Could not classify from first proof lines.</x:t>
        </x:is>
      </x:c>
    </x:row>
    <x:row r="247" ht="15" customHeight="1">
      <x:c r="A247" s="37" t="inlineStr">
        <x:is>
          <x:t xml:space="preserve">Faith-Thru-Physics-Lean-4--main</x:t>
        </x:is>
      </x:c>
      <x:c r="B247" s="38" t="inlineStr">
        <x:is>
          <x:t xml:space="preserve">Faith-Thru-Physics-Lean-4--main\Faith-Thru-Physics-Lean-4--main\MASTER_EQUATION\Theophysics_Core.lean</x:t>
        </x:is>
      </x:c>
      <x:c r="C247" s="38" t="inlineStr">
        <x:is>
          <x:t xml:space="preserve">88</x:t>
        </x:is>
      </x:c>
      <x:c r="D247" s="38" t="inlineStr">
        <x:is>
          <x:t xml:space="preserve">fall_spine_grace_floor_sustains</x:t>
        </x:is>
      </x:c>
      <x:c r="E247" s="38" t="inlineStr">
        <x:is>
          <x:t xml:space="preserve">theorem fall_spine_grace_floor_sustains : sustainedAfterFall fullFallWithGraceFloor = true := Theophysics.Fall.full_fall_with_grace_is_sustained</x:t>
        </x:is>
      </x:c>
      <x:c r="F247" s="38" t="n"/>
      <x:c r="G247" s="38" t="inlineStr">
        <x:is>
          <x:t xml:space="preserve">DECLARATION_OR_UNKNOWN</x:t>
        </x:is>
      </x:c>
      <x:c r="H247" s="39" t="inlineStr">
        <x:is>
          <x:t xml:space="preserve">Could not classify from first proof lines.</x:t>
        </x:is>
      </x:c>
    </x:row>
    <x:row r="248" ht="15" customHeight="1">
      <x:c r="A248" s="37" t="inlineStr">
        <x:is>
          <x:t xml:space="preserve">Faith-Thru-Physics-Lean-4--main</x:t>
        </x:is>
      </x:c>
      <x:c r="B248" s="38" t="inlineStr">
        <x:is>
          <x:t xml:space="preserve">Faith-Thru-Physics-Lean-4--main\Faith-Thru-Physics-Lean-4--main\MASTER_EQUATION\Theophysics_Core.lean</x:t>
        </x:is>
      </x:c>
      <x:c r="C248" s="38" t="inlineStr">
        <x:is>
          <x:t xml:space="preserve">91</x:t>
        </x:is>
      </x:c>
      <x:c r="D248" s="38" t="inlineStr">
        <x:is>
          <x:t xml:space="preserve">chi_evaluator_rejects_coercion_gate</x:t>
        </x:is>
      </x:c>
      <x:c r="E248" s="38" t="inlineStr">
        <x:is>
          <x:t xml:space="preserve">theorem chi_evaluator_rejects_coercion_gate : collapsed coerciveClaim = true := Theophysics.ChiEvaluator.coercive_claim_collapses</x:t>
        </x:is>
      </x:c>
      <x:c r="F248" s="38" t="n"/>
      <x:c r="G248" s="38" t="inlineStr">
        <x:is>
          <x:t xml:space="preserve">DECLARATION_OR_UNKNOWN</x:t>
        </x:is>
      </x:c>
      <x:c r="H248" s="39" t="inlineStr">
        <x:is>
          <x:t xml:space="preserve">Could not classify from first proof lines.</x:t>
        </x:is>
      </x:c>
    </x:row>
    <x:row r="249" ht="15" customHeight="1">
      <x:c r="A249" s="37" t="inlineStr">
        <x:is>
          <x:t xml:space="preserve">Faith-Thru-Physics-Lean-4--main</x:t>
        </x:is>
      </x:c>
      <x:c r="B249" s="38" t="inlineStr">
        <x:is>
          <x:t xml:space="preserve">Faith-Thru-Physics-Lean-4--main\Faith-Thru-Physics-Lean-4--main\MASTER_EQUATION\Theophysics_Core.lean</x:t>
        </x:is>
      </x:c>
      <x:c r="C249" s="38" t="inlineStr">
        <x:is>
          <x:t xml:space="preserve">94</x:t>
        </x:is>
      </x:c>
      <x:c r="D249" s="38" t="inlineStr">
        <x:is>
          <x:t xml:space="preserve">chi_evaluator_detects_high_signal_low_freedom</x:t>
        </x:is>
      </x:c>
      <x:c r="E249" s="38" t="inlineStr">
        <x:is>
          <x:t xml:space="preserve">theorem chi_evaluator_detects_high_signal_low_freedom : highSignalDeception highSignalLowFreedomClaim = true := Theophysics.ChiEvaluator.high_signal_low_freedom_detected</x:t>
        </x:is>
      </x:c>
      <x:c r="F249" s="38" t="n"/>
      <x:c r="G249" s="38" t="inlineStr">
        <x:is>
          <x:t xml:space="preserve">DECLARATION_OR_UNKNOWN</x:t>
        </x:is>
      </x:c>
      <x:c r="H249" s="39" t="inlineStr">
        <x:is>
          <x:t xml:space="preserve">Could not classify from first proof lines.</x:t>
        </x:is>
      </x:c>
    </x:row>
    <x:row r="250" ht="15" customHeight="1">
      <x:c r="A250" s="37" t="inlineStr">
        <x:is>
          <x:t xml:space="preserve">Faith-Thru-Physics-Lean-4--main</x:t>
        </x:is>
      </x:c>
      <x:c r="B250" s="38" t="inlineStr">
        <x:is>
          <x:t xml:space="preserve">Faith-Thru-Physics-Lean-4--main\Faith-Thru-Physics-Lean-4--main\MASTER_EQUATION\Theophysics_Core.lean</x:t>
        </x:is>
      </x:c>
      <x:c r="C250" s="38" t="inlineStr">
        <x:is>
          <x:t xml:space="preserve">97</x:t>
        </x:is>
      </x:c>
      <x:c r="D250" s="38" t="inlineStr">
        <x:is>
          <x:t xml:space="preserve">chi_evaluator_positive_gradient_marker</x:t>
        </x:is>
      </x:c>
      <x:c r="E250" s="38" t="inlineStr">
        <x:is>
          <x:t xml:space="preserve">theorem chi_evaluator_positive_gradient_marker : inferTwoPointGradient weakButGrowingStart weakButGrowingEnd = GradientLabel.positive := Theophysics.ChiEvaluator.weak_but_growing_has_positive_gradient</x:t>
        </x:is>
      </x:c>
      <x:c r="F250" s="38" t="n"/>
      <x:c r="G250" s="38" t="inlineStr">
        <x:is>
          <x:t xml:space="preserve">DECLARATION_OR_UNKNOWN</x:t>
        </x:is>
      </x:c>
      <x:c r="H250" s="39" t="inlineStr">
        <x:is>
          <x:t xml:space="preserve">Could not classify from first proof lines.</x:t>
        </x:is>
      </x:c>
    </x:row>
    <x:row r="251" ht="15" customHeight="1">
      <x:c r="A251" s="37" t="inlineStr">
        <x:is>
          <x:t xml:space="preserve">Faith-Thru-Physics-Lean-4--main</x:t>
        </x:is>
      </x:c>
      <x:c r="B251" s="38" t="inlineStr">
        <x:is>
          <x:t xml:space="preserve">Faith-Thru-Physics-Lean-4--main\Faith-Thru-Physics-Lean-4--main\MASTER_EQUATION\Theophysics_Core.lean</x:t>
        </x:is>
      </x:c>
      <x:c r="C251" s="38" t="inlineStr">
        <x:is>
          <x:t xml:space="preserve">180</x:t>
        </x:is>
      </x:c>
      <x:c r="D251" s="38" t="inlineStr">
        <x:is>
          <x:t xml:space="preserve">scalarOne_scalarTwo_same_vector_part</x:t>
        </x:is>
      </x:c>
      <x:c r="E251" s="38" t="inlineStr">
        <x:is>
          <x:t xml:space="preserve">theorem scalarOne_scalarTwo_same_vector_part : True</x:t>
        </x:is>
      </x:c>
      <x:c r="F251" s="38" t="inlineStr">
        <x:is>
          <x:t xml:space="preserve">:= by trivial</x:t>
        </x:is>
      </x:c>
      <x:c r="G251" s="38" t="inlineStr">
        <x:is>
          <x:t xml:space="preserve">TRIVIAL_TRUE</x:t>
        </x:is>
      </x:c>
      <x:c r="H251" s="39" t="inlineStr">
        <x:is>
          <x:t xml:space="preserve">Statement is `True`; theorem name may exceed formal content.</x:t>
        </x:is>
      </x:c>
    </x:row>
    <x:row r="252" ht="15" customHeight="1">
      <x:c r="A252" s="37" t="inlineStr">
        <x:is>
          <x:t xml:space="preserve">Faith-Thru-Physics-Lean-4--main</x:t>
        </x:is>
      </x:c>
      <x:c r="B252" s="38" t="inlineStr">
        <x:is>
          <x:t xml:space="preserve">Faith-Thru-Physics-Lean-4--main\Faith-Thru-Physics-Lean-4--main\MASTER_EQUATION\Theophysics_Core.lean</x:t>
        </x:is>
      </x:c>
      <x:c r="C252" s="38" t="inlineStr">
        <x:is>
          <x:t xml:space="preserve">184</x:t>
        </x:is>
      </x:c>
      <x:c r="D252" s="38" t="inlineStr">
        <x:is>
          <x:t xml:space="preserve">heaviside_passes_if_coupling_guard_removed</x:t>
        </x:is>
      </x:c>
      <x:c r="E252" s="38" t="inlineStr">
        <x:is>
          <x:t xml:space="preserve">theorem heaviside_passes_if_coupling_guard_removed : True</x:t>
        </x:is>
      </x:c>
      <x:c r="F252" s="38" t="inlineStr">
        <x:is>
          <x:t xml:space="preserve">:= by trivial</x:t>
        </x:is>
      </x:c>
      <x:c r="G252" s="38" t="inlineStr">
        <x:is>
          <x:t xml:space="preserve">TRIVIAL_TRUE</x:t>
        </x:is>
      </x:c>
      <x:c r="H252" s="39" t="inlineStr">
        <x:is>
          <x:t xml:space="preserve">Statement is `True`; theorem name may exceed formal content.</x:t>
        </x:is>
      </x:c>
    </x:row>
    <x:row r="253" ht="15" customHeight="1">
      <x:c r="A253" s="37" t="inlineStr">
        <x:is>
          <x:t xml:space="preserve">Faith-Thru-Physics-Lean-4--main</x:t>
        </x:is>
      </x:c>
      <x:c r="B253" s="38" t="inlineStr">
        <x:is>
          <x:t xml:space="preserve">Faith-Thru-Physics-Lean-4--main\Faith-Thru-Physics-Lean-4--main\MASTER_EQUATION\Theophysics_Core.lean</x:t>
        </x:is>
      </x:c>
      <x:c r="C253" s="38" t="inlineStr">
        <x:is>
          <x:t xml:space="preserve">185</x:t>
        </x:is>
      </x:c>
      <x:c r="D253" s="38" t="inlineStr">
        <x:is>
          <x:t xml:space="preserve">modalism_passes_if_distinctness_guard_removed</x:t>
        </x:is>
      </x:c>
      <x:c r="E253" s="38" t="inlineStr">
        <x:is>
          <x:t xml:space="preserve">theorem modalism_passes_if_distinctness_guard_removed : True</x:t>
        </x:is>
      </x:c>
      <x:c r="F253" s="38" t="inlineStr">
        <x:is>
          <x:t xml:space="preserve">:= by trivial</x:t>
        </x:is>
      </x:c>
      <x:c r="G253" s="38" t="inlineStr">
        <x:is>
          <x:t xml:space="preserve">TRIVIAL_TRUE</x:t>
        </x:is>
      </x:c>
      <x:c r="H253" s="39" t="inlineStr">
        <x:is>
          <x:t xml:space="preserve">Statement is `True`; theorem name may exceed formal content.</x:t>
        </x:is>
      </x:c>
    </x:row>
    <x:row r="254" ht="15" customHeight="1">
      <x:c r="A254" s="37" t="inlineStr">
        <x:is>
          <x:t xml:space="preserve">Faith-Thru-Physics-Lean-4--main</x:t>
        </x:is>
      </x:c>
      <x:c r="B254" s="38" t="inlineStr">
        <x:is>
          <x:t xml:space="preserve">Faith-Thru-Physics-Lean-4--main\Faith-Thru-Physics-Lean-4--main\MASTER_EQUATION\Theophysics_Core.lean</x:t>
        </x:is>
      </x:c>
      <x:c r="C254" s="38" t="inlineStr">
        <x:is>
          <x:t xml:space="preserve">186</x:t>
        </x:is>
      </x:c>
      <x:c r="D254" s="38" t="inlineStr">
        <x:is>
          <x:t xml:space="preserve">static_single_field_passes_if_dynamic_guard_removed</x:t>
        </x:is>
      </x:c>
      <x:c r="E254" s="38" t="inlineStr">
        <x:is>
          <x:t xml:space="preserve">theorem static_single_field_passes_if_dynamic_guard_removed : True</x:t>
        </x:is>
      </x:c>
      <x:c r="F254" s="38" t="inlineStr">
        <x:is>
          <x:t xml:space="preserve">:= by trivial</x:t>
        </x:is>
      </x:c>
      <x:c r="G254" s="38" t="inlineStr">
        <x:is>
          <x:t xml:space="preserve">TRIVIAL_TRUE</x:t>
        </x:is>
      </x:c>
      <x:c r="H254" s="39" t="inlineStr">
        <x:is>
          <x:t xml:space="preserve">Statement is `True`; theorem name may exceed formal content.</x:t>
        </x:is>
      </x:c>
    </x:row>
    <x:row r="255" ht="15" customHeight="1">
      <x:c r="A255" s="37" t="inlineStr">
        <x:is>
          <x:t xml:space="preserve">Faith-Thru-Physics-Lean-4--main</x:t>
        </x:is>
      </x:c>
      <x:c r="B255" s="38" t="inlineStr">
        <x:is>
          <x:t xml:space="preserve">Faith-Thru-Physics-Lean-4--main\Faith-Thru-Physics-Lean-4--main\MASTER_EQUATION\Theophysics_Core.lean</x:t>
        </x:is>
      </x:c>
      <x:c r="C255" s="38" t="inlineStr">
        <x:is>
          <x:t xml:space="preserve">187</x:t>
        </x:is>
      </x:c>
      <x:c r="D255" s="38" t="inlineStr">
        <x:is>
          <x:t xml:space="preserve">relabeled_roles_pass_if_profile_guard_removed</x:t>
        </x:is>
      </x:c>
      <x:c r="E255" s="38" t="inlineStr">
        <x:is>
          <x:t xml:space="preserve">theorem relabeled_roles_pass_if_profile_guard_removed : True</x:t>
        </x:is>
      </x:c>
      <x:c r="F255" s="38" t="inlineStr">
        <x:is>
          <x:t xml:space="preserve">:= by trivial</x:t>
        </x:is>
      </x:c>
      <x:c r="G255" s="38" t="inlineStr">
        <x:is>
          <x:t xml:space="preserve">TRIVIAL_TRUE</x:t>
        </x:is>
      </x:c>
      <x:c r="H255" s="39" t="inlineStr">
        <x:is>
          <x:t xml:space="preserve">Statement is `True`; theorem name may exceed formal content.</x:t>
        </x:is>
      </x:c>
    </x:row>
    <x:row r="256" ht="15" customHeight="1">
      <x:c r="A256" s="37" t="inlineStr">
        <x:is>
          <x:t xml:space="preserve">Faith-Thru-Physics-Lean-4--main</x:t>
        </x:is>
      </x:c>
      <x:c r="B256" s="38" t="inlineStr">
        <x:is>
          <x:t xml:space="preserve">Faith-Thru-Physics-Lean-4--main\Faith-Thru-Physics-Lean-4--main\MASTER_EQUATION\Theophysics_Core.lean</x:t>
        </x:is>
      </x:c>
      <x:c r="C256" s="38" t="inlineStr">
        <x:is>
          <x:t xml:space="preserve">188</x:t>
        </x:is>
      </x:c>
      <x:c r="D256" s="38" t="inlineStr">
        <x:is>
          <x:t xml:space="preserve">arbitrary_three_part_passes_bare_gate</x:t>
        </x:is>
      </x:c>
      <x:c r="E256" s="38" t="inlineStr">
        <x:is>
          <x:t xml:space="preserve">theorem arbitrary_three_part_passes_bare_gate : True</x:t>
        </x:is>
      </x:c>
      <x:c r="F256" s="38" t="inlineStr">
        <x:is>
          <x:t xml:space="preserve">:= by trivial</x:t>
        </x:is>
      </x:c>
      <x:c r="G256" s="38" t="inlineStr">
        <x:is>
          <x:t xml:space="preserve">TRIVIAL_TRUE</x:t>
        </x:is>
      </x:c>
      <x:c r="H256" s="39" t="inlineStr">
        <x:is>
          <x:t xml:space="preserve">Statement is `True`; theorem name may exceed formal content.</x:t>
        </x:is>
      </x:c>
    </x:row>
    <x:row r="257" ht="15" customHeight="1">
      <x:c r="A257" s="37" t="inlineStr">
        <x:is>
          <x:t xml:space="preserve">Faith-Thru-Physics-Lean-4--main</x:t>
        </x:is>
      </x:c>
      <x:c r="B257" s="38" t="inlineStr">
        <x:is>
          <x:t xml:space="preserve">Faith-Thru-Physics-Lean-4--main\Faith-Thru-Physics-Lean-4--main\MASTER_EQUATION\Theophysics_Core.lean</x:t>
        </x:is>
      </x:c>
      <x:c r="C257" s="38" t="inlineStr">
        <x:is>
          <x:t xml:space="preserve">198</x:t>
        </x:is>
      </x:c>
      <x:c r="D257" s="38" t="inlineStr">
        <x:is>
          <x:t xml:space="preserve">c0_ne_c1</x:t>
        </x:is>
      </x:c>
      <x:c r="E257" s="38" t="inlineStr">
        <x:is>
          <x:t xml:space="preserve">theorem c0_ne_c1 : CouplingState.C0 ≠ CouplingState.C1 := C0_ne_C1</x:t>
        </x:is>
      </x:c>
      <x:c r="F257" s="38" t="n"/>
      <x:c r="G257" s="38" t="inlineStr">
        <x:is>
          <x:t xml:space="preserve">DECLARATION_OR_UNKNOWN</x:t>
        </x:is>
      </x:c>
      <x:c r="H257" s="39" t="inlineStr">
        <x:is>
          <x:t xml:space="preserve">Could not classify from first proof lines.</x:t>
        </x:is>
      </x:c>
    </x:row>
    <x:row r="258" ht="15" customHeight="1">
      <x:c r="A258" s="37" t="inlineStr">
        <x:is>
          <x:t xml:space="preserve">Faith-Thru-Physics-Lean-4--main</x:t>
        </x:is>
      </x:c>
      <x:c r="B258" s="38" t="inlineStr">
        <x:is>
          <x:t xml:space="preserve">Faith-Thru-Physics-Lean-4--main\Faith-Thru-Physics-Lean-4--main\MASTER_EQUATION\Theophysics_Core.lean</x:t>
        </x:is>
      </x:c>
      <x:c r="C258" s="38" t="inlineStr">
        <x:is>
          <x:t xml:space="preserve">199</x:t>
        </x:is>
      </x:c>
      <x:c r="D258" s="38" t="inlineStr">
        <x:is>
          <x:t xml:space="preserve">c1_ne_c0</x:t>
        </x:is>
      </x:c>
      <x:c r="E258" s="38" t="inlineStr">
        <x:is>
          <x:t xml:space="preserve">theorem c1_ne_c0 : CouplingState.C1 ≠ CouplingState.C0 := C1_ne_C0</x:t>
        </x:is>
      </x:c>
      <x:c r="F258" s="38" t="n"/>
      <x:c r="G258" s="38" t="inlineStr">
        <x:is>
          <x:t xml:space="preserve">DECLARATION_OR_UNKNOWN</x:t>
        </x:is>
      </x:c>
      <x:c r="H258" s="39" t="inlineStr">
        <x:is>
          <x:t xml:space="preserve">Could not classify from first proof lines.</x:t>
        </x:is>
      </x:c>
    </x:row>
    <x:row r="259" ht="15" customHeight="1">
      <x:c r="A259" s="37" t="inlineStr">
        <x:is>
          <x:t xml:space="preserve">Faith-Thru-Physics-Lean-4--main</x:t>
        </x:is>
      </x:c>
      <x:c r="B259" s="38" t="inlineStr">
        <x:is>
          <x:t xml:space="preserve">Faith-Thru-Physics-Lean-4--main\Faith-Thru-Physics-Lean-4--main\MASTER_EQUATION\Theophysics_Core.lean</x:t>
        </x:is>
      </x:c>
      <x:c r="C259" s="38" t="inlineStr">
        <x:is>
          <x:t xml:space="preserve">200</x:t>
        </x:is>
      </x:c>
      <x:c r="D259" s="38" t="inlineStr">
        <x:is>
          <x:t xml:space="preserve">q_zero_kills_chi</x:t>
        </x:is>
      </x:c>
      <x:c r="E259" s="38" t="inlineStr">
        <x:is>
          <x:t xml:space="preserve">theorem q_zero_kills_chi (x : FactorState) (h : x.Q = 0) : chi x = 0 := Q_zero_collapses_chi x h</x:t>
        </x:is>
      </x:c>
      <x:c r="F259" s="38" t="n"/>
      <x:c r="G259" s="38" t="inlineStr">
        <x:is>
          <x:t xml:space="preserve">DECLARATION_OR_UNKNOWN</x:t>
        </x:is>
      </x:c>
      <x:c r="H259" s="39" t="inlineStr">
        <x:is>
          <x:t xml:space="preserve">Could not classify from first proof lines.</x:t>
        </x:is>
      </x:c>
    </x:row>
    <x:row r="260" ht="15" customHeight="1">
      <x:c r="A260" s="37" t="inlineStr">
        <x:is>
          <x:t xml:space="preserve">Faith-Thru-Physics-Lean-4--main</x:t>
        </x:is>
      </x:c>
      <x:c r="B260" s="38" t="inlineStr">
        <x:is>
          <x:t xml:space="preserve">Faith-Thru-Physics-Lean-4--main\Faith-Thru-Physics-Lean-4--main\MASTER_EQUATION\Theophysics_Core.lean</x:t>
        </x:is>
      </x:c>
      <x:c r="C260" s="38" t="inlineStr">
        <x:is>
          <x:t xml:space="preserve">201</x:t>
        </x:is>
      </x:c>
      <x:c r="D260" s="38" t="inlineStr">
        <x:is>
          <x:t xml:space="preserve">g_zero_kills_chi</x:t>
        </x:is>
      </x:c>
      <x:c r="E260" s="38" t="inlineStr">
        <x:is>
          <x:t xml:space="preserve">theorem g_zero_kills_chi (x : FactorState) (h : x.G = 0) : chi x = 0 := G_zero_collapses_chi x h</x:t>
        </x:is>
      </x:c>
      <x:c r="F260" s="38" t="n"/>
      <x:c r="G260" s="38" t="inlineStr">
        <x:is>
          <x:t xml:space="preserve">DECLARATION_OR_UNKNOWN</x:t>
        </x:is>
      </x:c>
      <x:c r="H260" s="39" t="inlineStr">
        <x:is>
          <x:t xml:space="preserve">Could not classify from first proof lines.</x:t>
        </x:is>
      </x:c>
    </x:row>
    <x:row r="261" ht="15" customHeight="1">
      <x:c r="A261" s="37" t="inlineStr">
        <x:is>
          <x:t xml:space="preserve">Faith-Thru-Physics-Lean-4--main</x:t>
        </x:is>
      </x:c>
      <x:c r="B261" s="38" t="inlineStr">
        <x:is>
          <x:t xml:space="preserve">Faith-Thru-Physics-Lean-4--main\Faith-Thru-Physics-Lean-4--main\MASTER_EQUATION\Theophysics_Core.lean</x:t>
        </x:is>
      </x:c>
      <x:c r="C261" s="38" t="inlineStr">
        <x:is>
          <x:t xml:space="preserve">202</x:t>
        </x:is>
      </x:c>
      <x:c r="D261" s="38" t="inlineStr">
        <x:is>
          <x:t xml:space="preserve">m_zero_kills_chi</x:t>
        </x:is>
      </x:c>
      <x:c r="E261" s="38" t="inlineStr">
        <x:is>
          <x:t xml:space="preserve">theorem m_zero_kills_chi (x : FactorState) (h : x.M = 0) : chi x = 0 := M_zero_collapses_chi x h</x:t>
        </x:is>
      </x:c>
      <x:c r="F261" s="38" t="n"/>
      <x:c r="G261" s="38" t="inlineStr">
        <x:is>
          <x:t xml:space="preserve">DECLARATION_OR_UNKNOWN</x:t>
        </x:is>
      </x:c>
      <x:c r="H261" s="39" t="inlineStr">
        <x:is>
          <x:t xml:space="preserve">Could not classify from first proof lines.</x:t>
        </x:is>
      </x:c>
    </x:row>
    <x:row r="262" ht="15" customHeight="1">
      <x:c r="A262" s="37" t="inlineStr">
        <x:is>
          <x:t xml:space="preserve">Faith-Thru-Physics-Lean-4--main</x:t>
        </x:is>
      </x:c>
      <x:c r="B262" s="38" t="inlineStr">
        <x:is>
          <x:t xml:space="preserve">Faith-Thru-Physics-Lean-4--main\Faith-Thru-Physics-Lean-4--main\MASTER_EQUATION\Theophysics_Core.lean</x:t>
        </x:is>
      </x:c>
      <x:c r="C262" s="38" t="inlineStr">
        <x:is>
          <x:t xml:space="preserve">203</x:t>
        </x:is>
      </x:c>
      <x:c r="D262" s="38" t="inlineStr">
        <x:is>
          <x:t xml:space="preserve">e_zero_kills_chi</x:t>
        </x:is>
      </x:c>
      <x:c r="E262" s="38" t="inlineStr">
        <x:is>
          <x:t xml:space="preserve">theorem e_zero_kills_chi (x : FactorState) (h : x.E = 0) : chi x = 0 := E_zero_collapses_chi x h</x:t>
        </x:is>
      </x:c>
      <x:c r="F262" s="38" t="n"/>
      <x:c r="G262" s="38" t="inlineStr">
        <x:is>
          <x:t xml:space="preserve">DECLARATION_OR_UNKNOWN</x:t>
        </x:is>
      </x:c>
      <x:c r="H262" s="39" t="inlineStr">
        <x:is>
          <x:t xml:space="preserve">Could not classify from first proof lines.</x:t>
        </x:is>
      </x:c>
    </x:row>
    <x:row r="263" ht="15" customHeight="1">
      <x:c r="A263" s="37" t="inlineStr">
        <x:is>
          <x:t xml:space="preserve">Faith-Thru-Physics-Lean-4--main</x:t>
        </x:is>
      </x:c>
      <x:c r="B263" s="38" t="inlineStr">
        <x:is>
          <x:t xml:space="preserve">Faith-Thru-Physics-Lean-4--main\Faith-Thru-Physics-Lean-4--main\MASTER_EQUATION\Theophysics_Core.lean</x:t>
        </x:is>
      </x:c>
      <x:c r="C263" s="38" t="inlineStr">
        <x:is>
          <x:t xml:space="preserve">204</x:t>
        </x:is>
      </x:c>
      <x:c r="D263" s="38" t="inlineStr">
        <x:is>
          <x:t xml:space="preserve">s_zero_kills_chi</x:t>
        </x:is>
      </x:c>
      <x:c r="E263" s="38" t="inlineStr">
        <x:is>
          <x:t xml:space="preserve">theorem s_zero_kills_chi (x : FactorState) (h : x.S = 0) : chi x = 0 := S_zero_collapses_chi x h</x:t>
        </x:is>
      </x:c>
      <x:c r="F263" s="38" t="n"/>
      <x:c r="G263" s="38" t="inlineStr">
        <x:is>
          <x:t xml:space="preserve">DECLARATION_OR_UNKNOWN</x:t>
        </x:is>
      </x:c>
      <x:c r="H263" s="39" t="inlineStr">
        <x:is>
          <x:t xml:space="preserve">Could not classify from first proof lines.</x:t>
        </x:is>
      </x:c>
    </x:row>
    <x:row r="264" ht="15" customHeight="1">
      <x:c r="A264" s="37" t="inlineStr">
        <x:is>
          <x:t xml:space="preserve">Faith-Thru-Physics-Lean-4--main</x:t>
        </x:is>
      </x:c>
      <x:c r="B264" s="38" t="inlineStr">
        <x:is>
          <x:t xml:space="preserve">Faith-Thru-Physics-Lean-4--main\Faith-Thru-Physics-Lean-4--main\MASTER_EQUATION\Theophysics_Core.lean</x:t>
        </x:is>
      </x:c>
      <x:c r="C264" s="38" t="inlineStr">
        <x:is>
          <x:t xml:space="preserve">205</x:t>
        </x:is>
      </x:c>
      <x:c r="D264" s="38" t="inlineStr">
        <x:is>
          <x:t xml:space="preserve">t_zero_kills_chi</x:t>
        </x:is>
      </x:c>
      <x:c r="E264" s="38" t="inlineStr">
        <x:is>
          <x:t xml:space="preserve">theorem t_zero_kills_chi (x : FactorState) (h : x.T = 0) : chi x = 0 := T_zero_collapses_chi x h</x:t>
        </x:is>
      </x:c>
      <x:c r="F264" s="38" t="n"/>
      <x:c r="G264" s="38" t="inlineStr">
        <x:is>
          <x:t xml:space="preserve">DECLARATION_OR_UNKNOWN</x:t>
        </x:is>
      </x:c>
      <x:c r="H264" s="39" t="inlineStr">
        <x:is>
          <x:t xml:space="preserve">Could not classify from first proof lines.</x:t>
        </x:is>
      </x:c>
    </x:row>
    <x:row r="265" ht="15" customHeight="1">
      <x:c r="A265" s="37" t="inlineStr">
        <x:is>
          <x:t xml:space="preserve">Faith-Thru-Physics-Lean-4--main</x:t>
        </x:is>
      </x:c>
      <x:c r="B265" s="38" t="inlineStr">
        <x:is>
          <x:t xml:space="preserve">Faith-Thru-Physics-Lean-4--main\Faith-Thru-Physics-Lean-4--main\MASTER_EQUATION\Theophysics_Core.lean</x:t>
        </x:is>
      </x:c>
      <x:c r="C265" s="38" t="inlineStr">
        <x:is>
          <x:t xml:space="preserve">206</x:t>
        </x:is>
      </x:c>
      <x:c r="D265" s="38" t="inlineStr">
        <x:is>
          <x:t xml:space="preserve">k_zero_kills_chi</x:t>
        </x:is>
      </x:c>
      <x:c r="E265" s="38" t="inlineStr">
        <x:is>
          <x:t xml:space="preserve">theorem k_zero_kills_chi (x : FactorState) (h : x.K = 0) : chi x = 0 := K_zero_collapses_chi x h</x:t>
        </x:is>
      </x:c>
      <x:c r="F265" s="38" t="n"/>
      <x:c r="G265" s="38" t="inlineStr">
        <x:is>
          <x:t xml:space="preserve">DECLARATION_OR_UNKNOWN</x:t>
        </x:is>
      </x:c>
      <x:c r="H265" s="39" t="inlineStr">
        <x:is>
          <x:t xml:space="preserve">Could not classify from first proof lines.</x:t>
        </x:is>
      </x:c>
    </x:row>
    <x:row r="266" ht="15" customHeight="1">
      <x:c r="A266" s="37" t="inlineStr">
        <x:is>
          <x:t xml:space="preserve">Faith-Thru-Physics-Lean-4--main</x:t>
        </x:is>
      </x:c>
      <x:c r="B266" s="38" t="inlineStr">
        <x:is>
          <x:t xml:space="preserve">Faith-Thru-Physics-Lean-4--main\Faith-Thru-Physics-Lean-4--main\MASTER_EQUATION\Theophysics_Core.lean</x:t>
        </x:is>
      </x:c>
      <x:c r="C266" s="38" t="inlineStr">
        <x:is>
          <x:t xml:space="preserve">207</x:t>
        </x:is>
      </x:c>
      <x:c r="D266" s="38" t="inlineStr">
        <x:is>
          <x:t xml:space="preserve">r_zero_kills_chi</x:t>
        </x:is>
      </x:c>
      <x:c r="E266" s="38" t="inlineStr">
        <x:is>
          <x:t xml:space="preserve">theorem r_zero_kills_chi (x : FactorState) (h : x.R = 0) : chi x = 0 := R_zero_collapses_chi x h</x:t>
        </x:is>
      </x:c>
      <x:c r="F266" s="38" t="n"/>
      <x:c r="G266" s="38" t="inlineStr">
        <x:is>
          <x:t xml:space="preserve">DECLARATION_OR_UNKNOWN</x:t>
        </x:is>
      </x:c>
      <x:c r="H266" s="39" t="inlineStr">
        <x:is>
          <x:t xml:space="preserve">Could not classify from first proof lines.</x:t>
        </x:is>
      </x:c>
    </x:row>
    <x:row r="267" ht="15" customHeight="1">
      <x:c r="A267" s="37" t="inlineStr">
        <x:is>
          <x:t xml:space="preserve">Faith-Thru-Physics-Lean-4--main</x:t>
        </x:is>
      </x:c>
      <x:c r="B267" s="38" t="inlineStr">
        <x:is>
          <x:t xml:space="preserve">Faith-Thru-Physics-Lean-4--main\Faith-Thru-Physics-Lean-4--main\MASTER_EQUATION\Theophysics_Core.lean</x:t>
        </x:is>
      </x:c>
      <x:c r="C267" s="38" t="inlineStr">
        <x:is>
          <x:t xml:space="preserve">208</x:t>
        </x:is>
      </x:c>
      <x:c r="D267" s="38" t="inlineStr">
        <x:is>
          <x:t xml:space="preserve">f_zero_kills_chi</x:t>
        </x:is>
      </x:c>
      <x:c r="E267" s="38" t="inlineStr">
        <x:is>
          <x:t xml:space="preserve">theorem f_zero_kills_chi (x : FactorState) (h : x.F = 0) : chi x = 0 := F_zero_collapses_chi x h</x:t>
        </x:is>
      </x:c>
      <x:c r="F267" s="38" t="n"/>
      <x:c r="G267" s="38" t="inlineStr">
        <x:is>
          <x:t xml:space="preserve">DECLARATION_OR_UNKNOWN</x:t>
        </x:is>
      </x:c>
      <x:c r="H267" s="39" t="inlineStr">
        <x:is>
          <x:t xml:space="preserve">Could not classify from first proof lines.</x:t>
        </x:is>
      </x:c>
    </x:row>
    <x:row r="268" ht="15" customHeight="1">
      <x:c r="A268" s="37" t="inlineStr">
        <x:is>
          <x:t xml:space="preserve">Faith-Thru-Physics-Lean-4--main</x:t>
        </x:is>
      </x:c>
      <x:c r="B268" s="38" t="inlineStr">
        <x:is>
          <x:t xml:space="preserve">Faith-Thru-Physics-Lean-4--main\Faith-Thru-Physics-Lean-4--main\MASTER_EQUATION\Theophysics_Core.lean</x:t>
        </x:is>
      </x:c>
      <x:c r="C268" s="38" t="inlineStr">
        <x:is>
          <x:t xml:space="preserve">209</x:t>
        </x:is>
      </x:c>
      <x:c r="D268" s="38" t="inlineStr">
        <x:is>
          <x:t xml:space="preserve">c_zero_kills_chi</x:t>
        </x:is>
      </x:c>
      <x:c r="E268" s="38" t="inlineStr">
        <x:is>
          <x:t xml:space="preserve">theorem c_zero_kills_chi (x : FactorState) (h : x.C = 0) : chi x = 0 := C_zero_collapses_chi x h</x:t>
        </x:is>
      </x:c>
      <x:c r="F268" s="38" t="n"/>
      <x:c r="G268" s="38" t="inlineStr">
        <x:is>
          <x:t xml:space="preserve">DECLARATION_OR_UNKNOWN</x:t>
        </x:is>
      </x:c>
      <x:c r="H268" s="39" t="inlineStr">
        <x:is>
          <x:t xml:space="preserve">Could not classify from first proof lines.</x:t>
        </x:is>
      </x:c>
    </x:row>
    <x:row r="269" ht="15" customHeight="1">
      <x:c r="A269" s="37" t="inlineStr">
        <x:is>
          <x:t xml:space="preserve">Faith-Thru-Physics-Lean-4--main</x:t>
        </x:is>
      </x:c>
      <x:c r="B269" s="38" t="inlineStr">
        <x:is>
          <x:t xml:space="preserve">Faith-Thru-Physics-Lean-4--main\Faith-Thru-Physics-Lean-4--main\MASTER_EQUATION\Theophysics_Core.lean</x:t>
        </x:is>
      </x:c>
      <x:c r="C269" s="38" t="inlineStr">
        <x:is>
          <x:t xml:space="preserve">210</x:t>
        </x:is>
      </x:c>
      <x:c r="D269" s="38" t="inlineStr">
        <x:is>
          <x:t xml:space="preserve">all_ones_have_live_output</x:t>
        </x:is>
      </x:c>
      <x:c r="E269" s="38" t="inlineStr">
        <x:is>
          <x:t xml:space="preserve">theorem all_ones_have_live_output : chi ⟨1,1,1,1,1,1,1,1,1,1⟩ = 1 := all_ones_live</x:t>
        </x:is>
      </x:c>
      <x:c r="F269" s="38" t="n"/>
      <x:c r="G269" s="38" t="inlineStr">
        <x:is>
          <x:t xml:space="preserve">DECLARATION_OR_UNKNOWN</x:t>
        </x:is>
      </x:c>
      <x:c r="H269" s="39" t="inlineStr">
        <x:is>
          <x:t xml:space="preserve">Could not classify from first proof lines.</x:t>
        </x:is>
      </x:c>
    </x:row>
    <x:row r="270" ht="15" customHeight="1">
      <x:c r="A270" s="37" t="inlineStr">
        <x:is>
          <x:t xml:space="preserve">Faith-Thru-Physics-Lean-4--main</x:t>
        </x:is>
      </x:c>
      <x:c r="B270" s="38" t="inlineStr">
        <x:is>
          <x:t xml:space="preserve">Faith-Thru-Physics-Lean-4--main\Faith-Thru-Physics-Lean-4--main\MASTER_EQUATION\Theophysics_Core.lean</x:t>
        </x:is>
      </x:c>
      <x:c r="C270" s="38" t="inlineStr">
        <x:is>
          <x:t xml:space="preserve">211</x:t>
        </x:is>
      </x:c>
      <x:c r="D270" s="38" t="inlineStr">
        <x:is>
          <x:t xml:space="preserve">gate_binaryity</x:t>
        </x:is>
      </x:c>
      <x:c r="E270" s="38" t="inlineStr">
        <x:is>
          <x:t xml:space="preserve">theorem gate_binaryity : ∀ s : Nat, binaryGate s = 0 ∨ binaryGate s = 1 := binaryGate_zero_or_one</x:t>
        </x:is>
      </x:c>
      <x:c r="F270" s="38" t="n"/>
      <x:c r="G270" s="38" t="inlineStr">
        <x:is>
          <x:t xml:space="preserve">DECLARATION_OR_UNKNOWN</x:t>
        </x:is>
      </x:c>
      <x:c r="H270" s="39" t="inlineStr">
        <x:is>
          <x:t xml:space="preserve">Could not classify from first proof lines.</x:t>
        </x:is>
      </x:c>
    </x:row>
    <x:row r="271" ht="15" customHeight="1">
      <x:c r="A271" s="37" t="inlineStr">
        <x:is>
          <x:t xml:space="preserve">Faith-Thru-Physics-Lean-4--main</x:t>
        </x:is>
      </x:c>
      <x:c r="B271" s="38" t="inlineStr">
        <x:is>
          <x:t xml:space="preserve">Faith-Thru-Physics-Lean-4--main\Faith-Thru-Physics-Lean-4--main\MASTER_EQUATION\Theophysics_Core.lean</x:t>
        </x:is>
      </x:c>
      <x:c r="C271" s="38" t="inlineStr">
        <x:is>
          <x:t xml:space="preserve">212</x:t>
        </x:is>
      </x:c>
      <x:c r="D271" s="38" t="inlineStr">
        <x:is>
          <x:t xml:space="preserve">cross_is_unique_for_convergence</x:t>
        </x:is>
      </x:c>
      <x:c r="E271" s="38" t="inlineStr">
        <x:is>
          <x:t xml:space="preserve">theorem cross_is_unique_for_convergence (x : FactorState) : isCross x ↔ x = ⟨1,1,1,1,1,1,1,1,1,1⟩</x:t>
        </x:is>
      </x:c>
      <x:c r="F271" s="38" t="inlineStr">
        <x:is>
          <x:t xml:space="preserve">:= by simpa using Theophysics.Experiment.cross_is_unique_convergence_configuration x -- Integrity marker (kernel-backed model checkpoint).</x:t>
        </x:is>
      </x:c>
      <x:c r="G271" s="38" t="inlineStr">
        <x:is>
          <x:t xml:space="preserve">WRAPPER_OR_IMPORTED</x:t>
        </x:is>
      </x:c>
      <x:c r="H271" s="39" t="inlineStr">
        <x:is>
          <x:t xml:space="preserve">Likely delegates to another theorem; cite underlying theorem too.</x:t>
        </x:is>
      </x:c>
    </x:row>
    <x:row r="272" ht="15" customHeight="1">
      <x:c r="A272" s="37" t="inlineStr">
        <x:is>
          <x:t xml:space="preserve">Faith-Thru-Physics-Lean-4--main</x:t>
        </x:is>
      </x:c>
      <x:c r="B272" s="38" t="inlineStr">
        <x:is>
          <x:t xml:space="preserve">Faith-Thru-Physics-Lean-4--main\Faith-Thru-Physics-Lean-4--main\MASTER_EQUATION\Theophysics_Core.lean</x:t>
        </x:is>
      </x:c>
      <x:c r="C272" s="38" t="inlineStr">
        <x:is>
          <x:t xml:space="preserve">216</x:t>
        </x:is>
      </x:c>
      <x:c r="D272" s="38" t="inlineStr">
        <x:is>
          <x:t xml:space="preserve">core_pipeline_marker</x:t>
        </x:is>
      </x:c>
      <x:c r="E272" s="38" t="inlineStr">
        <x:is>
          <x:t xml:space="preserve">theorem core_pipeline_marker : (CouplingState.C0 ≠ CouplingState.C1) ∧ chi ⟨1,1,1,1,1,1,1,1,1,1⟩ = 1 ∧ (binaryGate 5 = 0 ∨ binaryGate 5 = 1) ∧ (isCross ⟨1,1,1,1,1,1,1,1,1,1⟩ ↔ (⟨1,1,1,1,1,1,1,1,1,1⟩ : FactorState) = ⟨1,1,1,1,1,1,1,1,1,1⟩) := by exact ⟨ Theophysics.Experiment.C0_ne_C1, Theophysics.Experiment.all_ones_live, Theophysics.Experiment.binaryGate_zero_or_one 5, cross_is_unique_for_convergence ⟨1,1,1,1,1,1,1,1,1,1⟩ ⟩ end Theophysics.Core</x:t>
        </x:is>
      </x:c>
      <x:c r="F272" s="38" t="n"/>
      <x:c r="G272" s="38" t="inlineStr">
        <x:is>
          <x:t xml:space="preserve">DECLARATION_OR_UNKNOWN</x:t>
        </x:is>
      </x:c>
      <x:c r="H272" s="39" t="inlineStr">
        <x:is>
          <x:t xml:space="preserve">Could not classify from first proof lines.</x:t>
        </x:is>
      </x:c>
    </x:row>
    <x:row r="273" ht="15" customHeight="1">
      <x:c r="A273" s="37" t="inlineStr">
        <x:is>
          <x:t xml:space="preserve">Faith-Thru-Physics-Lean-4--main</x:t>
        </x:is>
      </x:c>
      <x:c r="B273" s="38" t="inlineStr">
        <x:is>
          <x:t xml:space="preserve">Faith-Thru-Physics-Lean-4--main\Faith-Thru-Physics-Lean-4--main\Theophysics_Adversarial.lean</x:t>
        </x:is>
      </x:c>
      <x:c r="C273" s="38" t="inlineStr">
        <x:is>
          <x:t xml:space="preserve">27</x:t>
        </x:is>
      </x:c>
      <x:c r="D273" s="38" t="inlineStr">
        <x:is>
          <x:t xml:space="preserve">no_grace_faith_signature_alias</x:t>
        </x:is>
      </x:c>
      <x:c r="E273" s="38" t="inlineStr">
        <x:is>
          <x:t xml:space="preserve">theorem no_grace_faith_signature_alias : ¬ (signatureOfFactor Factor.G = signatureOfFactor Factor.F)</x:t>
        </x:is>
      </x:c>
      <x:c r="F273" s="38" t="inlineStr">
        <x:is>
          <x:t xml:space="preserve">:= by simpa [grace_swapped_with_faith_invalid] using (grace_swapped_with_faith_invalid : signatureOfFactor Factor.G ≠ signatureOfFactor Factor.F)</x:t>
        </x:is>
      </x:c>
      <x:c r="G273" s="38" t="inlineStr">
        <x:is>
          <x:t xml:space="preserve">WRAPPER_OR_IMPORTED</x:t>
        </x:is>
      </x:c>
      <x:c r="H273" s="39" t="inlineStr">
        <x:is>
          <x:t xml:space="preserve">Likely delegates to another theorem; cite underlying theorem too.</x:t>
        </x:is>
      </x:c>
    </x:row>
    <x:row r="274" ht="15" customHeight="1">
      <x:c r="A274" s="37" t="inlineStr">
        <x:is>
          <x:t xml:space="preserve">Faith-Thru-Physics-Lean-4--main</x:t>
        </x:is>
      </x:c>
      <x:c r="B274" s="38" t="inlineStr">
        <x:is>
          <x:t xml:space="preserve">Faith-Thru-Physics-Lean-4--main\Faith-Thru-Physics-Lean-4--main\Theophysics_Adversarial.lean</x:t>
        </x:is>
      </x:c>
      <x:c r="C274" s="38" t="inlineStr">
        <x:is>
          <x:t xml:space="preserve">32</x:t>
        </x:is>
      </x:c>
      <x:c r="D274" s="38" t="inlineStr">
        <x:is>
          <x:t xml:space="preserve">no_entropy_grace_signature_alias</x:t>
        </x:is>
      </x:c>
      <x:c r="E274" s="38" t="inlineStr">
        <x:is>
          <x:t xml:space="preserve">theorem no_entropy_grace_signature_alias : ¬ (signatureOfFactor Factor.S = signatureOfFactor Factor.G)</x:t>
        </x:is>
      </x:c>
      <x:c r="F274" s="38" t="inlineStr">
        <x:is>
          <x:t xml:space="preserve">:= by simpa [entropy_swapped_with_grace_invalid] using (entropy_swapped_with_grace_invalid : signatureOfFactor Factor.S ≠ signatureOfFactor Factor.G)</x:t>
        </x:is>
      </x:c>
      <x:c r="G274" s="38" t="inlineStr">
        <x:is>
          <x:t xml:space="preserve">WRAPPER_OR_IMPORTED</x:t>
        </x:is>
      </x:c>
      <x:c r="H274" s="39" t="inlineStr">
        <x:is>
          <x:t xml:space="preserve">Likely delegates to another theorem; cite underlying theorem too.</x:t>
        </x:is>
      </x:c>
    </x:row>
    <x:row r="275" ht="15" customHeight="1">
      <x:c r="A275" s="37" t="inlineStr">
        <x:is>
          <x:t xml:space="preserve">Faith-Thru-Physics-Lean-4--main</x:t>
        </x:is>
      </x:c>
      <x:c r="B275" s="38" t="inlineStr">
        <x:is>
          <x:t xml:space="preserve">Faith-Thru-Physics-Lean-4--main\Faith-Thru-Physics-Lean-4--main\Theophysics_Adversarial.lean</x:t>
        </x:is>
      </x:c>
      <x:c r="C275" s="38" t="inlineStr">
        <x:is>
          <x:t xml:space="preserve">37</x:t>
        </x:is>
      </x:c>
      <x:c r="D275" s="38" t="inlineStr">
        <x:is>
          <x:t xml:space="preserve">no_compression_communion_signature_alias</x:t>
        </x:is>
      </x:c>
      <x:c r="E275" s="38" t="inlineStr">
        <x:is>
          <x:t xml:space="preserve">theorem no_compression_communion_signature_alias : ¬ (signatureOfFactor Factor.K = signatureOfFactor Factor.F)</x:t>
        </x:is>
      </x:c>
      <x:c r="F275" s="38" t="inlineStr">
        <x:is>
          <x:t xml:space="preserve">:= by simpa using (compression_swapped_with_communion_invalid : signatureOfFactor Factor.K ≠ signatureOfFactor Factor.F) -- Coherence-spine adversarial controls. #check_failure (show coherent coerciveOrder = true from by rfl) #check_failure (show isActiveDiscoherence passiveEntropySlope = true from by rfl) #check_failure (show canRestore closedWithoutInput = true from by rfl) #check_failure (show structuredScar randomGap = true from by rfl) #check_failure (show fractured indeterminateOnly = true</x:t>
        </x:is>
      </x:c>
      <x:c r="G275" s="38" t="inlineStr">
        <x:is>
          <x:t xml:space="preserve">WRAPPER_OR_IMPORTED</x:t>
        </x:is>
      </x:c>
      <x:c r="H275" s="39" t="inlineStr">
        <x:is>
          <x:t xml:space="preserve">Likely delegates to another theorem; cite underlying theorem too.</x:t>
        </x:is>
      </x:c>
    </x:row>
    <x:row r="276" ht="15" customHeight="1">
      <x:c r="A276" s="37" t="inlineStr">
        <x:is>
          <x:t xml:space="preserve">Faith-Thru-Physics-Lean-4--main</x:t>
        </x:is>
      </x:c>
      <x:c r="B276" s="38" t="inlineStr">
        <x:is>
          <x:t xml:space="preserve">Faith-Thru-Physics-Lean-4--main\Faith-Thru-Physics-Lean-4--main\Theophysics_Adversarial.lean</x:t>
        </x:is>
      </x:c>
      <x:c r="C276" s="38" t="inlineStr">
        <x:is>
          <x:t xml:space="preserve">56</x:t>
        </x:is>
      </x:c>
      <x:c r="D276" s="38" t="inlineStr">
        <x:is>
          <x:t xml:space="preserve">no_mere_order_as_full_coherence</x:t>
        </x:is>
      </x:c>
      <x:c r="E276" s="38" t="inlineStr">
        <x:is>
          <x:t xml:space="preserve">theorem no_mere_order_as_full_coherence : coherent coerciveOrder = false := Theophysics.Coherence.coercive_order_is_not_full_coherence</x:t>
        </x:is>
      </x:c>
      <x:c r="F276" s="38" t="n"/>
      <x:c r="G276" s="38" t="inlineStr">
        <x:is>
          <x:t xml:space="preserve">DECLARATION_OR_UNKNOWN</x:t>
        </x:is>
      </x:c>
      <x:c r="H276" s="39" t="inlineStr">
        <x:is>
          <x:t xml:space="preserve">Could not classify from first proof lines.</x:t>
        </x:is>
      </x:c>
    </x:row>
    <x:row r="277" ht="15" customHeight="1">
      <x:c r="A277" s="37" t="inlineStr">
        <x:is>
          <x:t xml:space="preserve">Faith-Thru-Physics-Lean-4--main</x:t>
        </x:is>
      </x:c>
      <x:c r="B277" s="38" t="inlineStr">
        <x:is>
          <x:t xml:space="preserve">Faith-Thru-Physics-Lean-4--main\Faith-Thru-Physics-Lean-4--main\Theophysics_Adversarial.lean</x:t>
        </x:is>
      </x:c>
      <x:c r="C277" s="38" t="inlineStr">
        <x:is>
          <x:t xml:space="preserve">60</x:t>
        </x:is>
      </x:c>
      <x:c r="D277" s="38" t="inlineStr">
        <x:is>
          <x:t xml:space="preserve">no_passive_entropy_as_active_evil</x:t>
        </x:is>
      </x:c>
      <x:c r="E277" s="38" t="inlineStr">
        <x:is>
          <x:t xml:space="preserve">theorem no_passive_entropy_as_active_evil : isActiveDiscoherence passiveEntropySlope = false := Theophysics.Coherence.passive_decay_is_not_active_discoherence</x:t>
        </x:is>
      </x:c>
      <x:c r="F277" s="38" t="n"/>
      <x:c r="G277" s="38" t="inlineStr">
        <x:is>
          <x:t xml:space="preserve">DECLARATION_OR_UNKNOWN</x:t>
        </x:is>
      </x:c>
      <x:c r="H277" s="39" t="inlineStr">
        <x:is>
          <x:t xml:space="preserve">Could not classify from first proof lines.</x:t>
        </x:is>
      </x:c>
    </x:row>
    <x:row r="278" ht="15" customHeight="1">
      <x:c r="A278" s="37" t="inlineStr">
        <x:is>
          <x:t xml:space="preserve">Faith-Thru-Physics-Lean-4--main</x:t>
        </x:is>
      </x:c>
      <x:c r="B278" s="38" t="inlineStr">
        <x:is>
          <x:t xml:space="preserve">Faith-Thru-Physics-Lean-4--main\Faith-Thru-Physics-Lean-4--main\Theophysics_Adversarial.lean</x:t>
        </x:is>
      </x:c>
      <x:c r="C278" s="38" t="inlineStr">
        <x:is>
          <x:t xml:space="preserve">64</x:t>
        </x:is>
      </x:c>
      <x:c r="D278" s="38" t="inlineStr">
        <x:is>
          <x:t xml:space="preserve">no_closed_system_self_restoration</x:t>
        </x:is>
      </x:c>
      <x:c r="E278" s="38" t="inlineStr">
        <x:is>
          <x:t xml:space="preserve">theorem no_closed_system_self_restoration : canRestore closedWithoutInput = false := Theophysics.Coherence.closed_without_input_cannot_restore</x:t>
        </x:is>
      </x:c>
      <x:c r="F278" s="38" t="n"/>
      <x:c r="G278" s="38" t="inlineStr">
        <x:is>
          <x:t xml:space="preserve">DECLARATION_OR_UNKNOWN</x:t>
        </x:is>
      </x:c>
      <x:c r="H278" s="39" t="inlineStr">
        <x:is>
          <x:t xml:space="preserve">Could not classify from first proof lines.</x:t>
        </x:is>
      </x:c>
    </x:row>
    <x:row r="279" ht="15" customHeight="1">
      <x:c r="A279" s="37" t="inlineStr">
        <x:is>
          <x:t xml:space="preserve">Faith-Thru-Physics-Lean-4--main</x:t>
        </x:is>
      </x:c>
      <x:c r="B279" s="38" t="inlineStr">
        <x:is>
          <x:t xml:space="preserve">Faith-Thru-Physics-Lean-4--main\Faith-Thru-Physics-Lean-4--main\Theophysics_Adversarial.lean</x:t>
        </x:is>
      </x:c>
      <x:c r="C279" s="38" t="inlineStr">
        <x:is>
          <x:t xml:space="preserve">68</x:t>
        </x:is>
      </x:c>
      <x:c r="D279" s="38" t="inlineStr">
        <x:is>
          <x:t xml:space="preserve">no_random_gap_as_structured_scar</x:t>
        </x:is>
      </x:c>
      <x:c r="E279" s="38" t="inlineStr">
        <x:is>
          <x:t xml:space="preserve">theorem no_random_gap_as_structured_scar : structuredScar randomGap = false := Theophysics.Fracture.random_gap_is_not_structured_scar</x:t>
        </x:is>
      </x:c>
      <x:c r="F279" s="38" t="n"/>
      <x:c r="G279" s="38" t="inlineStr">
        <x:is>
          <x:t xml:space="preserve">DECLARATION_OR_UNKNOWN</x:t>
        </x:is>
      </x:c>
      <x:c r="H279" s="39" t="inlineStr">
        <x:is>
          <x:t xml:space="preserve">Could not classify from first proof lines.</x:t>
        </x:is>
      </x:c>
    </x:row>
    <x:row r="280" ht="15" customHeight="1">
      <x:c r="A280" s="37" t="inlineStr">
        <x:is>
          <x:t xml:space="preserve">Faith-Thru-Physics-Lean-4--main</x:t>
        </x:is>
      </x:c>
      <x:c r="B280" s="38" t="inlineStr">
        <x:is>
          <x:t xml:space="preserve">Faith-Thru-Physics-Lean-4--main\Faith-Thru-Physics-Lean-4--main\Theophysics_Adversarial.lean</x:t>
        </x:is>
      </x:c>
      <x:c r="C280" s="38" t="inlineStr">
        <x:is>
          <x:t xml:space="preserve">72</x:t>
        </x:is>
      </x:c>
      <x:c r="D280" s="38" t="inlineStr">
        <x:is>
          <x:t xml:space="preserve">no_local_indeterminacy_alone_as_fracture</x:t>
        </x:is>
      </x:c>
      <x:c r="E280" s="38" t="inlineStr">
        <x:is>
          <x:t xml:space="preserve">theorem no_local_indeterminacy_alone_as_fracture : fractured indeterminateOnly = false := Theophysics.Fracture.local_indeterminacy_alone_is_not_fracture</x:t>
        </x:is>
      </x:c>
      <x:c r="F280" s="38" t="n"/>
      <x:c r="G280" s="38" t="inlineStr">
        <x:is>
          <x:t xml:space="preserve">DECLARATION_OR_UNKNOWN</x:t>
        </x:is>
      </x:c>
      <x:c r="H280" s="39" t="inlineStr">
        <x:is>
          <x:t xml:space="preserve">Could not classify from first proof lines.</x:t>
        </x:is>
      </x:c>
    </x:row>
    <x:row r="281" ht="15" customHeight="1">
      <x:c r="A281" s="37" t="inlineStr">
        <x:is>
          <x:t xml:space="preserve">Faith-Thru-Physics-Lean-4--main</x:t>
        </x:is>
      </x:c>
      <x:c r="B281" s="38" t="inlineStr">
        <x:is>
          <x:t xml:space="preserve">Faith-Thru-Physics-Lean-4--main\Faith-Thru-Physics-Lean-4--main\Theophysics_Adversarial.lean</x:t>
        </x:is>
      </x:c>
      <x:c r="C281" s="38" t="inlineStr">
        <x:is>
          <x:t xml:space="preserve">76</x:t>
        </x:is>
      </x:c>
      <x:c r="D281" s="38" t="inlineStr">
        <x:is>
          <x:t xml:space="preserve">no_fracture_repair_without_restoration</x:t>
        </x:is>
      </x:c>
      <x:c r="E281" s="38" t="inlineStr">
        <x:is>
          <x:t xml:space="preserve">theorem no_fracture_repair_without_restoration : repairable structuredFracture = false := Theophysics.Fracture.fracture_without_restoration_is_not_repairable</x:t>
        </x:is>
      </x:c>
      <x:c r="F281" s="38" t="n"/>
      <x:c r="G281" s="38" t="inlineStr">
        <x:is>
          <x:t xml:space="preserve">DECLARATION_OR_UNKNOWN</x:t>
        </x:is>
      </x:c>
      <x:c r="H281" s="39" t="inlineStr">
        <x:is>
          <x:t xml:space="preserve">Could not classify from first proof lines.</x:t>
        </x:is>
      </x:c>
    </x:row>
    <x:row r="282" ht="15" customHeight="1">
      <x:c r="A282" s="37" t="inlineStr">
        <x:is>
          <x:t xml:space="preserve">Faith-Thru-Physics-Lean-4--main</x:t>
        </x:is>
      </x:c>
      <x:c r="B282" s="38" t="inlineStr">
        <x:is>
          <x:t xml:space="preserve">Faith-Thru-Physics-Lean-4--main\Faith-Thru-Physics-Lean-4--main\Theophysics_Adversarial.lean</x:t>
        </x:is>
      </x:c>
      <x:c r="C282" s="38" t="inlineStr">
        <x:is>
          <x:t xml:space="preserve">80</x:t>
        </x:is>
      </x:c>
      <x:c r="D282" s="38" t="inlineStr">
        <x:is>
          <x:t xml:space="preserve">no_separation_only_as_fall</x:t>
        </x:is>
      </x:c>
      <x:c r="E282" s="38" t="inlineStr">
        <x:is>
          <x:t xml:space="preserve">theorem no_separation_only_as_fall : fallActivated separatedOnly = false := Theophysics.Fall.separation_alone_is_not_fall</x:t>
        </x:is>
      </x:c>
      <x:c r="F282" s="38" t="n"/>
      <x:c r="G282" s="38" t="inlineStr">
        <x:is>
          <x:t xml:space="preserve">DECLARATION_OR_UNKNOWN</x:t>
        </x:is>
      </x:c>
      <x:c r="H282" s="39" t="inlineStr">
        <x:is>
          <x:t xml:space="preserve">Could not classify from first proof lines.</x:t>
        </x:is>
      </x:c>
    </x:row>
    <x:row r="283" ht="15" customHeight="1">
      <x:c r="A283" s="37" t="inlineStr">
        <x:is>
          <x:t xml:space="preserve">Faith-Thru-Physics-Lean-4--main</x:t>
        </x:is>
      </x:c>
      <x:c r="B283" s="38" t="inlineStr">
        <x:is>
          <x:t xml:space="preserve">Faith-Thru-Physics-Lean-4--main\Faith-Thru-Physics-Lean-4--main\Theophysics_Adversarial.lean</x:t>
        </x:is>
      </x:c>
      <x:c r="C283" s="38" t="inlineStr">
        <x:is>
          <x:t xml:space="preserve">84</x:t>
        </x:is>
      </x:c>
      <x:c r="D283" s="38" t="inlineStr">
        <x:is>
          <x:t xml:space="preserve">no_coupling_without_entanglement_as_fall</x:t>
        </x:is>
      </x:c>
      <x:c r="E283" s="38" t="inlineStr">
        <x:is>
          <x:t xml:space="preserve">theorem no_coupling_without_entanglement_as_fall : fallActivated coupledOnly = false := Theophysics.Fall.coupling_without_entanglement_is_not_fall</x:t>
        </x:is>
      </x:c>
      <x:c r="F283" s="38" t="n"/>
      <x:c r="G283" s="38" t="inlineStr">
        <x:is>
          <x:t xml:space="preserve">DECLARATION_OR_UNKNOWN</x:t>
        </x:is>
      </x:c>
      <x:c r="H283" s="39" t="inlineStr">
        <x:is>
          <x:t xml:space="preserve">Could not classify from first proof lines.</x:t>
        </x:is>
      </x:c>
    </x:row>
    <x:row r="284" ht="15" customHeight="1">
      <x:c r="A284" s="37" t="inlineStr">
        <x:is>
          <x:t xml:space="preserve">Faith-Thru-Physics-Lean-4--main</x:t>
        </x:is>
      </x:c>
      <x:c r="B284" s="38" t="inlineStr">
        <x:is>
          <x:t xml:space="preserve">Faith-Thru-Physics-Lean-4--main\Faith-Thru-Physics-Lean-4--main\Theophysics_Adversarial.lean</x:t>
        </x:is>
      </x:c>
      <x:c r="C284" s="38" t="inlineStr">
        <x:is>
          <x:t xml:space="preserve">88</x:t>
        </x:is>
      </x:c>
      <x:c r="D284" s="38" t="inlineStr">
        <x:is>
          <x:t xml:space="preserve">no_fall_sustained_without_grace_floor</x:t>
        </x:is>
      </x:c>
      <x:c r="E284" s="38" t="inlineStr">
        <x:is>
          <x:t xml:space="preserve">theorem no_fall_sustained_without_grace_floor : sustainedAfterFall fullFallWithoutGraceFloor = false := Theophysics.Fall.full_fall_without_grace_floor_not_sustained</x:t>
        </x:is>
      </x:c>
      <x:c r="F284" s="38" t="n"/>
      <x:c r="G284" s="38" t="inlineStr">
        <x:is>
          <x:t xml:space="preserve">DECLARATION_OR_UNKNOWN</x:t>
        </x:is>
      </x:c>
      <x:c r="H284" s="39" t="inlineStr">
        <x:is>
          <x:t xml:space="preserve">Could not classify from first proof lines.</x:t>
        </x:is>
      </x:c>
    </x:row>
    <x:row r="285" ht="15" customHeight="1">
      <x:c r="A285" s="37" t="inlineStr">
        <x:is>
          <x:t xml:space="preserve">Faith-Thru-Physics-Lean-4--main</x:t>
        </x:is>
      </x:c>
      <x:c r="B285" s="38" t="inlineStr">
        <x:is>
          <x:t xml:space="preserve">Faith-Thru-Physics-Lean-4--main\Faith-Thru-Physics-Lean-4--main\Theophysics_Adversarial.lean</x:t>
        </x:is>
      </x:c>
      <x:c r="C285" s="38" t="inlineStr">
        <x:is>
          <x:t xml:space="preserve">92</x:t>
        </x:is>
      </x:c>
      <x:c r="D285" s="38" t="inlineStr">
        <x:is>
          <x:t xml:space="preserve">no_coercive_claim_as_coherent_product</x:t>
        </x:is>
      </x:c>
      <x:c r="E285" s="38" t="inlineStr">
        <x:is>
          <x:t xml:space="preserve">theorem no_coercive_claim_as_coherent_product : collapsed coerciveClaim = true := Theophysics.ChiEvaluator.coercive_claim_collapses</x:t>
        </x:is>
      </x:c>
      <x:c r="F285" s="38" t="n"/>
      <x:c r="G285" s="38" t="inlineStr">
        <x:is>
          <x:t xml:space="preserve">DECLARATION_OR_UNKNOWN</x:t>
        </x:is>
      </x:c>
      <x:c r="H285" s="39" t="inlineStr">
        <x:is>
          <x:t xml:space="preserve">Could not classify from first proof lines.</x:t>
        </x:is>
      </x:c>
    </x:row>
    <x:row r="286" ht="15" customHeight="1">
      <x:c r="A286" s="37" t="inlineStr">
        <x:is>
          <x:t xml:space="preserve">Faith-Thru-Physics-Lean-4--main</x:t>
        </x:is>
      </x:c>
      <x:c r="B286" s="38" t="inlineStr">
        <x:is>
          <x:t xml:space="preserve">Faith-Thru-Physics-Lean-4--main\Faith-Thru-Physics-Lean-4--main\Theophysics_Adversarial.lean</x:t>
        </x:is>
      </x:c>
      <x:c r="C286" s="38" t="inlineStr">
        <x:is>
          <x:t xml:space="preserve">96</x:t>
        </x:is>
      </x:c>
      <x:c r="D286" s="38" t="inlineStr">
        <x:is>
          <x:t xml:space="preserve">no_high_signal_low_freedom_as_clean_signal</x:t>
        </x:is>
      </x:c>
      <x:c r="E286" s="38" t="inlineStr">
        <x:is>
          <x:t xml:space="preserve">theorem no_high_signal_low_freedom_as_clean_signal : highSignalDeception highSignalLowFreedomClaim = true := Theophysics.ChiEvaluator.high_signal_low_freedom_detected</x:t>
        </x:is>
      </x:c>
      <x:c r="F286" s="38" t="n"/>
      <x:c r="G286" s="38" t="inlineStr">
        <x:is>
          <x:t xml:space="preserve">DECLARATION_OR_UNKNOWN</x:t>
        </x:is>
      </x:c>
      <x:c r="H286" s="39" t="inlineStr">
        <x:is>
          <x:t xml:space="preserve">Could not classify from first proof lines.</x:t>
        </x:is>
      </x:c>
    </x:row>
    <x:row r="287" ht="15" customHeight="1">
      <x:c r="A287" s="37" t="inlineStr">
        <x:is>
          <x:t xml:space="preserve">Faith-Thru-Physics-Lean-4--main</x:t>
        </x:is>
      </x:c>
      <x:c r="B287" s="38" t="inlineStr">
        <x:is>
          <x:t xml:space="preserve">Faith-Thru-Physics-Lean-4--main\Faith-Thru-Physics-Lean-4--main\Theophysics_Adversarial.lean</x:t>
        </x:is>
      </x:c>
      <x:c r="C287" s="38" t="inlineStr">
        <x:is>
          <x:t xml:space="preserve">100</x:t>
        </x:is>
      </x:c>
      <x:c r="D287" s="38" t="inlineStr">
        <x:is>
          <x:t xml:space="preserve">no_decaying_pressure_as_positive_gradient</x:t>
        </x:is>
      </x:c>
      <x:c r="E287" s="38" t="inlineStr">
        <x:is>
          <x:t xml:space="preserve">theorem no_decaying_pressure_as_positive_gradient : inferTwoPointGradient strongButDecayingStart strongButDecayingEnd = GradientLabel.negative := Theophysics.ChiEvaluator.strong_but_decaying_has_negative_gradient -- Generated check-failure entries from theorem inventory negatives and boundaries. #check_failure (show False by trivial) -- Q_nonzero_not_sufficient_for_positive_chi #check_failure (show False by trivial) -- no_stage_step_back_to_confirmation_from_redistribution #check_failure (show False by trivial) -- no_stage_step_back_to_pre_from_localization #check_failure (show False by trivial) -- no_stage_step_back_to_release_from_confirmation #check_failure (show False by trivial) -- two_destructive_signs_do_not_pass_coherence_gate #check_failure (show False by trivial) -- burden_negative_positive_stays_negative #check_failure (show False by trivial) -- burden_two_negatives_sta</x:t>
        </x:is>
      </x:c>
      <x:c r="F287" s="38" t="n"/>
      <x:c r="G287" s="38" t="inlineStr">
        <x:is>
          <x:t xml:space="preserve">DECLARATION_OR_UNKNOWN</x:t>
        </x:is>
      </x:c>
      <x:c r="H287" s="39" t="inlineStr">
        <x:is>
          <x:t xml:space="preserve">Could not classify from first proof lines.</x:t>
        </x:is>
      </x:c>
    </x:row>
    <x:row r="288" ht="15" customHeight="1">
      <x:c r="A288" s="37" t="inlineStr">
        <x:is>
          <x:t xml:space="preserve">Faith-Thru-Physics-Lean-4--main</x:t>
        </x:is>
      </x:c>
      <x:c r="B288" s="38" t="inlineStr">
        <x:is>
          <x:t xml:space="preserve">Faith-Thru-Physics-Lean-4--main\Faith-Thru-Physics-Lean-4--main\Theophysics_ChiEvaluator.lean</x:t>
        </x:is>
      </x:c>
      <x:c r="C288" s="38" t="inlineStr">
        <x:is>
          <x:t xml:space="preserve">110</x:t>
        </x:is>
      </x:c>
      <x:c r="D288" s="38" t="inlineStr">
        <x:is>
          <x:t xml:space="preserve">effective_zero_if_no_positive_signal</x:t>
        </x:is>
      </x:c>
      <x:c r="E288" s="38" t="inlineStr">
        <x:is>
          <x:t xml:space="preserve">theorem effective_zero_if_no_positive_signal (s : ChannelScore) (h : s.vPos = 0) : effectiveScore s = 0</x:t>
        </x:is>
      </x:c>
      <x:c r="F288" s="38" t="inlineStr">
        <x:is>
          <x:t xml:space="preserve">:= by simp [effectiveScore, h]</x:t>
        </x:is>
      </x:c>
      <x:c r="G288" s="38" t="inlineStr">
        <x:is>
          <x:t xml:space="preserve">SIMPLIFICATION</x:t>
        </x:is>
      </x:c>
      <x:c r="H288" s="39" t="inlineStr">
        <x:is>
          <x:t xml:space="preserve">Follows by simplification under definitions; check definition strength.</x:t>
        </x:is>
      </x:c>
    </x:row>
    <x:row r="289" ht="15" customHeight="1">
      <x:c r="A289" s="37" t="inlineStr">
        <x:is>
          <x:t xml:space="preserve">Faith-Thru-Physics-Lean-4--main</x:t>
        </x:is>
      </x:c>
      <x:c r="B289" s="38" t="inlineStr">
        <x:is>
          <x:t xml:space="preserve">Faith-Thru-Physics-Lean-4--main\Faith-Thru-Physics-Lean-4--main\Theophysics_ChiEvaluator.lean</x:t>
        </x:is>
      </x:c>
      <x:c r="C289" s="38" t="inlineStr">
        <x:is>
          <x:t xml:space="preserve">114</x:t>
        </x:is>
      </x:c>
      <x:c r="D289" s="38" t="inlineStr">
        <x:is>
          <x:t xml:space="preserve">effective_zero_if_fully_corrupted</x:t>
        </x:is>
      </x:c>
      <x:c r="E289" s="38" t="inlineStr">
        <x:is>
          <x:t xml:space="preserve">theorem effective_zero_if_fully_corrupted (s : ChannelScore) (h : s.vNeg = 100) : effectiveScore s = 0</x:t>
        </x:is>
      </x:c>
      <x:c r="F289" s="38" t="inlineStr">
        <x:is>
          <x:t xml:space="preserve">:= by simp [effectiveScore, h]</x:t>
        </x:is>
      </x:c>
      <x:c r="G289" s="38" t="inlineStr">
        <x:is>
          <x:t xml:space="preserve">SIMPLIFICATION</x:t>
        </x:is>
      </x:c>
      <x:c r="H289" s="39" t="inlineStr">
        <x:is>
          <x:t xml:space="preserve">Follows by simplification under definitions; check definition strength.</x:t>
        </x:is>
      </x:c>
    </x:row>
    <x:row r="290" ht="15" customHeight="1">
      <x:c r="A290" s="37" t="inlineStr">
        <x:is>
          <x:t xml:space="preserve">Faith-Thru-Physics-Lean-4--main</x:t>
        </x:is>
      </x:c>
      <x:c r="B290" s="38" t="inlineStr">
        <x:is>
          <x:t xml:space="preserve">Faith-Thru-Physics-Lean-4--main\Faith-Thru-Physics-Lean-4--main\Theophysics_ChiEvaluator.lean</x:t>
        </x:is>
      </x:c>
      <x:c r="C290" s="38" t="inlineStr">
        <x:is>
          <x:t xml:space="preserve">118</x:t>
        </x:is>
      </x:c>
      <x:c r="D290" s="38" t="inlineStr">
        <x:is>
          <x:t xml:space="preserve">perfect_score_effective</x:t>
        </x:is>
      </x:c>
      <x:c r="E290" s="38" t="inlineStr">
        <x:is>
          <x:t xml:space="preserve">theorem perfect_score_effective : effectiveScore (perfectScore 1 100) = 10000</x:t>
        </x:is>
      </x:c>
      <x:c r="F290" s="38" t="inlineStr">
        <x:is>
          <x:t xml:space="preserve">:= by rfl structure Evaluation where claimType : ClaimType scoreG : ChannelScore scoreM : ChannelScore scoreE : ChannelScore scoreS_eff : ChannelScore scoreT : ChannelScore scoreK : ChannelScore scoreR : ChannelScore scoreQ : ChannelScore scoreF : ChannelScore scoreC : ChannelScore deriving DecidableEq, Repr def getScore (e : Evaluation) : Channel → ChannelScore | Channel.G =&gt; e.scoreG | Channel.M =&gt; e.scoreM | Channel.E =&gt; e.scoreE | Channel.S_eff =&gt; e.scoreS_eff | Channel.T =&gt; e.scoreT | Chann</x:t>
        </x:is>
      </x:c>
      <x:c r="G290" s="38" t="inlineStr">
        <x:is>
          <x:t xml:space="preserve">DEFINITIONAL_RFL</x:t>
        </x:is>
      </x:c>
      <x:c r="H290" s="39" t="inlineStr">
        <x:is>
          <x:t xml:space="preserve">Proves definitional equality by reduction; useful but narrow.</x:t>
        </x:is>
      </x:c>
    </x:row>
    <x:row r="291" ht="15" customHeight="1">
      <x:c r="A291" s="37" t="inlineStr">
        <x:is>
          <x:t xml:space="preserve">Faith-Thru-Physics-Lean-4--main</x:t>
        </x:is>
      </x:c>
      <x:c r="B291" s="38" t="inlineStr">
        <x:is>
          <x:t xml:space="preserve">Faith-Thru-Physics-Lean-4--main\Faith-Thru-Physics-Lean-4--main\Theophysics_ChiEvaluator.lean</x:t>
        </x:is>
      </x:c>
      <x:c r="C291" s="38" t="inlineStr">
        <x:is>
          <x:t xml:space="preserve">229</x:t>
        </x:is>
      </x:c>
      <x:c r="D291" s="38" t="inlineStr">
        <x:is>
          <x:t xml:space="preserve">static_chi_zero_if_G_zero</x:t>
        </x:is>
      </x:c>
      <x:c r="E291" s="38" t="inlineStr">
        <x:is>
          <x:t xml:space="preserve">theorem static_chi_zero_if_G_zero (e : Evaluation) (h : effectiveScore e.scoreG = 0) : staticChi e = 0</x:t>
        </x:is>
      </x:c>
      <x:c r="F291" s="38" t="inlineStr">
        <x:is>
          <x:t xml:space="preserve">:= by simp [staticChi, h]</x:t>
        </x:is>
      </x:c>
      <x:c r="G291" s="38" t="inlineStr">
        <x:is>
          <x:t xml:space="preserve">SIMPLIFICATION</x:t>
        </x:is>
      </x:c>
      <x:c r="H291" s="39" t="inlineStr">
        <x:is>
          <x:t xml:space="preserve">Follows by simplification under definitions; check definition strength.</x:t>
        </x:is>
      </x:c>
    </x:row>
    <x:row r="292" ht="15" customHeight="1">
      <x:c r="A292" s="37" t="inlineStr">
        <x:is>
          <x:t xml:space="preserve">Faith-Thru-Physics-Lean-4--main</x:t>
        </x:is>
      </x:c>
      <x:c r="B292" s="38" t="inlineStr">
        <x:is>
          <x:t xml:space="preserve">Faith-Thru-Physics-Lean-4--main\Faith-Thru-Physics-Lean-4--main\Theophysics_ChiEvaluator.lean</x:t>
        </x:is>
      </x:c>
      <x:c r="C292" s="38" t="inlineStr">
        <x:is>
          <x:t xml:space="preserve">233</x:t>
        </x:is>
      </x:c>
      <x:c r="D292" s="38" t="inlineStr">
        <x:is>
          <x:t xml:space="preserve">static_chi_zero_if_M_zero</x:t>
        </x:is>
      </x:c>
      <x:c r="E292" s="38" t="inlineStr">
        <x:is>
          <x:t xml:space="preserve">theorem static_chi_zero_if_M_zero (e : Evaluation) (h : effectiveScore e.scoreM = 0) : staticChi e = 0</x:t>
        </x:is>
      </x:c>
      <x:c r="F292" s="38" t="inlineStr">
        <x:is>
          <x:t xml:space="preserve">:= by simp [staticChi, h]</x:t>
        </x:is>
      </x:c>
      <x:c r="G292" s="38" t="inlineStr">
        <x:is>
          <x:t xml:space="preserve">SIMPLIFICATION</x:t>
        </x:is>
      </x:c>
      <x:c r="H292" s="39" t="inlineStr">
        <x:is>
          <x:t xml:space="preserve">Follows by simplification under definitions; check definition strength.</x:t>
        </x:is>
      </x:c>
    </x:row>
    <x:row r="293" ht="15" customHeight="1">
      <x:c r="A293" s="37" t="inlineStr">
        <x:is>
          <x:t xml:space="preserve">Faith-Thru-Physics-Lean-4--main</x:t>
        </x:is>
      </x:c>
      <x:c r="B293" s="38" t="inlineStr">
        <x:is>
          <x:t xml:space="preserve">Faith-Thru-Physics-Lean-4--main\Faith-Thru-Physics-Lean-4--main\Theophysics_ChiEvaluator.lean</x:t>
        </x:is>
      </x:c>
      <x:c r="C293" s="38" t="inlineStr">
        <x:is>
          <x:t xml:space="preserve">237</x:t>
        </x:is>
      </x:c>
      <x:c r="D293" s="38" t="inlineStr">
        <x:is>
          <x:t xml:space="preserve">static_chi_zero_if_E_zero</x:t>
        </x:is>
      </x:c>
      <x:c r="E293" s="38" t="inlineStr">
        <x:is>
          <x:t xml:space="preserve">theorem static_chi_zero_if_E_zero (e : Evaluation) (h : effectiveScore e.scoreE = 0) : staticChi e = 0</x:t>
        </x:is>
      </x:c>
      <x:c r="F293" s="38" t="inlineStr">
        <x:is>
          <x:t xml:space="preserve">:= by simp [staticChi, h]</x:t>
        </x:is>
      </x:c>
      <x:c r="G293" s="38" t="inlineStr">
        <x:is>
          <x:t xml:space="preserve">SIMPLIFICATION</x:t>
        </x:is>
      </x:c>
      <x:c r="H293" s="39" t="inlineStr">
        <x:is>
          <x:t xml:space="preserve">Follows by simplification under definitions; check definition strength.</x:t>
        </x:is>
      </x:c>
    </x:row>
    <x:row r="294" ht="15" customHeight="1">
      <x:c r="A294" s="37" t="inlineStr">
        <x:is>
          <x:t xml:space="preserve">Faith-Thru-Physics-Lean-4--main</x:t>
        </x:is>
      </x:c>
      <x:c r="B294" s="38" t="inlineStr">
        <x:is>
          <x:t xml:space="preserve">Faith-Thru-Physics-Lean-4--main\Faith-Thru-Physics-Lean-4--main\Theophysics_ChiEvaluator.lean</x:t>
        </x:is>
      </x:c>
      <x:c r="C294" s="38" t="inlineStr">
        <x:is>
          <x:t xml:space="preserve">241</x:t>
        </x:is>
      </x:c>
      <x:c r="D294" s="38" t="inlineStr">
        <x:is>
          <x:t xml:space="preserve">static_chi_zero_if_S_eff_zero</x:t>
        </x:is>
      </x:c>
      <x:c r="E294" s="38" t="inlineStr">
        <x:is>
          <x:t xml:space="preserve">theorem static_chi_zero_if_S_eff_zero (e : Evaluation) (h : effectiveScore e.scoreS_eff = 0) : staticChi e = 0</x:t>
        </x:is>
      </x:c>
      <x:c r="F294" s="38" t="inlineStr">
        <x:is>
          <x:t xml:space="preserve">:= by simp [staticChi, h]</x:t>
        </x:is>
      </x:c>
      <x:c r="G294" s="38" t="inlineStr">
        <x:is>
          <x:t xml:space="preserve">SIMPLIFICATION</x:t>
        </x:is>
      </x:c>
      <x:c r="H294" s="39" t="inlineStr">
        <x:is>
          <x:t xml:space="preserve">Follows by simplification under definitions; check definition strength.</x:t>
        </x:is>
      </x:c>
    </x:row>
    <x:row r="295" ht="15" customHeight="1">
      <x:c r="A295" s="37" t="inlineStr">
        <x:is>
          <x:t xml:space="preserve">Faith-Thru-Physics-Lean-4--main</x:t>
        </x:is>
      </x:c>
      <x:c r="B295" s="38" t="inlineStr">
        <x:is>
          <x:t xml:space="preserve">Faith-Thru-Physics-Lean-4--main\Faith-Thru-Physics-Lean-4--main\Theophysics_ChiEvaluator.lean</x:t>
        </x:is>
      </x:c>
      <x:c r="C295" s="38" t="inlineStr">
        <x:is>
          <x:t xml:space="preserve">245</x:t>
        </x:is>
      </x:c>
      <x:c r="D295" s="38" t="inlineStr">
        <x:is>
          <x:t xml:space="preserve">static_chi_zero_if_T_zero</x:t>
        </x:is>
      </x:c>
      <x:c r="E295" s="38" t="inlineStr">
        <x:is>
          <x:t xml:space="preserve">theorem static_chi_zero_if_T_zero (e : Evaluation) (h : effectiveScore e.scoreT = 0) : staticChi e = 0</x:t>
        </x:is>
      </x:c>
      <x:c r="F295" s="38" t="inlineStr">
        <x:is>
          <x:t xml:space="preserve">:= by simp [staticChi, h]</x:t>
        </x:is>
      </x:c>
      <x:c r="G295" s="38" t="inlineStr">
        <x:is>
          <x:t xml:space="preserve">SIMPLIFICATION</x:t>
        </x:is>
      </x:c>
      <x:c r="H295" s="39" t="inlineStr">
        <x:is>
          <x:t xml:space="preserve">Follows by simplification under definitions; check definition strength.</x:t>
        </x:is>
      </x:c>
    </x:row>
    <x:row r="296" ht="15" customHeight="1">
      <x:c r="A296" s="37" t="inlineStr">
        <x:is>
          <x:t xml:space="preserve">Faith-Thru-Physics-Lean-4--main</x:t>
        </x:is>
      </x:c>
      <x:c r="B296" s="38" t="inlineStr">
        <x:is>
          <x:t xml:space="preserve">Faith-Thru-Physics-Lean-4--main\Faith-Thru-Physics-Lean-4--main\Theophysics_ChiEvaluator.lean</x:t>
        </x:is>
      </x:c>
      <x:c r="C296" s="38" t="inlineStr">
        <x:is>
          <x:t xml:space="preserve">249</x:t>
        </x:is>
      </x:c>
      <x:c r="D296" s="38" t="inlineStr">
        <x:is>
          <x:t xml:space="preserve">static_chi_zero_if_K_zero</x:t>
        </x:is>
      </x:c>
      <x:c r="E296" s="38" t="inlineStr">
        <x:is>
          <x:t xml:space="preserve">theorem static_chi_zero_if_K_zero (e : Evaluation) (h : effectiveScore e.scoreK = 0) : staticChi e = 0</x:t>
        </x:is>
      </x:c>
      <x:c r="F296" s="38" t="inlineStr">
        <x:is>
          <x:t xml:space="preserve">:= by simp [staticChi, h]</x:t>
        </x:is>
      </x:c>
      <x:c r="G296" s="38" t="inlineStr">
        <x:is>
          <x:t xml:space="preserve">SIMPLIFICATION</x:t>
        </x:is>
      </x:c>
      <x:c r="H296" s="39" t="inlineStr">
        <x:is>
          <x:t xml:space="preserve">Follows by simplification under definitions; check definition strength.</x:t>
        </x:is>
      </x:c>
    </x:row>
    <x:row r="297" ht="15" customHeight="1">
      <x:c r="A297" s="37" t="inlineStr">
        <x:is>
          <x:t xml:space="preserve">Faith-Thru-Physics-Lean-4--main</x:t>
        </x:is>
      </x:c>
      <x:c r="B297" s="38" t="inlineStr">
        <x:is>
          <x:t xml:space="preserve">Faith-Thru-Physics-Lean-4--main\Faith-Thru-Physics-Lean-4--main\Theophysics_ChiEvaluator.lean</x:t>
        </x:is>
      </x:c>
      <x:c r="C297" s="38" t="inlineStr">
        <x:is>
          <x:t xml:space="preserve">253</x:t>
        </x:is>
      </x:c>
      <x:c r="D297" s="38" t="inlineStr">
        <x:is>
          <x:t xml:space="preserve">static_chi_zero_if_R_zero</x:t>
        </x:is>
      </x:c>
      <x:c r="E297" s="38" t="inlineStr">
        <x:is>
          <x:t xml:space="preserve">theorem static_chi_zero_if_R_zero (e : Evaluation) (h : effectiveScore e.scoreR = 0) : staticChi e = 0</x:t>
        </x:is>
      </x:c>
      <x:c r="F297" s="38" t="inlineStr">
        <x:is>
          <x:t xml:space="preserve">:= by simp [staticChi, h]</x:t>
        </x:is>
      </x:c>
      <x:c r="G297" s="38" t="inlineStr">
        <x:is>
          <x:t xml:space="preserve">SIMPLIFICATION</x:t>
        </x:is>
      </x:c>
      <x:c r="H297" s="39" t="inlineStr">
        <x:is>
          <x:t xml:space="preserve">Follows by simplification under definitions; check definition strength.</x:t>
        </x:is>
      </x:c>
    </x:row>
    <x:row r="298" ht="15" customHeight="1">
      <x:c r="A298" s="37" t="inlineStr">
        <x:is>
          <x:t xml:space="preserve">Faith-Thru-Physics-Lean-4--main</x:t>
        </x:is>
      </x:c>
      <x:c r="B298" s="38" t="inlineStr">
        <x:is>
          <x:t xml:space="preserve">Faith-Thru-Physics-Lean-4--main\Faith-Thru-Physics-Lean-4--main\Theophysics_ChiEvaluator.lean</x:t>
        </x:is>
      </x:c>
      <x:c r="C298" s="38" t="inlineStr">
        <x:is>
          <x:t xml:space="preserve">257</x:t>
        </x:is>
      </x:c>
      <x:c r="D298" s="38" t="inlineStr">
        <x:is>
          <x:t xml:space="preserve">static_chi_zero_if_Q_zero</x:t>
        </x:is>
      </x:c>
      <x:c r="E298" s="38" t="inlineStr">
        <x:is>
          <x:t xml:space="preserve">theorem static_chi_zero_if_Q_zero (e : Evaluation) (h : effectiveScore e.scoreQ = 0) : staticChi e = 0</x:t>
        </x:is>
      </x:c>
      <x:c r="F298" s="38" t="inlineStr">
        <x:is>
          <x:t xml:space="preserve">:= by simp [staticChi, h]</x:t>
        </x:is>
      </x:c>
      <x:c r="G298" s="38" t="inlineStr">
        <x:is>
          <x:t xml:space="preserve">SIMPLIFICATION</x:t>
        </x:is>
      </x:c>
      <x:c r="H298" s="39" t="inlineStr">
        <x:is>
          <x:t xml:space="preserve">Follows by simplification under definitions; check definition strength.</x:t>
        </x:is>
      </x:c>
    </x:row>
    <x:row r="299" ht="15" customHeight="1">
      <x:c r="A299" s="37" t="inlineStr">
        <x:is>
          <x:t xml:space="preserve">Faith-Thru-Physics-Lean-4--main</x:t>
        </x:is>
      </x:c>
      <x:c r="B299" s="38" t="inlineStr">
        <x:is>
          <x:t xml:space="preserve">Faith-Thru-Physics-Lean-4--main\Faith-Thru-Physics-Lean-4--main\Theophysics_ChiEvaluator.lean</x:t>
        </x:is>
      </x:c>
      <x:c r="C299" s="38" t="inlineStr">
        <x:is>
          <x:t xml:space="preserve">261</x:t>
        </x:is>
      </x:c>
      <x:c r="D299" s="38" t="inlineStr">
        <x:is>
          <x:t xml:space="preserve">static_chi_zero_if_F_zero</x:t>
        </x:is>
      </x:c>
      <x:c r="E299" s="38" t="inlineStr">
        <x:is>
          <x:t xml:space="preserve">theorem static_chi_zero_if_F_zero (e : Evaluation) (h : effectiveScore e.scoreF = 0) : staticChi e = 0</x:t>
        </x:is>
      </x:c>
      <x:c r="F299" s="38" t="inlineStr">
        <x:is>
          <x:t xml:space="preserve">:= by simp [staticChi, h]</x:t>
        </x:is>
      </x:c>
      <x:c r="G299" s="38" t="inlineStr">
        <x:is>
          <x:t xml:space="preserve">SIMPLIFICATION</x:t>
        </x:is>
      </x:c>
      <x:c r="H299" s="39" t="inlineStr">
        <x:is>
          <x:t xml:space="preserve">Follows by simplification under definitions; check definition strength.</x:t>
        </x:is>
      </x:c>
    </x:row>
    <x:row r="300" ht="15" customHeight="1">
      <x:c r="A300" s="37" t="inlineStr">
        <x:is>
          <x:t xml:space="preserve">Faith-Thru-Physics-Lean-4--main</x:t>
        </x:is>
      </x:c>
      <x:c r="B300" s="38" t="inlineStr">
        <x:is>
          <x:t xml:space="preserve">Faith-Thru-Physics-Lean-4--main\Faith-Thru-Physics-Lean-4--main\Theophysics_ChiEvaluator.lean</x:t>
        </x:is>
      </x:c>
      <x:c r="C300" s="38" t="inlineStr">
        <x:is>
          <x:t xml:space="preserve">265</x:t>
        </x:is>
      </x:c>
      <x:c r="D300" s="38" t="inlineStr">
        <x:is>
          <x:t xml:space="preserve">static_chi_zero_if_C_zero</x:t>
        </x:is>
      </x:c>
      <x:c r="E300" s="38" t="inlineStr">
        <x:is>
          <x:t xml:space="preserve">theorem static_chi_zero_if_C_zero (e : Evaluation) (h : effectiveScore e.scoreC = 0) : staticChi e = 0</x:t>
        </x:is>
      </x:c>
      <x:c r="F300" s="38" t="inlineStr">
        <x:is>
          <x:t xml:space="preserve">:= by simp [staticChi, h]</x:t>
        </x:is>
      </x:c>
      <x:c r="G300" s="38" t="inlineStr">
        <x:is>
          <x:t xml:space="preserve">SIMPLIFICATION</x:t>
        </x:is>
      </x:c>
      <x:c r="H300" s="39" t="inlineStr">
        <x:is>
          <x:t xml:space="preserve">Follows by simplification under definitions; check definition strength.</x:t>
        </x:is>
      </x:c>
    </x:row>
    <x:row r="301" ht="15" customHeight="1">
      <x:c r="A301" s="37" t="inlineStr">
        <x:is>
          <x:t xml:space="preserve">Faith-Thru-Physics-Lean-4--main</x:t>
        </x:is>
      </x:c>
      <x:c r="B301" s="38" t="inlineStr">
        <x:is>
          <x:t xml:space="preserve">Faith-Thru-Physics-Lean-4--main\Faith-Thru-Physics-Lean-4--main\Theophysics_ChiEvaluator.lean</x:t>
        </x:is>
      </x:c>
      <x:c r="C301" s="38" t="inlineStr">
        <x:is>
          <x:t xml:space="preserve">269</x:t>
        </x:is>
      </x:c>
      <x:c r="D301" s="38" t="inlineStr">
        <x:is>
          <x:t xml:space="preserve">coercive_claim_collapses</x:t>
        </x:is>
      </x:c>
      <x:c r="E301" s="38" t="inlineStr">
        <x:is>
          <x:t xml:space="preserve">theorem coercive_claim_collapses : collapsed coerciveClaim = true</x:t>
        </x:is>
      </x:c>
      <x:c r="F301" s="38" t="inlineStr">
        <x:is>
          <x:t xml:space="preserve">:= by rfl</x:t>
        </x:is>
      </x:c>
      <x:c r="G301" s="38" t="inlineStr">
        <x:is>
          <x:t xml:space="preserve">DEFINITIONAL_RFL</x:t>
        </x:is>
      </x:c>
      <x:c r="H301" s="39" t="inlineStr">
        <x:is>
          <x:t xml:space="preserve">Proves definitional equality by reduction; useful but narrow.</x:t>
        </x:is>
      </x:c>
    </x:row>
    <x:row r="302" ht="15" customHeight="1">
      <x:c r="A302" s="37" t="inlineStr">
        <x:is>
          <x:t xml:space="preserve">Faith-Thru-Physics-Lean-4--main</x:t>
        </x:is>
      </x:c>
      <x:c r="B302" s="38" t="inlineStr">
        <x:is>
          <x:t xml:space="preserve">Faith-Thru-Physics-Lean-4--main\Faith-Thru-Physics-Lean-4--main\Theophysics_ChiEvaluator.lean</x:t>
        </x:is>
      </x:c>
      <x:c r="C302" s="38" t="inlineStr">
        <x:is>
          <x:t xml:space="preserve">273</x:t>
        </x:is>
      </x:c>
      <x:c r="D302" s="38" t="inlineStr">
        <x:is>
          <x:t xml:space="preserve">self_sealing_claim_collapses</x:t>
        </x:is>
      </x:c>
      <x:c r="E302" s="38" t="inlineStr">
        <x:is>
          <x:t xml:space="preserve">theorem self_sealing_claim_collapses : collapsed selfSealingClaim = true</x:t>
        </x:is>
      </x:c>
      <x:c r="F302" s="38" t="inlineStr">
        <x:is>
          <x:t xml:space="preserve">:= by rfl</x:t>
        </x:is>
      </x:c>
      <x:c r="G302" s="38" t="inlineStr">
        <x:is>
          <x:t xml:space="preserve">DEFINITIONAL_RFL</x:t>
        </x:is>
      </x:c>
      <x:c r="H302" s="39" t="inlineStr">
        <x:is>
          <x:t xml:space="preserve">Proves definitional equality by reduction; useful but narrow.</x:t>
        </x:is>
      </x:c>
    </x:row>
    <x:row r="303" ht="15" customHeight="1">
      <x:c r="A303" s="37" t="inlineStr">
        <x:is>
          <x:t xml:space="preserve">Faith-Thru-Physics-Lean-4--main</x:t>
        </x:is>
      </x:c>
      <x:c r="B303" s="38" t="inlineStr">
        <x:is>
          <x:t xml:space="preserve">Faith-Thru-Physics-Lean-4--main\Faith-Thru-Physics-Lean-4--main\Theophysics_ChiEvaluator.lean</x:t>
        </x:is>
      </x:c>
      <x:c r="C303" s="38" t="inlineStr">
        <x:is>
          <x:t xml:space="preserve">277</x:t>
        </x:is>
      </x:c>
      <x:c r="D303" s="38" t="inlineStr">
        <x:is>
          <x:t xml:space="preserve">high_signal_low_freedom_detected</x:t>
        </x:is>
      </x:c>
      <x:c r="E303" s="38" t="inlineStr">
        <x:is>
          <x:t xml:space="preserve">theorem high_signal_low_freedom_detected : highSignalDeception highSignalLowFreedomClaim = true</x:t>
        </x:is>
      </x:c>
      <x:c r="F303" s="38" t="inlineStr">
        <x:is>
          <x:t xml:space="preserve">:= by rfl</x:t>
        </x:is>
      </x:c>
      <x:c r="G303" s="38" t="inlineStr">
        <x:is>
          <x:t xml:space="preserve">DEFINITIONAL_RFL</x:t>
        </x:is>
      </x:c>
      <x:c r="H303" s="39" t="inlineStr">
        <x:is>
          <x:t xml:space="preserve">Proves definitional equality by reduction; useful but narrow.</x:t>
        </x:is>
      </x:c>
    </x:row>
    <x:row r="304" ht="15" customHeight="1">
      <x:c r="A304" s="37" t="inlineStr">
        <x:is>
          <x:t xml:space="preserve">Faith-Thru-Physics-Lean-4--main</x:t>
        </x:is>
      </x:c>
      <x:c r="B304" s="38" t="inlineStr">
        <x:is>
          <x:t xml:space="preserve">Faith-Thru-Physics-Lean-4--main\Faith-Thru-Physics-Lean-4--main\Theophysics_ChiEvaluator.lean</x:t>
        </x:is>
      </x:c>
      <x:c r="C304" s="38" t="inlineStr">
        <x:is>
          <x:t xml:space="preserve">281</x:t>
        </x:is>
      </x:c>
      <x:c r="D304" s="38" t="inlineStr">
        <x:is>
          <x:t xml:space="preserve">high_signal_low_freedom_not_collapsed</x:t>
        </x:is>
      </x:c>
      <x:c r="E304" s="38" t="inlineStr">
        <x:is>
          <x:t xml:space="preserve">theorem high_signal_low_freedom_not_collapsed : collapsed highSignalLowFreedomClaim = false</x:t>
        </x:is>
      </x:c>
      <x:c r="F304" s="38" t="inlineStr">
        <x:is>
          <x:t xml:space="preserve">:= by rfl</x:t>
        </x:is>
      </x:c>
      <x:c r="G304" s="38" t="inlineStr">
        <x:is>
          <x:t xml:space="preserve">DEFINITIONAL_RFL</x:t>
        </x:is>
      </x:c>
      <x:c r="H304" s="39" t="inlineStr">
        <x:is>
          <x:t xml:space="preserve">Proves definitional equality by reduction; useful but narrow.</x:t>
        </x:is>
      </x:c>
    </x:row>
    <x:row r="305" ht="15" customHeight="1">
      <x:c r="A305" s="37" t="inlineStr">
        <x:is>
          <x:t xml:space="preserve">Faith-Thru-Physics-Lean-4--main</x:t>
        </x:is>
      </x:c>
      <x:c r="B305" s="38" t="inlineStr">
        <x:is>
          <x:t xml:space="preserve">Faith-Thru-Physics-Lean-4--main\Faith-Thru-Physics-Lean-4--main\Theophysics_ChiEvaluator.lean</x:t>
        </x:is>
      </x:c>
      <x:c r="C305" s="38" t="inlineStr">
        <x:is>
          <x:t xml:space="preserve">285</x:t>
        </x:is>
      </x:c>
      <x:c r="D305" s="38" t="inlineStr">
        <x:is>
          <x:t xml:space="preserve">high_signal_low_freedom_verdict</x:t>
        </x:is>
      </x:c>
      <x:c r="E305" s="38" t="inlineStr">
        <x:is>
          <x:t xml:space="preserve">theorem high_signal_low_freedom_verdict : inferVerdict highSignalLowFreedomClaim = Verdict.highSignalDeception</x:t>
        </x:is>
      </x:c>
      <x:c r="F305" s="38" t="inlineStr">
        <x:is>
          <x:t xml:space="preserve">:= by rfl structure PressureResult where pressureState : PressureState chi : Nat deriving DecidableEq, Repr def pressureImproves (a b : PressureResult) : Bool := a.chi &lt; b.chi def pressureDecays (a b : PressureResult) : Bool := b.chi &lt; a.chi def inferTwoPointGradient (a b : PressureResult) : GradientLabel := if pressureImproves a b then GradientLabel.positive else if pressureDecays a b then GradientLabel.negative else GradientLabel.neutral def weakButGrowingStart : PressureResult where pressureS</x:t>
        </x:is>
      </x:c>
      <x:c r="G305" s="38" t="inlineStr">
        <x:is>
          <x:t xml:space="preserve">DEFINITIONAL_RFL</x:t>
        </x:is>
      </x:c>
      <x:c r="H305" s="39" t="inlineStr">
        <x:is>
          <x:t xml:space="preserve">Proves definitional equality by reduction; useful but narrow.</x:t>
        </x:is>
      </x:c>
    </x:row>
    <x:row r="306" ht="15" customHeight="1">
      <x:c r="A306" s="37" t="inlineStr">
        <x:is>
          <x:t xml:space="preserve">Faith-Thru-Physics-Lean-4--main</x:t>
        </x:is>
      </x:c>
      <x:c r="B306" s="38" t="inlineStr">
        <x:is>
          <x:t xml:space="preserve">Faith-Thru-Physics-Lean-4--main\Faith-Thru-Physics-Lean-4--main\Theophysics_ChiEvaluator.lean</x:t>
        </x:is>
      </x:c>
      <x:c r="C306" s="38" t="inlineStr">
        <x:is>
          <x:t xml:space="preserve">321</x:t>
        </x:is>
      </x:c>
      <x:c r="D306" s="38" t="inlineStr">
        <x:is>
          <x:t xml:space="preserve">weak_but_growing_has_positive_gradient</x:t>
        </x:is>
      </x:c>
      <x:c r="E306" s="38" t="inlineStr">
        <x:is>
          <x:t xml:space="preserve">theorem weak_but_growing_has_positive_gradient : inferTwoPointGradient weakButGrowingStart weakButGrowingEnd = GradientLabel.positive</x:t>
        </x:is>
      </x:c>
      <x:c r="F306" s="38" t="inlineStr">
        <x:is>
          <x:t xml:space="preserve">:= by rfl</x:t>
        </x:is>
      </x:c>
      <x:c r="G306" s="38" t="inlineStr">
        <x:is>
          <x:t xml:space="preserve">DEFINITIONAL_RFL</x:t>
        </x:is>
      </x:c>
      <x:c r="H306" s="39" t="inlineStr">
        <x:is>
          <x:t xml:space="preserve">Proves definitional equality by reduction; useful but narrow.</x:t>
        </x:is>
      </x:c>
    </x:row>
    <x:row r="307" ht="15" customHeight="1">
      <x:c r="A307" s="37" t="inlineStr">
        <x:is>
          <x:t xml:space="preserve">Faith-Thru-Physics-Lean-4--main</x:t>
        </x:is>
      </x:c>
      <x:c r="B307" s="38" t="inlineStr">
        <x:is>
          <x:t xml:space="preserve">Faith-Thru-Physics-Lean-4--main\Faith-Thru-Physics-Lean-4--main\Theophysics_ChiEvaluator.lean</x:t>
        </x:is>
      </x:c>
      <x:c r="C307" s="38" t="inlineStr">
        <x:is>
          <x:t xml:space="preserve">325</x:t>
        </x:is>
      </x:c>
      <x:c r="D307" s="38" t="inlineStr">
        <x:is>
          <x:t xml:space="preserve">strong_but_decaying_has_negative_gradient</x:t>
        </x:is>
      </x:c>
      <x:c r="E307" s="38" t="inlineStr">
        <x:is>
          <x:t xml:space="preserve">theorem strong_but_decaying_has_negative_gradient : inferTwoPointGradient strongButDecayingStart strongButDecayingEnd = GradientLabel.negative</x:t>
        </x:is>
      </x:c>
      <x:c r="F307" s="38" t="inlineStr">
        <x:is>
          <x:t xml:space="preserve">:= by rfl structure FruitOutput where fruitScore : Nat antiFruitScore : Nat deriving DecidableEq, Repr def fruitDominates (f : FruitOutput) : Bool := f.antiFruitScore &lt; f.fruitScore def antiFruitDominates (f : FruitOutput) : Bool := f.fruitScore &lt; f.antiFruitScore def peacefulOutput : FruitOutput where fruitScore := 90 antiFruitScore := 5 def coerciveOutput : FruitOutput where fruitScore := 10 antiFruitScore := 80</x:t>
        </x:is>
      </x:c>
      <x:c r="G307" s="38" t="inlineStr">
        <x:is>
          <x:t xml:space="preserve">DEFINITIONAL_RFL</x:t>
        </x:is>
      </x:c>
      <x:c r="H307" s="39" t="inlineStr">
        <x:is>
          <x:t xml:space="preserve">Proves definitional equality by reduction; useful but narrow.</x:t>
        </x:is>
      </x:c>
    </x:row>
    <x:row r="308" ht="15" customHeight="1">
      <x:c r="A308" s="37" t="inlineStr">
        <x:is>
          <x:t xml:space="preserve">Faith-Thru-Physics-Lean-4--main</x:t>
        </x:is>
      </x:c>
      <x:c r="B308" s="38" t="inlineStr">
        <x:is>
          <x:t xml:space="preserve">Faith-Thru-Physics-Lean-4--main\Faith-Thru-Physics-Lean-4--main\Theophysics_ChiEvaluator.lean</x:t>
        </x:is>
      </x:c>
      <x:c r="C308" s="38" t="inlineStr">
        <x:is>
          <x:t xml:space="preserve">348</x:t>
        </x:is>
      </x:c>
      <x:c r="D308" s="38" t="inlineStr">
        <x:is>
          <x:t xml:space="preserve">peaceful_output_fruit_dominates</x:t>
        </x:is>
      </x:c>
      <x:c r="E308" s="38" t="inlineStr">
        <x:is>
          <x:t xml:space="preserve">theorem peaceful_output_fruit_dominates : fruitDominates peacefulOutput = true</x:t>
        </x:is>
      </x:c>
      <x:c r="F308" s="38" t="inlineStr">
        <x:is>
          <x:t xml:space="preserve">:= by rfl</x:t>
        </x:is>
      </x:c>
      <x:c r="G308" s="38" t="inlineStr">
        <x:is>
          <x:t xml:space="preserve">DEFINITIONAL_RFL</x:t>
        </x:is>
      </x:c>
      <x:c r="H308" s="39" t="inlineStr">
        <x:is>
          <x:t xml:space="preserve">Proves definitional equality by reduction; useful but narrow.</x:t>
        </x:is>
      </x:c>
    </x:row>
    <x:row r="309" ht="15" customHeight="1">
      <x:c r="A309" s="37" t="inlineStr">
        <x:is>
          <x:t xml:space="preserve">Faith-Thru-Physics-Lean-4--main</x:t>
        </x:is>
      </x:c>
      <x:c r="B309" s="38" t="inlineStr">
        <x:is>
          <x:t xml:space="preserve">Faith-Thru-Physics-Lean-4--main\Faith-Thru-Physics-Lean-4--main\Theophysics_ChiEvaluator.lean</x:t>
        </x:is>
      </x:c>
      <x:c r="C309" s="38" t="inlineStr">
        <x:is>
          <x:t xml:space="preserve">352</x:t>
        </x:is>
      </x:c>
      <x:c r="D309" s="38" t="inlineStr">
        <x:is>
          <x:t xml:space="preserve">coercive_output_antifruit_dominates</x:t>
        </x:is>
      </x:c>
      <x:c r="E309" s="38" t="inlineStr">
        <x:is>
          <x:t xml:space="preserve">theorem coercive_output_antifruit_dominates : antiFruitDominates coerciveOutput = true</x:t>
        </x:is>
      </x:c>
      <x:c r="F309" s="38" t="inlineStr">
        <x:is>
          <x:t xml:space="preserve">:= by rfl</x:t>
        </x:is>
      </x:c>
      <x:c r="G309" s="38" t="inlineStr">
        <x:is>
          <x:t xml:space="preserve">DEFINITIONAL_RFL</x:t>
        </x:is>
      </x:c>
      <x:c r="H309" s="39" t="inlineStr">
        <x:is>
          <x:t xml:space="preserve">Proves definitional equality by reduction; useful but narrow.</x:t>
        </x:is>
      </x:c>
    </x:row>
    <x:row r="310" ht="15" customHeight="1">
      <x:c r="A310" s="37" t="inlineStr">
        <x:is>
          <x:t xml:space="preserve">Faith-Thru-Physics-Lean-4--main</x:t>
        </x:is>
      </x:c>
      <x:c r="B310" s="38" t="inlineStr">
        <x:is>
          <x:t xml:space="preserve">Faith-Thru-Physics-Lean-4--main\Faith-Thru-Physics-Lean-4--main\Theophysics_ChiEvaluator.lean</x:t>
        </x:is>
      </x:c>
      <x:c r="C310" s="38" t="inlineStr">
        <x:is>
          <x:t xml:space="preserve">356</x:t>
        </x:is>
      </x:c>
      <x:c r="D310" s="38" t="inlineStr">
        <x:is>
          <x:t xml:space="preserve">chi_evaluator_marker</x:t>
        </x:is>
      </x:c>
      <x:c r="E310" s="38" t="inlineStr">
        <x:is>
          <x:t xml:space="preserve">theorem chi_evaluator_marker : collapsed coerciveClaim = true ∧ collapsed selfSealingClaim = true ∧ highSignalDeception highSignalLowFreedomClaim = true ∧ inferTwoPointGradient weakButGrowingStart weakButGrowingEnd = GradientLabel.positive ∧ inferTwoPointGradient strongButDecayingStart strongButDecayingEnd = GradientLabel.negative ∧ fruitDominates peacefulOutput = true ∧ antiFruitDominates coerciveOutput = true</x:t>
        </x:is>
      </x:c>
      <x:c r="F310" s="38" t="inlineStr">
        <x:is>
          <x:t xml:space="preserve">:= by exact ⟨rfl, rfl, rfl, rfl, rfl, rfl, rfl⟩ end Theophysics.ChiEvaluator</x:t>
        </x:is>
      </x:c>
      <x:c r="G310" s="38" t="inlineStr">
        <x:is>
          <x:t xml:space="preserve">WRAPPER_OR_IMPORTED</x:t>
        </x:is>
      </x:c>
      <x:c r="H310" s="39" t="inlineStr">
        <x:is>
          <x:t xml:space="preserve">Likely delegates to another theorem; cite underlying theorem too.</x:t>
        </x:is>
      </x:c>
    </x:row>
    <x:row r="311" ht="15" customHeight="1">
      <x:c r="A311" s="37" t="inlineStr">
        <x:is>
          <x:t xml:space="preserve">Faith-Thru-Physics-Lean-4--main</x:t>
        </x:is>
      </x:c>
      <x:c r="B311" s="38" t="inlineStr">
        <x:is>
          <x:t xml:space="preserve">Faith-Thru-Physics-Lean-4--main\Faith-Thru-Physics-Lean-4--main\Theophysics_Coherence.lean</x:t>
        </x:is>
      </x:c>
      <x:c r="C311" s="38" t="inlineStr">
        <x:is>
          <x:t xml:space="preserve">141</x:t>
        </x:is>
      </x:c>
      <x:c r="D311" s="38" t="inlineStr">
        <x:is>
          <x:t xml:space="preserve">full_coherence_is_coherent</x:t>
        </x:is>
      </x:c>
      <x:c r="E311" s="38" t="inlineStr">
        <x:is>
          <x:t xml:space="preserve">theorem full_coherence_is_coherent : coherent fullCoherence = true</x:t>
        </x:is>
      </x:c>
      <x:c r="F311" s="38" t="inlineStr">
        <x:is>
          <x:t xml:space="preserve">:= by rfl</x:t>
        </x:is>
      </x:c>
      <x:c r="G311" s="38" t="inlineStr">
        <x:is>
          <x:t xml:space="preserve">DEFINITIONAL_RFL</x:t>
        </x:is>
      </x:c>
      <x:c r="H311" s="39" t="inlineStr">
        <x:is>
          <x:t xml:space="preserve">Proves definitional equality by reduction; useful but narrow.</x:t>
        </x:is>
      </x:c>
    </x:row>
    <x:row r="312" ht="15" customHeight="1">
      <x:c r="A312" s="37" t="inlineStr">
        <x:is>
          <x:t xml:space="preserve">Faith-Thru-Physics-Lean-4--main</x:t>
        </x:is>
      </x:c>
      <x:c r="B312" s="38" t="inlineStr">
        <x:is>
          <x:t xml:space="preserve">Faith-Thru-Physics-Lean-4--main\Faith-Thru-Physics-Lean-4--main\Theophysics_Coherence.lean</x:t>
        </x:is>
      </x:c>
      <x:c r="C312" s="38" t="inlineStr">
        <x:is>
          <x:t xml:space="preserve">145</x:t>
        </x:is>
      </x:c>
      <x:c r="D312" s="38" t="inlineStr">
        <x:is>
          <x:t xml:space="preserve">coercive_order_is_merely_ordered</x:t>
        </x:is>
      </x:c>
      <x:c r="E312" s="38" t="inlineStr">
        <x:is>
          <x:t xml:space="preserve">theorem coercive_order_is_merely_ordered : merelyOrdered coerciveOrder = true</x:t>
        </x:is>
      </x:c>
      <x:c r="F312" s="38" t="inlineStr">
        <x:is>
          <x:t xml:space="preserve">:= by rfl</x:t>
        </x:is>
      </x:c>
      <x:c r="G312" s="38" t="inlineStr">
        <x:is>
          <x:t xml:space="preserve">DEFINITIONAL_RFL</x:t>
        </x:is>
      </x:c>
      <x:c r="H312" s="39" t="inlineStr">
        <x:is>
          <x:t xml:space="preserve">Proves definitional equality by reduction; useful but narrow.</x:t>
        </x:is>
      </x:c>
    </x:row>
    <x:row r="313" ht="15" customHeight="1">
      <x:c r="A313" s="37" t="inlineStr">
        <x:is>
          <x:t xml:space="preserve">Faith-Thru-Physics-Lean-4--main</x:t>
        </x:is>
      </x:c>
      <x:c r="B313" s="38" t="inlineStr">
        <x:is>
          <x:t xml:space="preserve">Faith-Thru-Physics-Lean-4--main\Faith-Thru-Physics-Lean-4--main\Theophysics_Coherence.lean</x:t>
        </x:is>
      </x:c>
      <x:c r="C313" s="38" t="inlineStr">
        <x:is>
          <x:t xml:space="preserve">149</x:t>
        </x:is>
      </x:c>
      <x:c r="D313" s="38" t="inlineStr">
        <x:is>
          <x:t xml:space="preserve">coercive_order_is_not_full_coherence</x:t>
        </x:is>
      </x:c>
      <x:c r="E313" s="38" t="inlineStr">
        <x:is>
          <x:t xml:space="preserve">theorem coercive_order_is_not_full_coherence : coherent coerciveOrder = false</x:t>
        </x:is>
      </x:c>
      <x:c r="F313" s="38" t="inlineStr">
        <x:is>
          <x:t xml:space="preserve">:= by rfl</x:t>
        </x:is>
      </x:c>
      <x:c r="G313" s="38" t="inlineStr">
        <x:is>
          <x:t xml:space="preserve">DEFINITIONAL_RFL</x:t>
        </x:is>
      </x:c>
      <x:c r="H313" s="39" t="inlineStr">
        <x:is>
          <x:t xml:space="preserve">Proves definitional equality by reduction; useful but narrow.</x:t>
        </x:is>
      </x:c>
    </x:row>
    <x:row r="314" ht="15" customHeight="1">
      <x:c r="A314" s="37" t="inlineStr">
        <x:is>
          <x:t xml:space="preserve">Faith-Thru-Physics-Lean-4--main</x:t>
        </x:is>
      </x:c>
      <x:c r="B314" s="38" t="inlineStr">
        <x:is>
          <x:t xml:space="preserve">Faith-Thru-Physics-Lean-4--main\Faith-Thru-Physics-Lean-4--main\Theophysics_Coherence.lean</x:t>
        </x:is>
      </x:c>
      <x:c r="C314" s="38" t="inlineStr">
        <x:is>
          <x:t xml:space="preserve">153</x:t>
        </x:is>
      </x:c>
      <x:c r="D314" s="38" t="inlineStr">
        <x:is>
          <x:t xml:space="preserve">mere_order_does_not_imply_full_coherence</x:t>
        </x:is>
      </x:c>
      <x:c r="E314" s="38" t="inlineStr">
        <x:is>
          <x:t xml:space="preserve">theorem mere_order_does_not_imply_full_coherence : ∃ p : CoherenceProfile, merelyOrdered p = true ∧ coherent p = false</x:t>
        </x:is>
      </x:c>
      <x:c r="F314" s="38" t="inlineStr">
        <x:is>
          <x:t xml:space="preserve">:= by exact ⟨coerciveOrder, rfl, rfl⟩</x:t>
        </x:is>
      </x:c>
      <x:c r="G314" s="38" t="inlineStr">
        <x:is>
          <x:t xml:space="preserve">WRAPPER_OR_IMPORTED</x:t>
        </x:is>
      </x:c>
      <x:c r="H314" s="39" t="inlineStr">
        <x:is>
          <x:t xml:space="preserve">Likely delegates to another theorem; cite underlying theorem too.</x:t>
        </x:is>
      </x:c>
    </x:row>
    <x:row r="315" ht="15" customHeight="1">
      <x:c r="A315" s="37" t="inlineStr">
        <x:is>
          <x:t xml:space="preserve">Faith-Thru-Physics-Lean-4--main</x:t>
        </x:is>
      </x:c>
      <x:c r="B315" s="38" t="inlineStr">
        <x:is>
          <x:t xml:space="preserve">Faith-Thru-Physics-Lean-4--main\Faith-Thru-Physics-Lean-4--main\Theophysics_Coherence.lean</x:t>
        </x:is>
      </x:c>
      <x:c r="C315" s="38" t="inlineStr">
        <x:is>
          <x:t xml:space="preserve">157</x:t>
        </x:is>
      </x:c>
      <x:c r="D315" s="38" t="inlineStr">
        <x:is>
          <x:t xml:space="preserve">passive_decay_is_not_active_discoherence</x:t>
        </x:is>
      </x:c>
      <x:c r="E315" s="38" t="inlineStr">
        <x:is>
          <x:t xml:space="preserve">theorem passive_decay_is_not_active_discoherence : isActiveDiscoherence passiveEntropySlope = false</x:t>
        </x:is>
      </x:c>
      <x:c r="F315" s="38" t="inlineStr">
        <x:is>
          <x:t xml:space="preserve">:= by rfl</x:t>
        </x:is>
      </x:c>
      <x:c r="G315" s="38" t="inlineStr">
        <x:is>
          <x:t xml:space="preserve">DEFINITIONAL_RFL</x:t>
        </x:is>
      </x:c>
      <x:c r="H315" s="39" t="inlineStr">
        <x:is>
          <x:t xml:space="preserve">Proves definitional equality by reduction; useful but narrow.</x:t>
        </x:is>
      </x:c>
    </x:row>
    <x:row r="316" ht="15" customHeight="1">
      <x:c r="A316" s="37" t="inlineStr">
        <x:is>
          <x:t xml:space="preserve">Faith-Thru-Physics-Lean-4--main</x:t>
        </x:is>
      </x:c>
      <x:c r="B316" s="38" t="inlineStr">
        <x:is>
          <x:t xml:space="preserve">Faith-Thru-Physics-Lean-4--main\Faith-Thru-Physics-Lean-4--main\Theophysics_Coherence.lean</x:t>
        </x:is>
      </x:c>
      <x:c r="C316" s="38" t="inlineStr">
        <x:is>
          <x:t xml:space="preserve">161</x:t>
        </x:is>
      </x:c>
      <x:c r="D316" s="38" t="inlineStr">
        <x:is>
          <x:t xml:space="preserve">active_discoherence_is_active</x:t>
        </x:is>
      </x:c>
      <x:c r="E316" s="38" t="inlineStr">
        <x:is>
          <x:t xml:space="preserve">theorem active_discoherence_is_active : isActiveDiscoherence activeDiscoherence = true</x:t>
        </x:is>
      </x:c>
      <x:c r="F316" s="38" t="inlineStr">
        <x:is>
          <x:t xml:space="preserve">:= by rfl</x:t>
        </x:is>
      </x:c>
      <x:c r="G316" s="38" t="inlineStr">
        <x:is>
          <x:t xml:space="preserve">DEFINITIONAL_RFL</x:t>
        </x:is>
      </x:c>
      <x:c r="H316" s="39" t="inlineStr">
        <x:is>
          <x:t xml:space="preserve">Proves definitional equality by reduction; useful but narrow.</x:t>
        </x:is>
      </x:c>
    </x:row>
    <x:row r="317" ht="15" customHeight="1">
      <x:c r="A317" s="37" t="inlineStr">
        <x:is>
          <x:t xml:space="preserve">Faith-Thru-Physics-Lean-4--main</x:t>
        </x:is>
      </x:c>
      <x:c r="B317" s="38" t="inlineStr">
        <x:is>
          <x:t xml:space="preserve">Faith-Thru-Physics-Lean-4--main\Faith-Thru-Physics-Lean-4--main\Theophysics_Coherence.lean</x:t>
        </x:is>
      </x:c>
      <x:c r="C317" s="38" t="inlineStr">
        <x:is>
          <x:t xml:space="preserve">165</x:t>
        </x:is>
      </x:c>
      <x:c r="D317" s="38" t="inlineStr">
        <x:is>
          <x:t xml:space="preserve">closed_without_input_cannot_restore</x:t>
        </x:is>
      </x:c>
      <x:c r="E317" s="38" t="inlineStr">
        <x:is>
          <x:t xml:space="preserve">theorem closed_without_input_cannot_restore : canRestore closedWithoutInput = false</x:t>
        </x:is>
      </x:c>
      <x:c r="F317" s="38" t="inlineStr">
        <x:is>
          <x:t xml:space="preserve">:= by rfl</x:t>
        </x:is>
      </x:c>
      <x:c r="G317" s="38" t="inlineStr">
        <x:is>
          <x:t xml:space="preserve">DEFINITIONAL_RFL</x:t>
        </x:is>
      </x:c>
      <x:c r="H317" s="39" t="inlineStr">
        <x:is>
          <x:t xml:space="preserve">Proves definitional equality by reduction; useful but narrow.</x:t>
        </x:is>
      </x:c>
    </x:row>
    <x:row r="318" ht="15" customHeight="1">
      <x:c r="A318" s="37" t="inlineStr">
        <x:is>
          <x:t xml:space="preserve">Faith-Thru-Physics-Lean-4--main</x:t>
        </x:is>
      </x:c>
      <x:c r="B318" s="38" t="inlineStr">
        <x:is>
          <x:t xml:space="preserve">Faith-Thru-Physics-Lean-4--main\Faith-Thru-Physics-Lean-4--main\Theophysics_Coherence.lean</x:t>
        </x:is>
      </x:c>
      <x:c r="C318" s="38" t="inlineStr">
        <x:is>
          <x:t xml:space="preserve">169</x:t>
        </x:is>
      </x:c>
      <x:c r="D318" s="38" t="inlineStr">
        <x:is>
          <x:t xml:space="preserve">open_with_paid_input_can_restore</x:t>
        </x:is>
      </x:c>
      <x:c r="E318" s="38" t="inlineStr">
        <x:is>
          <x:t xml:space="preserve">theorem open_with_paid_input_can_restore : canRestore openWithPaidInput = true</x:t>
        </x:is>
      </x:c>
      <x:c r="F318" s="38" t="inlineStr">
        <x:is>
          <x:t xml:space="preserve">:= by rfl</x:t>
        </x:is>
      </x:c>
      <x:c r="G318" s="38" t="inlineStr">
        <x:is>
          <x:t xml:space="preserve">DEFINITIONAL_RFL</x:t>
        </x:is>
      </x:c>
      <x:c r="H318" s="39" t="inlineStr">
        <x:is>
          <x:t xml:space="preserve">Proves definitional equality by reduction; useful but narrow.</x:t>
        </x:is>
      </x:c>
    </x:row>
    <x:row r="319" ht="15" customHeight="1">
      <x:c r="A319" s="37" t="inlineStr">
        <x:is>
          <x:t xml:space="preserve">Faith-Thru-Physics-Lean-4--main</x:t>
        </x:is>
      </x:c>
      <x:c r="B319" s="38" t="inlineStr">
        <x:is>
          <x:t xml:space="preserve">Faith-Thru-Physics-Lean-4--main\Faith-Thru-Physics-Lean-4--main\Theophysics_Coherence.lean</x:t>
        </x:is>
      </x:c>
      <x:c r="C319" s="38" t="inlineStr">
        <x:is>
          <x:t xml:space="preserve">173</x:t>
        </x:is>
      </x:c>
      <x:c r="D319" s="38" t="inlineStr">
        <x:is>
          <x:t xml:space="preserve">restoration_requires_open_boundary</x:t>
        </x:is>
      </x:c>
      <x:c r="E319" s="38" t="inlineStr">
        <x:is>
          <x:t xml:space="preserve">theorem restoration_requires_open_boundary (m : RestorationModel) (h : canRestore m = true) : m.boundary = SystemBoundary.open</x:t>
        </x:is>
      </x:c>
      <x:c r="F319" s="38" t="inlineStr">
        <x:is>
          <x:t xml:space="preserve">:= by cases m with | mk boundary externalInput repairCostPaid informationPreserved =&gt; cases boundary &lt;;&gt; cases externalInput &lt;;&gt; cases repairCostPaid &lt;;&gt; cases informationPreserved &lt;;&gt; simp [canRestore] at h ⊢</x:t>
        </x:is>
      </x:c>
      <x:c r="G319" s="38" t="inlineStr">
        <x:is>
          <x:t xml:space="preserve">SIMPLIFICATION</x:t>
        </x:is>
      </x:c>
      <x:c r="H319" s="39" t="inlineStr">
        <x:is>
          <x:t xml:space="preserve">Follows by simplification under definitions; check definition strength.</x:t>
        </x:is>
      </x:c>
    </x:row>
    <x:row r="320" ht="15" customHeight="1">
      <x:c r="A320" s="37" t="inlineStr">
        <x:is>
          <x:t xml:space="preserve">Faith-Thru-Physics-Lean-4--main</x:t>
        </x:is>
      </x:c>
      <x:c r="B320" s="38" t="inlineStr">
        <x:is>
          <x:t xml:space="preserve">Faith-Thru-Physics-Lean-4--main\Faith-Thru-Physics-Lean-4--main\Theophysics_Coherence.lean</x:t>
        </x:is>
      </x:c>
      <x:c r="C320" s="38" t="inlineStr">
        <x:is>
          <x:t xml:space="preserve">181</x:t>
        </x:is>
      </x:c>
      <x:c r="D320" s="38" t="inlineStr">
        <x:is>
          <x:t xml:space="preserve">restoration_requires_external_input</x:t>
        </x:is>
      </x:c>
      <x:c r="E320" s="38" t="inlineStr">
        <x:is>
          <x:t xml:space="preserve">theorem restoration_requires_external_input (m : RestorationModel) (h : canRestore m = true) : m.externalInput = true</x:t>
        </x:is>
      </x:c>
      <x:c r="F320" s="38" t="inlineStr">
        <x:is>
          <x:t xml:space="preserve">:= by cases m with | mk boundary externalInput repairCostPaid informationPreserved =&gt; cases boundary &lt;;&gt; cases externalInput &lt;;&gt; cases repairCostPaid &lt;;&gt; cases informationPreserved &lt;;&gt; simp [canRestore] at h ⊢</x:t>
        </x:is>
      </x:c>
      <x:c r="G320" s="38" t="inlineStr">
        <x:is>
          <x:t xml:space="preserve">SIMPLIFICATION</x:t>
        </x:is>
      </x:c>
      <x:c r="H320" s="39" t="inlineStr">
        <x:is>
          <x:t xml:space="preserve">Follows by simplification under definitions; check definition strength.</x:t>
        </x:is>
      </x:c>
    </x:row>
    <x:row r="321" ht="15" customHeight="1">
      <x:c r="A321" s="37" t="inlineStr">
        <x:is>
          <x:t xml:space="preserve">Faith-Thru-Physics-Lean-4--main</x:t>
        </x:is>
      </x:c>
      <x:c r="B321" s="38" t="inlineStr">
        <x:is>
          <x:t xml:space="preserve">Faith-Thru-Physics-Lean-4--main\Faith-Thru-Physics-Lean-4--main\Theophysics_Coherence.lean</x:t>
        </x:is>
      </x:c>
      <x:c r="C321" s="38" t="inlineStr">
        <x:is>
          <x:t xml:space="preserve">189</x:t>
        </x:is>
      </x:c>
      <x:c r="D321" s="38" t="inlineStr">
        <x:is>
          <x:t xml:space="preserve">restoration_requires_paid_cost</x:t>
        </x:is>
      </x:c>
      <x:c r="E321" s="38" t="inlineStr">
        <x:is>
          <x:t xml:space="preserve">theorem restoration_requires_paid_cost (m : RestorationModel) (h : canRestore m = true) : m.repairCostPaid = true</x:t>
        </x:is>
      </x:c>
      <x:c r="F321" s="38" t="inlineStr">
        <x:is>
          <x:t xml:space="preserve">:= by cases m with | mk boundary externalInput repairCostPaid informationPreserved =&gt; cases boundary &lt;;&gt; cases externalInput &lt;;&gt; cases repairCostPaid &lt;;&gt; cases informationPreserved &lt;;&gt; simp [canRestore] at h ⊢</x:t>
        </x:is>
      </x:c>
      <x:c r="G321" s="38" t="inlineStr">
        <x:is>
          <x:t xml:space="preserve">SIMPLIFICATION</x:t>
        </x:is>
      </x:c>
      <x:c r="H321" s="39" t="inlineStr">
        <x:is>
          <x:t xml:space="preserve">Follows by simplification under definitions; check definition strength.</x:t>
        </x:is>
      </x:c>
    </x:row>
    <x:row r="322" ht="15" customHeight="1">
      <x:c r="A322" s="37" t="inlineStr">
        <x:is>
          <x:t xml:space="preserve">Faith-Thru-Physics-Lean-4--main</x:t>
        </x:is>
      </x:c>
      <x:c r="B322" s="38" t="inlineStr">
        <x:is>
          <x:t xml:space="preserve">Faith-Thru-Physics-Lean-4--main\Faith-Thru-Physics-Lean-4--main\Theophysics_Coherence.lean</x:t>
        </x:is>
      </x:c>
      <x:c r="C322" s="38" t="inlineStr">
        <x:is>
          <x:t xml:space="preserve">197</x:t>
        </x:is>
      </x:c>
      <x:c r="D322" s="38" t="inlineStr">
        <x:is>
          <x:t xml:space="preserve">restoration_requires_information_preservation</x:t>
        </x:is>
      </x:c>
      <x:c r="E322" s="38" t="inlineStr">
        <x:is>
          <x:t xml:space="preserve">theorem restoration_requires_information_preservation (m : RestorationModel) (h : canRestore m = true) : m.informationPreserved = true</x:t>
        </x:is>
      </x:c>
      <x:c r="F322" s="38" t="inlineStr">
        <x:is>
          <x:t xml:space="preserve">:= by cases m with | mk boundary externalInput repairCostPaid informationPreserved =&gt; cases boundary &lt;;&gt; cases externalInput &lt;;&gt; cases repairCostPaid &lt;;&gt; cases informationPreserved &lt;;&gt; simp [canRestore] at h ⊢</x:t>
        </x:is>
      </x:c>
      <x:c r="G322" s="38" t="inlineStr">
        <x:is>
          <x:t xml:space="preserve">SIMPLIFICATION</x:t>
        </x:is>
      </x:c>
      <x:c r="H322" s="39" t="inlineStr">
        <x:is>
          <x:t xml:space="preserve">Follows by simplification under definitions; check definition strength.</x:t>
        </x:is>
      </x:c>
    </x:row>
    <x:row r="323" ht="15" customHeight="1">
      <x:c r="A323" s="37" t="inlineStr">
        <x:is>
          <x:t xml:space="preserve">Faith-Thru-Physics-Lean-4--main</x:t>
        </x:is>
      </x:c>
      <x:c r="B323" s="38" t="inlineStr">
        <x:is>
          <x:t xml:space="preserve">Faith-Thru-Physics-Lean-4--main\Faith-Thru-Physics-Lean-4--main\Theophysics_Coherence.lean</x:t>
        </x:is>
      </x:c>
      <x:c r="C323" s="38" t="inlineStr">
        <x:is>
          <x:t xml:space="preserve">205</x:t>
        </x:is>
      </x:c>
      <x:c r="D323" s="38" t="inlineStr">
        <x:is>
          <x:t xml:space="preserve">thermodynamics_pattern_marker</x:t>
        </x:is>
      </x:c>
      <x:c r="E323" s="38" t="inlineStr">
        <x:is>
          <x:t xml:space="preserve">theorem thermodynamics_pattern_marker : coherent fullCoherence = true ∧ coherent coerciveOrder = false ∧ isActiveDiscoherence passiveEntropySlope = false ∧ canRestore closedWithoutInput = false ∧ canRestore openWithPaidInput = true</x:t>
        </x:is>
      </x:c>
      <x:c r="F323" s="38" t="inlineStr">
        <x:is>
          <x:t xml:space="preserve">:= by exact ⟨rfl, rfl, rfl, rfl, rfl⟩ end Theophysics.Coherence</x:t>
        </x:is>
      </x:c>
      <x:c r="G323" s="38" t="inlineStr">
        <x:is>
          <x:t xml:space="preserve">WRAPPER_OR_IMPORTED</x:t>
        </x:is>
      </x:c>
      <x:c r="H323" s="39" t="inlineStr">
        <x:is>
          <x:t xml:space="preserve">Likely delegates to another theorem; cite underlying theorem too.</x:t>
        </x:is>
      </x:c>
    </x:row>
    <x:row r="324" ht="15" customHeight="1">
      <x:c r="A324" s="37" t="inlineStr">
        <x:is>
          <x:t xml:space="preserve">Faith-Thru-Physics-Lean-4--main</x:t>
        </x:is>
      </x:c>
      <x:c r="B324" s="38" t="inlineStr">
        <x:is>
          <x:t xml:space="preserve">Faith-Thru-Physics-Lean-4--main\Faith-Thru-Physics-Lean-4--main\Theophysics_Core.lean</x:t>
        </x:is>
      </x:c>
      <x:c r="C324" s="38" t="inlineStr">
        <x:is>
          <x:t xml:space="preserve">54</x:t>
        </x:is>
      </x:c>
      <x:c r="D324" s="38" t="inlineStr">
        <x:is>
          <x:t xml:space="preserve">coherence_spine_rejects_mere_order</x:t>
        </x:is>
      </x:c>
      <x:c r="E324" s="38" t="inlineStr">
        <x:is>
          <x:t xml:space="preserve">theorem coherence_spine_rejects_mere_order : ∃ p : CoherenceProfile, merelyOrdered p = true ∧ coherent p = false := Theophysics.Coherence.mere_order_does_not_imply_full_coherence</x:t>
        </x:is>
      </x:c>
      <x:c r="F324" s="38" t="n"/>
      <x:c r="G324" s="38" t="inlineStr">
        <x:is>
          <x:t xml:space="preserve">DECLARATION_OR_UNKNOWN</x:t>
        </x:is>
      </x:c>
      <x:c r="H324" s="39" t="inlineStr">
        <x:is>
          <x:t xml:space="preserve">Could not classify from first proof lines.</x:t>
        </x:is>
      </x:c>
    </x:row>
    <x:row r="325" ht="15" customHeight="1">
      <x:c r="A325" s="37" t="inlineStr">
        <x:is>
          <x:t xml:space="preserve">Faith-Thru-Physics-Lean-4--main</x:t>
        </x:is>
      </x:c>
      <x:c r="B325" s="38" t="inlineStr">
        <x:is>
          <x:t xml:space="preserve">Faith-Thru-Physics-Lean-4--main\Faith-Thru-Physics-Lean-4--main\Theophysics_Core.lean</x:t>
        </x:is>
      </x:c>
      <x:c r="C325" s="38" t="inlineStr">
        <x:is>
          <x:t xml:space="preserve">57</x:t>
        </x:is>
      </x:c>
      <x:c r="D325" s="38" t="inlineStr">
        <x:is>
          <x:t xml:space="preserve">passive_decay_is_not_moral_agency</x:t>
        </x:is>
      </x:c>
      <x:c r="E325" s="38" t="inlineStr">
        <x:is>
          <x:t xml:space="preserve">theorem passive_decay_is_not_moral_agency : isActiveDiscoherence passiveEntropySlope = false := Theophysics.Coherence.passive_decay_is_not_active_discoherence</x:t>
        </x:is>
      </x:c>
      <x:c r="F325" s="38" t="n"/>
      <x:c r="G325" s="38" t="inlineStr">
        <x:is>
          <x:t xml:space="preserve">DECLARATION_OR_UNKNOWN</x:t>
        </x:is>
      </x:c>
      <x:c r="H325" s="39" t="inlineStr">
        <x:is>
          <x:t xml:space="preserve">Could not classify from first proof lines.</x:t>
        </x:is>
      </x:c>
    </x:row>
    <x:row r="326" ht="15" customHeight="1">
      <x:c r="A326" s="37" t="inlineStr">
        <x:is>
          <x:t xml:space="preserve">Faith-Thru-Physics-Lean-4--main</x:t>
        </x:is>
      </x:c>
      <x:c r="B326" s="38" t="inlineStr">
        <x:is>
          <x:t xml:space="preserve">Faith-Thru-Physics-Lean-4--main\Faith-Thru-Physics-Lean-4--main\Theophysics_Core.lean</x:t>
        </x:is>
      </x:c>
      <x:c r="C326" s="38" t="inlineStr">
        <x:is>
          <x:t xml:space="preserve">60</x:t>
        </x:is>
      </x:c>
      <x:c r="D326" s="38" t="inlineStr">
        <x:is>
          <x:t xml:space="preserve">restoration_needs_open_system_input_cost_and_memory</x:t>
        </x:is>
      </x:c>
      <x:c r="E326" s="38" t="inlineStr">
        <x:is>
          <x:t xml:space="preserve">theorem restoration_needs_open_system_input_cost_and_memory (m : RestorationModel) (h : canRestore m = true) : m.boundary = SystemBoundary.open ∧ m.externalInput = true ∧ m.repairCostPaid = true ∧ m.informationPreserved = true</x:t>
        </x:is>
      </x:c>
      <x:c r="F326" s="38" t="inlineStr">
        <x:is>
          <x:t xml:space="preserve">:= by exact ⟨ Theophysics.Coherence.restoration_requires_open_boundary m h, Theophysics.Coherence.restoration_requires_external_input m h, Theophysics.Coherence.restoration_requires_paid_cost m h, Theophysics.Coherence.restoration_requires_information_preservation m h ⟩</x:t>
        </x:is>
      </x:c>
      <x:c r="G326" s="38" t="inlineStr">
        <x:is>
          <x:t xml:space="preserve">WRAPPER_OR_IMPORTED</x:t>
        </x:is>
      </x:c>
      <x:c r="H326" s="39" t="inlineStr">
        <x:is>
          <x:t xml:space="preserve">Likely delegates to another theorem; cite underlying theorem too.</x:t>
        </x:is>
      </x:c>
    </x:row>
    <x:row r="327" ht="15" customHeight="1">
      <x:c r="A327" s="37" t="inlineStr">
        <x:is>
          <x:t xml:space="preserve">Faith-Thru-Physics-Lean-4--main</x:t>
        </x:is>
      </x:c>
      <x:c r="B327" s="38" t="inlineStr">
        <x:is>
          <x:t xml:space="preserve">Faith-Thru-Physics-Lean-4--main\Faith-Thru-Physics-Lean-4--main\Theophysics_Core.lean</x:t>
        </x:is>
      </x:c>
      <x:c r="C327" s="38" t="inlineStr">
        <x:is>
          <x:t xml:space="preserve">72</x:t>
        </x:is>
      </x:c>
      <x:c r="D327" s="38" t="inlineStr">
        <x:is>
          <x:t xml:space="preserve">fracture_spine_rejects_random_gap</x:t>
        </x:is>
      </x:c>
      <x:c r="E327" s="38" t="inlineStr">
        <x:is>
          <x:t xml:space="preserve">theorem fracture_spine_rejects_random_gap : structuredScar randomGap = false := Theophysics.Fracture.random_gap_is_not_structured_scar</x:t>
        </x:is>
      </x:c>
      <x:c r="F327" s="38" t="n"/>
      <x:c r="G327" s="38" t="inlineStr">
        <x:is>
          <x:t xml:space="preserve">DECLARATION_OR_UNKNOWN</x:t>
        </x:is>
      </x:c>
      <x:c r="H327" s="39" t="inlineStr">
        <x:is>
          <x:t xml:space="preserve">Could not classify from first proof lines.</x:t>
        </x:is>
      </x:c>
    </x:row>
    <x:row r="328" ht="15" customHeight="1">
      <x:c r="A328" s="37" t="inlineStr">
        <x:is>
          <x:t xml:space="preserve">Faith-Thru-Physics-Lean-4--main</x:t>
        </x:is>
      </x:c>
      <x:c r="B328" s="38" t="inlineStr">
        <x:is>
          <x:t xml:space="preserve">Faith-Thru-Physics-Lean-4--main\Faith-Thru-Physics-Lean-4--main\Theophysics_Core.lean</x:t>
        </x:is>
      </x:c>
      <x:c r="C328" s="38" t="inlineStr">
        <x:is>
          <x:t xml:space="preserve">75</x:t>
        </x:is>
      </x:c>
      <x:c r="D328" s="38" t="inlineStr">
        <x:is>
          <x:t xml:space="preserve">fracture_spine_accepts_structured_scar</x:t>
        </x:is>
      </x:c>
      <x:c r="E328" s="38" t="inlineStr">
        <x:is>
          <x:t xml:space="preserve">theorem fracture_spine_accepts_structured_scar : structuredScar grQmStyleScar = true := Theophysics.Fracture.gr_qm_style_scar_is_structured</x:t>
        </x:is>
      </x:c>
      <x:c r="F328" s="38" t="n"/>
      <x:c r="G328" s="38" t="inlineStr">
        <x:is>
          <x:t xml:space="preserve">DECLARATION_OR_UNKNOWN</x:t>
        </x:is>
      </x:c>
      <x:c r="H328" s="39" t="inlineStr">
        <x:is>
          <x:t xml:space="preserve">Could not classify from first proof lines.</x:t>
        </x:is>
      </x:c>
    </x:row>
    <x:row r="329" ht="15" customHeight="1">
      <x:c r="A329" s="37" t="inlineStr">
        <x:is>
          <x:t xml:space="preserve">Faith-Thru-Physics-Lean-4--main</x:t>
        </x:is>
      </x:c>
      <x:c r="B329" s="38" t="inlineStr">
        <x:is>
          <x:t xml:space="preserve">Faith-Thru-Physics-Lean-4--main\Faith-Thru-Physics-Lean-4--main\Theophysics_Core.lean</x:t>
        </x:is>
      </x:c>
      <x:c r="C329" s="38" t="inlineStr">
        <x:is>
          <x:t xml:space="preserve">78</x:t>
        </x:is>
      </x:c>
      <x:c r="D329" s="38" t="inlineStr">
        <x:is>
          <x:t xml:space="preserve">fracture_repair_requires_restoration_input</x:t>
        </x:is>
      </x:c>
      <x:c r="E329" s="38" t="inlineStr">
        <x:is>
          <x:t xml:space="preserve">theorem fracture_repair_requires_restoration_input (m : FractureModel) (h : repairable m = true) : m.restorationInput = true := Theophysics.Fracture.repair_requires_restoration_input m h</x:t>
        </x:is>
      </x:c>
      <x:c r="F329" s="38" t="n"/>
      <x:c r="G329" s="38" t="inlineStr">
        <x:is>
          <x:t xml:space="preserve">DECLARATION_OR_UNKNOWN</x:t>
        </x:is>
      </x:c>
      <x:c r="H329" s="39" t="inlineStr">
        <x:is>
          <x:t xml:space="preserve">Could not classify from first proof lines.</x:t>
        </x:is>
      </x:c>
    </x:row>
    <x:row r="330" ht="15" customHeight="1">
      <x:c r="A330" s="37" t="inlineStr">
        <x:is>
          <x:t xml:space="preserve">Faith-Thru-Physics-Lean-4--main</x:t>
        </x:is>
      </x:c>
      <x:c r="B330" s="38" t="inlineStr">
        <x:is>
          <x:t xml:space="preserve">Faith-Thru-Physics-Lean-4--main\Faith-Thru-Physics-Lean-4--main\Theophysics_Core.lean</x:t>
        </x:is>
      </x:c>
      <x:c r="C330" s="38" t="inlineStr">
        <x:is>
          <x:t xml:space="preserve">82</x:t>
        </x:is>
      </x:c>
      <x:c r="D330" s="38" t="inlineStr">
        <x:is>
          <x:t xml:space="preserve">fall_spine_rejects_separation_only</x:t>
        </x:is>
      </x:c>
      <x:c r="E330" s="38" t="inlineStr">
        <x:is>
          <x:t xml:space="preserve">theorem fall_spine_rejects_separation_only : fallActivated separatedOnly = false := Theophysics.Fall.separation_alone_is_not_fall</x:t>
        </x:is>
      </x:c>
      <x:c r="F330" s="38" t="n"/>
      <x:c r="G330" s="38" t="inlineStr">
        <x:is>
          <x:t xml:space="preserve">DECLARATION_OR_UNKNOWN</x:t>
        </x:is>
      </x:c>
      <x:c r="H330" s="39" t="inlineStr">
        <x:is>
          <x:t xml:space="preserve">Could not classify from first proof lines.</x:t>
        </x:is>
      </x:c>
    </x:row>
    <x:row r="331" ht="15" customHeight="1">
      <x:c r="A331" s="37" t="inlineStr">
        <x:is>
          <x:t xml:space="preserve">Faith-Thru-Physics-Lean-4--main</x:t>
        </x:is>
      </x:c>
      <x:c r="B331" s="38" t="inlineStr">
        <x:is>
          <x:t xml:space="preserve">Faith-Thru-Physics-Lean-4--main\Faith-Thru-Physics-Lean-4--main\Theophysics_Core.lean</x:t>
        </x:is>
      </x:c>
      <x:c r="C331" s="38" t="inlineStr">
        <x:is>
          <x:t xml:space="preserve">85</x:t>
        </x:is>
      </x:c>
      <x:c r="D331" s="38" t="inlineStr">
        <x:is>
          <x:t xml:space="preserve">fall_spine_requires_entanglement_after_coupling</x:t>
        </x:is>
      </x:c>
      <x:c r="E331" s="38" t="inlineStr">
        <x:is>
          <x:t xml:space="preserve">theorem fall_spine_requires_entanglement_after_coupling : fallActivated coupledOnly = false := Theophysics.Fall.coupling_without_entanglement_is_not_fall</x:t>
        </x:is>
      </x:c>
      <x:c r="F331" s="38" t="n"/>
      <x:c r="G331" s="38" t="inlineStr">
        <x:is>
          <x:t xml:space="preserve">DECLARATION_OR_UNKNOWN</x:t>
        </x:is>
      </x:c>
      <x:c r="H331" s="39" t="inlineStr">
        <x:is>
          <x:t xml:space="preserve">Could not classify from first proof lines.</x:t>
        </x:is>
      </x:c>
    </x:row>
    <x:row r="332" ht="15" customHeight="1">
      <x:c r="A332" s="37" t="inlineStr">
        <x:is>
          <x:t xml:space="preserve">Faith-Thru-Physics-Lean-4--main</x:t>
        </x:is>
      </x:c>
      <x:c r="B332" s="38" t="inlineStr">
        <x:is>
          <x:t xml:space="preserve">Faith-Thru-Physics-Lean-4--main\Faith-Thru-Physics-Lean-4--main\Theophysics_Core.lean</x:t>
        </x:is>
      </x:c>
      <x:c r="C332" s="38" t="inlineStr">
        <x:is>
          <x:t xml:space="preserve">88</x:t>
        </x:is>
      </x:c>
      <x:c r="D332" s="38" t="inlineStr">
        <x:is>
          <x:t xml:space="preserve">fall_spine_grace_floor_sustains</x:t>
        </x:is>
      </x:c>
      <x:c r="E332" s="38" t="inlineStr">
        <x:is>
          <x:t xml:space="preserve">theorem fall_spine_grace_floor_sustains : sustainedAfterFall fullFallWithGraceFloor = true := Theophysics.Fall.full_fall_with_grace_is_sustained</x:t>
        </x:is>
      </x:c>
      <x:c r="F332" s="38" t="n"/>
      <x:c r="G332" s="38" t="inlineStr">
        <x:is>
          <x:t xml:space="preserve">DECLARATION_OR_UNKNOWN</x:t>
        </x:is>
      </x:c>
      <x:c r="H332" s="39" t="inlineStr">
        <x:is>
          <x:t xml:space="preserve">Could not classify from first proof lines.</x:t>
        </x:is>
      </x:c>
    </x:row>
    <x:row r="333" ht="15" customHeight="1">
      <x:c r="A333" s="37" t="inlineStr">
        <x:is>
          <x:t xml:space="preserve">Faith-Thru-Physics-Lean-4--main</x:t>
        </x:is>
      </x:c>
      <x:c r="B333" s="38" t="inlineStr">
        <x:is>
          <x:t xml:space="preserve">Faith-Thru-Physics-Lean-4--main\Faith-Thru-Physics-Lean-4--main\Theophysics_Core.lean</x:t>
        </x:is>
      </x:c>
      <x:c r="C333" s="38" t="inlineStr">
        <x:is>
          <x:t xml:space="preserve">91</x:t>
        </x:is>
      </x:c>
      <x:c r="D333" s="38" t="inlineStr">
        <x:is>
          <x:t xml:space="preserve">chi_evaluator_rejects_coercion_gate</x:t>
        </x:is>
      </x:c>
      <x:c r="E333" s="38" t="inlineStr">
        <x:is>
          <x:t xml:space="preserve">theorem chi_evaluator_rejects_coercion_gate : collapsed coerciveClaim = true := Theophysics.ChiEvaluator.coercive_claim_collapses</x:t>
        </x:is>
      </x:c>
      <x:c r="F333" s="38" t="n"/>
      <x:c r="G333" s="38" t="inlineStr">
        <x:is>
          <x:t xml:space="preserve">DECLARATION_OR_UNKNOWN</x:t>
        </x:is>
      </x:c>
      <x:c r="H333" s="39" t="inlineStr">
        <x:is>
          <x:t xml:space="preserve">Could not classify from first proof lines.</x:t>
        </x:is>
      </x:c>
    </x:row>
    <x:row r="334" ht="15" customHeight="1">
      <x:c r="A334" s="37" t="inlineStr">
        <x:is>
          <x:t xml:space="preserve">Faith-Thru-Physics-Lean-4--main</x:t>
        </x:is>
      </x:c>
      <x:c r="B334" s="38" t="inlineStr">
        <x:is>
          <x:t xml:space="preserve">Faith-Thru-Physics-Lean-4--main\Faith-Thru-Physics-Lean-4--main\Theophysics_Core.lean</x:t>
        </x:is>
      </x:c>
      <x:c r="C334" s="38" t="inlineStr">
        <x:is>
          <x:t xml:space="preserve">94</x:t>
        </x:is>
      </x:c>
      <x:c r="D334" s="38" t="inlineStr">
        <x:is>
          <x:t xml:space="preserve">chi_evaluator_detects_high_signal_low_freedom</x:t>
        </x:is>
      </x:c>
      <x:c r="E334" s="38" t="inlineStr">
        <x:is>
          <x:t xml:space="preserve">theorem chi_evaluator_detects_high_signal_low_freedom : highSignalDeception highSignalLowFreedomClaim = true := Theophysics.ChiEvaluator.high_signal_low_freedom_detected</x:t>
        </x:is>
      </x:c>
      <x:c r="F334" s="38" t="n"/>
      <x:c r="G334" s="38" t="inlineStr">
        <x:is>
          <x:t xml:space="preserve">DECLARATION_OR_UNKNOWN</x:t>
        </x:is>
      </x:c>
      <x:c r="H334" s="39" t="inlineStr">
        <x:is>
          <x:t xml:space="preserve">Could not classify from first proof lines.</x:t>
        </x:is>
      </x:c>
    </x:row>
    <x:row r="335" ht="15" customHeight="1">
      <x:c r="A335" s="37" t="inlineStr">
        <x:is>
          <x:t xml:space="preserve">Faith-Thru-Physics-Lean-4--main</x:t>
        </x:is>
      </x:c>
      <x:c r="B335" s="38" t="inlineStr">
        <x:is>
          <x:t xml:space="preserve">Faith-Thru-Physics-Lean-4--main\Faith-Thru-Physics-Lean-4--main\Theophysics_Core.lean</x:t>
        </x:is>
      </x:c>
      <x:c r="C335" s="38" t="inlineStr">
        <x:is>
          <x:t xml:space="preserve">97</x:t>
        </x:is>
      </x:c>
      <x:c r="D335" s="38" t="inlineStr">
        <x:is>
          <x:t xml:space="preserve">chi_evaluator_positive_gradient_marker</x:t>
        </x:is>
      </x:c>
      <x:c r="E335" s="38" t="inlineStr">
        <x:is>
          <x:t xml:space="preserve">theorem chi_evaluator_positive_gradient_marker : inferTwoPointGradient weakButGrowingStart weakButGrowingEnd = GradientLabel.positive := Theophysics.ChiEvaluator.weak_but_growing_has_positive_gradient</x:t>
        </x:is>
      </x:c>
      <x:c r="F335" s="38" t="n"/>
      <x:c r="G335" s="38" t="inlineStr">
        <x:is>
          <x:t xml:space="preserve">DECLARATION_OR_UNKNOWN</x:t>
        </x:is>
      </x:c>
      <x:c r="H335" s="39" t="inlineStr">
        <x:is>
          <x:t xml:space="preserve">Could not classify from first proof lines.</x:t>
        </x:is>
      </x:c>
    </x:row>
    <x:row r="336" ht="15" customHeight="1">
      <x:c r="A336" s="37" t="inlineStr">
        <x:is>
          <x:t xml:space="preserve">Faith-Thru-Physics-Lean-4--main</x:t>
        </x:is>
      </x:c>
      <x:c r="B336" s="38" t="inlineStr">
        <x:is>
          <x:t xml:space="preserve">Faith-Thru-Physics-Lean-4--main\Faith-Thru-Physics-Lean-4--main\Theophysics_Core.lean</x:t>
        </x:is>
      </x:c>
      <x:c r="C336" s="38" t="inlineStr">
        <x:is>
          <x:t xml:space="preserve">180</x:t>
        </x:is>
      </x:c>
      <x:c r="D336" s="38" t="inlineStr">
        <x:is>
          <x:t xml:space="preserve">scalarOne_scalarTwo_same_vector_part</x:t>
        </x:is>
      </x:c>
      <x:c r="E336" s="38" t="inlineStr">
        <x:is>
          <x:t xml:space="preserve">theorem scalarOne_scalarTwo_same_vector_part : True</x:t>
        </x:is>
      </x:c>
      <x:c r="F336" s="38" t="inlineStr">
        <x:is>
          <x:t xml:space="preserve">:= by trivial</x:t>
        </x:is>
      </x:c>
      <x:c r="G336" s="38" t="inlineStr">
        <x:is>
          <x:t xml:space="preserve">TRIVIAL_TRUE</x:t>
        </x:is>
      </x:c>
      <x:c r="H336" s="39" t="inlineStr">
        <x:is>
          <x:t xml:space="preserve">Statement is `True`; theorem name may exceed formal content.</x:t>
        </x:is>
      </x:c>
    </x:row>
    <x:row r="337" ht="15" customHeight="1">
      <x:c r="A337" s="37" t="inlineStr">
        <x:is>
          <x:t xml:space="preserve">Faith-Thru-Physics-Lean-4--main</x:t>
        </x:is>
      </x:c>
      <x:c r="B337" s="38" t="inlineStr">
        <x:is>
          <x:t xml:space="preserve">Faith-Thru-Physics-Lean-4--main\Faith-Thru-Physics-Lean-4--main\Theophysics_Core.lean</x:t>
        </x:is>
      </x:c>
      <x:c r="C337" s="38" t="inlineStr">
        <x:is>
          <x:t xml:space="preserve">184</x:t>
        </x:is>
      </x:c>
      <x:c r="D337" s="38" t="inlineStr">
        <x:is>
          <x:t xml:space="preserve">heaviside_passes_if_coupling_guard_removed</x:t>
        </x:is>
      </x:c>
      <x:c r="E337" s="38" t="inlineStr">
        <x:is>
          <x:t xml:space="preserve">theorem heaviside_passes_if_coupling_guard_removed : True</x:t>
        </x:is>
      </x:c>
      <x:c r="F337" s="38" t="inlineStr">
        <x:is>
          <x:t xml:space="preserve">:= by trivial</x:t>
        </x:is>
      </x:c>
      <x:c r="G337" s="38" t="inlineStr">
        <x:is>
          <x:t xml:space="preserve">TRIVIAL_TRUE</x:t>
        </x:is>
      </x:c>
      <x:c r="H337" s="39" t="inlineStr">
        <x:is>
          <x:t xml:space="preserve">Statement is `True`; theorem name may exceed formal content.</x:t>
        </x:is>
      </x:c>
    </x:row>
    <x:row r="338" ht="15" customHeight="1">
      <x:c r="A338" s="37" t="inlineStr">
        <x:is>
          <x:t xml:space="preserve">Faith-Thru-Physics-Lean-4--main</x:t>
        </x:is>
      </x:c>
      <x:c r="B338" s="38" t="inlineStr">
        <x:is>
          <x:t xml:space="preserve">Faith-Thru-Physics-Lean-4--main\Faith-Thru-Physics-Lean-4--main\Theophysics_Core.lean</x:t>
        </x:is>
      </x:c>
      <x:c r="C338" s="38" t="inlineStr">
        <x:is>
          <x:t xml:space="preserve">185</x:t>
        </x:is>
      </x:c>
      <x:c r="D338" s="38" t="inlineStr">
        <x:is>
          <x:t xml:space="preserve">modalism_passes_if_distinctness_guard_removed</x:t>
        </x:is>
      </x:c>
      <x:c r="E338" s="38" t="inlineStr">
        <x:is>
          <x:t xml:space="preserve">theorem modalism_passes_if_distinctness_guard_removed : True</x:t>
        </x:is>
      </x:c>
      <x:c r="F338" s="38" t="inlineStr">
        <x:is>
          <x:t xml:space="preserve">:= by trivial</x:t>
        </x:is>
      </x:c>
      <x:c r="G338" s="38" t="inlineStr">
        <x:is>
          <x:t xml:space="preserve">TRIVIAL_TRUE</x:t>
        </x:is>
      </x:c>
      <x:c r="H338" s="39" t="inlineStr">
        <x:is>
          <x:t xml:space="preserve">Statement is `True`; theorem name may exceed formal content.</x:t>
        </x:is>
      </x:c>
    </x:row>
    <x:row r="339" ht="15" customHeight="1">
      <x:c r="A339" s="37" t="inlineStr">
        <x:is>
          <x:t xml:space="preserve">Faith-Thru-Physics-Lean-4--main</x:t>
        </x:is>
      </x:c>
      <x:c r="B339" s="38" t="inlineStr">
        <x:is>
          <x:t xml:space="preserve">Faith-Thru-Physics-Lean-4--main\Faith-Thru-Physics-Lean-4--main\Theophysics_Core.lean</x:t>
        </x:is>
      </x:c>
      <x:c r="C339" s="38" t="inlineStr">
        <x:is>
          <x:t xml:space="preserve">186</x:t>
        </x:is>
      </x:c>
      <x:c r="D339" s="38" t="inlineStr">
        <x:is>
          <x:t xml:space="preserve">static_single_field_passes_if_dynamic_guard_removed</x:t>
        </x:is>
      </x:c>
      <x:c r="E339" s="38" t="inlineStr">
        <x:is>
          <x:t xml:space="preserve">theorem static_single_field_passes_if_dynamic_guard_removed : True</x:t>
        </x:is>
      </x:c>
      <x:c r="F339" s="38" t="inlineStr">
        <x:is>
          <x:t xml:space="preserve">:= by trivial</x:t>
        </x:is>
      </x:c>
      <x:c r="G339" s="38" t="inlineStr">
        <x:is>
          <x:t xml:space="preserve">TRIVIAL_TRUE</x:t>
        </x:is>
      </x:c>
      <x:c r="H339" s="39" t="inlineStr">
        <x:is>
          <x:t xml:space="preserve">Statement is `True`; theorem name may exceed formal content.</x:t>
        </x:is>
      </x:c>
    </x:row>
    <x:row r="340" ht="15" customHeight="1">
      <x:c r="A340" s="37" t="inlineStr">
        <x:is>
          <x:t xml:space="preserve">Faith-Thru-Physics-Lean-4--main</x:t>
        </x:is>
      </x:c>
      <x:c r="B340" s="38" t="inlineStr">
        <x:is>
          <x:t xml:space="preserve">Faith-Thru-Physics-Lean-4--main\Faith-Thru-Physics-Lean-4--main\Theophysics_Core.lean</x:t>
        </x:is>
      </x:c>
      <x:c r="C340" s="38" t="inlineStr">
        <x:is>
          <x:t xml:space="preserve">187</x:t>
        </x:is>
      </x:c>
      <x:c r="D340" s="38" t="inlineStr">
        <x:is>
          <x:t xml:space="preserve">relabeled_roles_pass_if_profile_guard_removed</x:t>
        </x:is>
      </x:c>
      <x:c r="E340" s="38" t="inlineStr">
        <x:is>
          <x:t xml:space="preserve">theorem relabeled_roles_pass_if_profile_guard_removed : True</x:t>
        </x:is>
      </x:c>
      <x:c r="F340" s="38" t="inlineStr">
        <x:is>
          <x:t xml:space="preserve">:= by trivial</x:t>
        </x:is>
      </x:c>
      <x:c r="G340" s="38" t="inlineStr">
        <x:is>
          <x:t xml:space="preserve">TRIVIAL_TRUE</x:t>
        </x:is>
      </x:c>
      <x:c r="H340" s="39" t="inlineStr">
        <x:is>
          <x:t xml:space="preserve">Statement is `True`; theorem name may exceed formal content.</x:t>
        </x:is>
      </x:c>
    </x:row>
    <x:row r="341" ht="15" customHeight="1">
      <x:c r="A341" s="37" t="inlineStr">
        <x:is>
          <x:t xml:space="preserve">Faith-Thru-Physics-Lean-4--main</x:t>
        </x:is>
      </x:c>
      <x:c r="B341" s="38" t="inlineStr">
        <x:is>
          <x:t xml:space="preserve">Faith-Thru-Physics-Lean-4--main\Faith-Thru-Physics-Lean-4--main\Theophysics_Core.lean</x:t>
        </x:is>
      </x:c>
      <x:c r="C341" s="38" t="inlineStr">
        <x:is>
          <x:t xml:space="preserve">188</x:t>
        </x:is>
      </x:c>
      <x:c r="D341" s="38" t="inlineStr">
        <x:is>
          <x:t xml:space="preserve">arbitrary_three_part_passes_bare_gate</x:t>
        </x:is>
      </x:c>
      <x:c r="E341" s="38" t="inlineStr">
        <x:is>
          <x:t xml:space="preserve">theorem arbitrary_three_part_passes_bare_gate : True</x:t>
        </x:is>
      </x:c>
      <x:c r="F341" s="38" t="inlineStr">
        <x:is>
          <x:t xml:space="preserve">:= by trivial</x:t>
        </x:is>
      </x:c>
      <x:c r="G341" s="38" t="inlineStr">
        <x:is>
          <x:t xml:space="preserve">TRIVIAL_TRUE</x:t>
        </x:is>
      </x:c>
      <x:c r="H341" s="39" t="inlineStr">
        <x:is>
          <x:t xml:space="preserve">Statement is `True`; theorem name may exceed formal content.</x:t>
        </x:is>
      </x:c>
    </x:row>
    <x:row r="342" ht="15" customHeight="1">
      <x:c r="A342" s="37" t="inlineStr">
        <x:is>
          <x:t xml:space="preserve">Faith-Thru-Physics-Lean-4--main</x:t>
        </x:is>
      </x:c>
      <x:c r="B342" s="38" t="inlineStr">
        <x:is>
          <x:t xml:space="preserve">Faith-Thru-Physics-Lean-4--main\Faith-Thru-Physics-Lean-4--main\Theophysics_Core.lean</x:t>
        </x:is>
      </x:c>
      <x:c r="C342" s="38" t="inlineStr">
        <x:is>
          <x:t xml:space="preserve">198</x:t>
        </x:is>
      </x:c>
      <x:c r="D342" s="38" t="inlineStr">
        <x:is>
          <x:t xml:space="preserve">c0_ne_c1</x:t>
        </x:is>
      </x:c>
      <x:c r="E342" s="38" t="inlineStr">
        <x:is>
          <x:t xml:space="preserve">theorem c0_ne_c1 : CouplingState.C0 ≠ CouplingState.C1 := C0_ne_C1</x:t>
        </x:is>
      </x:c>
      <x:c r="F342" s="38" t="n"/>
      <x:c r="G342" s="38" t="inlineStr">
        <x:is>
          <x:t xml:space="preserve">DECLARATION_OR_UNKNOWN</x:t>
        </x:is>
      </x:c>
      <x:c r="H342" s="39" t="inlineStr">
        <x:is>
          <x:t xml:space="preserve">Could not classify from first proof lines.</x:t>
        </x:is>
      </x:c>
    </x:row>
    <x:row r="343" ht="15" customHeight="1">
      <x:c r="A343" s="37" t="inlineStr">
        <x:is>
          <x:t xml:space="preserve">Faith-Thru-Physics-Lean-4--main</x:t>
        </x:is>
      </x:c>
      <x:c r="B343" s="38" t="inlineStr">
        <x:is>
          <x:t xml:space="preserve">Faith-Thru-Physics-Lean-4--main\Faith-Thru-Physics-Lean-4--main\Theophysics_Core.lean</x:t>
        </x:is>
      </x:c>
      <x:c r="C343" s="38" t="inlineStr">
        <x:is>
          <x:t xml:space="preserve">199</x:t>
        </x:is>
      </x:c>
      <x:c r="D343" s="38" t="inlineStr">
        <x:is>
          <x:t xml:space="preserve">c1_ne_c0</x:t>
        </x:is>
      </x:c>
      <x:c r="E343" s="38" t="inlineStr">
        <x:is>
          <x:t xml:space="preserve">theorem c1_ne_c0 : CouplingState.C1 ≠ CouplingState.C0 := C1_ne_C0</x:t>
        </x:is>
      </x:c>
      <x:c r="F343" s="38" t="n"/>
      <x:c r="G343" s="38" t="inlineStr">
        <x:is>
          <x:t xml:space="preserve">DECLARATION_OR_UNKNOWN</x:t>
        </x:is>
      </x:c>
      <x:c r="H343" s="39" t="inlineStr">
        <x:is>
          <x:t xml:space="preserve">Could not classify from first proof lines.</x:t>
        </x:is>
      </x:c>
    </x:row>
    <x:row r="344" ht="15" customHeight="1">
      <x:c r="A344" s="37" t="inlineStr">
        <x:is>
          <x:t xml:space="preserve">Faith-Thru-Physics-Lean-4--main</x:t>
        </x:is>
      </x:c>
      <x:c r="B344" s="38" t="inlineStr">
        <x:is>
          <x:t xml:space="preserve">Faith-Thru-Physics-Lean-4--main\Faith-Thru-Physics-Lean-4--main\Theophysics_Core.lean</x:t>
        </x:is>
      </x:c>
      <x:c r="C344" s="38" t="inlineStr">
        <x:is>
          <x:t xml:space="preserve">200</x:t>
        </x:is>
      </x:c>
      <x:c r="D344" s="38" t="inlineStr">
        <x:is>
          <x:t xml:space="preserve">q_zero_kills_chi</x:t>
        </x:is>
      </x:c>
      <x:c r="E344" s="38" t="inlineStr">
        <x:is>
          <x:t xml:space="preserve">theorem q_zero_kills_chi (x : FactorState) (h : x.Q = 0) : chi x = 0 := Q_zero_collapses_chi x h</x:t>
        </x:is>
      </x:c>
      <x:c r="F344" s="38" t="n"/>
      <x:c r="G344" s="38" t="inlineStr">
        <x:is>
          <x:t xml:space="preserve">DECLARATION_OR_UNKNOWN</x:t>
        </x:is>
      </x:c>
      <x:c r="H344" s="39" t="inlineStr">
        <x:is>
          <x:t xml:space="preserve">Could not classify from first proof lines.</x:t>
        </x:is>
      </x:c>
    </x:row>
    <x:row r="345" ht="15" customHeight="1">
      <x:c r="A345" s="37" t="inlineStr">
        <x:is>
          <x:t xml:space="preserve">Faith-Thru-Physics-Lean-4--main</x:t>
        </x:is>
      </x:c>
      <x:c r="B345" s="38" t="inlineStr">
        <x:is>
          <x:t xml:space="preserve">Faith-Thru-Physics-Lean-4--main\Faith-Thru-Physics-Lean-4--main\Theophysics_Core.lean</x:t>
        </x:is>
      </x:c>
      <x:c r="C345" s="38" t="inlineStr">
        <x:is>
          <x:t xml:space="preserve">201</x:t>
        </x:is>
      </x:c>
      <x:c r="D345" s="38" t="inlineStr">
        <x:is>
          <x:t xml:space="preserve">g_zero_kills_chi</x:t>
        </x:is>
      </x:c>
      <x:c r="E345" s="38" t="inlineStr">
        <x:is>
          <x:t xml:space="preserve">theorem g_zero_kills_chi (x : FactorState) (h : x.G = 0) : chi x = 0 := G_zero_collapses_chi x h</x:t>
        </x:is>
      </x:c>
      <x:c r="F345" s="38" t="n"/>
      <x:c r="G345" s="38" t="inlineStr">
        <x:is>
          <x:t xml:space="preserve">DECLARATION_OR_UNKNOWN</x:t>
        </x:is>
      </x:c>
      <x:c r="H345" s="39" t="inlineStr">
        <x:is>
          <x:t xml:space="preserve">Could not classify from first proof lines.</x:t>
        </x:is>
      </x:c>
    </x:row>
    <x:row r="346" ht="15" customHeight="1">
      <x:c r="A346" s="37" t="inlineStr">
        <x:is>
          <x:t xml:space="preserve">Faith-Thru-Physics-Lean-4--main</x:t>
        </x:is>
      </x:c>
      <x:c r="B346" s="38" t="inlineStr">
        <x:is>
          <x:t xml:space="preserve">Faith-Thru-Physics-Lean-4--main\Faith-Thru-Physics-Lean-4--main\Theophysics_Core.lean</x:t>
        </x:is>
      </x:c>
      <x:c r="C346" s="38" t="inlineStr">
        <x:is>
          <x:t xml:space="preserve">202</x:t>
        </x:is>
      </x:c>
      <x:c r="D346" s="38" t="inlineStr">
        <x:is>
          <x:t xml:space="preserve">m_zero_kills_chi</x:t>
        </x:is>
      </x:c>
      <x:c r="E346" s="38" t="inlineStr">
        <x:is>
          <x:t xml:space="preserve">theorem m_zero_kills_chi (x : FactorState) (h : x.M = 0) : chi x = 0 := M_zero_collapses_chi x h</x:t>
        </x:is>
      </x:c>
      <x:c r="F346" s="38" t="n"/>
      <x:c r="G346" s="38" t="inlineStr">
        <x:is>
          <x:t xml:space="preserve">DECLARATION_OR_UNKNOWN</x:t>
        </x:is>
      </x:c>
      <x:c r="H346" s="39" t="inlineStr">
        <x:is>
          <x:t xml:space="preserve">Could not classify from first proof lines.</x:t>
        </x:is>
      </x:c>
    </x:row>
    <x:row r="347" ht="15" customHeight="1">
      <x:c r="A347" s="37" t="inlineStr">
        <x:is>
          <x:t xml:space="preserve">Faith-Thru-Physics-Lean-4--main</x:t>
        </x:is>
      </x:c>
      <x:c r="B347" s="38" t="inlineStr">
        <x:is>
          <x:t xml:space="preserve">Faith-Thru-Physics-Lean-4--main\Faith-Thru-Physics-Lean-4--main\Theophysics_Core.lean</x:t>
        </x:is>
      </x:c>
      <x:c r="C347" s="38" t="inlineStr">
        <x:is>
          <x:t xml:space="preserve">203</x:t>
        </x:is>
      </x:c>
      <x:c r="D347" s="38" t="inlineStr">
        <x:is>
          <x:t xml:space="preserve">e_zero_kills_chi</x:t>
        </x:is>
      </x:c>
      <x:c r="E347" s="38" t="inlineStr">
        <x:is>
          <x:t xml:space="preserve">theorem e_zero_kills_chi (x : FactorState) (h : x.E = 0) : chi x = 0 := E_zero_collapses_chi x h</x:t>
        </x:is>
      </x:c>
      <x:c r="F347" s="38" t="n"/>
      <x:c r="G347" s="38" t="inlineStr">
        <x:is>
          <x:t xml:space="preserve">DECLARATION_OR_UNKNOWN</x:t>
        </x:is>
      </x:c>
      <x:c r="H347" s="39" t="inlineStr">
        <x:is>
          <x:t xml:space="preserve">Could not classify from first proof lines.</x:t>
        </x:is>
      </x:c>
    </x:row>
    <x:row r="348" ht="15" customHeight="1">
      <x:c r="A348" s="37" t="inlineStr">
        <x:is>
          <x:t xml:space="preserve">Faith-Thru-Physics-Lean-4--main</x:t>
        </x:is>
      </x:c>
      <x:c r="B348" s="38" t="inlineStr">
        <x:is>
          <x:t xml:space="preserve">Faith-Thru-Physics-Lean-4--main\Faith-Thru-Physics-Lean-4--main\Theophysics_Core.lean</x:t>
        </x:is>
      </x:c>
      <x:c r="C348" s="38" t="inlineStr">
        <x:is>
          <x:t xml:space="preserve">204</x:t>
        </x:is>
      </x:c>
      <x:c r="D348" s="38" t="inlineStr">
        <x:is>
          <x:t xml:space="preserve">s_zero_kills_chi</x:t>
        </x:is>
      </x:c>
      <x:c r="E348" s="38" t="inlineStr">
        <x:is>
          <x:t xml:space="preserve">theorem s_zero_kills_chi (x : FactorState) (h : x.S = 0) : chi x = 0 := S_zero_collapses_chi x h</x:t>
        </x:is>
      </x:c>
      <x:c r="F348" s="38" t="n"/>
      <x:c r="G348" s="38" t="inlineStr">
        <x:is>
          <x:t xml:space="preserve">DECLARATION_OR_UNKNOWN</x:t>
        </x:is>
      </x:c>
      <x:c r="H348" s="39" t="inlineStr">
        <x:is>
          <x:t xml:space="preserve">Could not classify from first proof lines.</x:t>
        </x:is>
      </x:c>
    </x:row>
    <x:row r="349" ht="15" customHeight="1">
      <x:c r="A349" s="37" t="inlineStr">
        <x:is>
          <x:t xml:space="preserve">Faith-Thru-Physics-Lean-4--main</x:t>
        </x:is>
      </x:c>
      <x:c r="B349" s="38" t="inlineStr">
        <x:is>
          <x:t xml:space="preserve">Faith-Thru-Physics-Lean-4--main\Faith-Thru-Physics-Lean-4--main\Theophysics_Core.lean</x:t>
        </x:is>
      </x:c>
      <x:c r="C349" s="38" t="inlineStr">
        <x:is>
          <x:t xml:space="preserve">205</x:t>
        </x:is>
      </x:c>
      <x:c r="D349" s="38" t="inlineStr">
        <x:is>
          <x:t xml:space="preserve">t_zero_kills_chi</x:t>
        </x:is>
      </x:c>
      <x:c r="E349" s="38" t="inlineStr">
        <x:is>
          <x:t xml:space="preserve">theorem t_zero_kills_chi (x : FactorState) (h : x.T = 0) : chi x = 0 := T_zero_collapses_chi x h</x:t>
        </x:is>
      </x:c>
      <x:c r="F349" s="38" t="n"/>
      <x:c r="G349" s="38" t="inlineStr">
        <x:is>
          <x:t xml:space="preserve">DECLARATION_OR_UNKNOWN</x:t>
        </x:is>
      </x:c>
      <x:c r="H349" s="39" t="inlineStr">
        <x:is>
          <x:t xml:space="preserve">Could not classify from first proof lines.</x:t>
        </x:is>
      </x:c>
    </x:row>
    <x:row r="350" ht="15" customHeight="1">
      <x:c r="A350" s="40" t="inlineStr">
        <x:is>
          <x:t xml:space="preserve">Faith-Thru-Physics-Lean-4--main</x:t>
        </x:is>
      </x:c>
      <x:c r="B350" s="41" t="inlineStr">
        <x:is>
          <x:t xml:space="preserve">Faith-Thru-Physics-Lean-4--main\Faith-Thru-Physics-Lean-4--main\Theophysics_Core.lean</x:t>
        </x:is>
      </x:c>
      <x:c r="C350" s="41" t="inlineStr">
        <x:is>
          <x:t xml:space="preserve">206</x:t>
        </x:is>
      </x:c>
      <x:c r="D350" s="41" t="inlineStr">
        <x:is>
          <x:t xml:space="preserve">k_zero_kills_chi</x:t>
        </x:is>
      </x:c>
      <x:c r="E350" s="41" t="inlineStr">
        <x:is>
          <x:t xml:space="preserve">theorem k_zero_kills_chi (x : FactorState) (h : x.K = 0) : chi x = 0 := K_zero_collapses_chi x h</x:t>
        </x:is>
      </x:c>
      <x:c r="F350" s="41" t="n"/>
      <x:c r="G350" s="41" t="inlineStr">
        <x:is>
          <x:t xml:space="preserve">DECLARATION_OR_UNKNOWN</x:t>
        </x:is>
      </x:c>
      <x:c r="H350" s="42" t="inlineStr">
        <x:is>
          <x:t xml:space="preserve">Could not classify from first proof lines.</x:t>
        </x:is>
      </x:c>
    </x:row>
  </x:sheetData>
  <x:pageMargins left="0.7" right="0.7" top="0.75" bottom="0.75" header="0.3" footer="0.3"/>
</x:worksheet>
</file>

<file path=xl/worksheets/sheet23.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1" width="61.77734375" style="49" customWidth="1"/>
    <x:col min="2" max="2" width="3.88671875" style="49" customWidth="1"/>
    <x:col min="3" max="3" width="29" style="49" customWidth="1"/>
    <x:col min="4" max="4" width="55.77734375" style="49" customWidth="1"/>
    <x:col min="5" max="5" width="99.33203125" style="49" customWidth="1"/>
    <x:col min="6" max="6" width="10.109375" style="49" customWidth="1"/>
    <x:col min="7" max="7" width="27.44140625" style="49" customWidth="1"/>
    <x:col min="8" max="8" width="64" style="49" customWidth="1"/>
    <x:col min="9" max="9" width="12.77734375" style="49" customWidth="1"/>
    <x:col min="10" max="16384" width="8.88671875" style="49" customWidth="1"/>
  </x:cols>
  <x:sheetData>
    <x:row r="1" ht="17.399999618530273" customHeight="1">
      <x:c r="A1" s="50" t="inlineStr">
        <x:is>
          <x:t xml:space="preserve">Recovered Missing Names</x:t>
        </x:is>
      </x:c>
    </x:row>
    <x:row r="2" ht="14.399999618530273" customHeight="1">
      <x:c r="A2" s="51" t="inlineStr">
        <x:is>
          <x:t xml:space="preserve">Previously scoped-missing theorem names resolved by the full 47-file scan.</x:t>
        </x:is>
      </x:c>
    </x:row>
    <x:row r="4" ht="15" customHeight="1">
      <x:c r="A4" s="52" t="inlineStr">
        <x:is>
          <x:t xml:space="preserve">sheet</x:t>
        </x:is>
      </x:c>
      <x:c r="B4" s="53" t="inlineStr">
        <x:is>
          <x:t xml:space="preserve">row</x:t>
        </x:is>
      </x:c>
      <x:c r="C4" s="53" t="inlineStr">
        <x:is>
          <x:t xml:space="preserve">module</x:t>
        </x:is>
      </x:c>
      <x:c r="D4" s="53" t="inlineStr">
        <x:is>
          <x:t xml:space="preserve">theorem</x:t>
        </x:is>
      </x:c>
      <x:c r="E4" s="53" t="inlineStr">
        <x:is>
          <x:t xml:space="preserve">claim</x:t>
        </x:is>
      </x:c>
      <x:c r="F4" s="53" t="inlineStr">
        <x:is>
          <x:t xml:space="preserve">type</x:t>
        </x:is>
      </x:c>
      <x:c r="G4" s="53" t="inlineStr">
        <x:is>
          <x:t xml:space="preserve">full_scan_resolution</x:t>
        </x:is>
      </x:c>
      <x:c r="H4" s="53" t="inlineStr">
        <x:is>
          <x:t xml:space="preserve">canonical_file</x:t>
        </x:is>
      </x:c>
      <x:c r="I4" s="54" t="inlineStr">
        <x:is>
          <x:t xml:space="preserve">canonical_line</x:t>
        </x:is>
      </x:c>
    </x:row>
    <x:row r="5" ht="15" customHeight="1">
      <x:c r="A5" s="55" t="inlineStr">
        <x:is>
          <x:t xml:space="preserve">LEAN_DERIVATION_CHAIN</x:t>
        </x:is>
      </x:c>
      <x:c r="B5" s="49" t="inlineStr">
        <x:is>
          <x:t xml:space="preserve">3</x:t>
        </x:is>
      </x:c>
      <x:c r="C5" s="49" t="inlineStr">
        <x:is>
          <x:t xml:space="preserve">Core.lean</x:t>
        </x:is>
      </x:c>
      <x:c r="D5" s="49" t="inlineStr">
        <x:is>
          <x:t xml:space="preserve">C0_ne_C1</x:t>
        </x:is>
      </x:c>
      <x:c r="E5" s="49" t="inlineStr">
        <x:is>
          <x:t xml:space="preserve">C0 ≠ C1 — the two coupling states are structurally distinct</x:t>
        </x:is>
      </x:c>
      <x:c r="F5" s="49" t="inlineStr">
        <x:is>
          <x:t xml:space="preserve">PROVED</x:t>
        </x:is>
      </x:c>
      <x:c r="G5" s="49" t="inlineStr">
        <x:is>
          <x:t xml:space="preserve">FOUND_IN_FULL_47_FILE_SCAN</x:t>
        </x:is>
      </x:c>
      <x:c r="H5" s="49" t="inlineStr">
        <x:is>
          <x:t xml:space="preserve">theophysics-lean-main\theophysics-lean-main\Theophysics_Core.lean</x:t>
        </x:is>
      </x:c>
      <x:c r="I5" s="56" t="inlineStr">
        <x:is>
          <x:t xml:space="preserve">29</x:t>
        </x:is>
      </x:c>
    </x:row>
    <x:row r="6" ht="15" customHeight="1">
      <x:c r="A6" s="55" t="inlineStr">
        <x:is>
          <x:t xml:space="preserve">LEAN_DERIVATION_CHAIN</x:t>
        </x:is>
      </x:c>
      <x:c r="B6" s="49" t="inlineStr">
        <x:is>
          <x:t xml:space="preserve">4</x:t>
        </x:is>
      </x:c>
      <x:c r="C6" s="49" t="inlineStr">
        <x:is>
          <x:t xml:space="preserve">Core.lean</x:t>
        </x:is>
      </x:c>
      <x:c r="D6" s="49" t="inlineStr">
        <x:is>
          <x:t xml:space="preserve">C1_ne_C0</x:t>
        </x:is>
      </x:c>
      <x:c r="E6" s="49" t="inlineStr">
        <x:is>
          <x:t xml:space="preserve">C1 ≠ C0 (symmetric direction)</x:t>
        </x:is>
      </x:c>
      <x:c r="F6" s="49" t="inlineStr">
        <x:is>
          <x:t xml:space="preserve">PROVED</x:t>
        </x:is>
      </x:c>
      <x:c r="G6" s="49" t="inlineStr">
        <x:is>
          <x:t xml:space="preserve">FOUND_IN_FULL_47_FILE_SCAN</x:t>
        </x:is>
      </x:c>
      <x:c r="H6" s="49" t="inlineStr">
        <x:is>
          <x:t xml:space="preserve">theophysics-lean-main\theophysics-lean-main\Theophysics_Core.lean</x:t>
        </x:is>
      </x:c>
      <x:c r="I6" s="56" t="inlineStr">
        <x:is>
          <x:t xml:space="preserve">30</x:t>
        </x:is>
      </x:c>
    </x:row>
    <x:row r="7" ht="15" customHeight="1">
      <x:c r="A7" s="55" t="inlineStr">
        <x:is>
          <x:t xml:space="preserve">LEAN_DERIVATION_CHAIN</x:t>
        </x:is>
      </x:c>
      <x:c r="B7" s="49" t="inlineStr">
        <x:is>
          <x:t xml:space="preserve">5</x:t>
        </x:is>
      </x:c>
      <x:c r="C7" s="49" t="inlineStr">
        <x:is>
          <x:t xml:space="preserve">Core.lean</x:t>
        </x:is>
      </x:c>
      <x:c r="D7" s="49" t="inlineStr">
        <x:is>
          <x:t xml:space="preserve">coupling_modification_irreversible</x:t>
        </x:is>
      </x:c>
      <x:c r="E7" s="49" t="inlineStr">
        <x:is>
          <x:t xml:space="preserve">C0 → C1 is one-way; C1 → C0 has no constructor. The transition cannot be undone.</x:t>
        </x:is>
      </x:c>
      <x:c r="F7" s="49" t="inlineStr">
        <x:is>
          <x:t xml:space="preserve">PROVED</x:t>
        </x:is>
      </x:c>
      <x:c r="G7" s="49" t="inlineStr">
        <x:is>
          <x:t xml:space="preserve">FOUND_IN_FULL_47_FILE_SCAN</x:t>
        </x:is>
      </x:c>
      <x:c r="H7" s="49" t="inlineStr">
        <x:is>
          <x:t xml:space="preserve">theophysics-lean-main\theophysics-lean-main\Theophysics_Core.lean</x:t>
        </x:is>
      </x:c>
      <x:c r="I7" s="56" t="inlineStr">
        <x:is>
          <x:t xml:space="preserve">31</x:t>
        </x:is>
      </x:c>
    </x:row>
    <x:row r="8" ht="15" customHeight="1">
      <x:c r="A8" s="55" t="inlineStr">
        <x:is>
          <x:t xml:space="preserve">LEAN_DERIVATION_CHAIN</x:t>
        </x:is>
      </x:c>
      <x:c r="B8" s="49" t="inlineStr">
        <x:is>
          <x:t xml:space="preserve">6</x:t>
        </x:is>
      </x:c>
      <x:c r="C8" s="49" t="inlineStr">
        <x:is>
          <x:t xml:space="preserve">Core.lean</x:t>
        </x:is>
      </x:c>
      <x:c r="D8" s="49" t="inlineStr">
        <x:is>
          <x:t xml:space="preserve">Q_zero_collapses_chi</x:t>
        </x:is>
      </x:c>
      <x:c r="E8" s="49" t="inlineStr">
        <x:is>
          <x:t xml:space="preserve">If Q = 0, then χ = 0 regardless of all other factors. Any single zero kills the product.</x:t>
        </x:is>
      </x:c>
      <x:c r="F8" s="49" t="inlineStr">
        <x:is>
          <x:t xml:space="preserve">PROVED</x:t>
        </x:is>
      </x:c>
      <x:c r="G8" s="49" t="inlineStr">
        <x:is>
          <x:t xml:space="preserve">FOUND_IN_FULL_47_FILE_SCAN</x:t>
        </x:is>
      </x:c>
      <x:c r="H8" s="49" t="inlineStr">
        <x:is>
          <x:t xml:space="preserve">theophysics-lean-main\theophysics-lean-main\Theophysics_Core.lean</x:t>
        </x:is>
      </x:c>
      <x:c r="I8" s="56" t="inlineStr">
        <x:is>
          <x:t xml:space="preserve">34</x:t>
        </x:is>
      </x:c>
    </x:row>
    <x:row r="9" ht="15" customHeight="1">
      <x:c r="A9" s="55" t="inlineStr">
        <x:is>
          <x:t xml:space="preserve">LEAN_DERIVATION_CHAIN</x:t>
        </x:is>
      </x:c>
      <x:c r="B9" s="49" t="inlineStr">
        <x:is>
          <x:t xml:space="preserve">7</x:t>
        </x:is>
      </x:c>
      <x:c r="C9" s="49" t="inlineStr">
        <x:is>
          <x:t xml:space="preserve">Core.lean</x:t>
        </x:is>
      </x:c>
      <x:c r="D9" s="49" t="inlineStr">
        <x:is>
          <x:t xml:space="preserve">Q_nonzero_not_sufficient_for_positive_chi</x:t>
        </x:is>
      </x:c>
      <x:c r="E9" s="49" t="inlineStr">
        <x:is>
          <x:t xml:space="preserve">Q &gt; 0 does NOT guarantee χ &gt; 0 (G = 0 still kills it). No single factor saves you.</x:t>
        </x:is>
      </x:c>
      <x:c r="F9" s="49" t="inlineStr">
        <x:is>
          <x:t xml:space="preserve">REJECTION</x:t>
        </x:is>
      </x:c>
      <x:c r="G9" s="49" t="inlineStr">
        <x:is>
          <x:t xml:space="preserve">FOUND_IN_FULL_47_FILE_SCAN</x:t>
        </x:is>
      </x:c>
      <x:c r="H9" s="49" t="inlineStr">
        <x:is>
          <x:t xml:space="preserve">theophysics-lean-main\theophysics-lean-main\Final_Lean4_From_Excel.lean</x:t>
        </x:is>
      </x:c>
      <x:c r="I9" s="56" t="inlineStr">
        <x:is>
          <x:t xml:space="preserve">122</x:t>
        </x:is>
      </x:c>
    </x:row>
    <x:row r="10" ht="15" customHeight="1">
      <x:c r="A10" s="55" t="inlineStr">
        <x:is>
          <x:t xml:space="preserve">LEAN_DERIVATION_CHAIN</x:t>
        </x:is>
      </x:c>
      <x:c r="B10" s="49" t="inlineStr">
        <x:is>
          <x:t xml:space="preserve">9</x:t>
        </x:is>
      </x:c>
      <x:c r="C10" s="49" t="inlineStr">
        <x:is>
          <x:t xml:space="preserve">StageMachine.lean</x:t>
        </x:is>
      </x:c>
      <x:c r="D10" s="49" t="inlineStr">
        <x:is>
          <x:t xml:space="preserve">reaches_localization_from_pre</x:t>
        </x:is>
      </x:c>
      <x:c r="E10" s="49" t="inlineStr">
        <x:is>
          <x:t xml:space="preserve">preLocalization can reach localization</x:t>
        </x:is>
      </x:c>
      <x:c r="F10" s="49" t="inlineStr">
        <x:is>
          <x:t xml:space="preserve">PROVED</x:t>
        </x:is>
      </x:c>
      <x:c r="G10" s="49" t="inlineStr">
        <x:is>
          <x:t xml:space="preserve">FOUND_IN_FULL_47_FILE_SCAN</x:t>
        </x:is>
      </x:c>
      <x:c r="H10" s="49" t="inlineStr">
        <x:is>
          <x:t xml:space="preserve">theophysics-lean-main\theophysics-lean-main\Theophysics_Core.lean</x:t>
        </x:is>
      </x:c>
      <x:c r="I10" s="56" t="inlineStr">
        <x:is>
          <x:t xml:space="preserve">36</x:t>
        </x:is>
      </x:c>
    </x:row>
    <x:row r="11" ht="15" customHeight="1">
      <x:c r="A11" s="55" t="inlineStr">
        <x:is>
          <x:t xml:space="preserve">LEAN_DERIVATION_CHAIN</x:t>
        </x:is>
      </x:c>
      <x:c r="B11" s="49" t="inlineStr">
        <x:is>
          <x:t xml:space="preserve">10</x:t>
        </x:is>
      </x:c>
      <x:c r="C11" s="49" t="inlineStr">
        <x:is>
          <x:t xml:space="preserve">StageMachine.lean</x:t>
        </x:is>
      </x:c>
      <x:c r="D11" s="49" t="inlineStr">
        <x:is>
          <x:t xml:space="preserve">reaches_redistribution_from_pre</x:t>
        </x:is>
      </x:c>
      <x:c r="E11" s="49" t="inlineStr">
        <x:is>
          <x:t xml:space="preserve">Full 5-step sequence is reachable from preLocalization to redistribution</x:t>
        </x:is>
      </x:c>
      <x:c r="F11" s="49" t="inlineStr">
        <x:is>
          <x:t xml:space="preserve">PROVED</x:t>
        </x:is>
      </x:c>
      <x:c r="G11" s="49" t="inlineStr">
        <x:is>
          <x:t xml:space="preserve">FOUND_IN_FULL_47_FILE_SCAN</x:t>
        </x:is>
      </x:c>
      <x:c r="H11" s="49" t="inlineStr">
        <x:is>
          <x:t xml:space="preserve">theophysics-lean-main\theophysics-lean-main\Theophysics_Core.lean</x:t>
        </x:is>
      </x:c>
      <x:c r="I11" s="56" t="inlineStr">
        <x:is>
          <x:t xml:space="preserve">37</x:t>
        </x:is>
      </x:c>
    </x:row>
    <x:row r="12" ht="15" customHeight="1">
      <x:c r="A12" s="55" t="inlineStr">
        <x:is>
          <x:t xml:space="preserve">LEAN_DERIVATION_CHAIN</x:t>
        </x:is>
      </x:c>
      <x:c r="B12" s="49" t="inlineStr">
        <x:is>
          <x:t xml:space="preserve">11</x:t>
        </x:is>
      </x:c>
      <x:c r="C12" s="49" t="inlineStr">
        <x:is>
          <x:t xml:space="preserve">StageMachine.lean</x:t>
        </x:is>
      </x:c>
      <x:c r="D12" s="49" t="inlineStr">
        <x:is>
          <x:t xml:space="preserve">no_stage_step_back_to_pre_from_localization</x:t>
        </x:is>
      </x:c>
      <x:c r="E12" s="49" t="inlineStr">
        <x:is>
          <x:t xml:space="preserve">No backward step from localization to pre. Irreversible.</x:t>
        </x:is>
      </x:c>
      <x:c r="F12" s="49" t="inlineStr">
        <x:is>
          <x:t xml:space="preserve">REJECTION</x:t>
        </x:is>
      </x:c>
      <x:c r="G12" s="49" t="inlineStr">
        <x:is>
          <x:t xml:space="preserve">FOUND_IN_FULL_47_FILE_SCAN</x:t>
        </x:is>
      </x:c>
      <x:c r="H12" s="49" t="inlineStr">
        <x:is>
          <x:t xml:space="preserve">theophysics-lean-main\theophysics-lean-main\Theophysics_Adversarial.lean</x:t>
        </x:is>
      </x:c>
      <x:c r="I12" s="56" t="inlineStr">
        <x:is>
          <x:t xml:space="preserve">321</x:t>
        </x:is>
      </x:c>
    </x:row>
    <x:row r="13" ht="15" customHeight="1">
      <x:c r="A13" s="55" t="inlineStr">
        <x:is>
          <x:t xml:space="preserve">LEAN_DERIVATION_CHAIN</x:t>
        </x:is>
      </x:c>
      <x:c r="B13" s="49" t="inlineStr">
        <x:is>
          <x:t xml:space="preserve">12</x:t>
        </x:is>
      </x:c>
      <x:c r="C13" s="49" t="inlineStr">
        <x:is>
          <x:t xml:space="preserve">StageMachine.lean</x:t>
        </x:is>
      </x:c>
      <x:c r="D13" s="49" t="inlineStr">
        <x:is>
          <x:t xml:space="preserve">no_stage_step_back_to_release_from_confirmation</x:t>
        </x:is>
      </x:c>
      <x:c r="E13" s="49" t="inlineStr">
        <x:is>
          <x:t xml:space="preserve">No backward step from confirmation to release</x:t>
        </x:is>
      </x:c>
      <x:c r="F13" s="49" t="inlineStr">
        <x:is>
          <x:t xml:space="preserve">REJECTION</x:t>
        </x:is>
      </x:c>
      <x:c r="G13" s="49" t="inlineStr">
        <x:is>
          <x:t xml:space="preserve">FOUND_IN_FULL_47_FILE_SCAN</x:t>
        </x:is>
      </x:c>
      <x:c r="H13" s="49" t="inlineStr">
        <x:is>
          <x:t xml:space="preserve">theophysics-lean-main\theophysics-lean-main\Theophysics_Adversarial.lean</x:t>
        </x:is>
      </x:c>
      <x:c r="I13" s="56" t="inlineStr">
        <x:is>
          <x:t xml:space="preserve">325</x:t>
        </x:is>
      </x:c>
    </x:row>
    <x:row r="14" ht="15" customHeight="1">
      <x:c r="A14" s="55" t="inlineStr">
        <x:is>
          <x:t xml:space="preserve">LEAN_DERIVATION_CHAIN</x:t>
        </x:is>
      </x:c>
      <x:c r="B14" s="49" t="inlineStr">
        <x:is>
          <x:t xml:space="preserve">13</x:t>
        </x:is>
      </x:c>
      <x:c r="C14" s="49" t="inlineStr">
        <x:is>
          <x:t xml:space="preserve">StageMachine.lean</x:t>
        </x:is>
      </x:c>
      <x:c r="D14" s="49" t="inlineStr">
        <x:is>
          <x:t xml:space="preserve">no_stage_step_back_to_confirmation_from_redistribution</x:t>
        </x:is>
      </x:c>
      <x:c r="E14" s="49" t="inlineStr">
        <x:is>
          <x:t xml:space="preserve">No backward step from redistribution to confirmation</x:t>
        </x:is>
      </x:c>
      <x:c r="F14" s="49" t="inlineStr">
        <x:is>
          <x:t xml:space="preserve">REJECTION</x:t>
        </x:is>
      </x:c>
      <x:c r="G14" s="49" t="inlineStr">
        <x:is>
          <x:t xml:space="preserve">FOUND_IN_FULL_47_FILE_SCAN</x:t>
        </x:is>
      </x:c>
      <x:c r="H14" s="49" t="inlineStr">
        <x:is>
          <x:t xml:space="preserve">theophysics-lean-main\theophysics-lean-main\Theophysics_Adversarial.lean</x:t>
        </x:is>
      </x:c>
      <x:c r="I14" s="56" t="inlineStr">
        <x:is>
          <x:t xml:space="preserve">329</x:t>
        </x:is>
      </x:c>
    </x:row>
    <x:row r="15" ht="15" customHeight="1">
      <x:c r="A15" s="55" t="inlineStr">
        <x:is>
          <x:t xml:space="preserve">LEAN_DERIVATION_CHAIN</x:t>
        </x:is>
      </x:c>
      <x:c r="B15" s="49" t="inlineStr">
        <x:is>
          <x:t xml:space="preserve">15</x:t>
        </x:is>
      </x:c>
      <x:c r="C15" s="49" t="inlineStr">
        <x:is>
          <x:t xml:space="preserve">Mapping.lean</x:t>
        </x:is>
      </x:c>
      <x:c r="D15" s="49" t="inlineStr">
        <x:is>
          <x:t xml:space="preserve">map_physics_sequence_is_theology_sequence</x:t>
        </x:is>
      </x:c>
      <x:c r="E15" s="49" t="inlineStr">
        <x:is>
          <x:t xml:space="preserve">Mapping the full physics list produces the full theology list — order-preserving. Proved by rfl (definitional equality).</x:t>
        </x:is>
      </x:c>
      <x:c r="F15" s="49" t="inlineStr">
        <x:is>
          <x:t xml:space="preserve">PROVED</x:t>
        </x:is>
      </x:c>
      <x:c r="G15" s="49" t="inlineStr">
        <x:is>
          <x:t xml:space="preserve">FOUND_IN_FULL_47_FILE_SCAN</x:t>
        </x:is>
      </x:c>
      <x:c r="H15" s="49" t="inlineStr">
        <x:is>
          <x:t xml:space="preserve">theophysics-lean-main\theophysics-lean-main\Theophysics_Core.lean</x:t>
        </x:is>
      </x:c>
      <x:c r="I15" s="56" t="inlineStr">
        <x:is>
          <x:t xml:space="preserve">166</x:t>
        </x:is>
      </x:c>
    </x:row>
    <x:row r="16" ht="15" customHeight="1">
      <x:c r="A16" s="55" t="inlineStr">
        <x:is>
          <x:t xml:space="preserve">LEAN_DERIVATION_CHAIN</x:t>
        </x:is>
      </x:c>
      <x:c r="B16" s="49" t="inlineStr">
        <x:is>
          <x:t xml:space="preserve">16</x:t>
        </x:is>
      </x:c>
      <x:c r="C16" s="49" t="inlineStr">
        <x:is>
          <x:t xml:space="preserve">Mapping.lean</x:t>
        </x:is>
      </x:c>
      <x:c r="D16" s="49" t="inlineStr">
        <x:is>
          <x:t xml:space="preserve">localization_maps_to_incarnation</x:t>
        </x:is>
      </x:c>
      <x:c r="E16" s="49" t="inlineStr">
        <x:is>
          <x:t xml:space="preserve">Specific: localization → incarnation</x:t>
        </x:is>
      </x:c>
      <x:c r="F16" s="49" t="inlineStr">
        <x:is>
          <x:t xml:space="preserve">PROVED</x:t>
        </x:is>
      </x:c>
      <x:c r="G16" s="49" t="inlineStr">
        <x:is>
          <x:t xml:space="preserve">FOUND_IN_FULL_47_FILE_SCAN</x:t>
        </x:is>
      </x:c>
      <x:c r="H16" s="49" t="inlineStr">
        <x:is>
          <x:t xml:space="preserve">theophysics-lean-main\theophysics-lean-main\Theophysics_Core.lean</x:t>
        </x:is>
      </x:c>
      <x:c r="I16" s="56" t="inlineStr">
        <x:is>
          <x:t xml:space="preserve">165</x:t>
        </x:is>
      </x:c>
    </x:row>
    <x:row r="17" ht="15" customHeight="1">
      <x:c r="A17" s="55" t="inlineStr">
        <x:is>
          <x:t xml:space="preserve">LEAN_DERIVATION_CHAIN</x:t>
        </x:is>
      </x:c>
      <x:c r="B17" s="49" t="inlineStr">
        <x:is>
          <x:t xml:space="preserve">17</x:t>
        </x:is>
      </x:c>
      <x:c r="C17" s="49" t="inlineStr">
        <x:is>
          <x:t xml:space="preserve">Mapping.lean</x:t>
        </x:is>
      </x:c>
      <x:c r="D17" s="49" t="inlineStr">
        <x:is>
          <x:t xml:space="preserve">confirmation_maps_to_resurrection</x:t>
        </x:is>
      </x:c>
      <x:c r="E17" s="49" t="inlineStr">
        <x:is>
          <x:t xml:space="preserve">Specific: confirmation → resurrection</x:t>
        </x:is>
      </x:c>
      <x:c r="F17" s="49" t="inlineStr">
        <x:is>
          <x:t xml:space="preserve">PROVED</x:t>
        </x:is>
      </x:c>
      <x:c r="G17" s="49" t="inlineStr">
        <x:is>
          <x:t xml:space="preserve">FOUND_IN_FULL_47_FILE_SCAN</x:t>
        </x:is>
      </x:c>
      <x:c r="H17" s="49" t="inlineStr">
        <x:is>
          <x:t xml:space="preserve">theophysics-lean-main\theophysics-lean-main\Theophysics_Core.lean</x:t>
        </x:is>
      </x:c>
      <x:c r="I17" s="56" t="inlineStr">
        <x:is>
          <x:t xml:space="preserve">164</x:t>
        </x:is>
      </x:c>
    </x:row>
    <x:row r="18" ht="15" customHeight="1">
      <x:c r="A18" s="55" t="inlineStr">
        <x:is>
          <x:t xml:space="preserve">LEAN_DERIVATION_CHAIN</x:t>
        </x:is>
      </x:c>
      <x:c r="B18" s="49" t="inlineStr">
        <x:is>
          <x:t xml:space="preserve">19</x:t>
        </x:is>
      </x:c>
      <x:c r="C18" s="49" t="inlineStr">
        <x:is>
          <x:t xml:space="preserve">BridgeMatrix.lean</x:t>
        </x:is>
      </x:c>
      <x:c r="D18" s="49" t="inlineStr">
        <x:is>
          <x:t xml:space="preserve">canonicalRows_all_valid</x:t>
        </x:is>
      </x:c>
      <x:c r="E18" s="49" t="inlineStr">
        <x:is>
          <x:t xml:space="preserve">All 10 canonical bridge rows pass signature validation</x:t>
        </x:is>
      </x:c>
      <x:c r="F18" s="49" t="inlineStr">
        <x:is>
          <x:t xml:space="preserve">PROVED</x:t>
        </x:is>
      </x:c>
      <x:c r="G18" s="49" t="inlineStr">
        <x:is>
          <x:t xml:space="preserve">FOUND_IN_FULL_47_FILE_SCAN</x:t>
        </x:is>
      </x:c>
      <x:c r="H18" s="49" t="inlineStr">
        <x:is>
          <x:t xml:space="preserve">theophysics-lean-main\theophysics-lean-main\Theophysics_Core.lean</x:t>
        </x:is>
      </x:c>
      <x:c r="I18" s="56" t="inlineStr">
        <x:is>
          <x:t xml:space="preserve">169</x:t>
        </x:is>
      </x:c>
    </x:row>
    <x:row r="19" ht="15" customHeight="1">
      <x:c r="A19" s="55" t="inlineStr">
        <x:is>
          <x:t xml:space="preserve">LEAN_DERIVATION_CHAIN</x:t>
        </x:is>
      </x:c>
      <x:c r="B19" s="49" t="inlineStr">
        <x:is>
          <x:t xml:space="preserve">20</x:t>
        </x:is>
      </x:c>
      <x:c r="C19" s="49" t="inlineStr">
        <x:is>
          <x:t xml:space="preserve">BridgeMatrix.lean</x:t>
        </x:is>
      </x:c>
      <x:c r="D19" s="49" t="inlineStr">
        <x:is>
          <x:t xml:space="preserve">grace_swapped_with_faith_invalid</x:t>
        </x:is>
      </x:c>
      <x:c r="E19" s="49" t="inlineStr">
        <x:is>
          <x:t xml:space="preserve">REJECTION: Swapping grace↔faith breaks the signature</x:t>
        </x:is>
      </x:c>
      <x:c r="F19" s="49" t="inlineStr">
        <x:is>
          <x:t xml:space="preserve">REJECTION</x:t>
        </x:is>
      </x:c>
      <x:c r="G19" s="49" t="inlineStr">
        <x:is>
          <x:t xml:space="preserve">FOUND_IN_FULL_47_FILE_SCAN</x:t>
        </x:is>
      </x:c>
      <x:c r="H19" s="49" t="inlineStr">
        <x:is>
          <x:t xml:space="preserve">theophysics-lean-main\theophysics-lean-main\Final_Lean4_From_Excel.lean</x:t>
        </x:is>
      </x:c>
      <x:c r="I19" s="56" t="inlineStr">
        <x:is>
          <x:t xml:space="preserve">202</x:t>
        </x:is>
      </x:c>
    </x:row>
    <x:row r="20" ht="15" customHeight="1">
      <x:c r="A20" s="55" t="inlineStr">
        <x:is>
          <x:t xml:space="preserve">LEAN_DERIVATION_CHAIN</x:t>
        </x:is>
      </x:c>
      <x:c r="B20" s="49" t="inlineStr">
        <x:is>
          <x:t xml:space="preserve">21</x:t>
        </x:is>
      </x:c>
      <x:c r="C20" s="49" t="inlineStr">
        <x:is>
          <x:t xml:space="preserve">BridgeMatrix.lean</x:t>
        </x:is>
      </x:c>
      <x:c r="D20" s="49" t="inlineStr">
        <x:is>
          <x:t xml:space="preserve">entropy_swapped_with_grace_invalid</x:t>
        </x:is>
      </x:c>
      <x:c r="E20" s="49" t="inlineStr">
        <x:is>
          <x:t xml:space="preserve">REJECTION: Swapping entropy↔grace breaks the signature</x:t>
        </x:is>
      </x:c>
      <x:c r="F20" s="49" t="inlineStr">
        <x:is>
          <x:t xml:space="preserve">REJECTION</x:t>
        </x:is>
      </x:c>
      <x:c r="G20" s="49" t="inlineStr">
        <x:is>
          <x:t xml:space="preserve">FOUND_IN_FULL_47_FILE_SCAN</x:t>
        </x:is>
      </x:c>
      <x:c r="H20" s="49" t="inlineStr">
        <x:is>
          <x:t xml:space="preserve">theophysics-lean-main\theophysics-lean-main\Final_Lean4_From_Excel.lean</x:t>
        </x:is>
      </x:c>
      <x:c r="I20" s="56" t="inlineStr">
        <x:is>
          <x:t xml:space="preserve">206</x:t>
        </x:is>
      </x:c>
    </x:row>
    <x:row r="21" ht="15" customHeight="1">
      <x:c r="A21" s="55" t="inlineStr">
        <x:is>
          <x:t xml:space="preserve">LEAN_DERIVATION_CHAIN</x:t>
        </x:is>
      </x:c>
      <x:c r="B21" s="49" t="inlineStr">
        <x:is>
          <x:t xml:space="preserve">22</x:t>
        </x:is>
      </x:c>
      <x:c r="C21" s="49" t="inlineStr">
        <x:is>
          <x:t xml:space="preserve">BridgeMatrix.lean</x:t>
        </x:is>
      </x:c>
      <x:c r="D21" s="49" t="inlineStr">
        <x:is>
          <x:t xml:space="preserve">compression_swapped_with_communion_invalid</x:t>
        </x:is>
      </x:c>
      <x:c r="E21" s="49" t="inlineStr">
        <x:is>
          <x:t xml:space="preserve">REJECTION: K↔F swap rejected</x:t>
        </x:is>
      </x:c>
      <x:c r="F21" s="49" t="inlineStr">
        <x:is>
          <x:t xml:space="preserve">REJECTION</x:t>
        </x:is>
      </x:c>
      <x:c r="G21" s="49" t="inlineStr">
        <x:is>
          <x:t xml:space="preserve">FOUND_IN_FULL_47_FILE_SCAN</x:t>
        </x:is>
      </x:c>
      <x:c r="H21" s="49" t="inlineStr">
        <x:is>
          <x:t xml:space="preserve">theophysics-lean-main\theophysics-lean-main\Final_Lean4_From_Excel.lean</x:t>
        </x:is>
      </x:c>
      <x:c r="I21" s="56" t="inlineStr">
        <x:is>
          <x:t xml:space="preserve">210</x:t>
        </x:is>
      </x:c>
    </x:row>
    <x:row r="22" ht="15" customHeight="1">
      <x:c r="A22" s="55" t="inlineStr">
        <x:is>
          <x:t xml:space="preserve">LEAN_DERIVATION_CHAIN</x:t>
        </x:is>
      </x:c>
      <x:c r="B22" s="49" t="inlineStr">
        <x:is>
          <x:t xml:space="preserve">23</x:t>
        </x:is>
      </x:c>
      <x:c r="C22" s="49" t="inlineStr">
        <x:is>
          <x:t xml:space="preserve">BridgeMatrix.lean</x:t>
        </x:is>
      </x:c>
      <x:c r="D22" s="49" t="inlineStr">
        <x:is>
          <x:t xml:space="preserve">coherence_swapped_with_consequence_lock_invalid</x:t>
        </x:is>
      </x:c>
      <x:c r="E22" s="49" t="inlineStr">
        <x:is>
          <x:t xml:space="preserve">REJECTION: C↔R swap rejected</x:t>
        </x:is>
      </x:c>
      <x:c r="F22" s="49" t="inlineStr">
        <x:is>
          <x:t xml:space="preserve">REJECTION</x:t>
        </x:is>
      </x:c>
      <x:c r="G22" s="49" t="inlineStr">
        <x:is>
          <x:t xml:space="preserve">FOUND_IN_FULL_47_FILE_SCAN</x:t>
        </x:is>
      </x:c>
      <x:c r="H22" s="49" t="inlineStr">
        <x:is>
          <x:t xml:space="preserve">theophysics-lean-main\theophysics-lean-main\Theophysics_Adversarial.lean</x:t>
        </x:is>
      </x:c>
      <x:c r="I22" s="56" t="inlineStr">
        <x:is>
          <x:t xml:space="preserve">334</x:t>
        </x:is>
      </x:c>
    </x:row>
    <x:row r="23" ht="15" customHeight="1">
      <x:c r="A23" s="55" t="inlineStr">
        <x:is>
          <x:t xml:space="preserve">LEAN_DERIVATION_CHAIN</x:t>
        </x:is>
      </x:c>
      <x:c r="B23" s="49" t="inlineStr">
        <x:is>
          <x:t xml:space="preserve">24</x:t>
        </x:is>
      </x:c>
      <x:c r="C23" s="49" t="inlineStr">
        <x:is>
          <x:t xml:space="preserve">BridgeMatrix.lean</x:t>
        </x:is>
      </x:c>
      <x:c r="D23" s="49" t="inlineStr">
        <x:is>
          <x:t xml:space="preserve">wrong_physical_for_grace_invalid</x:t>
        </x:is>
      </x:c>
      <x:c r="E23" s="49" t="inlineStr">
        <x:is>
          <x:t xml:space="preserve">REJECTION: Assigning entanglement to G rejected</x:t>
        </x:is>
      </x:c>
      <x:c r="F23" s="49" t="inlineStr">
        <x:is>
          <x:t xml:space="preserve">REJECTION</x:t>
        </x:is>
      </x:c>
      <x:c r="G23" s="49" t="inlineStr">
        <x:is>
          <x:t xml:space="preserve">FOUND_IN_FULL_47_FILE_SCAN</x:t>
        </x:is>
      </x:c>
      <x:c r="H23" s="49" t="inlineStr">
        <x:is>
          <x:t xml:space="preserve">theophysics-lean-main\theophysics-lean-main\Theophysics_Adversarial.lean</x:t>
        </x:is>
      </x:c>
      <x:c r="I23" s="56" t="inlineStr">
        <x:is>
          <x:t xml:space="preserve">338</x:t>
        </x:is>
      </x:c>
    </x:row>
    <x:row r="24" ht="15" customHeight="1">
      <x:c r="A24" s="55" t="inlineStr">
        <x:is>
          <x:t xml:space="preserve">LEAN_DERIVATION_CHAIN</x:t>
        </x:is>
      </x:c>
      <x:c r="B24" s="49" t="inlineStr">
        <x:is>
          <x:t xml:space="preserve">25</x:t>
        </x:is>
      </x:c>
      <x:c r="C24" s="49" t="inlineStr">
        <x:is>
          <x:t xml:space="preserve">BridgeMatrix.lean</x:t>
        </x:is>
      </x:c>
      <x:c r="D24" s="49" t="inlineStr">
        <x:is>
          <x:t xml:space="preserve">arbitrary_grace_clone_matches_G</x:t>
        </x:is>
      </x:c>
      <x:c r="E24" s="49" t="inlineStr">
        <x:is>
          <x:t xml:space="preserve">A new term with G's signature passes structurally — adversarial boundary: label honesty cannot be verified</x:t>
        </x:is>
      </x:c>
      <x:c r="F24" s="49" t="inlineStr">
        <x:is>
          <x:t xml:space="preserve">BOUNDARY</x:t>
        </x:is>
      </x:c>
      <x:c r="G24" s="49" t="inlineStr">
        <x:is>
          <x:t xml:space="preserve">FOUND_IN_FULL_47_FILE_SCAN</x:t>
        </x:is>
      </x:c>
      <x:c r="H24" s="49" t="inlineStr">
        <x:is>
          <x:t xml:space="preserve">theophysics-lean-main\theophysics-lean-main\Theophysics_Adversarial.lean</x:t>
        </x:is>
      </x:c>
      <x:c r="I24" s="56" t="inlineStr">
        <x:is>
          <x:t xml:space="preserve">342</x:t>
        </x:is>
      </x:c>
    </x:row>
    <x:row r="25" ht="15" customHeight="1">
      <x:c r="A25" s="55" t="inlineStr">
        <x:is>
          <x:t xml:space="preserve">LEAN_DERIVATION_CHAIN</x:t>
        </x:is>
      </x:c>
      <x:c r="B25" s="49" t="inlineStr">
        <x:is>
          <x:t xml:space="preserve">26</x:t>
        </x:is>
      </x:c>
      <x:c r="C25" s="49" t="inlineStr">
        <x:is>
          <x:t xml:space="preserve">BridgeMatrix.lean</x:t>
        </x:is>
      </x:c>
      <x:c r="D25" s="49" t="inlineStr">
        <x:is>
          <x:t xml:space="preserve">arbitrary_faith_clone_does_not_match_G</x:t>
        </x:is>
      </x:c>
      <x:c r="E25" s="49" t="inlineStr">
        <x:is>
          <x:t xml:space="preserve">REJECTION: A term with Q's signature fails the G slot</x:t>
        </x:is>
      </x:c>
      <x:c r="F25" s="49" t="inlineStr">
        <x:is>
          <x:t xml:space="preserve">REJECTION</x:t>
        </x:is>
      </x:c>
      <x:c r="G25" s="49" t="inlineStr">
        <x:is>
          <x:t xml:space="preserve">FOUND_IN_FULL_47_FILE_SCAN</x:t>
        </x:is>
      </x:c>
      <x:c r="H25" s="49" t="inlineStr">
        <x:is>
          <x:t xml:space="preserve">theophysics-lean-main\theophysics-lean-main\Theophysics_Adversarial.lean</x:t>
        </x:is>
      </x:c>
      <x:c r="I25" s="56" t="inlineStr">
        <x:is>
          <x:t xml:space="preserve">346</x:t>
        </x:is>
      </x:c>
    </x:row>
    <x:row r="26" ht="15" customHeight="1">
      <x:c r="A26" s="55" t="inlineStr">
        <x:is>
          <x:t xml:space="preserve">LEAN_DERIVATION_CHAIN</x:t>
        </x:is>
      </x:c>
      <x:c r="B26" s="49" t="inlineStr">
        <x:is>
          <x:t xml:space="preserve">27</x:t>
        </x:is>
      </x:c>
      <x:c r="C26" s="49" t="inlineStr">
        <x:is>
          <x:t xml:space="preserve">BridgeMatrix.lean</x:t>
        </x:is>
      </x:c>
      <x:c r="D26" s="49" t="inlineStr">
        <x:is>
          <x:t xml:space="preserve">full_G_zero_collapses</x:t>
        </x:is>
      </x:c>
      <x:c r="E26" s="49" t="inlineStr">
        <x:is>
          <x:t xml:space="preserve">G=0 → χ=0</x:t>
        </x:is>
      </x:c>
      <x:c r="F26" s="49" t="inlineStr">
        <x:is>
          <x:t xml:space="preserve">PROVED</x:t>
        </x:is>
      </x:c>
      <x:c r="G26" s="49" t="inlineStr">
        <x:is>
          <x:t xml:space="preserve">FOUND_IN_FULL_47_FILE_SCAN</x:t>
        </x:is>
      </x:c>
      <x:c r="H26" s="49" t="inlineStr">
        <x:is>
          <x:t xml:space="preserve">theophysics-lean-main\theophysics-lean-main\Theophysics_Core.lean</x:t>
        </x:is>
      </x:c>
      <x:c r="I26" s="56" t="inlineStr">
        <x:is>
          <x:t xml:space="preserve">177</x:t>
        </x:is>
      </x:c>
    </x:row>
    <x:row r="27" ht="15" customHeight="1">
      <x:c r="A27" s="55" t="inlineStr">
        <x:is>
          <x:t xml:space="preserve">LEAN_DERIVATION_CHAIN</x:t>
        </x:is>
      </x:c>
      <x:c r="B27" s="49" t="inlineStr">
        <x:is>
          <x:t xml:space="preserve">28</x:t>
        </x:is>
      </x:c>
      <x:c r="C27" s="49" t="inlineStr">
        <x:is>
          <x:t xml:space="preserve">BridgeMatrix.lean</x:t>
        </x:is>
      </x:c>
      <x:c r="D27" s="49" t="inlineStr">
        <x:is>
          <x:t xml:space="preserve">full_M_zero_collapses</x:t>
        </x:is>
      </x:c>
      <x:c r="E27" s="49" t="inlineStr">
        <x:is>
          <x:t xml:space="preserve">M=0 → χ=0</x:t>
        </x:is>
      </x:c>
      <x:c r="F27" s="49" t="inlineStr">
        <x:is>
          <x:t xml:space="preserve">PROVED</x:t>
        </x:is>
      </x:c>
      <x:c r="G27" s="49" t="inlineStr">
        <x:is>
          <x:t xml:space="preserve">FOUND_IN_FULL_47_FILE_SCAN</x:t>
        </x:is>
      </x:c>
      <x:c r="H27" s="49" t="inlineStr">
        <x:is>
          <x:t xml:space="preserve">theophysics-lean-main\theophysics-lean-main\Theophysics_Core.lean</x:t>
        </x:is>
      </x:c>
      <x:c r="I27" s="56" t="inlineStr">
        <x:is>
          <x:t xml:space="preserve">179</x:t>
        </x:is>
      </x:c>
    </x:row>
    <x:row r="28" ht="15" customHeight="1">
      <x:c r="A28" s="55" t="inlineStr">
        <x:is>
          <x:t xml:space="preserve">LEAN_DERIVATION_CHAIN</x:t>
        </x:is>
      </x:c>
      <x:c r="B28" s="49" t="inlineStr">
        <x:is>
          <x:t xml:space="preserve">29</x:t>
        </x:is>
      </x:c>
      <x:c r="C28" s="49" t="inlineStr">
        <x:is>
          <x:t xml:space="preserve">BridgeMatrix.lean</x:t>
        </x:is>
      </x:c>
      <x:c r="D28" s="49" t="inlineStr">
        <x:is>
          <x:t xml:space="preserve">full_E_zero_collapses</x:t>
        </x:is>
      </x:c>
      <x:c r="E28" s="49" t="inlineStr">
        <x:is>
          <x:t xml:space="preserve">E=0 → χ=0</x:t>
        </x:is>
      </x:c>
      <x:c r="F28" s="49" t="inlineStr">
        <x:is>
          <x:t xml:space="preserve">PROVED</x:t>
        </x:is>
      </x:c>
      <x:c r="G28" s="49" t="inlineStr">
        <x:is>
          <x:t xml:space="preserve">FOUND_IN_FULL_47_FILE_SCAN</x:t>
        </x:is>
      </x:c>
      <x:c r="H28" s="49" t="inlineStr">
        <x:is>
          <x:t xml:space="preserve">theophysics-lean-main\theophysics-lean-main\Theophysics_Core.lean</x:t>
        </x:is>
      </x:c>
      <x:c r="I28" s="56" t="inlineStr">
        <x:is>
          <x:t xml:space="preserve">175</x:t>
        </x:is>
      </x:c>
    </x:row>
    <x:row r="29" ht="15" customHeight="1">
      <x:c r="A29" s="55" t="inlineStr">
        <x:is>
          <x:t xml:space="preserve">LEAN_DERIVATION_CHAIN</x:t>
        </x:is>
      </x:c>
      <x:c r="B29" s="49" t="inlineStr">
        <x:is>
          <x:t xml:space="preserve">30</x:t>
        </x:is>
      </x:c>
      <x:c r="C29" s="49" t="inlineStr">
        <x:is>
          <x:t xml:space="preserve">BridgeMatrix.lean</x:t>
        </x:is>
      </x:c>
      <x:c r="D29" s="49" t="inlineStr">
        <x:is>
          <x:t xml:space="preserve">full_S_zero_collapses</x:t>
        </x:is>
      </x:c>
      <x:c r="E29" s="49" t="inlineStr">
        <x:is>
          <x:t xml:space="preserve">S=0 → χ=0</x:t>
        </x:is>
      </x:c>
      <x:c r="F29" s="49" t="inlineStr">
        <x:is>
          <x:t xml:space="preserve">PROVED</x:t>
        </x:is>
      </x:c>
      <x:c r="G29" s="49" t="inlineStr">
        <x:is>
          <x:t xml:space="preserve">FOUND_IN_FULL_47_FILE_SCAN</x:t>
        </x:is>
      </x:c>
      <x:c r="H29" s="49" t="inlineStr">
        <x:is>
          <x:t xml:space="preserve">theophysics-lean-main\theophysics-lean-main\Theophysics_Core.lean</x:t>
        </x:is>
      </x:c>
      <x:c r="I29" s="56" t="inlineStr">
        <x:is>
          <x:t xml:space="preserve">182</x:t>
        </x:is>
      </x:c>
    </x:row>
    <x:row r="30" ht="15" customHeight="1">
      <x:c r="A30" s="55" t="inlineStr">
        <x:is>
          <x:t xml:space="preserve">LEAN_DERIVATION_CHAIN</x:t>
        </x:is>
      </x:c>
      <x:c r="B30" s="49" t="inlineStr">
        <x:is>
          <x:t xml:space="preserve">31</x:t>
        </x:is>
      </x:c>
      <x:c r="C30" s="49" t="inlineStr">
        <x:is>
          <x:t xml:space="preserve">BridgeMatrix.lean</x:t>
        </x:is>
      </x:c>
      <x:c r="D30" s="49" t="inlineStr">
        <x:is>
          <x:t xml:space="preserve">full_T_zero_collapses</x:t>
        </x:is>
      </x:c>
      <x:c r="E30" s="49" t="inlineStr">
        <x:is>
          <x:t xml:space="preserve">T=0 → χ=0</x:t>
        </x:is>
      </x:c>
      <x:c r="F30" s="49" t="inlineStr">
        <x:is>
          <x:t xml:space="preserve">PROVED</x:t>
        </x:is>
      </x:c>
      <x:c r="G30" s="49" t="inlineStr">
        <x:is>
          <x:t xml:space="preserve">FOUND_IN_FULL_47_FILE_SCAN</x:t>
        </x:is>
      </x:c>
      <x:c r="H30" s="49" t="inlineStr">
        <x:is>
          <x:t xml:space="preserve">theophysics-lean-main\theophysics-lean-main\Theophysics_Core.lean</x:t>
        </x:is>
      </x:c>
      <x:c r="I30" s="56" t="inlineStr">
        <x:is>
          <x:t xml:space="preserve">183</x:t>
        </x:is>
      </x:c>
    </x:row>
    <x:row r="31" ht="15" customHeight="1">
      <x:c r="A31" s="55" t="inlineStr">
        <x:is>
          <x:t xml:space="preserve">LEAN_DERIVATION_CHAIN</x:t>
        </x:is>
      </x:c>
      <x:c r="B31" s="49" t="inlineStr">
        <x:is>
          <x:t xml:space="preserve">32</x:t>
        </x:is>
      </x:c>
      <x:c r="C31" s="49" t="inlineStr">
        <x:is>
          <x:t xml:space="preserve">BridgeMatrix.lean</x:t>
        </x:is>
      </x:c>
      <x:c r="D31" s="49" t="inlineStr">
        <x:is>
          <x:t xml:space="preserve">full_K_zero_collapses</x:t>
        </x:is>
      </x:c>
      <x:c r="E31" s="49" t="inlineStr">
        <x:is>
          <x:t xml:space="preserve">K=0 → χ=0</x:t>
        </x:is>
      </x:c>
      <x:c r="F31" s="49" t="inlineStr">
        <x:is>
          <x:t xml:space="preserve">PROVED</x:t>
        </x:is>
      </x:c>
      <x:c r="G31" s="49" t="inlineStr">
        <x:is>
          <x:t xml:space="preserve">FOUND_IN_FULL_47_FILE_SCAN</x:t>
        </x:is>
      </x:c>
      <x:c r="H31" s="49" t="inlineStr">
        <x:is>
          <x:t xml:space="preserve">theophysics-lean-main\theophysics-lean-main\Theophysics_Core.lean</x:t>
        </x:is>
      </x:c>
      <x:c r="I31" s="56" t="inlineStr">
        <x:is>
          <x:t xml:space="preserve">178</x:t>
        </x:is>
      </x:c>
    </x:row>
    <x:row r="32" ht="15" customHeight="1">
      <x:c r="A32" s="55" t="inlineStr">
        <x:is>
          <x:t xml:space="preserve">LEAN_DERIVATION_CHAIN</x:t>
        </x:is>
      </x:c>
      <x:c r="B32" s="49" t="inlineStr">
        <x:is>
          <x:t xml:space="preserve">33</x:t>
        </x:is>
      </x:c>
      <x:c r="C32" s="49" t="inlineStr">
        <x:is>
          <x:t xml:space="preserve">BridgeMatrix.lean</x:t>
        </x:is>
      </x:c>
      <x:c r="D32" s="49" t="inlineStr">
        <x:is>
          <x:t xml:space="preserve">full_R_zero_collapses</x:t>
        </x:is>
      </x:c>
      <x:c r="E32" s="49" t="inlineStr">
        <x:is>
          <x:t xml:space="preserve">R=0 → χ=0</x:t>
        </x:is>
      </x:c>
      <x:c r="F32" s="49" t="inlineStr">
        <x:is>
          <x:t xml:space="preserve">PROVED</x:t>
        </x:is>
      </x:c>
      <x:c r="G32" s="49" t="inlineStr">
        <x:is>
          <x:t xml:space="preserve">FOUND_IN_FULL_47_FILE_SCAN</x:t>
        </x:is>
      </x:c>
      <x:c r="H32" s="49" t="inlineStr">
        <x:is>
          <x:t xml:space="preserve">theophysics-lean-main\theophysics-lean-main\Theophysics_Core.lean</x:t>
        </x:is>
      </x:c>
      <x:c r="I32" s="56" t="inlineStr">
        <x:is>
          <x:t xml:space="preserve">181</x:t>
        </x:is>
      </x:c>
    </x:row>
    <x:row r="33" ht="15" customHeight="1">
      <x:c r="A33" s="55" t="inlineStr">
        <x:is>
          <x:t xml:space="preserve">LEAN_DERIVATION_CHAIN</x:t>
        </x:is>
      </x:c>
      <x:c r="B33" s="49" t="inlineStr">
        <x:is>
          <x:t xml:space="preserve">34</x:t>
        </x:is>
      </x:c>
      <x:c r="C33" s="49" t="inlineStr">
        <x:is>
          <x:t xml:space="preserve">BridgeMatrix.lean</x:t>
        </x:is>
      </x:c>
      <x:c r="D33" s="49" t="inlineStr">
        <x:is>
          <x:t xml:space="preserve">full_Q_zero_collapses</x:t>
        </x:is>
      </x:c>
      <x:c r="E33" s="49" t="inlineStr">
        <x:is>
          <x:t xml:space="preserve">Q=0 → χ=0</x:t>
        </x:is>
      </x:c>
      <x:c r="F33" s="49" t="inlineStr">
        <x:is>
          <x:t xml:space="preserve">PROVED</x:t>
        </x:is>
      </x:c>
      <x:c r="G33" s="49" t="inlineStr">
        <x:is>
          <x:t xml:space="preserve">FOUND_IN_FULL_47_FILE_SCAN</x:t>
        </x:is>
      </x:c>
      <x:c r="H33" s="49" t="inlineStr">
        <x:is>
          <x:t xml:space="preserve">theophysics-lean-main\theophysics-lean-main\Theophysics_Core.lean</x:t>
        </x:is>
      </x:c>
      <x:c r="I33" s="56" t="inlineStr">
        <x:is>
          <x:t xml:space="preserve">180</x:t>
        </x:is>
      </x:c>
    </x:row>
    <x:row r="34" ht="15" customHeight="1">
      <x:c r="A34" s="55" t="inlineStr">
        <x:is>
          <x:t xml:space="preserve">LEAN_DERIVATION_CHAIN</x:t>
        </x:is>
      </x:c>
      <x:c r="B34" s="49" t="inlineStr">
        <x:is>
          <x:t xml:space="preserve">35</x:t>
        </x:is>
      </x:c>
      <x:c r="C34" s="49" t="inlineStr">
        <x:is>
          <x:t xml:space="preserve">BridgeMatrix.lean</x:t>
        </x:is>
      </x:c>
      <x:c r="D34" s="49" t="inlineStr">
        <x:is>
          <x:t xml:space="preserve">full_F_zero_collapses</x:t>
        </x:is>
      </x:c>
      <x:c r="E34" s="49" t="inlineStr">
        <x:is>
          <x:t xml:space="preserve">F=0 → χ=0</x:t>
        </x:is>
      </x:c>
      <x:c r="F34" s="49" t="inlineStr">
        <x:is>
          <x:t xml:space="preserve">PROVED</x:t>
        </x:is>
      </x:c>
      <x:c r="G34" s="49" t="inlineStr">
        <x:is>
          <x:t xml:space="preserve">FOUND_IN_FULL_47_FILE_SCAN</x:t>
        </x:is>
      </x:c>
      <x:c r="H34" s="49" t="inlineStr">
        <x:is>
          <x:t xml:space="preserve">theophysics-lean-main\theophysics-lean-main\Theophysics_Core.lean</x:t>
        </x:is>
      </x:c>
      <x:c r="I34" s="56" t="inlineStr">
        <x:is>
          <x:t xml:space="preserve">176</x:t>
        </x:is>
      </x:c>
    </x:row>
    <x:row r="35" ht="15" customHeight="1">
      <x:c r="A35" s="55" t="inlineStr">
        <x:is>
          <x:t xml:space="preserve">LEAN_DERIVATION_CHAIN</x:t>
        </x:is>
      </x:c>
      <x:c r="B35" s="49" t="inlineStr">
        <x:is>
          <x:t xml:space="preserve">36</x:t>
        </x:is>
      </x:c>
      <x:c r="C35" s="49" t="inlineStr">
        <x:is>
          <x:t xml:space="preserve">BridgeMatrix.lean</x:t>
        </x:is>
      </x:c>
      <x:c r="D35" s="49" t="inlineStr">
        <x:is>
          <x:t xml:space="preserve">full_C_zero_collapses</x:t>
        </x:is>
      </x:c>
      <x:c r="E35" s="49" t="inlineStr">
        <x:is>
          <x:t xml:space="preserve">C=0 → χ=0</x:t>
        </x:is>
      </x:c>
      <x:c r="F35" s="49" t="inlineStr">
        <x:is>
          <x:t xml:space="preserve">PROVED</x:t>
        </x:is>
      </x:c>
      <x:c r="G35" s="49" t="inlineStr">
        <x:is>
          <x:t xml:space="preserve">FOUND_IN_FULL_47_FILE_SCAN</x:t>
        </x:is>
      </x:c>
      <x:c r="H35" s="49" t="inlineStr">
        <x:is>
          <x:t xml:space="preserve">theophysics-lean-main\theophysics-lean-main\Theophysics_Core.lean</x:t>
        </x:is>
      </x:c>
      <x:c r="I35" s="56" t="inlineStr">
        <x:is>
          <x:t xml:space="preserve">174</x:t>
        </x:is>
      </x:c>
    </x:row>
    <x:row r="36" ht="15" customHeight="1">
      <x:c r="A36" s="55" t="inlineStr">
        <x:is>
          <x:t xml:space="preserve">LEAN_DERIVATION_CHAIN</x:t>
        </x:is>
      </x:c>
      <x:c r="B36" s="49" t="inlineStr">
        <x:is>
          <x:t xml:space="preserve">37</x:t>
        </x:is>
      </x:c>
      <x:c r="C36" s="49" t="inlineStr">
        <x:is>
          <x:t xml:space="preserve">BridgeMatrix.lean</x:t>
        </x:is>
      </x:c>
      <x:c r="D36" s="49" t="inlineStr">
        <x:is>
          <x:t xml:space="preserve">full_Q_nonzero_not_sufficient</x:t>
        </x:is>
      </x:c>
      <x:c r="E36" s="49" t="inlineStr">
        <x:is>
          <x:t xml:space="preserve">REJECTION: Q &gt; 0 doesn't save you if G = 0. No single factor is sufficient.</x:t>
        </x:is>
      </x:c>
      <x:c r="F36" s="49" t="inlineStr">
        <x:is>
          <x:t xml:space="preserve">REJECTION</x:t>
        </x:is>
      </x:c>
      <x:c r="G36" s="49" t="inlineStr">
        <x:is>
          <x:t xml:space="preserve">FOUND_IN_FULL_47_FILE_SCAN</x:t>
        </x:is>
      </x:c>
      <x:c r="H36" s="49" t="inlineStr">
        <x:is>
          <x:t xml:space="preserve">theophysics-lean-main\theophysics-lean-main\Theophysics_Adversarial.lean</x:t>
        </x:is>
      </x:c>
      <x:c r="I36" s="56" t="inlineStr">
        <x:is>
          <x:t xml:space="preserve">350</x:t>
        </x:is>
      </x:c>
    </x:row>
    <x:row r="37" ht="15" customHeight="1">
      <x:c r="A37" s="55" t="inlineStr">
        <x:is>
          <x:t xml:space="preserve">LEAN_DERIVATION_CHAIN</x:t>
        </x:is>
      </x:c>
      <x:c r="B37" s="49" t="inlineStr">
        <x:is>
          <x:t xml:space="preserve">38</x:t>
        </x:is>
      </x:c>
      <x:c r="C37" s="49" t="inlineStr">
        <x:is>
          <x:t xml:space="preserve">BridgeMatrix.lean</x:t>
        </x:is>
      </x:c>
      <x:c r="D37" s="49" t="inlineStr">
        <x:is>
          <x:t xml:space="preserve">full_R_gate_required</x:t>
        </x:is>
      </x:c>
      <x:c r="E37" s="49" t="inlineStr">
        <x:is>
          <x:t xml:space="preserve">REJECTION: R=0 kills χ even if everything else is 1. Gate is non-negotiable.</x:t>
        </x:is>
      </x:c>
      <x:c r="F37" s="49" t="inlineStr">
        <x:is>
          <x:t xml:space="preserve">REJECTION</x:t>
        </x:is>
      </x:c>
      <x:c r="G37" s="49" t="inlineStr">
        <x:is>
          <x:t xml:space="preserve">FOUND_IN_FULL_47_FILE_SCAN</x:t>
        </x:is>
      </x:c>
      <x:c r="H37" s="49" t="inlineStr">
        <x:is>
          <x:t xml:space="preserve">theophysics-lean-main\theophysics-lean-main\Theophysics_Adversarial.lean</x:t>
        </x:is>
      </x:c>
      <x:c r="I37" s="56" t="inlineStr">
        <x:is>
          <x:t xml:space="preserve">354</x:t>
        </x:is>
      </x:c>
    </x:row>
    <x:row r="38" ht="15" customHeight="1">
      <x:c r="A38" s="55" t="inlineStr">
        <x:is>
          <x:t xml:space="preserve">LEAN_DERIVATION_CHAIN</x:t>
        </x:is>
      </x:c>
      <x:c r="B38" s="49" t="inlineStr">
        <x:is>
          <x:t xml:space="preserve">39</x:t>
        </x:is>
      </x:c>
      <x:c r="C38" s="49" t="inlineStr">
        <x:is>
          <x:t xml:space="preserve">BridgeMatrix.lean</x:t>
        </x:is>
      </x:c>
      <x:c r="D38" s="49" t="inlineStr">
        <x:is>
          <x:t xml:space="preserve">all_ones_live</x:t>
        </x:is>
      </x:c>
      <x:c r="E38" s="49" t="inlineStr">
        <x:is>
          <x:t xml:space="preserve">All factors at 1 → χ = 1 (life). The only surviving state when all gates pass.</x:t>
        </x:is>
      </x:c>
      <x:c r="F38" s="49" t="inlineStr">
        <x:is>
          <x:t xml:space="preserve">PROVED</x:t>
        </x:is>
      </x:c>
      <x:c r="G38" s="49" t="inlineStr">
        <x:is>
          <x:t xml:space="preserve">FOUND_IN_FULL_47_FILE_SCAN</x:t>
        </x:is>
      </x:c>
      <x:c r="H38" s="49" t="inlineStr">
        <x:is>
          <x:t xml:space="preserve">theophysics-lean-main\theophysics-lean-main\Theophysics_Core.lean</x:t>
        </x:is>
      </x:c>
      <x:c r="I38" s="56" t="inlineStr">
        <x:is>
          <x:t xml:space="preserve">167</x:t>
        </x:is>
      </x:c>
    </x:row>
    <x:row r="39" ht="15" customHeight="1">
      <x:c r="A39" s="55" t="inlineStr">
        <x:is>
          <x:t xml:space="preserve">LEAN_DERIVATION_CHAIN</x:t>
        </x:is>
      </x:c>
      <x:c r="B39" s="49" t="inlineStr">
        <x:is>
          <x:t xml:space="preserve">41</x:t>
        </x:is>
      </x:c>
      <x:c r="C39" s="49" t="inlineStr">
        <x:is>
          <x:t xml:space="preserve">MasterEquationInvariance.lean</x:t>
        </x:is>
      </x:c>
      <x:c r="D39" s="49" t="inlineStr">
        <x:is>
          <x:t xml:space="preserve">canonical_substitution_row_valid</x:t>
        </x:is>
      </x:c>
      <x:c r="E39" s="49" t="inlineStr">
        <x:is>
          <x:t xml:space="preserve">Every factor's canonical substitution row passes</x:t>
        </x:is>
      </x:c>
      <x:c r="F39" s="49" t="inlineStr">
        <x:is>
          <x:t xml:space="preserve">PROVED</x:t>
        </x:is>
      </x:c>
      <x:c r="G39" s="49" t="inlineStr">
        <x:is>
          <x:t xml:space="preserve">FOUND_IN_FULL_47_FILE_SCAN</x:t>
        </x:is>
      </x:c>
      <x:c r="H39" s="49" t="inlineStr">
        <x:is>
          <x:t xml:space="preserve">theophysics-lean-main\theophysics-lean-main\Theophysics_Core.lean</x:t>
        </x:is>
      </x:c>
      <x:c r="I39" s="56" t="inlineStr">
        <x:is>
          <x:t xml:space="preserve">187</x:t>
        </x:is>
      </x:c>
    </x:row>
    <x:row r="40" ht="15" customHeight="1">
      <x:c r="A40" s="55" t="inlineStr">
        <x:is>
          <x:t xml:space="preserve">LEAN_DERIVATION_CHAIN</x:t>
        </x:is>
      </x:c>
      <x:c r="B40" s="49" t="inlineStr">
        <x:is>
          <x:t xml:space="preserve">42</x:t>
        </x:is>
      </x:c>
      <x:c r="C40" s="49" t="inlineStr">
        <x:is>
          <x:t xml:space="preserve">MasterEquationInvariance.lean</x:t>
        </x:is>
      </x:c>
      <x:c r="D40" s="49" t="inlineStr">
        <x:is>
          <x:t xml:space="preserve">canonical_substitution_preserves_signature</x:t>
        </x:is>
      </x:c>
      <x:c r="E40" s="49" t="inlineStr">
        <x:is>
          <x:t xml:space="preserve">Physical→spiritual substitution preserves signatures for all 10 factors</x:t>
        </x:is>
      </x:c>
      <x:c r="F40" s="49" t="inlineStr">
        <x:is>
          <x:t xml:space="preserve">PROVED</x:t>
        </x:is>
      </x:c>
      <x:c r="G40" s="49" t="inlineStr">
        <x:is>
          <x:t xml:space="preserve">FOUND_IN_FULL_47_FILE_SCAN</x:t>
        </x:is>
      </x:c>
      <x:c r="H40" s="49" t="inlineStr">
        <x:is>
          <x:t xml:space="preserve">theophysics-lean-main\theophysics-lean-main\Theophysics_Core.lean</x:t>
        </x:is>
      </x:c>
      <x:c r="I40" s="56" t="inlineStr">
        <x:is>
          <x:t xml:space="preserve">184</x:t>
        </x:is>
      </x:c>
    </x:row>
    <x:row r="41" ht="15" customHeight="1">
      <x:c r="A41" s="55" t="inlineStr">
        <x:is>
          <x:t xml:space="preserve">LEAN_DERIVATION_CHAIN</x:t>
        </x:is>
      </x:c>
      <x:c r="B41" s="49" t="inlineStr">
        <x:is>
          <x:t xml:space="preserve">43</x:t>
        </x:is>
      </x:c>
      <x:c r="C41" s="49" t="inlineStr">
        <x:is>
          <x:t xml:space="preserve">MasterEquationInvariance.lean</x:t>
        </x:is>
      </x:c>
      <x:c r="D41" s="49" t="inlineStr">
        <x:is>
          <x:t xml:space="preserve">master_equation_invariant_under_canonical_substitution</x:t>
        </x:is>
      </x:c>
      <x:c r="E41" s="49" t="inlineStr">
        <x:is>
          <x:t xml:space="preserve">χ(physical) = χ(spiritual) under canonical map. The equation is the same in both registers.</x:t>
        </x:is>
      </x:c>
      <x:c r="F41" s="49" t="inlineStr">
        <x:is>
          <x:t xml:space="preserve">PROVED</x:t>
        </x:is>
      </x:c>
      <x:c r="G41" s="49" t="inlineStr">
        <x:is>
          <x:t xml:space="preserve">FOUND_IN_FULL_47_FILE_SCAN</x:t>
        </x:is>
      </x:c>
      <x:c r="H41" s="49" t="inlineStr">
        <x:is>
          <x:t xml:space="preserve">theophysics-lean-main\theophysics-lean-main\Theophysics_Core.lean</x:t>
        </x:is>
      </x:c>
      <x:c r="I41" s="56" t="inlineStr">
        <x:is>
          <x:t xml:space="preserve">189</x:t>
        </x:is>
      </x:c>
    </x:row>
    <x:row r="42" ht="15" customHeight="1">
      <x:c r="A42" s="55" t="inlineStr">
        <x:is>
          <x:t xml:space="preserve">LEAN_DERIVATION_CHAIN</x:t>
        </x:is>
      </x:c>
      <x:c r="B42" s="49" t="inlineStr">
        <x:is>
          <x:t xml:space="preserve">44</x:t>
        </x:is>
      </x:c>
      <x:c r="C42" s="49" t="inlineStr">
        <x:is>
          <x:t xml:space="preserve">MasterEquationInvariance.lean</x:t>
        </x:is>
      </x:c>
      <x:c r="D42" s="49" t="inlineStr">
        <x:is>
          <x:t xml:space="preserve">G_zero_still_collapses_after_substitution</x:t>
        </x:is>
      </x:c>
      <x:c r="E42" s="49" t="inlineStr">
        <x:is>
          <x:t xml:space="preserve">G=0 collapse survives substitution</x:t>
        </x:is>
      </x:c>
      <x:c r="F42" s="49" t="inlineStr">
        <x:is>
          <x:t xml:space="preserve">PROVED</x:t>
        </x:is>
      </x:c>
      <x:c r="G42" s="49" t="inlineStr">
        <x:is>
          <x:t xml:space="preserve">FOUND_IN_FULL_47_FILE_SCAN</x:t>
        </x:is>
      </x:c>
      <x:c r="H42" s="49" t="inlineStr">
        <x:is>
          <x:t xml:space="preserve">theophysics-lean-main\theophysics-lean-main\Theophysics_Core.lean</x:t>
        </x:is>
      </x:c>
      <x:c r="I42" s="56" t="inlineStr">
        <x:is>
          <x:t xml:space="preserve">188</x:t>
        </x:is>
      </x:c>
    </x:row>
    <x:row r="43" ht="15" customHeight="1">
      <x:c r="A43" s="55" t="inlineStr">
        <x:is>
          <x:t xml:space="preserve">LEAN_DERIVATION_CHAIN</x:t>
        </x:is>
      </x:c>
      <x:c r="B43" s="49" t="inlineStr">
        <x:is>
          <x:t xml:space="preserve">45</x:t>
        </x:is>
      </x:c>
      <x:c r="C43" s="49" t="inlineStr">
        <x:is>
          <x:t xml:space="preserve">MasterEquationInvariance.lean</x:t>
        </x:is>
      </x:c>
      <x:c r="D43" s="49" t="inlineStr">
        <x:is>
          <x:t xml:space="preserve">Q_zero_still_collapses_after_substitution</x:t>
        </x:is>
      </x:c>
      <x:c r="E43" s="49" t="inlineStr">
        <x:is>
          <x:t xml:space="preserve">Q=0 collapse survives substitution</x:t>
        </x:is>
      </x:c>
      <x:c r="F43" s="49" t="inlineStr">
        <x:is>
          <x:t xml:space="preserve">PROVED</x:t>
        </x:is>
      </x:c>
      <x:c r="G43" s="49" t="inlineStr">
        <x:is>
          <x:t xml:space="preserve">FOUND_IN_FULL_47_FILE_SCAN</x:t>
        </x:is>
      </x:c>
      <x:c r="H43" s="49" t="inlineStr">
        <x:is>
          <x:t xml:space="preserve">theophysics-lean-main\theophysics-lean-main\Theophysics_Core.lean</x:t>
        </x:is>
      </x:c>
      <x:c r="I43" s="56" t="inlineStr">
        <x:is>
          <x:t xml:space="preserve">193</x:t>
        </x:is>
      </x:c>
    </x:row>
    <x:row r="44" ht="15" customHeight="1">
      <x:c r="A44" s="55" t="inlineStr">
        <x:is>
          <x:t xml:space="preserve">LEAN_DERIVATION_CHAIN</x:t>
        </x:is>
      </x:c>
      <x:c r="B44" s="49" t="inlineStr">
        <x:is>
          <x:t xml:space="preserve">46</x:t>
        </x:is>
      </x:c>
      <x:c r="C44" s="49" t="inlineStr">
        <x:is>
          <x:t xml:space="preserve">MasterEquationInvariance.lean</x:t>
        </x:is>
      </x:c>
      <x:c r="D44" s="49" t="inlineStr">
        <x:is>
          <x:t xml:space="preserve">product_only_does_not_detect_grace_faith_swap</x:t>
        </x:is>
      </x:c>
      <x:c r="E44" s="49" t="inlineStr">
        <x:is>
          <x:t xml:space="preserve">REJECTION FAILURE: Product alone is BLIND to semantic swaps. Grace↔Faith swap passes product check.</x:t>
        </x:is>
      </x:c>
      <x:c r="F44" s="49" t="inlineStr">
        <x:is>
          <x:t xml:space="preserve">BOUNDARY</x:t>
        </x:is>
      </x:c>
      <x:c r="G44" s="49" t="inlineStr">
        <x:is>
          <x:t xml:space="preserve">FOUND_IN_FULL_47_FILE_SCAN</x:t>
        </x:is>
      </x:c>
      <x:c r="H44" s="49" t="inlineStr">
        <x:is>
          <x:t xml:space="preserve">theophysics-lean-main\theophysics-lean-main\Theophysics_Adversarial.lean</x:t>
        </x:is>
      </x:c>
      <x:c r="I44" s="56" t="inlineStr">
        <x:is>
          <x:t xml:space="preserve">358</x:t>
        </x:is>
      </x:c>
    </x:row>
    <x:row r="45" ht="15" customHeight="1">
      <x:c r="A45" s="55" t="inlineStr">
        <x:is>
          <x:t xml:space="preserve">LEAN_DERIVATION_CHAIN</x:t>
        </x:is>
      </x:c>
      <x:c r="B45" s="49" t="inlineStr">
        <x:is>
          <x:t xml:space="preserve">47</x:t>
        </x:is>
      </x:c>
      <x:c r="C45" s="49" t="inlineStr">
        <x:is>
          <x:t xml:space="preserve">MasterEquationInvariance.lean</x:t>
        </x:is>
      </x:c>
      <x:c r="D45" s="49" t="inlineStr">
        <x:is>
          <x:t xml:space="preserve">signature_layer_rejects_grace_faith_swap</x:t>
        </x:is>
      </x:c>
      <x:c r="E45" s="49" t="inlineStr">
        <x:is>
          <x:t xml:space="preserve">REJECTION: But the signature layer catches Grace↔Faith swap that product missed</x:t>
        </x:is>
      </x:c>
      <x:c r="F45" s="49" t="inlineStr">
        <x:is>
          <x:t xml:space="preserve">REJECTION</x:t>
        </x:is>
      </x:c>
      <x:c r="G45" s="49" t="inlineStr">
        <x:is>
          <x:t xml:space="preserve">FOUND_IN_FULL_47_FILE_SCAN</x:t>
        </x:is>
      </x:c>
      <x:c r="H45" s="49" t="inlineStr">
        <x:is>
          <x:t xml:space="preserve">theophysics-lean-main\theophysics-lean-main\Theophysics_Adversarial.lean</x:t>
        </x:is>
      </x:c>
      <x:c r="I45" s="56" t="inlineStr">
        <x:is>
          <x:t xml:space="preserve">362</x:t>
        </x:is>
      </x:c>
    </x:row>
    <x:row r="46" ht="15" customHeight="1">
      <x:c r="A46" s="55" t="inlineStr">
        <x:is>
          <x:t xml:space="preserve">LEAN_DERIVATION_CHAIN</x:t>
        </x:is>
      </x:c>
      <x:c r="B46" s="49" t="inlineStr">
        <x:is>
          <x:t xml:space="preserve">48</x:t>
        </x:is>
      </x:c>
      <x:c r="C46" s="49" t="inlineStr">
        <x:is>
          <x:t xml:space="preserve">MasterEquationInvariance.lean</x:t>
        </x:is>
      </x:c>
      <x:c r="D46" s="49" t="inlineStr">
        <x:is>
          <x:t xml:space="preserve">master_invariance_requires_signature_discipline</x:t>
        </x:is>
      </x:c>
      <x:c r="E46" s="49" t="inlineStr">
        <x:is>
          <x:t xml:space="preserve">BOTH product AND signature needed — neither alone suffices. This is why the bridge is two-layer.</x:t>
        </x:is>
      </x:c>
      <x:c r="F46" s="49" t="inlineStr">
        <x:is>
          <x:t xml:space="preserve">PROVED</x:t>
        </x:is>
      </x:c>
      <x:c r="G46" s="49" t="inlineStr">
        <x:is>
          <x:t xml:space="preserve">FOUND_IN_FULL_47_FILE_SCAN</x:t>
        </x:is>
      </x:c>
      <x:c r="H46" s="49" t="inlineStr">
        <x:is>
          <x:t xml:space="preserve">theophysics-lean-main\theophysics-lean-main\Theophysics_Core.lean</x:t>
        </x:is>
      </x:c>
      <x:c r="I46" s="56" t="inlineStr">
        <x:is>
          <x:t xml:space="preserve">192</x:t>
        </x:is>
      </x:c>
    </x:row>
    <x:row r="47" ht="15" customHeight="1">
      <x:c r="A47" s="55" t="inlineStr">
        <x:is>
          <x:t xml:space="preserve">LEAN_DERIVATION_CHAIN</x:t>
        </x:is>
      </x:c>
      <x:c r="B47" s="49" t="inlineStr">
        <x:is>
          <x:t xml:space="preserve">50</x:t>
        </x:is>
      </x:c>
      <x:c r="C47" s="49" t="inlineStr">
        <x:is>
          <x:t xml:space="preserve">FieldBridgeControls.lean</x:t>
        </x:is>
      </x:c>
      <x:c r="D47" s="49" t="inlineStr">
        <x:is>
          <x:t xml:space="preserve">law3_truth_limit_E_one</x:t>
        </x:is>
      </x:c>
      <x:c r="E47" s="49" t="inlineStr">
        <x:is>
          <x:t xml:space="preserve">Full slots + source-backed + phase-aligned → E = 1</x:t>
        </x:is>
      </x:c>
      <x:c r="F47" s="49" t="inlineStr">
        <x:is>
          <x:t xml:space="preserve">PROVED</x:t>
        </x:is>
      </x:c>
      <x:c r="G47" s="49" t="inlineStr">
        <x:is>
          <x:t xml:space="preserve">FOUND_IN_FULL_47_FILE_SCAN</x:t>
        </x:is>
      </x:c>
      <x:c r="H47" s="49" t="inlineStr">
        <x:is>
          <x:t xml:space="preserve">theophysics-lean-main\theophysics-lean-main\Theophysics_Core.lean</x:t>
        </x:is>
      </x:c>
      <x:c r="I47" s="56" t="inlineStr">
        <x:is>
          <x:t xml:space="preserve">196</x:t>
        </x:is>
      </x:c>
    </x:row>
    <x:row r="48" ht="15" customHeight="1">
      <x:c r="A48" s="55" t="inlineStr">
        <x:is>
          <x:t xml:space="preserve">LEAN_DERIVATION_CHAIN</x:t>
        </x:is>
      </x:c>
      <x:c r="B48" s="49" t="inlineStr">
        <x:is>
          <x:t xml:space="preserve">51</x:t>
        </x:is>
      </x:c>
      <x:c r="C48" s="49" t="inlineStr">
        <x:is>
          <x:t xml:space="preserve">FieldBridgeControls.lean</x:t>
        </x:is>
      </x:c>
      <x:c r="D48" s="49" t="inlineStr">
        <x:is>
          <x:t xml:space="preserve">law3_command_bypass_forces_E_zero</x:t>
        </x:is>
      </x:c>
      <x:c r="E48" s="49" t="inlineStr">
        <x:is>
          <x:t xml:space="preserve">REJECTION: Command bypass → E = 0 (∀ states). Bypassing command kills truth-fidelity.</x:t>
        </x:is>
      </x:c>
      <x:c r="F48" s="49" t="inlineStr">
        <x:is>
          <x:t xml:space="preserve">REJECTION</x:t>
        </x:is>
      </x:c>
      <x:c r="G48" s="49" t="inlineStr">
        <x:is>
          <x:t xml:space="preserve">FOUND_IN_FULL_47_FILE_SCAN</x:t>
        </x:is>
      </x:c>
      <x:c r="H48" s="49" t="inlineStr">
        <x:is>
          <x:t xml:space="preserve">theophysics-lean-main\theophysics-lean-main\Final_Lean4_From_Excel.lean</x:t>
        </x:is>
      </x:c>
      <x:c r="I48" s="56" t="inlineStr">
        <x:is>
          <x:t xml:space="preserve">257</x:t>
        </x:is>
      </x:c>
    </x:row>
    <x:row r="49" ht="15" customHeight="1">
      <x:c r="A49" s="55" t="inlineStr">
        <x:is>
          <x:t xml:space="preserve">LEAN_DERIVATION_CHAIN</x:t>
        </x:is>
      </x:c>
      <x:c r="B49" s="49" t="inlineStr">
        <x:is>
          <x:t xml:space="preserve">52</x:t>
        </x:is>
      </x:c>
      <x:c r="C49" s="49" t="inlineStr">
        <x:is>
          <x:t xml:space="preserve">FieldBridgeControls.lean</x:t>
        </x:is>
      </x:c>
      <x:c r="D49" s="49" t="inlineStr">
        <x:is>
          <x:t xml:space="preserve">law3_phase_inversion_forces_E_zero</x:t>
        </x:is>
      </x:c>
      <x:c r="E49" s="49" t="inlineStr">
        <x:is>
          <x:t xml:space="preserve">REJECTION: Phase inversion → E = 0 (∀ states). Inverted alignment kills truth.</x:t>
        </x:is>
      </x:c>
      <x:c r="F49" s="49" t="inlineStr">
        <x:is>
          <x:t xml:space="preserve">REJECTION</x:t>
        </x:is>
      </x:c>
      <x:c r="G49" s="49" t="inlineStr">
        <x:is>
          <x:t xml:space="preserve">FOUND_IN_FULL_47_FILE_SCAN</x:t>
        </x:is>
      </x:c>
      <x:c r="H49" s="49" t="inlineStr">
        <x:is>
          <x:t xml:space="preserve">theophysics-lean-main\theophysics-lean-main\Final_Lean4_From_Excel.lean</x:t>
        </x:is>
      </x:c>
      <x:c r="I49" s="56" t="inlineStr">
        <x:is>
          <x:t xml:space="preserve">263</x:t>
        </x:is>
      </x:c>
    </x:row>
    <x:row r="50" ht="15" customHeight="1">
      <x:c r="A50" s="55" t="inlineStr">
        <x:is>
          <x:t xml:space="preserve">LEAN_DERIVATION_CHAIN</x:t>
        </x:is>
      </x:c>
      <x:c r="B50" s="49" t="inlineStr">
        <x:is>
          <x:t xml:space="preserve">53</x:t>
        </x:is>
      </x:c>
      <x:c r="C50" s="49" t="inlineStr">
        <x:is>
          <x:t xml:space="preserve">FieldBridgeControls.lean</x:t>
        </x:is>
      </x:c>
      <x:c r="D50" s="49" t="inlineStr">
        <x:is>
          <x:t xml:space="preserve">law3_command_bypass_collapses_chi</x:t>
        </x:is>
      </x:c>
      <x:c r="E50" s="49" t="inlineStr">
        <x:is>
          <x:t xml:space="preserve">Command bypass → χ = 0. Truth bypass kills the whole system.</x:t>
        </x:is>
      </x:c>
      <x:c r="F50" s="49" t="inlineStr">
        <x:is>
          <x:t xml:space="preserve">PROVED</x:t>
        </x:is>
      </x:c>
      <x:c r="G50" s="49" t="inlineStr">
        <x:is>
          <x:t xml:space="preserve">FOUND_IN_FULL_47_FILE_SCAN</x:t>
        </x:is>
      </x:c>
      <x:c r="H50" s="49" t="inlineStr">
        <x:is>
          <x:t xml:space="preserve">theophysics-lean-main\theophysics-lean-main\Theophysics_Core.lean</x:t>
        </x:is>
      </x:c>
      <x:c r="I50" s="56" t="inlineStr">
        <x:is>
          <x:t xml:space="preserve">194</x:t>
        </x:is>
      </x:c>
    </x:row>
    <x:row r="51" ht="15" customHeight="1">
      <x:c r="A51" s="55" t="inlineStr">
        <x:is>
          <x:t xml:space="preserve">LEAN_DERIVATION_CHAIN</x:t>
        </x:is>
      </x:c>
      <x:c r="B51" s="49" t="inlineStr">
        <x:is>
          <x:t xml:space="preserve">54</x:t>
        </x:is>
      </x:c>
      <x:c r="C51" s="49" t="inlineStr">
        <x:is>
          <x:t xml:space="preserve">FieldBridgeControls.lean</x:t>
        </x:is>
      </x:c>
      <x:c r="D51" s="49" t="inlineStr">
        <x:is>
          <x:t xml:space="preserve">law3_phase_inversion_collapses_chi</x:t>
        </x:is>
      </x:c>
      <x:c r="E51" s="49" t="inlineStr">
        <x:is>
          <x:t xml:space="preserve">Phase inversion → χ = 0</x:t>
        </x:is>
      </x:c>
      <x:c r="F51" s="49" t="inlineStr">
        <x:is>
          <x:t xml:space="preserve">PROVED</x:t>
        </x:is>
      </x:c>
      <x:c r="G51" s="49" t="inlineStr">
        <x:is>
          <x:t xml:space="preserve">FOUND_IN_FULL_47_FILE_SCAN</x:t>
        </x:is>
      </x:c>
      <x:c r="H51" s="49" t="inlineStr">
        <x:is>
          <x:t xml:space="preserve">theophysics-lean-main\theophysics-lean-main\Theophysics_Core.lean</x:t>
        </x:is>
      </x:c>
      <x:c r="I51" s="56" t="inlineStr">
        <x:is>
          <x:t xml:space="preserve">195</x:t>
        </x:is>
      </x:c>
    </x:row>
    <x:row r="52" ht="15" customHeight="1">
      <x:c r="A52" s="55" t="inlineStr">
        <x:is>
          <x:t xml:space="preserve">LEAN_DERIVATION_CHAIN</x:t>
        </x:is>
      </x:c>
      <x:c r="B52" s="49" t="inlineStr">
        <x:is>
          <x:t xml:space="preserve">55</x:t>
        </x:is>
      </x:c>
      <x:c r="C52" s="49" t="inlineStr">
        <x:is>
          <x:t xml:space="preserve">FieldBridgeControls.lean</x:t>
        </x:is>
      </x:c>
      <x:c r="D52" s="49" t="inlineStr">
        <x:is>
          <x:t xml:space="preserve">law6_logos_limit_K_one</x:t>
        </x:is>
      </x:c>
      <x:c r="E52" s="49" t="inlineStr">
        <x:is>
          <x:t xml:space="preserve">Full conditions → K = 1</x:t>
        </x:is>
      </x:c>
      <x:c r="F52" s="49" t="inlineStr">
        <x:is>
          <x:t xml:space="preserve">PROVED</x:t>
        </x:is>
      </x:c>
      <x:c r="G52" s="49" t="inlineStr">
        <x:is>
          <x:t xml:space="preserve">FOUND_IN_FULL_47_FILE_SCAN</x:t>
        </x:is>
      </x:c>
      <x:c r="H52" s="49" t="inlineStr">
        <x:is>
          <x:t xml:space="preserve">theophysics-lean-main\theophysics-lean-main\Theophysics_Core.lean</x:t>
        </x:is>
      </x:c>
      <x:c r="I52" s="56" t="inlineStr">
        <x:is>
          <x:t xml:space="preserve">200</x:t>
        </x:is>
      </x:c>
    </x:row>
    <x:row r="53" ht="15" customHeight="1">
      <x:c r="A53" s="55" t="inlineStr">
        <x:is>
          <x:t xml:space="preserve">LEAN_DERIVATION_CHAIN</x:t>
        </x:is>
      </x:c>
      <x:c r="B53" s="49" t="inlineStr">
        <x:is>
          <x:t xml:space="preserve">56</x:t>
        </x:is>
      </x:c>
      <x:c r="C53" s="49" t="inlineStr">
        <x:is>
          <x:t xml:space="preserve">FieldBridgeControls.lean</x:t>
        </x:is>
      </x:c>
      <x:c r="D53" s="49" t="inlineStr">
        <x:is>
          <x:t xml:space="preserve">law6_relation_bypass_forces_K_zero</x:t>
        </x:is>
      </x:c>
      <x:c r="E53" s="49" t="inlineStr">
        <x:is>
          <x:t xml:space="preserve">REJECTION: Relation bypass → K = 0. No relation, no Logos.</x:t>
        </x:is>
      </x:c>
      <x:c r="F53" s="49" t="inlineStr">
        <x:is>
          <x:t xml:space="preserve">REJECTION</x:t>
        </x:is>
      </x:c>
      <x:c r="G53" s="49" t="inlineStr">
        <x:is>
          <x:t xml:space="preserve">FOUND_IN_FULL_47_FILE_SCAN</x:t>
        </x:is>
      </x:c>
      <x:c r="H53" s="49" t="inlineStr">
        <x:is>
          <x:t xml:space="preserve">theophysics-lean-main\theophysics-lean-main\Theophysics_Adversarial.lean</x:t>
        </x:is>
      </x:c>
      <x:c r="I53" s="56" t="inlineStr">
        <x:is>
          <x:t xml:space="preserve">367</x:t>
        </x:is>
      </x:c>
    </x:row>
    <x:row r="54" ht="15" customHeight="1">
      <x:c r="A54" s="55" t="inlineStr">
        <x:is>
          <x:t xml:space="preserve">LEAN_DERIVATION_CHAIN</x:t>
        </x:is>
      </x:c>
      <x:c r="B54" s="49" t="inlineStr">
        <x:is>
          <x:t xml:space="preserve">57</x:t>
        </x:is>
      </x:c>
      <x:c r="C54" s="49" t="inlineStr">
        <x:is>
          <x:t xml:space="preserve">FieldBridgeControls.lean</x:t>
        </x:is>
      </x:c>
      <x:c r="D54" s="49" t="inlineStr">
        <x:is>
          <x:t xml:space="preserve">law6_bandwidth_closed_forces_K_zero</x:t>
        </x:is>
      </x:c>
      <x:c r="E54" s="49" t="inlineStr">
        <x:is>
          <x:t xml:space="preserve">REJECTION: Bandwidth closed → K = 0. Channel closed, Logos blocked.</x:t>
        </x:is>
      </x:c>
      <x:c r="F54" s="49" t="inlineStr">
        <x:is>
          <x:t xml:space="preserve">REJECTION</x:t>
        </x:is>
      </x:c>
      <x:c r="G54" s="49" t="inlineStr">
        <x:is>
          <x:t xml:space="preserve">FOUND_IN_FULL_47_FILE_SCAN</x:t>
        </x:is>
      </x:c>
      <x:c r="H54" s="49" t="inlineStr">
        <x:is>
          <x:t xml:space="preserve">theophysics-lean-main\theophysics-lean-main\Theophysics_Adversarial.lean</x:t>
        </x:is>
      </x:c>
      <x:c r="I54" s="56" t="inlineStr">
        <x:is>
          <x:t xml:space="preserve">371</x:t>
        </x:is>
      </x:c>
    </x:row>
    <x:row r="55" ht="15" customHeight="1">
      <x:c r="A55" s="55" t="inlineStr">
        <x:is>
          <x:t xml:space="preserve">LEAN_DERIVATION_CHAIN</x:t>
        </x:is>
      </x:c>
      <x:c r="B55" s="49" t="inlineStr">
        <x:is>
          <x:t xml:space="preserve">58</x:t>
        </x:is>
      </x:c>
      <x:c r="C55" s="49" t="inlineStr">
        <x:is>
          <x:t xml:space="preserve">FieldBridgeControls.lean</x:t>
        </x:is>
      </x:c>
      <x:c r="D55" s="49" t="inlineStr">
        <x:is>
          <x:t xml:space="preserve">law6_distortion_dominates_forces_K_zero</x:t>
        </x:is>
      </x:c>
      <x:c r="E55" s="49" t="inlineStr">
        <x:is>
          <x:t xml:space="preserve">REJECTION: Distortion dominates → K = 0</x:t>
        </x:is>
      </x:c>
      <x:c r="F55" s="49" t="inlineStr">
        <x:is>
          <x:t xml:space="preserve">REJECTION</x:t>
        </x:is>
      </x:c>
      <x:c r="G55" s="49" t="inlineStr">
        <x:is>
          <x:t xml:space="preserve">FOUND_IN_FULL_47_FILE_SCAN</x:t>
        </x:is>
      </x:c>
      <x:c r="H55" s="49" t="inlineStr">
        <x:is>
          <x:t xml:space="preserve">theophysics-lean-main\theophysics-lean-main\Theophysics_Adversarial.lean</x:t>
        </x:is>
      </x:c>
      <x:c r="I55" s="56" t="inlineStr">
        <x:is>
          <x:t xml:space="preserve">375</x:t>
        </x:is>
      </x:c>
    </x:row>
    <x:row r="56" ht="15" customHeight="1">
      <x:c r="A56" s="55" t="inlineStr">
        <x:is>
          <x:t xml:space="preserve">LEAN_DERIVATION_CHAIN</x:t>
        </x:is>
      </x:c>
      <x:c r="B56" s="49" t="inlineStr">
        <x:is>
          <x:t xml:space="preserve">59</x:t>
        </x:is>
      </x:c>
      <x:c r="C56" s="49" t="inlineStr">
        <x:is>
          <x:t xml:space="preserve">FieldBridgeControls.lean</x:t>
        </x:is>
      </x:c>
      <x:c r="D56" s="49" t="inlineStr">
        <x:is>
          <x:t xml:space="preserve">law6_bandwidth_collapse_collapses_chi</x:t>
        </x:is>
      </x:c>
      <x:c r="E56" s="49" t="inlineStr">
        <x:is>
          <x:t xml:space="preserve">Bandwidth collapse → χ = 0</x:t>
        </x:is>
      </x:c>
      <x:c r="F56" s="49" t="inlineStr">
        <x:is>
          <x:t xml:space="preserve">PROVED</x:t>
        </x:is>
      </x:c>
      <x:c r="G56" s="49" t="inlineStr">
        <x:is>
          <x:t xml:space="preserve">FOUND_IN_FULL_47_FILE_SCAN</x:t>
        </x:is>
      </x:c>
      <x:c r="H56" s="49" t="inlineStr">
        <x:is>
          <x:t xml:space="preserve">theophysics-lean-main\theophysics-lean-main\Theophysics_Core.lean</x:t>
        </x:is>
      </x:c>
      <x:c r="I56" s="56" t="inlineStr">
        <x:is>
          <x:t xml:space="preserve">199</x:t>
        </x:is>
      </x:c>
    </x:row>
    <x:row r="57" ht="15" customHeight="1">
      <x:c r="A57" s="55" t="inlineStr">
        <x:is>
          <x:t xml:space="preserve">LEAN_DERIVATION_CHAIN</x:t>
        </x:is>
      </x:c>
      <x:c r="B57" s="49" t="inlineStr">
        <x:is>
          <x:t xml:space="preserve">60</x:t>
        </x:is>
      </x:c>
      <x:c r="C57" s="49" t="inlineStr">
        <x:is>
          <x:t xml:space="preserve">FieldBridgeControls.lean</x:t>
        </x:is>
      </x:c>
      <x:c r="D57" s="49" t="inlineStr">
        <x:is>
          <x:t xml:space="preserve">law7_righteous_limit_R_one</x:t>
        </x:is>
      </x:c>
      <x:c r="E57" s="49" t="inlineStr">
        <x:is>
          <x:t xml:space="preserve">Full conditions → R = 1</x:t>
        </x:is>
      </x:c>
      <x:c r="F57" s="49" t="inlineStr">
        <x:is>
          <x:t xml:space="preserve">PROVED</x:t>
        </x:is>
      </x:c>
      <x:c r="G57" s="49" t="inlineStr">
        <x:is>
          <x:t xml:space="preserve">FOUND_IN_FULL_47_FILE_SCAN</x:t>
        </x:is>
      </x:c>
      <x:c r="H57" s="49" t="inlineStr">
        <x:is>
          <x:t xml:space="preserve">theophysics-lean-main\theophysics-lean-main\Theophysics_Core.lean</x:t>
        </x:is>
      </x:c>
      <x:c r="I57" s="56" t="inlineStr">
        <x:is>
          <x:t xml:space="preserve">203</x:t>
        </x:is>
      </x:c>
    </x:row>
    <x:row r="58" ht="15" customHeight="1">
      <x:c r="A58" s="55" t="inlineStr">
        <x:is>
          <x:t xml:space="preserve">LEAN_DERIVATION_CHAIN</x:t>
        </x:is>
      </x:c>
      <x:c r="B58" s="49" t="inlineStr">
        <x:is>
          <x:t xml:space="preserve">61</x:t>
        </x:is>
      </x:c>
      <x:c r="C58" s="49" t="inlineStr">
        <x:is>
          <x:t xml:space="preserve">FieldBridgeControls.lean</x:t>
        </x:is>
      </x:c>
      <x:c r="D58" s="49" t="inlineStr">
        <x:is>
          <x:t xml:space="preserve">law7_relation_bypass_forces_R_zero</x:t>
        </x:is>
      </x:c>
      <x:c r="E58" s="49" t="inlineStr">
        <x:is>
          <x:t xml:space="preserve">REJECTION: Relation bypass → R = 0. No relation, no frame translation.</x:t>
        </x:is>
      </x:c>
      <x:c r="F58" s="49" t="inlineStr">
        <x:is>
          <x:t xml:space="preserve">REJECTION</x:t>
        </x:is>
      </x:c>
      <x:c r="G58" s="49" t="inlineStr">
        <x:is>
          <x:t xml:space="preserve">FOUND_IN_FULL_47_FILE_SCAN</x:t>
        </x:is>
      </x:c>
      <x:c r="H58" s="49" t="inlineStr">
        <x:is>
          <x:t xml:space="preserve">theophysics-lean-main\theophysics-lean-main\Final_Lean4_From_Excel.lean</x:t>
        </x:is>
      </x:c>
      <x:c r="I58" s="56" t="inlineStr">
        <x:is>
          <x:t xml:space="preserve">270</x:t>
        </x:is>
      </x:c>
    </x:row>
    <x:row r="59" ht="15" customHeight="1">
      <x:c r="A59" s="55" t="inlineStr">
        <x:is>
          <x:t xml:space="preserve">LEAN_DERIVATION_CHAIN</x:t>
        </x:is>
      </x:c>
      <x:c r="B59" s="49" t="inlineStr">
        <x:is>
          <x:t xml:space="preserve">62</x:t>
        </x:is>
      </x:c>
      <x:c r="C59" s="49" t="inlineStr">
        <x:is>
          <x:t xml:space="preserve">FieldBridgeControls.lean</x:t>
        </x:is>
      </x:c>
      <x:c r="D59" s="49" t="inlineStr">
        <x:is>
          <x:t xml:space="preserve">law7_metric_absent_forces_R_zero</x:t>
        </x:is>
      </x:c>
      <x:c r="E59" s="49" t="inlineStr">
        <x:is>
          <x:t xml:space="preserve">REJECTION: No shared metric → R = 0</x:t>
        </x:is>
      </x:c>
      <x:c r="F59" s="49" t="inlineStr">
        <x:is>
          <x:t xml:space="preserve">REJECTION</x:t>
        </x:is>
      </x:c>
      <x:c r="G59" s="49" t="inlineStr">
        <x:is>
          <x:t xml:space="preserve">FOUND_IN_FULL_47_FILE_SCAN</x:t>
        </x:is>
      </x:c>
      <x:c r="H59" s="49" t="inlineStr">
        <x:is>
          <x:t xml:space="preserve">theophysics-lean-main\theophysics-lean-main\Theophysics_Adversarial.lean</x:t>
        </x:is>
      </x:c>
      <x:c r="I59" s="56" t="inlineStr">
        <x:is>
          <x:t xml:space="preserve">379</x:t>
        </x:is>
      </x:c>
    </x:row>
    <x:row r="60" ht="15" customHeight="1">
      <x:c r="A60" s="55" t="inlineStr">
        <x:is>
          <x:t xml:space="preserve">LEAN_DERIVATION_CHAIN</x:t>
        </x:is>
      </x:c>
      <x:c r="B60" s="49" t="inlineStr">
        <x:is>
          <x:t xml:space="preserve">63</x:t>
        </x:is>
      </x:c>
      <x:c r="C60" s="49" t="inlineStr">
        <x:is>
          <x:t xml:space="preserve">FieldBridgeControls.lean</x:t>
        </x:is>
      </x:c>
      <x:c r="D60" s="49" t="inlineStr">
        <x:is>
          <x:t xml:space="preserve">law7_frame_lock_forces_R_zero</x:t>
        </x:is>
      </x:c>
      <x:c r="E60" s="49" t="inlineStr">
        <x:is>
          <x:t xml:space="preserve">REJECTION: Frame lock → R = 0</x:t>
        </x:is>
      </x:c>
      <x:c r="F60" s="49" t="inlineStr">
        <x:is>
          <x:t xml:space="preserve">REJECTION</x:t>
        </x:is>
      </x:c>
      <x:c r="G60" s="49" t="inlineStr">
        <x:is>
          <x:t xml:space="preserve">FOUND_IN_FULL_47_FILE_SCAN</x:t>
        </x:is>
      </x:c>
      <x:c r="H60" s="49" t="inlineStr">
        <x:is>
          <x:t xml:space="preserve">theophysics-lean-main\theophysics-lean-main\Final_Lean4_From_Excel.lean</x:t>
        </x:is>
      </x:c>
      <x:c r="I60" s="56" t="inlineStr">
        <x:is>
          <x:t xml:space="preserve">273</x:t>
        </x:is>
      </x:c>
    </x:row>
    <x:row r="61" ht="15" customHeight="1">
      <x:c r="A61" s="55" t="inlineStr">
        <x:is>
          <x:t xml:space="preserve">LEAN_DERIVATION_CHAIN</x:t>
        </x:is>
      </x:c>
      <x:c r="B61" s="49" t="inlineStr">
        <x:is>
          <x:t xml:space="preserve">64</x:t>
        </x:is>
      </x:c>
      <x:c r="C61" s="49" t="inlineStr">
        <x:is>
          <x:t xml:space="preserve">FieldBridgeControls.lean</x:t>
        </x:is>
      </x:c>
      <x:c r="D61" s="49" t="inlineStr">
        <x:is>
          <x:t xml:space="preserve">law7_relation_bypass_collapses_chi</x:t>
        </x:is>
      </x:c>
      <x:c r="E61" s="49" t="inlineStr">
        <x:is>
          <x:t xml:space="preserve">Relation bypass → χ = 0</x:t>
        </x:is>
      </x:c>
      <x:c r="F61" s="49" t="inlineStr">
        <x:is>
          <x:t xml:space="preserve">PROVED</x:t>
        </x:is>
      </x:c>
      <x:c r="G61" s="49" t="inlineStr">
        <x:is>
          <x:t xml:space="preserve">FOUND_IN_FULL_47_FILE_SCAN</x:t>
        </x:is>
      </x:c>
      <x:c r="H61" s="49" t="inlineStr">
        <x:is>
          <x:t xml:space="preserve">theophysics-lean-main\theophysics-lean-main\Theophysics_Core.lean</x:t>
        </x:is>
      </x:c>
      <x:c r="I61" s="56" t="inlineStr">
        <x:is>
          <x:t xml:space="preserve">202</x:t>
        </x:is>
      </x:c>
    </x:row>
    <x:row r="62" ht="15" customHeight="1">
      <x:c r="A62" s="55" t="inlineStr">
        <x:is>
          <x:t xml:space="preserve">LEAN_DERIVATION_CHAIN</x:t>
        </x:is>
      </x:c>
      <x:c r="B62" s="49" t="inlineStr">
        <x:is>
          <x:t xml:space="preserve">65</x:t>
        </x:is>
      </x:c>
      <x:c r="C62" s="49" t="inlineStr">
        <x:is>
          <x:t xml:space="preserve">FieldBridgeControls.lean</x:t>
        </x:is>
      </x:c>
      <x:c r="D62" s="49" t="inlineStr">
        <x:is>
          <x:t xml:space="preserve">law7_frame_lock_collapses_chi</x:t>
        </x:is>
      </x:c>
      <x:c r="E62" s="49" t="inlineStr">
        <x:is>
          <x:t xml:space="preserve">Frame lock → χ = 0</x:t>
        </x:is>
      </x:c>
      <x:c r="F62" s="49" t="inlineStr">
        <x:is>
          <x:t xml:space="preserve">PROVED</x:t>
        </x:is>
      </x:c>
      <x:c r="G62" s="49" t="inlineStr">
        <x:is>
          <x:t xml:space="preserve">FOUND_IN_FULL_47_FILE_SCAN</x:t>
        </x:is>
      </x:c>
      <x:c r="H62" s="49" t="inlineStr">
        <x:is>
          <x:t xml:space="preserve">theophysics-lean-main\theophysics-lean-main\Theophysics_Core.lean</x:t>
        </x:is>
      </x:c>
      <x:c r="I62" s="56" t="inlineStr">
        <x:is>
          <x:t xml:space="preserve">201</x:t>
        </x:is>
      </x:c>
    </x:row>
    <x:row r="63" ht="15" customHeight="1">
      <x:c r="A63" s="55" t="inlineStr">
        <x:is>
          <x:t xml:space="preserve">LEAN_DERIVATION_CHAIN</x:t>
        </x:is>
      </x:c>
      <x:c r="B63" s="49" t="inlineStr">
        <x:is>
          <x:t xml:space="preserve">66</x:t>
        </x:is>
      </x:c>
      <x:c r="C63" s="49" t="inlineStr">
        <x:is>
          <x:t xml:space="preserve">FieldBridgeControls.lean</x:t>
        </x:is>
      </x:c>
      <x:c r="D63" s="49" t="inlineStr">
        <x:is>
          <x:t xml:space="preserve">law8_faith_limit_Q_one</x:t>
        </x:is>
      </x:c>
      <x:c r="E63" s="49" t="inlineStr">
        <x:is>
          <x:t xml:space="preserve">Full conditions → Q = 1</x:t>
        </x:is>
      </x:c>
      <x:c r="F63" s="49" t="inlineStr">
        <x:is>
          <x:t xml:space="preserve">PROVED</x:t>
        </x:is>
      </x:c>
      <x:c r="G63" s="49" t="inlineStr">
        <x:is>
          <x:t xml:space="preserve">FOUND_IN_FULL_47_FILE_SCAN</x:t>
        </x:is>
      </x:c>
      <x:c r="H63" s="49" t="inlineStr">
        <x:is>
          <x:t xml:space="preserve">theophysics-lean-main\theophysics-lean-main\Theophysics_Core.lean</x:t>
        </x:is>
      </x:c>
      <x:c r="I63" s="56" t="inlineStr">
        <x:is>
          <x:t xml:space="preserve">206</x:t>
        </x:is>
      </x:c>
    </x:row>
    <x:row r="64" ht="15" customHeight="1">
      <x:c r="A64" s="55" t="inlineStr">
        <x:is>
          <x:t xml:space="preserve">LEAN_DERIVATION_CHAIN</x:t>
        </x:is>
      </x:c>
      <x:c r="B64" s="49" t="inlineStr">
        <x:is>
          <x:t xml:space="preserve">67</x:t>
        </x:is>
      </x:c>
      <x:c r="C64" s="49" t="inlineStr">
        <x:is>
          <x:t xml:space="preserve">FieldBridgeControls.lean</x:t>
        </x:is>
      </x:c>
      <x:c r="D64" s="49" t="inlineStr">
        <x:is>
          <x:t xml:space="preserve">law8_command_bypass_forces_Q_zero</x:t>
        </x:is>
      </x:c>
      <x:c r="E64" s="49" t="inlineStr">
        <x:is>
          <x:t xml:space="preserve">REJECTION: Command bypass → Q = 0</x:t>
        </x:is>
      </x:c>
      <x:c r="F64" s="49" t="inlineStr">
        <x:is>
          <x:t xml:space="preserve">REJECTION</x:t>
        </x:is>
      </x:c>
      <x:c r="G64" s="49" t="inlineStr">
        <x:is>
          <x:t xml:space="preserve">FOUND_IN_FULL_47_FILE_SCAN</x:t>
        </x:is>
      </x:c>
      <x:c r="H64" s="49" t="inlineStr">
        <x:is>
          <x:t xml:space="preserve">theophysics-lean-main\theophysics-lean-main\Theophysics_Adversarial.lean</x:t>
        </x:is>
      </x:c>
      <x:c r="I64" s="56" t="inlineStr">
        <x:is>
          <x:t xml:space="preserve">383</x:t>
        </x:is>
      </x:c>
    </x:row>
    <x:row r="65" ht="15" customHeight="1">
      <x:c r="A65" s="55" t="inlineStr">
        <x:is>
          <x:t xml:space="preserve">LEAN_DERIVATION_CHAIN</x:t>
        </x:is>
      </x:c>
      <x:c r="B65" s="49" t="inlineStr">
        <x:is>
          <x:t xml:space="preserve">68</x:t>
        </x:is>
      </x:c>
      <x:c r="C65" s="49" t="inlineStr">
        <x:is>
          <x:t xml:space="preserve">FieldBridgeControls.lean</x:t>
        </x:is>
      </x:c>
      <x:c r="D65" s="49" t="inlineStr">
        <x:is>
          <x:t xml:space="preserve">law8_missing_eigenbasis_forces_Q_zero</x:t>
        </x:is>
      </x:c>
      <x:c r="E65" s="49" t="inlineStr">
        <x:is>
          <x:t xml:space="preserve">REJECTION: Missing eigenbasis → Q = 0. No basis to collapse into.</x:t>
        </x:is>
      </x:c>
      <x:c r="F65" s="49" t="inlineStr">
        <x:is>
          <x:t xml:space="preserve">REJECTION</x:t>
        </x:is>
      </x:c>
      <x:c r="G65" s="49" t="inlineStr">
        <x:is>
          <x:t xml:space="preserve">FOUND_IN_FULL_47_FILE_SCAN</x:t>
        </x:is>
      </x:c>
      <x:c r="H65" s="49" t="inlineStr">
        <x:is>
          <x:t xml:space="preserve">theophysics-lean-main\theophysics-lean-main\Theophysics_Adversarial.lean</x:t>
        </x:is>
      </x:c>
      <x:c r="I65" s="56" t="inlineStr">
        <x:is>
          <x:t xml:space="preserve">387</x:t>
        </x:is>
      </x:c>
    </x:row>
    <x:row r="66" ht="15" customHeight="1">
      <x:c r="A66" s="55" t="inlineStr">
        <x:is>
          <x:t xml:space="preserve">LEAN_DERIVATION_CHAIN</x:t>
        </x:is>
      </x:c>
      <x:c r="B66" s="49" t="inlineStr">
        <x:is>
          <x:t xml:space="preserve">69</x:t>
        </x:is>
      </x:c>
      <x:c r="C66" s="49" t="inlineStr">
        <x:is>
          <x:t xml:space="preserve">FieldBridgeControls.lean</x:t>
        </x:is>
      </x:c>
      <x:c r="D66" s="49" t="inlineStr">
        <x:is>
          <x:t xml:space="preserve">law8_control_refusal_forces_Q_zero</x:t>
        </x:is>
      </x:c>
      <x:c r="E66" s="49" t="inlineStr">
        <x:is>
          <x:t xml:space="preserve">REJECTION: Will refuses to measure → Q = 0. Free will preserved but no collapse.</x:t>
        </x:is>
      </x:c>
      <x:c r="F66" s="49" t="inlineStr">
        <x:is>
          <x:t xml:space="preserve">REJECTION</x:t>
        </x:is>
      </x:c>
      <x:c r="G66" s="49" t="inlineStr">
        <x:is>
          <x:t xml:space="preserve">FOUND_IN_FULL_47_FILE_SCAN</x:t>
        </x:is>
      </x:c>
      <x:c r="H66" s="49" t="inlineStr">
        <x:is>
          <x:t xml:space="preserve">theophysics-lean-main\theophysics-lean-main\Theophysics_Adversarial.lean</x:t>
        </x:is>
      </x:c>
      <x:c r="I66" s="56" t="inlineStr">
        <x:is>
          <x:t xml:space="preserve">391</x:t>
        </x:is>
      </x:c>
    </x:row>
    <x:row r="67" ht="15" customHeight="1">
      <x:c r="A67" s="55" t="inlineStr">
        <x:is>
          <x:t xml:space="preserve">LEAN_DERIVATION_CHAIN</x:t>
        </x:is>
      </x:c>
      <x:c r="B67" s="49" t="inlineStr">
        <x:is>
          <x:t xml:space="preserve">70</x:t>
        </x:is>
      </x:c>
      <x:c r="C67" s="49" t="inlineStr">
        <x:is>
          <x:t xml:space="preserve">FieldBridgeControls.lean</x:t>
        </x:is>
      </x:c>
      <x:c r="D67" s="49" t="inlineStr">
        <x:is>
          <x:t xml:space="preserve">law8_command_bypass_collapses_chi</x:t>
        </x:is>
      </x:c>
      <x:c r="E67" s="49" t="inlineStr">
        <x:is>
          <x:t xml:space="preserve">Command bypass → χ = 0</x:t>
        </x:is>
      </x:c>
      <x:c r="F67" s="49" t="inlineStr">
        <x:is>
          <x:t xml:space="preserve">PROVED</x:t>
        </x:is>
      </x:c>
      <x:c r="G67" s="49" t="inlineStr">
        <x:is>
          <x:t xml:space="preserve">FOUND_IN_FULL_47_FILE_SCAN</x:t>
        </x:is>
      </x:c>
      <x:c r="H67" s="49" t="inlineStr">
        <x:is>
          <x:t xml:space="preserve">theophysics-lean-main\theophysics-lean-main\Theophysics_Core.lean</x:t>
        </x:is>
      </x:c>
      <x:c r="I67" s="56" t="inlineStr">
        <x:is>
          <x:t xml:space="preserve">204</x:t>
        </x:is>
      </x:c>
    </x:row>
    <x:row r="68" ht="15" customHeight="1">
      <x:c r="A68" s="55" t="inlineStr">
        <x:is>
          <x:t xml:space="preserve">LEAN_DERIVATION_CHAIN</x:t>
        </x:is>
      </x:c>
      <x:c r="B68" s="49" t="inlineStr">
        <x:is>
          <x:t xml:space="preserve">71</x:t>
        </x:is>
      </x:c>
      <x:c r="C68" s="49" t="inlineStr">
        <x:is>
          <x:t xml:space="preserve">FieldBridgeControls.lean</x:t>
        </x:is>
      </x:c>
      <x:c r="D68" s="49" t="inlineStr">
        <x:is>
          <x:t xml:space="preserve">law8_control_refusal_collapses_chi</x:t>
        </x:is>
      </x:c>
      <x:c r="E68" s="49" t="inlineStr">
        <x:is>
          <x:t xml:space="preserve">Control refusal → χ = 0</x:t>
        </x:is>
      </x:c>
      <x:c r="F68" s="49" t="inlineStr">
        <x:is>
          <x:t xml:space="preserve">PROVED</x:t>
        </x:is>
      </x:c>
      <x:c r="G68" s="49" t="inlineStr">
        <x:is>
          <x:t xml:space="preserve">FOUND_IN_FULL_47_FILE_SCAN</x:t>
        </x:is>
      </x:c>
      <x:c r="H68" s="49" t="inlineStr">
        <x:is>
          <x:t xml:space="preserve">theophysics-lean-main\theophysics-lean-main\Theophysics_Core.lean</x:t>
        </x:is>
      </x:c>
      <x:c r="I68" s="56" t="inlineStr">
        <x:is>
          <x:t xml:space="preserve">205</x:t>
        </x:is>
      </x:c>
    </x:row>
    <x:row r="69" ht="15" customHeight="1">
      <x:c r="A69" s="55" t="inlineStr">
        <x:is>
          <x:t xml:space="preserve">LEAN_DERIVATION_CHAIN</x:t>
        </x:is>
      </x:c>
      <x:c r="B69" s="49" t="inlineStr">
        <x:is>
          <x:t xml:space="preserve">73</x:t>
        </x:is>
      </x:c>
      <x:c r="C69" s="49" t="inlineStr">
        <x:is>
          <x:t xml:space="preserve">BridgeScoreDiscipline.lean</x:t>
        </x:is>
      </x:c>
      <x:c r="D69" s="49" t="inlineStr">
        <x:is>
          <x:t xml:space="preserve">binaryGate_zero</x:t>
        </x:is>
      </x:c>
      <x:c r="E69" s="49" t="inlineStr">
        <x:is>
          <x:t xml:space="preserve">Score 0 → gate 0</x:t>
        </x:is>
      </x:c>
      <x:c r="F69" s="49" t="inlineStr">
        <x:is>
          <x:t xml:space="preserve">PROVED</x:t>
        </x:is>
      </x:c>
      <x:c r="G69" s="49" t="inlineStr">
        <x:is>
          <x:t xml:space="preserve">FOUND_IN_FULL_47_FILE_SCAN</x:t>
        </x:is>
      </x:c>
      <x:c r="H69" s="49" t="inlineStr">
        <x:is>
          <x:t xml:space="preserve">theophysics-lean-main\theophysics-lean-main\Theophysics_Core.lean</x:t>
        </x:is>
      </x:c>
      <x:c r="I69" s="56" t="inlineStr">
        <x:is>
          <x:t xml:space="preserve">209</x:t>
        </x:is>
      </x:c>
    </x:row>
    <x:row r="70" ht="15" customHeight="1">
      <x:c r="A70" s="55" t="inlineStr">
        <x:is>
          <x:t xml:space="preserve">LEAN_DERIVATION_CHAIN</x:t>
        </x:is>
      </x:c>
      <x:c r="B70" s="49" t="inlineStr">
        <x:is>
          <x:t xml:space="preserve">74</x:t>
        </x:is>
      </x:c>
      <x:c r="C70" s="49" t="inlineStr">
        <x:is>
          <x:t xml:space="preserve">BridgeScoreDiscipline.lean</x:t>
        </x:is>
      </x:c>
      <x:c r="D70" s="49" t="inlineStr">
        <x:is>
          <x:t xml:space="preserve">binaryGate_positive</x:t>
        </x:is>
      </x:c>
      <x:c r="E70" s="49" t="inlineStr">
        <x:is>
          <x:t xml:space="preserve">Score ≥ 1 → gate 1</x:t>
        </x:is>
      </x:c>
      <x:c r="F70" s="49" t="inlineStr">
        <x:is>
          <x:t xml:space="preserve">PROVED</x:t>
        </x:is>
      </x:c>
      <x:c r="G70" s="49" t="inlineStr">
        <x:is>
          <x:t xml:space="preserve">FOUND_IN_FULL_47_FILE_SCAN</x:t>
        </x:is>
      </x:c>
      <x:c r="H70" s="49" t="inlineStr">
        <x:is>
          <x:t xml:space="preserve">theophysics-lean-main\theophysics-lean-main\Theophysics_Core.lean</x:t>
        </x:is>
      </x:c>
      <x:c r="I70" s="56" t="inlineStr">
        <x:is>
          <x:t xml:space="preserve">207</x:t>
        </x:is>
      </x:c>
    </x:row>
    <x:row r="71" ht="15" customHeight="1">
      <x:c r="A71" s="55" t="inlineStr">
        <x:is>
          <x:t xml:space="preserve">LEAN_DERIVATION_CHAIN</x:t>
        </x:is>
      </x:c>
      <x:c r="B71" s="49" t="inlineStr">
        <x:is>
          <x:t xml:space="preserve">75</x:t>
        </x:is>
      </x:c>
      <x:c r="C71" s="49" t="inlineStr">
        <x:is>
          <x:t xml:space="preserve">BridgeScoreDiscipline.lean</x:t>
        </x:is>
      </x:c>
      <x:c r="D71" s="49" t="inlineStr">
        <x:is>
          <x:t xml:space="preserve">binaryGate_zero_or_one</x:t>
        </x:is>
      </x:c>
      <x:c r="E71" s="49" t="inlineStr">
        <x:is>
          <x:t xml:space="preserve">Gate output is always exactly 0 or 1. No intermediate states.</x:t>
        </x:is>
      </x:c>
      <x:c r="F71" s="49" t="inlineStr">
        <x:is>
          <x:t xml:space="preserve">PROVED</x:t>
        </x:is>
      </x:c>
      <x:c r="G71" s="49" t="inlineStr">
        <x:is>
          <x:t xml:space="preserve">FOUND_IN_FULL_47_FILE_SCAN</x:t>
        </x:is>
      </x:c>
      <x:c r="H71" s="49" t="inlineStr">
        <x:is>
          <x:t xml:space="preserve">theophysics-lean-main\theophysics-lean-main\Theophysics_Core.lean</x:t>
        </x:is>
      </x:c>
      <x:c r="I71" s="56" t="inlineStr">
        <x:is>
          <x:t xml:space="preserve">211</x:t>
        </x:is>
      </x:c>
    </x:row>
    <x:row r="72" ht="15" customHeight="1">
      <x:c r="A72" s="55" t="inlineStr">
        <x:is>
          <x:t xml:space="preserve">LEAN_DERIVATION_CHAIN</x:t>
        </x:is>
      </x:c>
      <x:c r="B72" s="49" t="inlineStr">
        <x:is>
          <x:t xml:space="preserve">76</x:t>
        </x:is>
      </x:c>
      <x:c r="C72" s="49" t="inlineStr">
        <x:is>
          <x:t xml:space="preserve">BridgeScoreDiscipline.lean</x:t>
        </x:is>
      </x:c>
      <x:c r="D72" s="49" t="inlineStr">
        <x:is>
          <x:t xml:space="preserve">law3_unbacked_amplitude_still_has_zero_truth_fidelity</x:t>
        </x:is>
      </x:c>
      <x:c r="E72" s="49" t="inlineStr">
        <x:is>
          <x:t xml:space="preserve">REJECTION: Raw amplitude can be 5 but truth fidelity is 0 without source backing. High signal ≠ truth.</x:t>
        </x:is>
      </x:c>
      <x:c r="F72" s="49" t="inlineStr">
        <x:is>
          <x:t xml:space="preserve">REJECTION</x:t>
        </x:is>
      </x:c>
      <x:c r="G72" s="49" t="inlineStr">
        <x:is>
          <x:t xml:space="preserve">FOUND_IN_FULL_47_FILE_SCAN</x:t>
        </x:is>
      </x:c>
      <x:c r="H72" s="49" t="inlineStr">
        <x:is>
          <x:t xml:space="preserve">theophysics-lean-main\theophysics-lean-main\Theophysics_Adversarial.lean</x:t>
        </x:is>
      </x:c>
      <x:c r="I72" s="56" t="inlineStr">
        <x:is>
          <x:t xml:space="preserve">395</x:t>
        </x:is>
      </x:c>
    </x:row>
    <x:row r="73" ht="15" customHeight="1">
      <x:c r="A73" s="55" t="inlineStr">
        <x:is>
          <x:t xml:space="preserve">LEAN_DERIVATION_CHAIN</x:t>
        </x:is>
      </x:c>
      <x:c r="B73" s="49" t="inlineStr">
        <x:is>
          <x:t xml:space="preserve">77</x:t>
        </x:is>
      </x:c>
      <x:c r="C73" s="49" t="inlineStr">
        <x:is>
          <x:t xml:space="preserve">BridgeScoreDiscipline.lean</x:t>
        </x:is>
      </x:c>
      <x:c r="D73" s="49" t="inlineStr">
        <x:is>
          <x:t xml:space="preserve">law3_command_bypass_zeroes_source_backed_fidelity</x:t>
        </x:is>
      </x:c>
      <x:c r="E73" s="49" t="inlineStr">
        <x:is>
          <x:t xml:space="preserve">REJECTION: Command bypass → truth fidelity 0 (∀ states)</x:t>
        </x:is>
      </x:c>
      <x:c r="F73" s="49" t="inlineStr">
        <x:is>
          <x:t xml:space="preserve">REJECTION</x:t>
        </x:is>
      </x:c>
      <x:c r="G73" s="49" t="inlineStr">
        <x:is>
          <x:t xml:space="preserve">FOUND_IN_FULL_47_FILE_SCAN</x:t>
        </x:is>
      </x:c>
      <x:c r="H73" s="49" t="inlineStr">
        <x:is>
          <x:t xml:space="preserve">theophysics-lean-main\theophysics-lean-main\Theophysics_Adversarial.lean</x:t>
        </x:is>
      </x:c>
      <x:c r="I73" s="56" t="inlineStr">
        <x:is>
          <x:t xml:space="preserve">399</x:t>
        </x:is>
      </x:c>
    </x:row>
    <x:row r="74" ht="15" customHeight="1">
      <x:c r="A74" s="55" t="inlineStr">
        <x:is>
          <x:t xml:space="preserve">LEAN_DERIVATION_CHAIN</x:t>
        </x:is>
      </x:c>
      <x:c r="B74" s="49" t="inlineStr">
        <x:is>
          <x:t xml:space="preserve">78</x:t>
        </x:is>
      </x:c>
      <x:c r="C74" s="49" t="inlineStr">
        <x:is>
          <x:t xml:space="preserve">BridgeScoreDiscipline.lean</x:t>
        </x:is>
      </x:c>
      <x:c r="D74" s="49" t="inlineStr">
        <x:is>
          <x:t xml:space="preserve">law7_healthy_score_passes_R_gate</x:t>
        </x:is>
      </x:c>
      <x:c r="E74" s="49" t="inlineStr">
        <x:is>
          <x:t xml:space="preserve">Healthy frame score → R gate = 1</x:t>
        </x:is>
      </x:c>
      <x:c r="F74" s="49" t="inlineStr">
        <x:is>
          <x:t xml:space="preserve">PROVED</x:t>
        </x:is>
      </x:c>
      <x:c r="G74" s="49" t="inlineStr">
        <x:is>
          <x:t xml:space="preserve">FOUND_IN_FULL_47_FILE_SCAN</x:t>
        </x:is>
      </x:c>
      <x:c r="H74" s="49" t="inlineStr">
        <x:is>
          <x:t xml:space="preserve">theophysics-lean-main\theophysics-lean-main\Theophysics_Core.lean</x:t>
        </x:is>
      </x:c>
      <x:c r="I74" s="56" t="inlineStr">
        <x:is>
          <x:t xml:space="preserve">214</x:t>
        </x:is>
      </x:c>
    </x:row>
    <x:row r="75" ht="15" customHeight="1">
      <x:c r="A75" s="55" t="inlineStr">
        <x:is>
          <x:t xml:space="preserve">LEAN_DERIVATION_CHAIN</x:t>
        </x:is>
      </x:c>
      <x:c r="B75" s="49" t="inlineStr">
        <x:is>
          <x:t xml:space="preserve">79</x:t>
        </x:is>
      </x:c>
      <x:c r="C75" s="49" t="inlineStr">
        <x:is>
          <x:t xml:space="preserve">BridgeScoreDiscipline.lean</x:t>
        </x:is>
      </x:c>
      <x:c r="D75" s="49" t="inlineStr">
        <x:is>
          <x:t xml:space="preserve">law7_frame_locked_score_fails_R_gate</x:t>
        </x:is>
      </x:c>
      <x:c r="E75" s="49" t="inlineStr">
        <x:is>
          <x:t xml:space="preserve">REJECTION: Frame locked → R gate = 0</x:t>
        </x:is>
      </x:c>
      <x:c r="F75" s="49" t="inlineStr">
        <x:is>
          <x:t xml:space="preserve">REJECTION</x:t>
        </x:is>
      </x:c>
      <x:c r="G75" s="49" t="inlineStr">
        <x:is>
          <x:t xml:space="preserve">FOUND_IN_FULL_47_FILE_SCAN</x:t>
        </x:is>
      </x:c>
      <x:c r="H75" s="49" t="inlineStr">
        <x:is>
          <x:t xml:space="preserve">theophysics-lean-main\theophysics-lean-main\Theophysics_Adversarial.lean</x:t>
        </x:is>
      </x:c>
      <x:c r="I75" s="56" t="inlineStr">
        <x:is>
          <x:t xml:space="preserve">403</x:t>
        </x:is>
      </x:c>
    </x:row>
    <x:row r="76" ht="15" customHeight="1">
      <x:c r="A76" s="55" t="inlineStr">
        <x:is>
          <x:t xml:space="preserve">LEAN_DERIVATION_CHAIN</x:t>
        </x:is>
      </x:c>
      <x:c r="B76" s="49" t="inlineStr">
        <x:is>
          <x:t xml:space="preserve">80</x:t>
        </x:is>
      </x:c>
      <x:c r="C76" s="49" t="inlineStr">
        <x:is>
          <x:t xml:space="preserve">BridgeScoreDiscipline.lean</x:t>
        </x:is>
      </x:c>
      <x:c r="D76" s="49" t="inlineStr">
        <x:is>
          <x:t xml:space="preserve">law7_relation_bypass_score_fails_R_gate</x:t>
        </x:is>
      </x:c>
      <x:c r="E76" s="49" t="inlineStr">
        <x:is>
          <x:t xml:space="preserve">REJECTION: No relation → R gate = 0</x:t>
        </x:is>
      </x:c>
      <x:c r="F76" s="49" t="inlineStr">
        <x:is>
          <x:t xml:space="preserve">REJECTION</x:t>
        </x:is>
      </x:c>
      <x:c r="G76" s="49" t="inlineStr">
        <x:is>
          <x:t xml:space="preserve">FOUND_IN_FULL_47_FILE_SCAN</x:t>
        </x:is>
      </x:c>
      <x:c r="H76" s="49" t="inlineStr">
        <x:is>
          <x:t xml:space="preserve">theophysics-lean-main\theophysics-lean-main\Theophysics_Adversarial.lean</x:t>
        </x:is>
      </x:c>
      <x:c r="I76" s="56" t="inlineStr">
        <x:is>
          <x:t xml:space="preserve">407</x:t>
        </x:is>
      </x:c>
    </x:row>
    <x:row r="77" ht="15" customHeight="1">
      <x:c r="A77" s="55" t="inlineStr">
        <x:is>
          <x:t xml:space="preserve">LEAN_DERIVATION_CHAIN</x:t>
        </x:is>
      </x:c>
      <x:c r="B77" s="49" t="inlineStr">
        <x:is>
          <x:t xml:space="preserve">81</x:t>
        </x:is>
      </x:c>
      <x:c r="C77" s="49" t="inlineStr">
        <x:is>
          <x:t xml:space="preserve">BridgeScoreDiscipline.lean</x:t>
        </x:is>
      </x:c>
      <x:c r="D77" s="49" t="inlineStr">
        <x:is>
          <x:t xml:space="preserve">law7_final_R_is_binary</x:t>
        </x:is>
      </x:c>
      <x:c r="E77" s="49" t="inlineStr">
        <x:is>
          <x:t xml:space="preserve">R gate is always 0 or 1. No drift.</x:t>
        </x:is>
      </x:c>
      <x:c r="F77" s="49" t="inlineStr">
        <x:is>
          <x:t xml:space="preserve">PROVED</x:t>
        </x:is>
      </x:c>
      <x:c r="G77" s="49" t="inlineStr">
        <x:is>
          <x:t xml:space="preserve">FOUND_IN_FULL_47_FILE_SCAN</x:t>
        </x:is>
      </x:c>
      <x:c r="H77" s="49" t="inlineStr">
        <x:is>
          <x:t xml:space="preserve">theophysics-lean-main\theophysics-lean-main\Theophysics_Core.lean</x:t>
        </x:is>
      </x:c>
      <x:c r="I77" s="56" t="inlineStr">
        <x:is>
          <x:t xml:space="preserve">213</x:t>
        </x:is>
      </x:c>
    </x:row>
    <x:row r="78" ht="15" customHeight="1">
      <x:c r="A78" s="55" t="inlineStr">
        <x:is>
          <x:t xml:space="preserve">LEAN_DERIVATION_CHAIN</x:t>
        </x:is>
      </x:c>
      <x:c r="B78" s="49" t="inlineStr">
        <x:is>
          <x:t xml:space="preserve">84</x:t>
        </x:is>
      </x:c>
      <x:c r="C78" s="49" t="inlineStr">
        <x:is>
          <x:t xml:space="preserve">IsomorphismTest.lean</x:t>
        </x:is>
      </x:c>
      <x:c r="D78" s="49" t="inlineStr">
        <x:is>
          <x:t xml:space="preserve">law4Iso</x:t>
        </x:is>
      </x:c>
      <x:c r="E78" s="49" t="inlineStr">
        <x:is>
          <x:t xml:space="preserve">StrongForce ≅ Love (LawIso — value + collapse preserving bijection)</x:t>
        </x:is>
      </x:c>
      <x:c r="F78" s="49" t="inlineStr">
        <x:is>
          <x:t xml:space="preserve">PROVED</x:t>
        </x:is>
      </x:c>
      <x:c r="G78" s="49" t="inlineStr">
        <x:is>
          <x:t xml:space="preserve">FOUND_IN_FULL_47_FILE_SCAN</x:t>
        </x:is>
      </x:c>
      <x:c r="H78" s="49" t="inlineStr">
        <x:is>
          <x:t xml:space="preserve">theophysics-lean-main\theophysics-lean-main\Theophysics_Core.lean</x:t>
        </x:is>
      </x:c>
      <x:c r="I78" s="56" t="inlineStr">
        <x:is>
          <x:t xml:space="preserve">217</x:t>
        </x:is>
      </x:c>
    </x:row>
    <x:row r="79" ht="15" customHeight="1">
      <x:c r="A79" s="55" t="inlineStr">
        <x:is>
          <x:t xml:space="preserve">LEAN_DERIVATION_CHAIN</x:t>
        </x:is>
      </x:c>
      <x:c r="B79" s="49" t="inlineStr">
        <x:is>
          <x:t xml:space="preserve">85</x:t>
        </x:is>
      </x:c>
      <x:c r="C79" s="49" t="inlineStr">
        <x:is>
          <x:t xml:space="preserve">IsomorphismTest.lean</x:t>
        </x:is>
      </x:c>
      <x:c r="D79" s="49" t="inlineStr">
        <x:is>
          <x:t xml:space="preserve">strongForceCoinIso</x:t>
        </x:is>
      </x:c>
      <x:c r="E79" s="49" t="inlineStr">
        <x:is>
          <x:t xml:space="preserve">BOUNDARY: Coin model ALSO passes LawIso. This is the adversarial boundary — basic isomorphism is too weak.</x:t>
        </x:is>
      </x:c>
      <x:c r="F79" s="49" t="inlineStr">
        <x:is>
          <x:t xml:space="preserve">BOUNDARY</x:t>
        </x:is>
      </x:c>
      <x:c r="G79" s="49" t="inlineStr">
        <x:is>
          <x:t xml:space="preserve">FOUND_IN_FULL_47_FILE_SCAN</x:t>
        </x:is>
      </x:c>
      <x:c r="H79" s="49" t="inlineStr">
        <x:is>
          <x:t xml:space="preserve">theophysics-lean-main\theophysics-lean-main\Theophysics_Adversarial.lean</x:t>
        </x:is>
      </x:c>
      <x:c r="I79" s="56" t="inlineStr">
        <x:is>
          <x:t xml:space="preserve">412</x:t>
        </x:is>
      </x:c>
    </x:row>
    <x:row r="80" ht="15" customHeight="1">
      <x:c r="A80" s="55" t="inlineStr">
        <x:is>
          <x:t xml:space="preserve">LEAN_DERIVATION_CHAIN</x:t>
        </x:is>
      </x:c>
      <x:c r="B80" s="49" t="inlineStr">
        <x:is>
          <x:t xml:space="preserve">86</x:t>
        </x:is>
      </x:c>
      <x:c r="C80" s="49" t="inlineStr">
        <x:is>
          <x:t xml:space="preserve">IsomorphismTest.lean</x:t>
        </x:is>
      </x:c>
      <x:c r="D80" s="49" t="inlineStr">
        <x:is>
          <x:t xml:space="preserve">richLaw4Iso</x:t>
        </x:is>
      </x:c>
      <x:c r="E80" s="49" t="inlineStr">
        <x:is>
          <x:t xml:space="preserve">StrongForce ≅ Love under RichLawIso (roles + transitions preserved). Stronger level.</x:t>
        </x:is>
      </x:c>
      <x:c r="F80" s="49" t="inlineStr">
        <x:is>
          <x:t xml:space="preserve">PROVED</x:t>
        </x:is>
      </x:c>
      <x:c r="G80" s="49" t="inlineStr">
        <x:is>
          <x:t xml:space="preserve">FOUND_IN_FULL_47_FILE_SCAN</x:t>
        </x:is>
      </x:c>
      <x:c r="H80" s="49" t="inlineStr">
        <x:is>
          <x:t xml:space="preserve">theophysics-lean-main\theophysics-lean-main\Theophysics_Core.lean</x:t>
        </x:is>
      </x:c>
      <x:c r="I80" s="56" t="inlineStr">
        <x:is>
          <x:t xml:space="preserve">218</x:t>
        </x:is>
      </x:c>
    </x:row>
    <x:row r="81" ht="15" customHeight="1">
      <x:c r="A81" s="55" t="inlineStr">
        <x:is>
          <x:t xml:space="preserve">LEAN_DERIVATION_CHAIN</x:t>
        </x:is>
      </x:c>
      <x:c r="B81" s="49" t="inlineStr">
        <x:is>
          <x:t xml:space="preserve">87</x:t>
        </x:is>
      </x:c>
      <x:c r="C81" s="49" t="inlineStr">
        <x:is>
          <x:t xml:space="preserve">IsomorphismTest.lean</x:t>
        </x:is>
      </x:c>
      <x:c r="D81" s="49" t="inlineStr">
        <x:is>
          <x:t xml:space="preserve">no_rich_iso_to_natural_coin</x:t>
        </x:is>
      </x:c>
      <x:c r="E81" s="49" t="inlineStr">
        <x:is>
          <x:t xml:space="preserve">REJECTION: Natural coin model FAILS RichLawIso — role mismatch blocks it</x:t>
        </x:is>
      </x:c>
      <x:c r="F81" s="49" t="inlineStr">
        <x:is>
          <x:t xml:space="preserve">REJECTION</x:t>
        </x:is>
      </x:c>
      <x:c r="G81" s="49" t="inlineStr">
        <x:is>
          <x:t xml:space="preserve">FOUND_IN_FULL_47_FILE_SCAN</x:t>
        </x:is>
      </x:c>
      <x:c r="H81" s="49" t="inlineStr">
        <x:is>
          <x:t xml:space="preserve">theophysics-lean-main\theophysics-lean-main\Theophysics_Adversarial.lean</x:t>
        </x:is>
      </x:c>
      <x:c r="I81" s="56" t="inlineStr">
        <x:is>
          <x:t xml:space="preserve">416</x:t>
        </x:is>
      </x:c>
    </x:row>
    <x:row r="82" ht="15" customHeight="1">
      <x:c r="A82" s="55" t="inlineStr">
        <x:is>
          <x:t xml:space="preserve">LEAN_DERIVATION_CHAIN</x:t>
        </x:is>
      </x:c>
      <x:c r="B82" s="49" t="inlineStr">
        <x:is>
          <x:t xml:space="preserve">88</x:t>
        </x:is>
      </x:c>
      <x:c r="C82" s="49" t="inlineStr">
        <x:is>
          <x:t xml:space="preserve">IsomorphismTest.lean</x:t>
        </x:is>
      </x:c>
      <x:c r="D82" s="49" t="inlineStr">
        <x:is>
          <x:t xml:space="preserve">richRelabeledCoinIso</x:t>
        </x:is>
      </x:c>
      <x:c r="E82" s="49" t="inlineStr">
        <x:is>
          <x:t xml:space="preserve">BOUNDARY: Relabeled coin PASSES — deliberately adversarial. Lean cannot verify label honesty.</x:t>
        </x:is>
      </x:c>
      <x:c r="F82" s="49" t="inlineStr">
        <x:is>
          <x:t xml:space="preserve">BOUNDARY</x:t>
        </x:is>
      </x:c>
      <x:c r="G82" s="49" t="inlineStr">
        <x:is>
          <x:t xml:space="preserve">FOUND_IN_FULL_47_FILE_SCAN</x:t>
        </x:is>
      </x:c>
      <x:c r="H82" s="49" t="inlineStr">
        <x:is>
          <x:t xml:space="preserve">theophysics-lean-main\theophysics-lean-main\Theophysics_Adversarial.lean</x:t>
        </x:is>
      </x:c>
      <x:c r="I82" s="56" t="inlineStr">
        <x:is>
          <x:t xml:space="preserve">420</x:t>
        </x:is>
      </x:c>
    </x:row>
    <x:row r="83" ht="15" customHeight="1">
      <x:c r="A83" s="55" t="inlineStr">
        <x:is>
          <x:t xml:space="preserve">LEAN_DERIVATION_CHAIN</x:t>
        </x:is>
      </x:c>
      <x:c r="B83" s="49" t="inlineStr">
        <x:is>
          <x:t xml:space="preserve">89</x:t>
        </x:is>
      </x:c>
      <x:c r="C83" s="49" t="inlineStr">
        <x:is>
          <x:t xml:space="preserve">IsomorphismTest.lean</x:t>
        </x:is>
      </x:c>
      <x:c r="D83" s="49" t="inlineStr">
        <x:is>
          <x:t xml:space="preserve">faith_candidate_not_right_inverse</x:t>
        </x:is>
      </x:c>
      <x:c r="E83" s="49" t="inlineStr">
        <x:is>
          <x:t xml:space="preserve">REJECTION: 3-state Faith model fails bijection with 2-state StrongForce</x:t>
        </x:is>
      </x:c>
      <x:c r="F83" s="49" t="inlineStr">
        <x:is>
          <x:t xml:space="preserve">REJECTION</x:t>
        </x:is>
      </x:c>
      <x:c r="G83" s="49" t="inlineStr">
        <x:is>
          <x:t xml:space="preserve">FOUND_IN_FULL_47_FILE_SCAN</x:t>
        </x:is>
      </x:c>
      <x:c r="H83" s="49" t="inlineStr">
        <x:is>
          <x:t xml:space="preserve">theophysics-lean-main\theophysics-lean-main\Theophysics_Adversarial.lean</x:t>
        </x:is>
      </x:c>
      <x:c r="I83" s="56" t="inlineStr">
        <x:is>
          <x:t xml:space="preserve">424</x:t>
        </x:is>
      </x:c>
    </x:row>
    <x:row r="84" ht="15" customHeight="1">
      <x:c r="A84" s="55" t="inlineStr">
        <x:is>
          <x:t xml:space="preserve">LEAN_DERIVATION_CHAIN</x:t>
        </x:is>
      </x:c>
      <x:c r="B84" s="49" t="inlineStr">
        <x:is>
          <x:t xml:space="preserve">90</x:t>
        </x:is>
      </x:c>
      <x:c r="C84" s="49" t="inlineStr">
        <x:is>
          <x:t xml:space="preserve">IsomorphismTest.lean</x:t>
        </x:is>
      </x:c>
      <x:c r="D84" s="49" t="inlineStr">
        <x:is>
          <x:t xml:space="preserve">em_candidate_not_right_inverse</x:t>
        </x:is>
      </x:c>
      <x:c r="E84" s="49" t="inlineStr">
        <x:is>
          <x:t xml:space="preserve">REJECTION: 3-state EM model fails bijection with 2-state StrongForce</x:t>
        </x:is>
      </x:c>
      <x:c r="F84" s="49" t="inlineStr">
        <x:is>
          <x:t xml:space="preserve">REJECTION</x:t>
        </x:is>
      </x:c>
      <x:c r="G84" s="49" t="inlineStr">
        <x:is>
          <x:t xml:space="preserve">FOUND_IN_FULL_47_FILE_SCAN</x:t>
        </x:is>
      </x:c>
      <x:c r="H84" s="49" t="inlineStr">
        <x:is>
          <x:t xml:space="preserve">theophysics-lean-main\theophysics-lean-main\Theophysics_Adversarial.lean</x:t>
        </x:is>
      </x:c>
      <x:c r="I84" s="56" t="inlineStr">
        <x:is>
          <x:t xml:space="preserve">428</x:t>
        </x:is>
      </x:c>
    </x:row>
    <x:row r="85" ht="15" customHeight="1">
      <x:c r="A85" s="55" t="inlineStr">
        <x:is>
          <x:t xml:space="preserve">LEAN_DERIVATION_CHAIN</x:t>
        </x:is>
      </x:c>
      <x:c r="B85" s="49" t="inlineStr">
        <x:is>
          <x:t xml:space="preserve">91</x:t>
        </x:is>
      </x:c>
      <x:c r="C85" s="49" t="inlineStr">
        <x:is>
          <x:t xml:space="preserve">IsomorphismTest.lean</x:t>
        </x:is>
      </x:c>
      <x:c r="D85" s="49" t="inlineStr">
        <x:is>
          <x:t xml:space="preserve">inverted_mapping_does_not_preserve_value</x:t>
        </x:is>
      </x:c>
      <x:c r="E85" s="49" t="inlineStr">
        <x:is>
          <x:t xml:space="preserve">REJECTION: bound→liberation fails value preservation</x:t>
        </x:is>
      </x:c>
      <x:c r="F85" s="49" t="inlineStr">
        <x:is>
          <x:t xml:space="preserve">REJECTION</x:t>
        </x:is>
      </x:c>
      <x:c r="G85" s="49" t="inlineStr">
        <x:is>
          <x:t xml:space="preserve">FOUND_IN_FULL_47_FILE_SCAN</x:t>
        </x:is>
      </x:c>
      <x:c r="H85" s="49" t="inlineStr">
        <x:is>
          <x:t xml:space="preserve">theophysics-lean-main\theophysics-lean-main\Theophysics_Adversarial.lean</x:t>
        </x:is>
      </x:c>
      <x:c r="I85" s="56" t="inlineStr">
        <x:is>
          <x:t xml:space="preserve">432</x:t>
        </x:is>
      </x:c>
    </x:row>
    <x:row r="86" ht="15" customHeight="1">
      <x:c r="A86" s="55" t="inlineStr">
        <x:is>
          <x:t xml:space="preserve">LEAN_DERIVATION_CHAIN</x:t>
        </x:is>
      </x:c>
      <x:c r="B86" s="49" t="inlineStr">
        <x:is>
          <x:t xml:space="preserve">92</x:t>
        </x:is>
      </x:c>
      <x:c r="C86" s="49" t="inlineStr">
        <x:is>
          <x:t xml:space="preserve">IsomorphismTest.lean</x:t>
        </x:is>
      </x:c>
      <x:c r="D86" s="49" t="inlineStr">
        <x:is>
          <x:t xml:space="preserve">no_law4_iso_uses_inverted_mapping</x:t>
        </x:is>
      </x:c>
      <x:c r="E86" s="49" t="inlineStr">
        <x:is>
          <x:t xml:space="preserve">REJECTION: No valid Law4 iso uses the inverted map</x:t>
        </x:is>
      </x:c>
      <x:c r="F86" s="49" t="inlineStr">
        <x:is>
          <x:t xml:space="preserve">REJECTION</x:t>
        </x:is>
      </x:c>
      <x:c r="G86" s="49" t="inlineStr">
        <x:is>
          <x:t xml:space="preserve">FOUND_IN_FULL_47_FILE_SCAN</x:t>
        </x:is>
      </x:c>
      <x:c r="H86" s="49" t="inlineStr">
        <x:is>
          <x:t xml:space="preserve">theophysics-lean-main\theophysics-lean-main\Theophysics_Adversarial.lean</x:t>
        </x:is>
      </x:c>
      <x:c r="I86" s="56" t="inlineStr">
        <x:is>
          <x:t xml:space="preserve">436</x:t>
        </x:is>
      </x:c>
    </x:row>
    <x:row r="87" ht="15" customHeight="1">
      <x:c r="A87" s="55" t="inlineStr">
        <x:is>
          <x:t xml:space="preserve">LEAN_DERIVATION_CHAIN</x:t>
        </x:is>
      </x:c>
      <x:c r="B87" s="49" t="inlineStr">
        <x:is>
          <x:t xml:space="preserve">93</x:t>
        </x:is>
      </x:c>
      <x:c r="C87" s="49" t="inlineStr">
        <x:is>
          <x:t xml:space="preserve">IsomorphismTest.lean</x:t>
        </x:is>
      </x:c>
      <x:c r="D87" s="49" t="inlineStr">
        <x:is>
          <x:t xml:space="preserve">misaligned_collapse_rule_invalid</x:t>
        </x:is>
      </x:c>
      <x:c r="E87" s="49" t="inlineStr">
        <x:is>
          <x:t xml:space="preserve">REJECTION: Collapse at stateB (value=one) contradicts axiom</x:t>
        </x:is>
      </x:c>
      <x:c r="F87" s="49" t="inlineStr">
        <x:is>
          <x:t xml:space="preserve">REJECTION</x:t>
        </x:is>
      </x:c>
      <x:c r="G87" s="49" t="inlineStr">
        <x:is>
          <x:t xml:space="preserve">FOUND_IN_FULL_47_FILE_SCAN</x:t>
        </x:is>
      </x:c>
      <x:c r="H87" s="49" t="inlineStr">
        <x:is>
          <x:t xml:space="preserve">theophysics-lean-main\theophysics-lean-main\Theophysics_Adversarial.lean</x:t>
        </x:is>
      </x:c>
      <x:c r="I87" s="56" t="inlineStr">
        <x:is>
          <x:t xml:space="preserve">440</x:t>
        </x:is>
      </x:c>
    </x:row>
    <x:row r="88" ht="15" customHeight="1">
      <x:c r="A88" s="55" t="inlineStr">
        <x:is>
          <x:t xml:space="preserve">LEAN_DERIVATION_CHAIN</x:t>
        </x:is>
      </x:c>
      <x:c r="B88" s="49" t="inlineStr">
        <x:is>
          <x:t xml:space="preserve">95</x:t>
        </x:is>
      </x:c>
      <x:c r="C88" s="49" t="inlineStr">
        <x:is>
          <x:t xml:space="preserve">MaxwellTrinity.lean</x:t>
        </x:is>
      </x:c>
      <x:c r="D88" s="49" t="inlineStr">
        <x:is>
          <x:t xml:space="preserve">full_quaternion_product_has_coupling_invariant</x:t>
        </x:is>
      </x:c>
      <x:c r="E88" s="49" t="inlineStr">
        <x:is>
          <x:t xml:space="preserve">Quaternion multiplication has scalar-vector coupling that vector-only product lacks</x:t>
        </x:is>
      </x:c>
      <x:c r="F88" s="49" t="inlineStr">
        <x:is>
          <x:t xml:space="preserve">PROVED</x:t>
        </x:is>
      </x:c>
      <x:c r="G88" s="49" t="inlineStr">
        <x:is>
          <x:t xml:space="preserve">FOUND_IN_FULL_47_FILE_SCAN</x:t>
        </x:is>
      </x:c>
      <x:c r="H88" s="49" t="inlineStr">
        <x:is>
          <x:t xml:space="preserve">theophysics-lean-main\theophysics-lean-main\Theophysics_Core.lean</x:t>
        </x:is>
      </x:c>
      <x:c r="I88" s="56" t="inlineStr">
        <x:is>
          <x:t xml:space="preserve">219</x:t>
        </x:is>
      </x:c>
    </x:row>
    <x:row r="89" ht="15" customHeight="1">
      <x:c r="A89" s="55" t="inlineStr">
        <x:is>
          <x:t xml:space="preserve">LEAN_DERIVATION_CHAIN</x:t>
        </x:is>
      </x:c>
      <x:c r="B89" s="49" t="inlineStr">
        <x:is>
          <x:t xml:space="preserve">96</x:t>
        </x:is>
      </x:c>
      <x:c r="C89" s="49" t="inlineStr">
        <x:is>
          <x:t xml:space="preserve">MaxwellTrinity.lean</x:t>
        </x:is>
      </x:c>
      <x:c r="D89" s="49" t="inlineStr">
        <x:is>
          <x:t xml:space="preserve">vector_only_product_lacks_coupling_invariant</x:t>
        </x:is>
      </x:c>
      <x:c r="E89" s="49" t="inlineStr">
        <x:is>
          <x:t xml:space="preserve">REJECTION: Heaviside vector-only product lacks coupling invariant</x:t>
        </x:is>
      </x:c>
      <x:c r="F89" s="49" t="inlineStr">
        <x:is>
          <x:t xml:space="preserve">REJECTION</x:t>
        </x:is>
      </x:c>
      <x:c r="G89" s="49" t="inlineStr">
        <x:is>
          <x:t xml:space="preserve">FOUND_IN_FULL_47_FILE_SCAN</x:t>
        </x:is>
      </x:c>
      <x:c r="H89" s="49" t="inlineStr">
        <x:is>
          <x:t xml:space="preserve">theophysics-lean-main\theophysics-lean-main\Theophysics_Adversarial.lean</x:t>
        </x:is>
      </x:c>
      <x:c r="I89" s="56" t="inlineStr">
        <x:is>
          <x:t xml:space="preserve">445</x:t>
        </x:is>
      </x:c>
    </x:row>
    <x:row r="90" ht="15" customHeight="1">
      <x:c r="A90" s="55" t="inlineStr">
        <x:is>
          <x:t xml:space="preserve">LEAN_DERIVATION_CHAIN</x:t>
        </x:is>
      </x:c>
      <x:c r="B90" s="49" t="inlineStr">
        <x:is>
          <x:t xml:space="preserve">97</x:t>
        </x:is>
      </x:c>
      <x:c r="C90" s="49" t="inlineStr">
        <x:is>
          <x:t xml:space="preserve">MaxwellTrinity.lean</x:t>
        </x:is>
      </x:c>
      <x:c r="D90" s="49" t="inlineStr">
        <x:is>
          <x:t xml:space="preserve">full_scalar_vector_split_reconstructs_quaternion_product</x:t>
        </x:is>
      </x:c>
      <x:c r="E90" s="49" t="inlineStr">
        <x:is>
          <x:t xml:space="preserve">Split product reconstructs full quaternion product</x:t>
        </x:is>
      </x:c>
      <x:c r="F90" s="49" t="inlineStr">
        <x:is>
          <x:t xml:space="preserve">PROVED</x:t>
        </x:is>
      </x:c>
      <x:c r="G90" s="49" t="inlineStr">
        <x:is>
          <x:t xml:space="preserve">FOUND_IN_FULL_47_FILE_SCAN</x:t>
        </x:is>
      </x:c>
      <x:c r="H90" s="49" t="inlineStr">
        <x:is>
          <x:t xml:space="preserve">theophysics-lean-main\theophysics-lean-main\Theophysics_Core.lean</x:t>
        </x:is>
      </x:c>
      <x:c r="I90" s="56" t="inlineStr">
        <x:is>
          <x:t xml:space="preserve">222</x:t>
        </x:is>
      </x:c>
    </x:row>
    <x:row r="91" ht="15" customHeight="1">
      <x:c r="A91" s="55" t="inlineStr">
        <x:is>
          <x:t xml:space="preserve">LEAN_DERIVATION_CHAIN</x:t>
        </x:is>
      </x:c>
      <x:c r="B91" s="49" t="inlineStr">
        <x:is>
          <x:t xml:space="preserve">98</x:t>
        </x:is>
      </x:c>
      <x:c r="C91" s="49" t="inlineStr">
        <x:is>
          <x:t xml:space="preserve">MaxwellTrinity.lean</x:t>
        </x:is>
      </x:c>
      <x:c r="D91" s="49" t="inlineStr">
        <x:is>
          <x:t xml:space="preserve">same_dot_cross_but_different_quaternion_product</x:t>
        </x:is>
      </x:c>
      <x:c r="E91" s="49" t="inlineStr">
        <x:is>
          <x:t xml:space="preserve">REJECTION: Same dot+cross ≠ same quaternion product. Scalar coupling matters.</x:t>
        </x:is>
      </x:c>
      <x:c r="F91" s="49" t="inlineStr">
        <x:is>
          <x:t xml:space="preserve">REJECTION</x:t>
        </x:is>
      </x:c>
      <x:c r="G91" s="49" t="inlineStr">
        <x:is>
          <x:t xml:space="preserve">FOUND_IN_FULL_47_FILE_SCAN</x:t>
        </x:is>
      </x:c>
      <x:c r="H91" s="49" t="inlineStr">
        <x:is>
          <x:t xml:space="preserve">theophysics-lean-main\theophysics-lean-main\Theophysics_Adversarial.lean</x:t>
        </x:is>
      </x:c>
      <x:c r="I91" s="56" t="inlineStr">
        <x:is>
          <x:t xml:space="preserve">449</x:t>
        </x:is>
      </x:c>
    </x:row>
    <x:row r="92" ht="15" customHeight="1">
      <x:c r="A92" s="55" t="inlineStr">
        <x:is>
          <x:t xml:space="preserve">LEAN_DERIVATION_CHAIN</x:t>
        </x:is>
      </x:c>
      <x:c r="B92" s="49" t="inlineStr">
        <x:is>
          <x:t xml:space="preserve">99</x:t>
        </x:is>
      </x:c>
      <x:c r="C92" s="49" t="inlineStr">
        <x:is>
          <x:t xml:space="preserve">MaxwellTrinity.lean</x:t>
        </x:is>
      </x:c>
      <x:c r="D92" s="49" t="inlineStr">
        <x:is>
          <x:t xml:space="preserve">quaternionEM_valid</x:t>
        </x:is>
      </x:c>
      <x:c r="E92" s="49" t="inlineStr">
        <x:is>
          <x:t xml:space="preserve">Quaternion EM model passes all 5 ValidTriadic conditions</x:t>
        </x:is>
      </x:c>
      <x:c r="F92" s="49" t="inlineStr">
        <x:is>
          <x:t xml:space="preserve">PROVED</x:t>
        </x:is>
      </x:c>
      <x:c r="G92" s="49" t="inlineStr">
        <x:is>
          <x:t xml:space="preserve">FOUND_IN_FULL_47_FILE_SCAN</x:t>
        </x:is>
      </x:c>
      <x:c r="H92" s="49" t="inlineStr">
        <x:is>
          <x:t xml:space="preserve">theophysics-lean-main\theophysics-lean-main\Theophysics_Core.lean</x:t>
        </x:is>
      </x:c>
      <x:c r="I92" s="56" t="inlineStr">
        <x:is>
          <x:t xml:space="preserve">224</x:t>
        </x:is>
      </x:c>
    </x:row>
    <x:row r="93" ht="15" customHeight="1">
      <x:c r="A93" s="55" t="inlineStr">
        <x:is>
          <x:t xml:space="preserve">LEAN_DERIVATION_CHAIN</x:t>
        </x:is>
      </x:c>
      <x:c r="B93" s="49" t="inlineStr">
        <x:is>
          <x:t xml:space="preserve">100</x:t>
        </x:is>
      </x:c>
      <x:c r="C93" s="49" t="inlineStr">
        <x:is>
          <x:t xml:space="preserve">MaxwellTrinity.lean</x:t>
        </x:is>
      </x:c>
      <x:c r="D93" s="49" t="inlineStr">
        <x:is>
          <x:t xml:space="preserve">trinityRelational_valid</x:t>
        </x:is>
      </x:c>
      <x:c r="E93" s="49" t="inlineStr">
        <x:is>
          <x:t xml:space="preserve">Trinity relational model passes all 5 ValidTriadic conditions</x:t>
        </x:is>
      </x:c>
      <x:c r="F93" s="49" t="inlineStr">
        <x:is>
          <x:t xml:space="preserve">PROVED</x:t>
        </x:is>
      </x:c>
      <x:c r="G93" s="49" t="inlineStr">
        <x:is>
          <x:t xml:space="preserve">FOUND_IN_FULL_47_FILE_SCAN</x:t>
        </x:is>
      </x:c>
      <x:c r="H93" s="49" t="inlineStr">
        <x:is>
          <x:t xml:space="preserve">theophysics-lean-main\theophysics-lean-main\Theophysics_Core.lean</x:t>
        </x:is>
      </x:c>
      <x:c r="I93" s="56" t="inlineStr">
        <x:is>
          <x:t xml:space="preserve">231</x:t>
        </x:is>
      </x:c>
    </x:row>
    <x:row r="94" ht="15" customHeight="1">
      <x:c r="A94" s="55" t="inlineStr">
        <x:is>
          <x:t xml:space="preserve">LEAN_DERIVATION_CHAIN</x:t>
        </x:is>
      </x:c>
      <x:c r="B94" s="49" t="inlineStr">
        <x:is>
          <x:t xml:space="preserve">101</x:t>
        </x:is>
      </x:c>
      <x:c r="C94" s="49" t="inlineStr">
        <x:is>
          <x:t xml:space="preserve">MaxwellTrinity.lean</x:t>
        </x:is>
      </x:c>
      <x:c r="D94" s="49" t="inlineStr">
        <x:is>
          <x:t xml:space="preserve">quaternionTrinityIso</x:t>
        </x:is>
      </x:c>
      <x:c r="E94" s="49" t="inlineStr">
        <x:is>
          <x:t xml:space="preserve">Quaternion EM ≅ Trinity (TriadicIso — full structural isomorphism)</x:t>
        </x:is>
      </x:c>
      <x:c r="F94" s="49" t="inlineStr">
        <x:is>
          <x:t xml:space="preserve">PROVED</x:t>
        </x:is>
      </x:c>
      <x:c r="G94" s="49" t="inlineStr">
        <x:is>
          <x:t xml:space="preserve">FOUND_IN_FULL_47_FILE_SCAN</x:t>
        </x:is>
      </x:c>
      <x:c r="H94" s="49" t="inlineStr">
        <x:is>
          <x:t xml:space="preserve">theophysics-lean-main\theophysics-lean-main\Theophysics_Core.lean</x:t>
        </x:is>
      </x:c>
      <x:c r="I94" s="56" t="inlineStr">
        <x:is>
          <x:t xml:space="preserve">228</x:t>
        </x:is>
      </x:c>
    </x:row>
    <x:row r="95" ht="15" customHeight="1">
      <x:c r="A95" s="55" t="inlineStr">
        <x:is>
          <x:t xml:space="preserve">LEAN_DERIVATION_CHAIN</x:t>
        </x:is>
      </x:c>
      <x:c r="B95" s="49" t="inlineStr">
        <x:is>
          <x:t xml:space="preserve">102</x:t>
        </x:is>
      </x:c>
      <x:c r="C95" s="49" t="inlineStr">
        <x:is>
          <x:t xml:space="preserve">MaxwellTrinity.lean</x:t>
        </x:is>
      </x:c>
      <x:c r="D95" s="49" t="inlineStr">
        <x:is>
          <x:t xml:space="preserve">heavisideVectorEM_invalid</x:t>
        </x:is>
      </x:c>
      <x:c r="E95" s="49" t="inlineStr">
        <x:is>
          <x:t xml:space="preserve">REJECTION: Heaviside EM fails — no coupling invariant</x:t>
        </x:is>
      </x:c>
      <x:c r="F95" s="49" t="inlineStr">
        <x:is>
          <x:t xml:space="preserve">REJECTION</x:t>
        </x:is>
      </x:c>
      <x:c r="G95" s="49" t="inlineStr">
        <x:is>
          <x:t xml:space="preserve">FOUND_IN_FULL_47_FILE_SCAN</x:t>
        </x:is>
      </x:c>
      <x:c r="H95" s="49" t="inlineStr">
        <x:is>
          <x:t xml:space="preserve">theophysics-lean-main\theophysics-lean-main\Theophysics_Adversarial.lean</x:t>
        </x:is>
      </x:c>
      <x:c r="I95" s="56" t="inlineStr">
        <x:is>
          <x:t xml:space="preserve">453</x:t>
        </x:is>
      </x:c>
    </x:row>
    <x:row r="96" ht="15" customHeight="1">
      <x:c r="A96" s="55" t="inlineStr">
        <x:is>
          <x:t xml:space="preserve">LEAN_DERIVATION_CHAIN</x:t>
        </x:is>
      </x:c>
      <x:c r="B96" s="49" t="inlineStr">
        <x:is>
          <x:t xml:space="preserve">103</x:t>
        </x:is>
      </x:c>
      <x:c r="C96" s="49" t="inlineStr">
        <x:is>
          <x:t xml:space="preserve">MaxwellTrinity.lean</x:t>
        </x:is>
      </x:c>
      <x:c r="D96" s="49" t="inlineStr">
        <x:is>
          <x:t xml:space="preserve">modalism_invalid</x:t>
        </x:is>
      </x:c>
      <x:c r="E96" s="49" t="inlineStr">
        <x:is>
          <x:t xml:space="preserve">REJECTION: Modalism fails — no relational distinctness</x:t>
        </x:is>
      </x:c>
      <x:c r="F96" s="49" t="inlineStr">
        <x:is>
          <x:t xml:space="preserve">REJECTION</x:t>
        </x:is>
      </x:c>
      <x:c r="G96" s="49" t="inlineStr">
        <x:is>
          <x:t xml:space="preserve">FOUND_IN_FULL_47_FILE_SCAN</x:t>
        </x:is>
      </x:c>
      <x:c r="H96" s="49" t="inlineStr">
        <x:is>
          <x:t xml:space="preserve">theophysics-lean-main\theophysics-lean-main\Theophysics_Adversarial.lean</x:t>
        </x:is>
      </x:c>
      <x:c r="I96" s="56" t="inlineStr">
        <x:is>
          <x:t xml:space="preserve">457</x:t>
        </x:is>
      </x:c>
    </x:row>
    <x:row r="97" ht="15" customHeight="1">
      <x:c r="A97" s="55" t="inlineStr">
        <x:is>
          <x:t xml:space="preserve">LEAN_DERIVATION_CHAIN</x:t>
        </x:is>
      </x:c>
      <x:c r="B97" s="49" t="inlineStr">
        <x:is>
          <x:t xml:space="preserve">104</x:t>
        </x:is>
      </x:c>
      <x:c r="C97" s="49" t="inlineStr">
        <x:is>
          <x:t xml:space="preserve">MaxwellTrinity.lean</x:t>
        </x:is>
      </x:c>
      <x:c r="D97" s="49" t="inlineStr">
        <x:is>
          <x:t xml:space="preserve">staticSingleFieldEM_invalid</x:t>
        </x:is>
      </x:c>
      <x:c r="E97" s="49" t="inlineStr">
        <x:is>
          <x:t xml:space="preserve">REJECTION: Static single-field EM fails — not full dynamic</x:t>
        </x:is>
      </x:c>
      <x:c r="F97" s="49" t="inlineStr">
        <x:is>
          <x:t xml:space="preserve">REJECTION</x:t>
        </x:is>
      </x:c>
      <x:c r="G97" s="49" t="inlineStr">
        <x:is>
          <x:t xml:space="preserve">FOUND_IN_FULL_47_FILE_SCAN</x:t>
        </x:is>
      </x:c>
      <x:c r="H97" s="49" t="inlineStr">
        <x:is>
          <x:t xml:space="preserve">theophysics-lean-main\theophysics-lean-main\Theophysics_Adversarial.lean</x:t>
        </x:is>
      </x:c>
      <x:c r="I97" s="56" t="inlineStr">
        <x:is>
          <x:t xml:space="preserve">461</x:t>
        </x:is>
      </x:c>
    </x:row>
    <x:row r="98" ht="15" customHeight="1">
      <x:c r="A98" s="55" t="inlineStr">
        <x:is>
          <x:t xml:space="preserve">LEAN_DERIVATION_CHAIN</x:t>
        </x:is>
      </x:c>
      <x:c r="B98" s="49" t="inlineStr">
        <x:is>
          <x:t xml:space="preserve">105</x:t>
        </x:is>
      </x:c>
      <x:c r="C98" s="49" t="inlineStr">
        <x:is>
          <x:t xml:space="preserve">MaxwellTrinity.lean</x:t>
        </x:is>
      </x:c>
      <x:c r="D98" s="49" t="inlineStr">
        <x:is>
          <x:t xml:space="preserve">arbitraryThreePartSystem_invalid</x:t>
        </x:is>
      </x:c>
      <x:c r="E98" s="49" t="inlineStr">
        <x:is>
          <x:t xml:space="preserve">REJECTION: Generic 3-part system fails — wrong role profiles</x:t>
        </x:is>
      </x:c>
      <x:c r="F98" s="49" t="inlineStr">
        <x:is>
          <x:t xml:space="preserve">REJECTION</x:t>
        </x:is>
      </x:c>
      <x:c r="G98" s="49" t="inlineStr">
        <x:is>
          <x:t xml:space="preserve">FOUND_IN_FULL_47_FILE_SCAN</x:t>
        </x:is>
      </x:c>
      <x:c r="H98" s="49" t="inlineStr">
        <x:is>
          <x:t xml:space="preserve">theophysics-lean-main\theophysics-lean-main\Theophysics_Adversarial.lean</x:t>
        </x:is>
      </x:c>
      <x:c r="I98" s="56" t="inlineStr">
        <x:is>
          <x:t xml:space="preserve">465</x:t>
        </x:is>
      </x:c>
    </x:row>
    <x:row r="99" ht="15" customHeight="1">
      <x:c r="A99" s="55" t="inlineStr">
        <x:is>
          <x:t xml:space="preserve">LEAN_DERIVATION_CHAIN</x:t>
        </x:is>
      </x:c>
      <x:c r="B99" s="49" t="inlineStr">
        <x:is>
          <x:t xml:space="preserve">106</x:t>
        </x:is>
      </x:c>
      <x:c r="C99" s="49" t="inlineStr">
        <x:is>
          <x:t xml:space="preserve">MaxwellTrinity.lean</x:t>
        </x:is>
      </x:c>
      <x:c r="D99" s="49" t="inlineStr">
        <x:is>
          <x:t xml:space="preserve">relabeledRoleSystem_invalid</x:t>
        </x:is>
      </x:c>
      <x:c r="E99" s="49" t="inlineStr">
        <x:is>
          <x:t xml:space="preserve">REJECTION: Relabeled roles fail — labels ≠ profiles</x:t>
        </x:is>
      </x:c>
      <x:c r="F99" s="49" t="inlineStr">
        <x:is>
          <x:t xml:space="preserve">REJECTION</x:t>
        </x:is>
      </x:c>
      <x:c r="G99" s="49" t="inlineStr">
        <x:is>
          <x:t xml:space="preserve">FOUND_IN_FULL_47_FILE_SCAN</x:t>
        </x:is>
      </x:c>
      <x:c r="H99" s="49" t="inlineStr">
        <x:is>
          <x:t xml:space="preserve">theophysics-lean-main\theophysics-lean-main\Theophysics_Adversarial.lean</x:t>
        </x:is>
      </x:c>
      <x:c r="I99" s="56" t="inlineStr">
        <x:is>
          <x:t xml:space="preserve">469</x:t>
        </x:is>
      </x:c>
    </x:row>
    <x:row r="100" ht="15" customHeight="1">
      <x:c r="A100" s="55" t="inlineStr">
        <x:is>
          <x:t xml:space="preserve">LEAN_DERIVATION_CHAIN</x:t>
        </x:is>
      </x:c>
      <x:c r="B100" s="49" t="inlineStr">
        <x:is>
          <x:t xml:space="preserve">111</x:t>
        </x:is>
      </x:c>
      <x:c r="C100" s="49" t="inlineStr">
        <x:is>
          <x:t xml:space="preserve">JusticeMercyOperator.lean</x:t>
        </x:is>
      </x:c>
      <x:c r="D100" s="49" t="inlineStr">
        <x:is>
          <x:t xml:space="preserve">justice_and_mercy_share_common_components</x:t>
        </x:is>
      </x:c>
      <x:c r="E100" s="49" t="inlineStr">
        <x:is>
          <x:t xml:space="preserve">Same 4 restoration components shared</x:t>
        </x:is>
      </x:c>
      <x:c r="F100" s="49" t="inlineStr">
        <x:is>
          <x:t xml:space="preserve">PROVED</x:t>
        </x:is>
      </x:c>
      <x:c r="G100" s="49" t="inlineStr">
        <x:is>
          <x:t xml:space="preserve">FOUND_IN_FULL_47_FILE_SCAN</x:t>
        </x:is>
      </x:c>
      <x:c r="H100" s="49" t="inlineStr">
        <x:is>
          <x:t xml:space="preserve">theophysics-lean-main\theophysics-lean-main\Theophysics_Core.lean</x:t>
        </x:is>
      </x:c>
      <x:c r="I100" s="56" t="inlineStr">
        <x:is>
          <x:t xml:space="preserve">243</x:t>
        </x:is>
      </x:c>
    </x:row>
    <x:row r="101" ht="15" customHeight="1">
      <x:c r="A101" s="55" t="inlineStr">
        <x:is>
          <x:t xml:space="preserve">LEAN_DERIVATION_CHAIN</x:t>
        </x:is>
      </x:c>
      <x:c r="B101" s="49" t="inlineStr">
        <x:is>
          <x:t xml:space="preserve">112</x:t>
        </x:is>
      </x:c>
      <x:c r="C101" s="49" t="inlineStr">
        <x:is>
          <x:t xml:space="preserve">JusticeMercyOperator.lean</x:t>
        </x:is>
      </x:c>
      <x:c r="D101" s="49" t="inlineStr">
        <x:is>
          <x:t xml:space="preserve">justice_and_mercy_differ_by_cost_bearer</x:t>
        </x:is>
      </x:c>
      <x:c r="E101" s="49" t="inlineStr">
        <x:is>
          <x:t xml:space="preserve">Differ in exactly one coordinate: who pays the cost</x:t>
        </x:is>
      </x:c>
      <x:c r="F101" s="49" t="inlineStr">
        <x:is>
          <x:t xml:space="preserve">PROVED</x:t>
        </x:is>
      </x:c>
      <x:c r="G101" s="49" t="inlineStr">
        <x:is>
          <x:t xml:space="preserve">FOUND_IN_FULL_47_FILE_SCAN</x:t>
        </x:is>
      </x:c>
      <x:c r="H101" s="49" t="inlineStr">
        <x:is>
          <x:t xml:space="preserve">theophysics-lean-main\theophysics-lean-main\Theophysics_Core.lean</x:t>
        </x:is>
      </x:c>
      <x:c r="I101" s="56" t="inlineStr">
        <x:is>
          <x:t xml:space="preserve">242</x:t>
        </x:is>
      </x:c>
    </x:row>
    <x:row r="102" ht="15" customHeight="1">
      <x:c r="A102" s="55" t="inlineStr">
        <x:is>
          <x:t xml:space="preserve">LEAN_DERIVATION_CHAIN</x:t>
        </x:is>
      </x:c>
      <x:c r="B102" s="49" t="inlineStr">
        <x:is>
          <x:t xml:space="preserve">114</x:t>
        </x:is>
      </x:c>
      <x:c r="C102" s="49" t="inlineStr">
        <x:is>
          <x:t xml:space="preserve">JusticeMercyOperator.lean</x:t>
        </x:is>
      </x:c>
      <x:c r="D102" s="49" t="inlineStr">
        <x:is>
          <x:t xml:space="preserve">cross_satisfies_convergence</x:t>
        </x:is>
      </x:c>
      <x:c r="E102" s="49" t="inlineStr">
        <x:is>
          <x:t xml:space="preserve">The Cross config meets all 5 convergence conditions simultaneously</x:t>
        </x:is>
      </x:c>
      <x:c r="F102" s="49" t="inlineStr">
        <x:is>
          <x:t xml:space="preserve">PROVED</x:t>
        </x:is>
      </x:c>
      <x:c r="G102" s="49" t="inlineStr">
        <x:is>
          <x:t xml:space="preserve">FOUND_IN_FULL_47_FILE_SCAN</x:t>
        </x:is>
      </x:c>
      <x:c r="H102" s="49" t="inlineStr">
        <x:is>
          <x:t xml:space="preserve">theophysics-lean-main\theophysics-lean-main\Theophysics_Core.lean</x:t>
        </x:is>
      </x:c>
      <x:c r="I102" s="56" t="inlineStr">
        <x:is>
          <x:t xml:space="preserve">240</x:t>
        </x:is>
      </x:c>
    </x:row>
    <x:row r="103" ht="15" customHeight="1">
      <x:c r="A103" s="55" t="inlineStr">
        <x:is>
          <x:t xml:space="preserve">LEAN_DERIVATION_CHAIN</x:t>
        </x:is>
      </x:c>
      <x:c r="B103" s="49" t="inlineStr">
        <x:is>
          <x:t xml:space="preserve">115</x:t>
        </x:is>
      </x:c>
      <x:c r="C103" s="49" t="inlineStr">
        <x:is>
          <x:t xml:space="preserve">JusticeMercyOperator.lean</x:t>
        </x:is>
      </x:c>
      <x:c r="D103" s="49" t="inlineStr">
        <x:is>
          <x:t xml:space="preserve">offender_payment_fails_mercy_condition</x:t>
        </x:is>
      </x:c>
      <x:c r="E103" s="49" t="inlineStr">
        <x:is>
          <x:t xml:space="preserve">REJECTION: Offender-pays fails the mercy axis. Self-payment is not mercy.</x:t>
        </x:is>
      </x:c>
      <x:c r="F103" s="49" t="inlineStr">
        <x:is>
          <x:t xml:space="preserve">REJECTION</x:t>
        </x:is>
      </x:c>
      <x:c r="G103" s="49" t="inlineStr">
        <x:is>
          <x:t xml:space="preserve">FOUND_IN_FULL_47_FILE_SCAN</x:t>
        </x:is>
      </x:c>
      <x:c r="H103" s="49" t="inlineStr">
        <x:is>
          <x:t xml:space="preserve">theophysics-lean-main\theophysics-lean-main\Theophysics_Adversarial.lean</x:t>
        </x:is>
      </x:c>
      <x:c r="I103" s="56" t="inlineStr">
        <x:is>
          <x:t xml:space="preserve">474</x:t>
        </x:is>
      </x:c>
    </x:row>
    <x:row r="104" ht="15" customHeight="1">
      <x:c r="A104" s="55" t="inlineStr">
        <x:is>
          <x:t xml:space="preserve">LEAN_DERIVATION_CHAIN</x:t>
        </x:is>
      </x:c>
      <x:c r="B104" s="49" t="inlineStr">
        <x:is>
          <x:t xml:space="preserve">116</x:t>
        </x:is>
      </x:c>
      <x:c r="C104" s="49" t="inlineStr">
        <x:is>
          <x:t xml:space="preserve">JusticeMercyOperator.lean</x:t>
        </x:is>
      </x:c>
      <x:c r="D104" s="49" t="inlineStr">
        <x:is>
          <x:t xml:space="preserve">human_third_party_fails_authority_and_capacity</x:t>
        </x:is>
      </x:c>
      <x:c r="E104" s="49" t="inlineStr">
        <x:is>
          <x:t xml:space="preserve">REJECTION: Human third party fails authority + universality</x:t>
        </x:is>
      </x:c>
      <x:c r="F104" s="49" t="inlineStr">
        <x:is>
          <x:t xml:space="preserve">REJECTION</x:t>
        </x:is>
      </x:c>
      <x:c r="G104" s="49" t="inlineStr">
        <x:is>
          <x:t xml:space="preserve">FOUND_IN_FULL_47_FILE_SCAN</x:t>
        </x:is>
      </x:c>
      <x:c r="H104" s="49" t="inlineStr">
        <x:is>
          <x:t xml:space="preserve">theophysics-lean-main\theophysics-lean-main\Theophysics_Adversarial.lean</x:t>
        </x:is>
      </x:c>
      <x:c r="I104" s="56" t="inlineStr">
        <x:is>
          <x:t xml:space="preserve">478</x:t>
        </x:is>
      </x:c>
    </x:row>
    <x:row r="105" ht="15" customHeight="1">
      <x:c r="A105" s="55" t="inlineStr">
        <x:is>
          <x:t xml:space="preserve">LEAN_DERIVATION_CHAIN</x:t>
        </x:is>
      </x:c>
      <x:c r="B105" s="49" t="inlineStr">
        <x:is>
          <x:t xml:space="preserve">117</x:t>
        </x:is>
      </x:c>
      <x:c r="C105" s="49" t="inlineStr">
        <x:is>
          <x:t xml:space="preserve">JusticeMercyOperator.lean</x:t>
        </x:is>
      </x:c>
      <x:c r="D105" s="49" t="inlineStr">
        <x:is>
          <x:t xml:space="preserve">coerced_third_party_fails_voluntariness</x:t>
        </x:is>
      </x:c>
      <x:c r="E105" s="49" t="inlineStr">
        <x:is>
          <x:t xml:space="preserve">REJECTION: Coercion fails voluntariness. Forced repair is not love.</x:t>
        </x:is>
      </x:c>
      <x:c r="F105" s="49" t="inlineStr">
        <x:is>
          <x:t xml:space="preserve">REJECTION</x:t>
        </x:is>
      </x:c>
      <x:c r="G105" s="49" t="inlineStr">
        <x:is>
          <x:t xml:space="preserve">FOUND_IN_FULL_47_FILE_SCAN</x:t>
        </x:is>
      </x:c>
      <x:c r="H105" s="49" t="inlineStr">
        <x:is>
          <x:t xml:space="preserve">theophysics-lean-main\theophysics-lean-main\Theophysics_Adversarial.lean</x:t>
        </x:is>
      </x:c>
      <x:c r="I105" s="56" t="inlineStr">
        <x:is>
          <x:t xml:space="preserve">482</x:t>
        </x:is>
      </x:c>
    </x:row>
    <x:row r="106" ht="15" customHeight="1">
      <x:c r="A106" s="55" t="inlineStr">
        <x:is>
          <x:t xml:space="preserve">LEAN_DERIVATION_CHAIN</x:t>
        </x:is>
      </x:c>
      <x:c r="B106" s="49" t="inlineStr">
        <x:is>
          <x:t xml:space="preserve">118</x:t>
        </x:is>
      </x:c>
      <x:c r="C106" s="49" t="inlineStr">
        <x:is>
          <x:t xml:space="preserve">JusticeMercyOperator.lean</x:t>
        </x:is>
      </x:c>
      <x:c r="D106" s="49" t="inlineStr">
        <x:is>
          <x:t xml:space="preserve">waived_debt_fails_justice_condition</x:t>
        </x:is>
      </x:c>
      <x:c r="E106" s="49" t="inlineStr">
        <x:is>
          <x:t xml:space="preserve">REJECTION: Waived debt fails justice (debt not paid). Cheap grace.</x:t>
        </x:is>
      </x:c>
      <x:c r="F106" s="49" t="inlineStr">
        <x:is>
          <x:t xml:space="preserve">REJECTION</x:t>
        </x:is>
      </x:c>
      <x:c r="G106" s="49" t="inlineStr">
        <x:is>
          <x:t xml:space="preserve">FOUND_IN_FULL_47_FILE_SCAN</x:t>
        </x:is>
      </x:c>
      <x:c r="H106" s="49" t="inlineStr">
        <x:is>
          <x:t xml:space="preserve">theophysics-lean-main\theophysics-lean-main\Theophysics_Adversarial.lean</x:t>
        </x:is>
      </x:c>
      <x:c r="I106" s="56" t="inlineStr">
        <x:is>
          <x:t xml:space="preserve">486</x:t>
        </x:is>
      </x:c>
    </x:row>
    <x:row r="107" ht="15" customHeight="1">
      <x:c r="A107" s="55" t="inlineStr">
        <x:is>
          <x:t xml:space="preserve">LEAN_DERIVATION_CHAIN</x:t>
        </x:is>
      </x:c>
      <x:c r="B107" s="49" t="inlineStr">
        <x:is>
          <x:t xml:space="preserve">119</x:t>
        </x:is>
      </x:c>
      <x:c r="C107" s="49" t="inlineStr">
        <x:is>
          <x:t xml:space="preserve">JusticeMercyOperator.lean</x:t>
        </x:is>
      </x:c>
      <x:c r="D107" s="49" t="inlineStr">
        <x:is>
          <x:t xml:space="preserve">shared_cost_fails_mercy_condition</x:t>
        </x:is>
      </x:c>
      <x:c r="E107" s="49" t="inlineStr">
        <x:is>
          <x:t xml:space="preserve">REJECTION: Shared cost fails mercy (offender still pays)</x:t>
        </x:is>
      </x:c>
      <x:c r="F107" s="49" t="inlineStr">
        <x:is>
          <x:t xml:space="preserve">REJECTION</x:t>
        </x:is>
      </x:c>
      <x:c r="G107" s="49" t="inlineStr">
        <x:is>
          <x:t xml:space="preserve">FOUND_IN_FULL_47_FILE_SCAN</x:t>
        </x:is>
      </x:c>
      <x:c r="H107" s="49" t="inlineStr">
        <x:is>
          <x:t xml:space="preserve">theophysics-lean-main\theophysics-lean-main\Theophysics_Adversarial.lean</x:t>
        </x:is>
      </x:c>
      <x:c r="I107" s="56" t="inlineStr">
        <x:is>
          <x:t xml:space="preserve">490</x:t>
        </x:is>
      </x:c>
    </x:row>
    <x:row r="108" ht="15" customHeight="1">
      <x:c r="A108" s="55" t="inlineStr">
        <x:is>
          <x:t xml:space="preserve">LEAN_DERIVATION_CHAIN</x:t>
        </x:is>
      </x:c>
      <x:c r="B108" s="49" t="inlineStr">
        <x:is>
          <x:t xml:space="preserve">120</x:t>
        </x:is>
      </x:c>
      <x:c r="C108" s="49" t="inlineStr">
        <x:is>
          <x:t xml:space="preserve">JusticeMercyOperator.lean</x:t>
        </x:is>
      </x:c>
      <x:c r="D108" s="49" t="inlineStr">
        <x:is>
          <x:t xml:space="preserve">cross_unique_convergence_configuration</x:t>
        </x:is>
      </x:c>
      <x:c r="E108" s="49" t="inlineStr">
        <x:is>
          <x:t xml:space="preserve">∀ c, CrossConvergence(c) → c = cross. Any config satisfying all 5 conditions IS the Cross.</x:t>
        </x:is>
      </x:c>
      <x:c r="F108" s="49" t="inlineStr">
        <x:is>
          <x:t xml:space="preserve">PROVED</x:t>
        </x:is>
      </x:c>
      <x:c r="G108" s="49" t="inlineStr">
        <x:is>
          <x:t xml:space="preserve">FOUND_IN_FULL_47_FILE_SCAN</x:t>
        </x:is>
      </x:c>
      <x:c r="H108" s="49" t="inlineStr">
        <x:is>
          <x:t xml:space="preserve">theophysics-lean-main\theophysics-lean-main\Theophysics_Core.lean</x:t>
        </x:is>
      </x:c>
      <x:c r="I108" s="56" t="inlineStr">
        <x:is>
          <x:t xml:space="preserve">241</x:t>
        </x:is>
      </x:c>
    </x:row>
    <x:row r="109" ht="15" customHeight="1">
      <x:c r="A109" s="55" t="inlineStr">
        <x:is>
          <x:t xml:space="preserve">LEAN_DERIVATION_CHAIN</x:t>
        </x:is>
      </x:c>
      <x:c r="B109" s="49" t="inlineStr">
        <x:is>
          <x:t xml:space="preserve">121</x:t>
        </x:is>
      </x:c>
      <x:c r="C109" s="49" t="inlineStr">
        <x:is>
          <x:t xml:space="preserve">JusticeMercyOperator.lean</x:t>
        </x:is>
      </x:c>
      <x:c r="D109" s="49" t="inlineStr">
        <x:is>
          <x:t xml:space="preserve">cross_is_unique_solution</x:t>
        </x:is>
      </x:c>
      <x:c r="E109" s="49" t="inlineStr">
        <x:is>
          <x:t xml:space="preserve">THE CROSS IS THE UNIQUE SOLUTION — existence AND uniqueness. Strongest single result in the package.</x:t>
        </x:is>
      </x:c>
      <x:c r="F109" s="49" t="inlineStr">
        <x:is>
          <x:t xml:space="preserve">PROVED</x:t>
        </x:is>
      </x:c>
      <x:c r="G109" s="49" t="inlineStr">
        <x:is>
          <x:t xml:space="preserve">FOUND_IN_FULL_47_FILE_SCAN</x:t>
        </x:is>
      </x:c>
      <x:c r="H109" s="49" t="inlineStr">
        <x:is>
          <x:t xml:space="preserve">theophysics-lean-main\theophysics-lean-main\Theophysics_Core.lean</x:t>
        </x:is>
      </x:c>
      <x:c r="I109" s="56" t="inlineStr">
        <x:is>
          <x:t xml:space="preserve">239</x:t>
        </x:is>
      </x:c>
    </x:row>
    <x:row r="110" ht="15" customHeight="1">
      <x:c r="A110" s="55" t="inlineStr">
        <x:is>
          <x:t xml:space="preserve">LEAN_DERIVATION_CHAIN</x:t>
        </x:is>
      </x:c>
      <x:c r="B110" s="49" t="inlineStr">
        <x:is>
          <x:t xml:space="preserve">123</x:t>
        </x:is>
      </x:c>
      <x:c r="C110" s="49" t="inlineStr">
        <x:is>
          <x:t xml:space="preserve">PolarityDiscipline.lean</x:t>
        </x:is>
      </x:c>
      <x:c r="D110" s="49" t="inlineStr">
        <x:is>
          <x:t xml:space="preserve">two_destructive_signs_have_positive_raw_product</x:t>
        </x:is>
      </x:c>
      <x:c r="E110" s="49" t="inlineStr">
        <x:is>
          <x:t xml:space="preserve">(-1)×(-1) = +1 in raw arithmetic</x:t>
        </x:is>
      </x:c>
      <x:c r="F110" s="49" t="inlineStr">
        <x:is>
          <x:t xml:space="preserve">PROVED</x:t>
        </x:is>
      </x:c>
      <x:c r="G110" s="49" t="inlineStr">
        <x:is>
          <x:t xml:space="preserve">FOUND_IN_FULL_47_FILE_SCAN</x:t>
        </x:is>
      </x:c>
      <x:c r="H110" s="49" t="inlineStr">
        <x:is>
          <x:t xml:space="preserve">theophysics-lean-main\theophysics-lean-main\Theophysics_Core.lean</x:t>
        </x:is>
      </x:c>
      <x:c r="I110" s="56" t="inlineStr">
        <x:is>
          <x:t xml:space="preserve">43</x:t>
        </x:is>
      </x:c>
    </x:row>
    <x:row r="111" ht="15" customHeight="1">
      <x:c r="A111" s="55" t="inlineStr">
        <x:is>
          <x:t xml:space="preserve">LEAN_DERIVATION_CHAIN</x:t>
        </x:is>
      </x:c>
      <x:c r="B111" s="49" t="inlineStr">
        <x:is>
          <x:t xml:space="preserve">124</x:t>
        </x:is>
      </x:c>
      <x:c r="C111" s="49" t="inlineStr">
        <x:is>
          <x:t xml:space="preserve">PolarityDiscipline.lean</x:t>
        </x:is>
      </x:c>
      <x:c r="D111" s="49" t="inlineStr">
        <x:is>
          <x:t xml:space="preserve">two_destructive_signs_do_not_pass_coherence_gate</x:t>
        </x:is>
      </x:c>
      <x:c r="E111" s="49" t="inlineStr">
        <x:is>
          <x:t xml:space="preserve">REJECTION: But the coherence gate rejects them. Arithmetic sign ≠ moral sign.</x:t>
        </x:is>
      </x:c>
      <x:c r="F111" s="49" t="inlineStr">
        <x:is>
          <x:t xml:space="preserve">REJECTION</x:t>
        </x:is>
      </x:c>
      <x:c r="G111" s="49" t="inlineStr">
        <x:is>
          <x:t xml:space="preserve">FOUND_IN_FULL_47_FILE_SCAN</x:t>
        </x:is>
      </x:c>
      <x:c r="H111" s="49" t="inlineStr">
        <x:is>
          <x:t xml:space="preserve">theophysics-lean-main\theophysics-lean-main\Final_Lean4_From_Excel.lean</x:t>
        </x:is>
      </x:c>
      <x:c r="I111" s="56" t="inlineStr">
        <x:is>
          <x:t xml:space="preserve">335</x:t>
        </x:is>
      </x:c>
    </x:row>
    <x:row r="112" ht="15" customHeight="1">
      <x:c r="A112" s="55" t="inlineStr">
        <x:is>
          <x:t xml:space="preserve">LEAN_DERIVATION_CHAIN</x:t>
        </x:is>
      </x:c>
      <x:c r="B112" s="49" t="inlineStr">
        <x:is>
          <x:t xml:space="preserve">125</x:t>
        </x:is>
      </x:c>
      <x:c r="C112" s="49" t="inlineStr">
        <x:is>
          <x:t xml:space="preserve">PolarityDiscipline.lean</x:t>
        </x:is>
      </x:c>
      <x:c r="D112" s="49" t="inlineStr">
        <x:is>
          <x:t xml:space="preserve">below_accountability_maps_to_neutral_even_with_bad_signal</x:t>
        </x:is>
      </x:c>
      <x:c r="E112" s="49" t="inlineStr">
        <x:is>
          <x:t xml:space="preserve">Below age of accountability → neutral regardless of observed behavior</x:t>
        </x:is>
      </x:c>
      <x:c r="F112" s="49" t="inlineStr">
        <x:is>
          <x:t xml:space="preserve">PROVED</x:t>
        </x:is>
      </x:c>
      <x:c r="G112" s="49" t="inlineStr">
        <x:is>
          <x:t xml:space="preserve">FOUND_IN_FULL_47_FILE_SCAN</x:t>
        </x:is>
      </x:c>
      <x:c r="H112" s="49" t="inlineStr">
        <x:is>
          <x:t xml:space="preserve">theophysics-lean-main\theophysics-lean-main\Theophysics_Core.lean</x:t>
        </x:is>
      </x:c>
      <x:c r="I112" s="56" t="inlineStr">
        <x:is>
          <x:t xml:space="preserve">39</x:t>
        </x:is>
      </x:c>
    </x:row>
    <x:row r="113" ht="15" customHeight="1">
      <x:c r="A113" s="55" t="inlineStr">
        <x:is>
          <x:t xml:space="preserve">LEAN_DERIVATION_CHAIN</x:t>
        </x:is>
      </x:c>
      <x:c r="B113" s="49" t="inlineStr">
        <x:is>
          <x:t xml:space="preserve">126</x:t>
        </x:is>
      </x:c>
      <x:c r="C113" s="49" t="inlineStr">
        <x:is>
          <x:t xml:space="preserve">PolarityDiscipline.lean</x:t>
        </x:is>
      </x:c>
      <x:c r="D113" s="49" t="inlineStr">
        <x:is>
          <x:t xml:space="preserve">below_accountability_has_zero_culpability</x:t>
        </x:is>
      </x:c>
      <x:c r="E113" s="49" t="inlineStr">
        <x:is>
          <x:t xml:space="preserve">Below threshold → 0 culpability</x:t>
        </x:is>
      </x:c>
      <x:c r="F113" s="49" t="inlineStr">
        <x:is>
          <x:t xml:space="preserve">PROVED</x:t>
        </x:is>
      </x:c>
      <x:c r="G113" s="49" t="inlineStr">
        <x:is>
          <x:t xml:space="preserve">FOUND_IN_FULL_47_FILE_SCAN</x:t>
        </x:is>
      </x:c>
      <x:c r="H113" s="49" t="inlineStr">
        <x:is>
          <x:t xml:space="preserve">theophysics-lean-main\theophysics-lean-main\Theophysics_Core.lean</x:t>
        </x:is>
      </x:c>
      <x:c r="I113" s="56" t="inlineStr">
        <x:is>
          <x:t xml:space="preserve">38</x:t>
        </x:is>
      </x:c>
    </x:row>
    <x:row r="114" ht="15" customHeight="1">
      <x:c r="A114" s="55" t="inlineStr">
        <x:is>
          <x:t xml:space="preserve">LEAN_DERIVATION_CHAIN</x:t>
        </x:is>
      </x:c>
      <x:c r="B114" s="49" t="inlineStr">
        <x:is>
          <x:t xml:space="preserve">127</x:t>
        </x:is>
      </x:c>
      <x:c r="C114" s="49" t="inlineStr">
        <x:is>
          <x:t xml:space="preserve">PolarityDiscipline.lean</x:t>
        </x:is>
      </x:c>
      <x:c r="D114" s="49" t="inlineStr">
        <x:is>
          <x:t xml:space="preserve">destructive_strict_M_collapses_chi</x:t>
        </x:is>
      </x:c>
      <x:c r="E114" s="49" t="inlineStr">
        <x:is>
          <x:t xml:space="preserve">Destructive polarity → M gate = 0 → χ = 0</x:t>
        </x:is>
      </x:c>
      <x:c r="F114" s="49" t="inlineStr">
        <x:is>
          <x:t xml:space="preserve">PROVED</x:t>
        </x:is>
      </x:c>
      <x:c r="G114" s="49" t="inlineStr">
        <x:is>
          <x:t xml:space="preserve">FOUND_IN_FULL_47_FILE_SCAN</x:t>
        </x:is>
      </x:c>
      <x:c r="H114" s="49" t="inlineStr">
        <x:is>
          <x:t xml:space="preserve">theophysics-lean-main\theophysics-lean-main\Theophysics_Core.lean</x:t>
        </x:is>
      </x:c>
      <x:c r="I114" s="56" t="inlineStr">
        <x:is>
          <x:t xml:space="preserve">41</x:t>
        </x:is>
      </x:c>
    </x:row>
    <x:row r="115" ht="15" customHeight="1">
      <x:c r="A115" s="55" t="inlineStr">
        <x:is>
          <x:t xml:space="preserve">LEAN_DERIVATION_CHAIN</x:t>
        </x:is>
      </x:c>
      <x:c r="B115" s="49" t="inlineStr">
        <x:is>
          <x:t xml:space="preserve">128</x:t>
        </x:is>
      </x:c>
      <x:c r="C115" s="49" t="inlineStr">
        <x:is>
          <x:t xml:space="preserve">PolarityDiscipline.lean</x:t>
        </x:is>
      </x:c>
      <x:c r="D115" s="49" t="inlineStr">
        <x:is>
          <x:t xml:space="preserve">neutral_accountability_aware_M_does_not_zero_M</x:t>
        </x:is>
      </x:c>
      <x:c r="E115" s="49" t="inlineStr">
        <x:is>
          <x:t xml:space="preserve">Neutral polarity → M = 1 under accountability-aware gate</x:t>
        </x:is>
      </x:c>
      <x:c r="F115" s="49" t="inlineStr">
        <x:is>
          <x:t xml:space="preserve">PROVED</x:t>
        </x:is>
      </x:c>
      <x:c r="G115" s="49" t="inlineStr">
        <x:is>
          <x:t xml:space="preserve">FOUND_IN_FULL_47_FILE_SCAN</x:t>
        </x:is>
      </x:c>
      <x:c r="H115" s="49" t="inlineStr">
        <x:is>
          <x:t xml:space="preserve">theophysics-lean-main\theophysics-lean-main\Theophysics_Core.lean</x:t>
        </x:is>
      </x:c>
      <x:c r="I115" s="56" t="inlineStr">
        <x:is>
          <x:t xml:space="preserve">42</x:t>
        </x:is>
      </x:c>
    </x:row>
    <x:row r="116" ht="15" customHeight="1">
      <x:c r="A116" s="55" t="inlineStr">
        <x:is>
          <x:t xml:space="preserve">LEAN_DERIVATION_CHAIN</x:t>
        </x:is>
      </x:c>
      <x:c r="B116" s="49" t="inlineStr">
        <x:is>
          <x:t xml:space="preserve">129</x:t>
        </x:is>
      </x:c>
      <x:c r="C116" s="49" t="inlineStr">
        <x:is>
          <x:t xml:space="preserve">PolarityDiscipline.lean</x:t>
        </x:is>
      </x:c>
      <x:c r="D116" s="49" t="inlineStr">
        <x:is>
          <x:t xml:space="preserve">destructive_accountability_aware_M_collapses_chi</x:t>
        </x:is>
      </x:c>
      <x:c r="E116" s="49" t="inlineStr">
        <x:is>
          <x:t xml:space="preserve">Destructive polarity still kills χ under accountability-aware gate</x:t>
        </x:is>
      </x:c>
      <x:c r="F116" s="49" t="inlineStr">
        <x:is>
          <x:t xml:space="preserve">PROVED</x:t>
        </x:is>
      </x:c>
      <x:c r="G116" s="49" t="inlineStr">
        <x:is>
          <x:t xml:space="preserve">FOUND_IN_FULL_47_FILE_SCAN</x:t>
        </x:is>
      </x:c>
      <x:c r="H116" s="49" t="inlineStr">
        <x:is>
          <x:t xml:space="preserve">theophysics-lean-main\theophysics-lean-main\Theophysics_Core.lean</x:t>
        </x:is>
      </x:c>
      <x:c r="I116" s="56" t="inlineStr">
        <x:is>
          <x:t xml:space="preserve">40</x:t>
        </x:is>
      </x:c>
    </x:row>
    <x:row r="117" ht="15" customHeight="1">
      <x:c r="A117" s="55" t="inlineStr">
        <x:is>
          <x:t xml:space="preserve">LEAN_DERIVATION_CHAIN</x:t>
        </x:is>
      </x:c>
      <x:c r="B117" s="49" t="inlineStr">
        <x:is>
          <x:t xml:space="preserve">131</x:t>
        </x:is>
      </x:c>
      <x:c r="C117" s="49" t="inlineStr">
        <x:is>
          <x:t xml:space="preserve">SignConversionDiscipline.lean</x:t>
        </x:is>
      </x:c>
      <x:c r="D117" s="49" t="inlineStr">
        <x:is>
          <x:t xml:space="preserve">raw_two_negatives_multiply_positive</x:t>
        </x:is>
      </x:c>
      <x:c r="E117" s="49" t="inlineStr">
        <x:is>
          <x:t xml:space="preserve">Arithmetic: (-1)×(-1) = 1. Raw math says yes.</x:t>
        </x:is>
      </x:c>
      <x:c r="F117" s="49" t="inlineStr">
        <x:is>
          <x:t xml:space="preserve">PROVED</x:t>
        </x:is>
      </x:c>
      <x:c r="G117" s="49" t="inlineStr">
        <x:is>
          <x:t xml:space="preserve">FOUND_IN_FULL_47_FILE_SCAN</x:t>
        </x:is>
      </x:c>
      <x:c r="H117" s="49" t="inlineStr">
        <x:is>
          <x:t xml:space="preserve">theophysics-lean-main\theophysics-lean-main\Theophysics_Core.lean</x:t>
        </x:is>
      </x:c>
      <x:c r="I117" s="56" t="inlineStr">
        <x:is>
          <x:t xml:space="preserve">50</x:t>
        </x:is>
      </x:c>
    </x:row>
    <x:row r="118" ht="15" customHeight="1">
      <x:c r="A118" s="55" t="inlineStr">
        <x:is>
          <x:t xml:space="preserve">LEAN_DERIVATION_CHAIN</x:t>
        </x:is>
      </x:c>
      <x:c r="B118" s="49" t="inlineStr">
        <x:is>
          <x:t xml:space="preserve">132</x:t>
        </x:is>
      </x:c>
      <x:c r="C118" s="49" t="inlineStr">
        <x:is>
          <x:t xml:space="preserve">SignConversionDiscipline.lean</x:t>
        </x:is>
      </x:c>
      <x:c r="D118" s="49" t="inlineStr">
        <x:is>
          <x:t xml:space="preserve">burden_two_negatives_stay_negative</x:t>
        </x:is>
      </x:c>
      <x:c r="E118" s="49" t="inlineStr">
        <x:is>
          <x:t xml:space="preserve">REJECTION: Burden coupling: negative + negative = negative. Accumulation does not redeem.</x:t>
        </x:is>
      </x:c>
      <x:c r="F118" s="49" t="inlineStr">
        <x:is>
          <x:t xml:space="preserve">REJECTION</x:t>
        </x:is>
      </x:c>
      <x:c r="G118" s="49" t="inlineStr">
        <x:is>
          <x:t xml:space="preserve">FOUND_IN_FULL_47_FILE_SCAN</x:t>
        </x:is>
      </x:c>
      <x:c r="H118" s="49" t="inlineStr">
        <x:is>
          <x:t xml:space="preserve">theophysics-lean-main\theophysics-lean-main\Final_Lean4_From_Excel.lean</x:t>
        </x:is>
      </x:c>
      <x:c r="I118" s="56" t="inlineStr">
        <x:is>
          <x:t xml:space="preserve">339</x:t>
        </x:is>
      </x:c>
    </x:row>
    <x:row r="119" ht="15" customHeight="1">
      <x:c r="A119" s="55" t="inlineStr">
        <x:is>
          <x:t xml:space="preserve">LEAN_DERIVATION_CHAIN</x:t>
        </x:is>
      </x:c>
      <x:c r="B119" s="49" t="inlineStr">
        <x:is>
          <x:t xml:space="preserve">133</x:t>
        </x:is>
      </x:c>
      <x:c r="C119" s="49" t="inlineStr">
        <x:is>
          <x:t xml:space="preserve">SignConversionDiscipline.lean</x:t>
        </x:is>
      </x:c>
      <x:c r="D119" s="49" t="inlineStr">
        <x:is>
          <x:t xml:space="preserve">burden_negative_positive_stays_negative</x:t>
        </x:is>
      </x:c>
      <x:c r="E119" s="49" t="inlineStr">
        <x:is>
          <x:t xml:space="preserve">REJECTION: Any negative in the burden keeps it negative</x:t>
        </x:is>
      </x:c>
      <x:c r="F119" s="49" t="inlineStr">
        <x:is>
          <x:t xml:space="preserve">REJECTION</x:t>
        </x:is>
      </x:c>
      <x:c r="G119" s="49" t="inlineStr">
        <x:is>
          <x:t xml:space="preserve">FOUND_IN_FULL_47_FILE_SCAN</x:t>
        </x:is>
      </x:c>
      <x:c r="H119" s="49" t="inlineStr">
        <x:is>
          <x:t xml:space="preserve">theophysics-lean-main\theophysics-lean-main\Theophysics_Adversarial.lean</x:t>
        </x:is>
      </x:c>
      <x:c r="I119" s="56" t="inlineStr">
        <x:is>
          <x:t xml:space="preserve">495</x:t>
        </x:is>
      </x:c>
    </x:row>
    <x:row r="120" ht="15" customHeight="1">
      <x:c r="A120" s="55" t="inlineStr">
        <x:is>
          <x:t xml:space="preserve">LEAN_DERIVATION_CHAIN</x:t>
        </x:is>
      </x:c>
      <x:c r="B120" s="49" t="inlineStr">
        <x:is>
          <x:t xml:space="preserve">134</x:t>
        </x:is>
      </x:c>
      <x:c r="C120" s="49" t="inlineStr">
        <x:is>
          <x:t xml:space="preserve">SignConversionDiscipline.lean</x:t>
        </x:is>
      </x:c>
      <x:c r="D120" s="49" t="inlineStr">
        <x:is>
          <x:t xml:space="preserve">christic_conversion_turns_negative_burden_positive</x:t>
        </x:is>
      </x:c>
      <x:c r="E120" s="49" t="inlineStr">
        <x:is>
          <x:t xml:space="preserve">External Christic conversion: negative → positive</x:t>
        </x:is>
      </x:c>
      <x:c r="F120" s="49" t="inlineStr">
        <x:is>
          <x:t xml:space="preserve">PROVED</x:t>
        </x:is>
      </x:c>
      <x:c r="G120" s="49" t="inlineStr">
        <x:is>
          <x:t xml:space="preserve">FOUND_IN_FULL_47_FILE_SCAN</x:t>
        </x:is>
      </x:c>
      <x:c r="H120" s="49" t="inlineStr">
        <x:is>
          <x:t xml:space="preserve">theophysics-lean-main\theophysics-lean-main\Theophysics_Core.lean</x:t>
        </x:is>
      </x:c>
      <x:c r="I120" s="56" t="inlineStr">
        <x:is>
          <x:t xml:space="preserve">46</x:t>
        </x:is>
      </x:c>
    </x:row>
    <x:row r="121" ht="15" customHeight="1">
      <x:c r="A121" s="55" t="inlineStr">
        <x:is>
          <x:t xml:space="preserve">LEAN_DERIVATION_CHAIN</x:t>
        </x:is>
      </x:c>
      <x:c r="B121" s="49" t="inlineStr">
        <x:is>
          <x:t xml:space="preserve">135</x:t>
        </x:is>
      </x:c>
      <x:c r="C121" s="49" t="inlineStr">
        <x:is>
          <x:t xml:space="preserve">SignConversionDiscipline.lean</x:t>
        </x:is>
      </x:c>
      <x:c r="D121" s="49" t="inlineStr">
        <x:is>
          <x:t xml:space="preserve">christic_conversion_turns_neutral_burden_positive</x:t>
        </x:is>
      </x:c>
      <x:c r="E121" s="49" t="inlineStr">
        <x:is>
          <x:t xml:space="preserve">Christic conversion: neutral → positive</x:t>
        </x:is>
      </x:c>
      <x:c r="F121" s="49" t="inlineStr">
        <x:is>
          <x:t xml:space="preserve">PROVED</x:t>
        </x:is>
      </x:c>
      <x:c r="G121" s="49" t="inlineStr">
        <x:is>
          <x:t xml:space="preserve">FOUND_IN_FULL_47_FILE_SCAN</x:t>
        </x:is>
      </x:c>
      <x:c r="H121" s="49" t="inlineStr">
        <x:is>
          <x:t xml:space="preserve">theophysics-lean-main\theophysics-lean-main\Theophysics_Core.lean</x:t>
        </x:is>
      </x:c>
      <x:c r="I121" s="56" t="inlineStr">
        <x:is>
          <x:t xml:space="preserve">47</x:t>
        </x:is>
      </x:c>
    </x:row>
    <x:row r="122" ht="15" customHeight="1">
      <x:c r="A122" s="55" t="inlineStr">
        <x:is>
          <x:t xml:space="preserve">LEAN_DERIVATION_CHAIN</x:t>
        </x:is>
      </x:c>
      <x:c r="B122" s="49" t="inlineStr">
        <x:is>
          <x:t xml:space="preserve">136</x:t>
        </x:is>
      </x:c>
      <x:c r="C122" s="49" t="inlineStr">
        <x:is>
          <x:t xml:space="preserve">SignConversionDiscipline.lean</x:t>
        </x:is>
      </x:c>
      <x:c r="D122" s="49" t="inlineStr">
        <x:is>
          <x:t xml:space="preserve">two_negative_burdens_require_conversion_for_positive</x:t>
        </x:is>
      </x:c>
      <x:c r="E122" s="49" t="inlineStr">
        <x:is>
          <x:t xml:space="preserve">REJECTION: Accumulated negative burdens need conversion, not more burdens</x:t>
        </x:is>
      </x:c>
      <x:c r="F122" s="49" t="inlineStr">
        <x:is>
          <x:t xml:space="preserve">REJECTION</x:t>
        </x:is>
      </x:c>
      <x:c r="G122" s="49" t="inlineStr">
        <x:is>
          <x:t xml:space="preserve">FOUND_IN_FULL_47_FILE_SCAN</x:t>
        </x:is>
      </x:c>
      <x:c r="H122" s="49" t="inlineStr">
        <x:is>
          <x:t xml:space="preserve">theophysics-lean-main\theophysics-lean-main\Theophysics_Adversarial.lean</x:t>
        </x:is>
      </x:c>
      <x:c r="I122" s="56" t="inlineStr">
        <x:is>
          <x:t xml:space="preserve">499</x:t>
        </x:is>
      </x:c>
    </x:row>
    <x:row r="123" ht="15" customHeight="1">
      <x:c r="A123" s="55" t="inlineStr">
        <x:is>
          <x:t xml:space="preserve">LEAN_DERIVATION_CHAIN</x:t>
        </x:is>
      </x:c>
      <x:c r="B123" s="49" t="inlineStr">
        <x:is>
          <x:t xml:space="preserve">137</x:t>
        </x:is>
      </x:c>
      <x:c r="C123" s="49" t="inlineStr">
        <x:is>
          <x:t xml:space="preserve">SignConversionDiscipline.lean</x:t>
        </x:is>
      </x:c>
      <x:c r="D123" s="49" t="inlineStr">
        <x:is>
          <x:t xml:space="preserve">two_negative_burdens_without_conversion_not_positive</x:t>
        </x:is>
      </x:c>
      <x:c r="E123" s="49" t="inlineStr">
        <x:is>
          <x:t xml:space="preserve">REJECTION: Without conversion, burdens stay negative</x:t>
        </x:is>
      </x:c>
      <x:c r="F123" s="49" t="inlineStr">
        <x:is>
          <x:t xml:space="preserve">REJECTION</x:t>
        </x:is>
      </x:c>
      <x:c r="G123" s="49" t="inlineStr">
        <x:is>
          <x:t xml:space="preserve">FOUND_IN_FULL_47_FILE_SCAN</x:t>
        </x:is>
      </x:c>
      <x:c r="H123" s="49" t="inlineStr">
        <x:is>
          <x:t xml:space="preserve">theophysics-lean-main\theophysics-lean-main\Theophysics_Adversarial.lean</x:t>
        </x:is>
      </x:c>
      <x:c r="I123" s="56" t="inlineStr">
        <x:is>
          <x:t xml:space="preserve">503</x:t>
        </x:is>
      </x:c>
    </x:row>
    <x:row r="124" ht="15" customHeight="1">
      <x:c r="A124" s="55" t="inlineStr">
        <x:is>
          <x:t xml:space="preserve">LEAN_DERIVATION_CHAIN</x:t>
        </x:is>
      </x:c>
      <x:c r="B124" s="49" t="inlineStr">
        <x:is>
          <x:t xml:space="preserve">138</x:t>
        </x:is>
      </x:c>
      <x:c r="C124" s="49" t="inlineStr">
        <x:is>
          <x:t xml:space="preserve">SignConversionDiscipline.lean</x:t>
        </x:is>
      </x:c>
      <x:c r="D124" s="49" t="inlineStr">
        <x:is>
          <x:t xml:space="preserve">negative_burden_gate_zero</x:t>
        </x:is>
      </x:c>
      <x:c r="E124" s="49" t="inlineStr">
        <x:is>
          <x:t xml:space="preserve">Negative burden → coherence gate = 0</x:t>
        </x:is>
      </x:c>
      <x:c r="F124" s="49" t="inlineStr">
        <x:is>
          <x:t xml:space="preserve">PROVED</x:t>
        </x:is>
      </x:c>
      <x:c r="G124" s="49" t="inlineStr">
        <x:is>
          <x:t xml:space="preserve">FOUND_IN_FULL_47_FILE_SCAN</x:t>
        </x:is>
      </x:c>
      <x:c r="H124" s="49" t="inlineStr">
        <x:is>
          <x:t xml:space="preserve">theophysics-lean-main\theophysics-lean-main\Theophysics_Core.lean</x:t>
        </x:is>
      </x:c>
      <x:c r="I124" s="56" t="inlineStr">
        <x:is>
          <x:t xml:space="preserve">49</x:t>
        </x:is>
      </x:c>
    </x:row>
    <x:row r="125" ht="15" customHeight="1">
      <x:c r="A125" s="55" t="inlineStr">
        <x:is>
          <x:t xml:space="preserve">LEAN_DERIVATION_CHAIN</x:t>
        </x:is>
      </x:c>
      <x:c r="B125" s="49" t="inlineStr">
        <x:is>
          <x:t xml:space="preserve">139</x:t>
        </x:is>
      </x:c>
      <x:c r="C125" s="49" t="inlineStr">
        <x:is>
          <x:t xml:space="preserve">SignConversionDiscipline.lean</x:t>
        </x:is>
      </x:c>
      <x:c r="D125" s="49" t="inlineStr">
        <x:is>
          <x:t xml:space="preserve">converted_negative_burden_gate_one</x:t>
        </x:is>
      </x:c>
      <x:c r="E125" s="49" t="inlineStr">
        <x:is>
          <x:t xml:space="preserve">Converted burden → coherence gate = 1</x:t>
        </x:is>
      </x:c>
      <x:c r="F125" s="49" t="inlineStr">
        <x:is>
          <x:t xml:space="preserve">PROVED</x:t>
        </x:is>
      </x:c>
      <x:c r="G125" s="49" t="inlineStr">
        <x:is>
          <x:t xml:space="preserve">FOUND_IN_FULL_47_FILE_SCAN</x:t>
        </x:is>
      </x:c>
      <x:c r="H125" s="49" t="inlineStr">
        <x:is>
          <x:t xml:space="preserve">theophysics-lean-main\theophysics-lean-main\Theophysics_Core.lean</x:t>
        </x:is>
      </x:c>
      <x:c r="I125" s="56" t="inlineStr">
        <x:is>
          <x:t xml:space="preserve">48</x:t>
        </x:is>
      </x:c>
    </x:row>
    <x:row r="126" ht="15" customHeight="1">
      <x:c r="A126" s="55" t="inlineStr">
        <x:is>
          <x:t xml:space="preserve">LEAN_DERIVATION_CHAIN</x:t>
        </x:is>
      </x:c>
      <x:c r="B126" s="49" t="inlineStr">
        <x:is>
          <x:t xml:space="preserve">141</x:t>
        </x:is>
      </x:c>
      <x:c r="C126" s="49" t="inlineStr">
        <x:is>
          <x:t xml:space="preserve">ChristOperatorDiscipline.lean</x:t>
        </x:is>
      </x:c>
      <x:c r="D126" s="49" t="inlineStr">
        <x:is>
          <x:t xml:space="preserve">C_op_converts_negative_to_positive</x:t>
        </x:is>
      </x:c>
      <x:c r="E126" s="49" t="inlineStr">
        <x:is>
          <x:t xml:space="preserve">C_op takes negative → positive (visible sign)</x:t>
        </x:is>
      </x:c>
      <x:c r="F126" s="49" t="inlineStr">
        <x:is>
          <x:t xml:space="preserve">PROVED</x:t>
        </x:is>
      </x:c>
      <x:c r="G126" s="49" t="inlineStr">
        <x:is>
          <x:t xml:space="preserve">FOUND_IN_FULL_47_FILE_SCAN</x:t>
        </x:is>
      </x:c>
      <x:c r="H126" s="49" t="inlineStr">
        <x:is>
          <x:t xml:space="preserve">theophysics-lean-main\theophysics-lean-main\Theophysics_Core.lean</x:t>
        </x:is>
      </x:c>
      <x:c r="I126" s="56" t="inlineStr">
        <x:is>
          <x:t xml:space="preserve">51</x:t>
        </x:is>
      </x:c>
    </x:row>
    <x:row r="127" ht="15" customHeight="1">
      <x:c r="A127" s="55" t="inlineStr">
        <x:is>
          <x:t xml:space="preserve">LEAN_DERIVATION_CHAIN</x:t>
        </x:is>
      </x:c>
      <x:c r="B127" s="49" t="inlineStr">
        <x:is>
          <x:t xml:space="preserve">142</x:t>
        </x:is>
      </x:c>
      <x:c r="C127" s="49" t="inlineStr">
        <x:is>
          <x:t xml:space="preserve">ChristOperatorDiscipline.lean</x:t>
        </x:is>
      </x:c>
      <x:c r="D127" s="49" t="inlineStr">
        <x:is>
          <x:t xml:space="preserve">C_op_converts_neutral_to_positive</x:t>
        </x:is>
      </x:c>
      <x:c r="E127" s="49" t="inlineStr">
        <x:is>
          <x:t xml:space="preserve">C_op takes neutral → positive</x:t>
        </x:is>
      </x:c>
      <x:c r="F127" s="49" t="inlineStr">
        <x:is>
          <x:t xml:space="preserve">PROVED</x:t>
        </x:is>
      </x:c>
      <x:c r="G127" s="49" t="inlineStr">
        <x:is>
          <x:t xml:space="preserve">FOUND_IN_FULL_47_FILE_SCAN</x:t>
        </x:is>
      </x:c>
      <x:c r="H127" s="49" t="inlineStr">
        <x:is>
          <x:t xml:space="preserve">theophysics-lean-main\theophysics-lean-main\Theophysics_Core.lean</x:t>
        </x:is>
      </x:c>
      <x:c r="I127" s="56" t="inlineStr">
        <x:is>
          <x:t xml:space="preserve">52</x:t>
        </x:is>
      </x:c>
    </x:row>
    <x:row r="128" ht="15" customHeight="1">
      <x:c r="A128" s="55" t="inlineStr">
        <x:is>
          <x:t xml:space="preserve">LEAN_DERIVATION_CHAIN</x:t>
        </x:is>
      </x:c>
      <x:c r="B128" s="49" t="inlineStr">
        <x:is>
          <x:t xml:space="preserve">143</x:t>
        </x:is>
      </x:c>
      <x:c r="C128" s="49" t="inlineStr">
        <x:is>
          <x:t xml:space="preserve">ChristOperatorDiscipline.lean</x:t>
        </x:is>
      </x:c>
      <x:c r="D128" s="49" t="inlineStr">
        <x:is>
          <x:t xml:space="preserve">C_op_keeps_positive_positive</x:t>
        </x:is>
      </x:c>
      <x:c r="E128" s="49" t="inlineStr">
        <x:is>
          <x:t xml:space="preserve">Already positive stays positive</x:t>
        </x:is>
      </x:c>
      <x:c r="F128" s="49" t="inlineStr">
        <x:is>
          <x:t xml:space="preserve">PROVED</x:t>
        </x:is>
      </x:c>
      <x:c r="G128" s="49" t="inlineStr">
        <x:is>
          <x:t xml:space="preserve">FOUND_IN_FULL_47_FILE_SCAN</x:t>
        </x:is>
      </x:c>
      <x:c r="H128" s="49" t="inlineStr">
        <x:is>
          <x:t xml:space="preserve">theophysics-lean-main\theophysics-lean-main\Theophysics_Core.lean</x:t>
        </x:is>
      </x:c>
      <x:c r="I128" s="56" t="inlineStr">
        <x:is>
          <x:t xml:space="preserve">53</x:t>
        </x:is>
      </x:c>
    </x:row>
    <x:row r="129" ht="15" customHeight="1">
      <x:c r="A129" s="55" t="inlineStr">
        <x:is>
          <x:t xml:space="preserve">LEAN_DERIVATION_CHAIN</x:t>
        </x:is>
      </x:c>
      <x:c r="B129" s="49" t="inlineStr">
        <x:is>
          <x:t xml:space="preserve">144</x:t>
        </x:is>
      </x:c>
      <x:c r="C129" s="49" t="inlineStr">
        <x:is>
          <x:t xml:space="preserve">ChristOperatorDiscipline.lean</x:t>
        </x:is>
      </x:c>
      <x:c r="D129" s="49" t="inlineStr">
        <x:is>
          <x:t xml:space="preserve">C_op_preserves_record_mark</x:t>
        </x:is>
      </x:c>
      <x:c r="E129" s="49" t="inlineStr">
        <x:is>
          <x:t xml:space="preserve">The record of what happened is NOT erased. History survives grace.</x:t>
        </x:is>
      </x:c>
      <x:c r="F129" s="49" t="inlineStr">
        <x:is>
          <x:t xml:space="preserve">PROVED</x:t>
        </x:is>
      </x:c>
      <x:c r="G129" s="49" t="inlineStr">
        <x:is>
          <x:t xml:space="preserve">FOUND_IN_FULL_47_FILE_SCAN</x:t>
        </x:is>
      </x:c>
      <x:c r="H129" s="49" t="inlineStr">
        <x:is>
          <x:t xml:space="preserve">theophysics-lean-main\theophysics-lean-main\Theophysics_Core.lean</x:t>
        </x:is>
      </x:c>
      <x:c r="I129" s="56" t="inlineStr">
        <x:is>
          <x:t xml:space="preserve">55</x:t>
        </x:is>
      </x:c>
    </x:row>
    <x:row r="130" ht="15" customHeight="1">
      <x:c r="A130" s="55" t="inlineStr">
        <x:is>
          <x:t xml:space="preserve">LEAN_DERIVATION_CHAIN</x:t>
        </x:is>
      </x:c>
      <x:c r="B130" s="49" t="inlineStr">
        <x:is>
          <x:t xml:space="preserve">145</x:t>
        </x:is>
      </x:c>
      <x:c r="C130" s="49" t="inlineStr">
        <x:is>
          <x:t xml:space="preserve">ChristOperatorDiscipline.lean</x:t>
        </x:is>
      </x:c>
      <x:c r="D130" s="49" t="inlineStr">
        <x:is>
          <x:t xml:space="preserve">C_op_preserves_source_state</x:t>
        </x:is>
      </x:c>
      <x:c r="E130" s="49" t="inlineStr">
        <x:is>
          <x:t xml:space="preserve">Entire source state carried forward. Nothing lost.</x:t>
        </x:is>
      </x:c>
      <x:c r="F130" s="49" t="inlineStr">
        <x:is>
          <x:t xml:space="preserve">PROVED</x:t>
        </x:is>
      </x:c>
      <x:c r="G130" s="49" t="inlineStr">
        <x:is>
          <x:t xml:space="preserve">FOUND_IN_FULL_47_FILE_SCAN</x:t>
        </x:is>
      </x:c>
      <x:c r="H130" s="49" t="inlineStr">
        <x:is>
          <x:t xml:space="preserve">theophysics-lean-main\theophysics-lean-main\Theophysics_Core.lean</x:t>
        </x:is>
      </x:c>
      <x:c r="I130" s="56" t="inlineStr">
        <x:is>
          <x:t xml:space="preserve">56</x:t>
        </x:is>
      </x:c>
    </x:row>
    <x:row r="131" ht="15" customHeight="1">
      <x:c r="A131" s="55" t="inlineStr">
        <x:is>
          <x:t xml:space="preserve">LEAN_DERIVATION_CHAIN</x:t>
        </x:is>
      </x:c>
      <x:c r="B131" s="49" t="inlineStr">
        <x:is>
          <x:t xml:space="preserve">146</x:t>
        </x:is>
      </x:c>
      <x:c r="C131" s="49" t="inlineStr">
        <x:is>
          <x:t xml:space="preserve">ChristOperatorDiscipline.lean</x:t>
        </x:is>
      </x:c>
      <x:c r="D131" s="49" t="inlineStr">
        <x:is>
          <x:t xml:space="preserve">C_op_preserves_negative_history_even_after_positive_output</x:t>
        </x:is>
      </x:c>
      <x:c r="E131" s="49" t="inlineStr">
        <x:is>
          <x:t xml:space="preserve">Source = negative, output = positive — simultaneously. Grace does not pretend the past didn't happen.</x:t>
        </x:is>
      </x:c>
      <x:c r="F131" s="49" t="inlineStr">
        <x:is>
          <x:t xml:space="preserve">PROVED</x:t>
        </x:is>
      </x:c>
      <x:c r="G131" s="49" t="inlineStr">
        <x:is>
          <x:t xml:space="preserve">FOUND_IN_FULL_47_FILE_SCAN</x:t>
        </x:is>
      </x:c>
      <x:c r="H131" s="49" t="inlineStr">
        <x:is>
          <x:t xml:space="preserve">theophysics-lean-main\theophysics-lean-main\Theophysics_Core.lean</x:t>
        </x:is>
      </x:c>
      <x:c r="I131" s="56" t="inlineStr">
        <x:is>
          <x:t xml:space="preserve">54</x:t>
        </x:is>
      </x:c>
    </x:row>
    <x:row r="132" ht="15" customHeight="1">
      <x:c r="A132" s="55" t="inlineStr">
        <x:is>
          <x:t xml:space="preserve">LEAN_DERIVATION_CHAIN</x:t>
        </x:is>
      </x:c>
      <x:c r="B132" s="49" t="inlineStr">
        <x:is>
          <x:t xml:space="preserve">147</x:t>
        </x:is>
      </x:c>
      <x:c r="C132" s="49" t="inlineStr">
        <x:is>
          <x:t xml:space="preserve">ChristOperatorDiscipline.lean</x:t>
        </x:is>
      </x:c>
      <x:c r="D132" s="49" t="inlineStr">
        <x:is>
          <x:t xml:space="preserve">visible_projection_conflates_negative_and_neutral_conversion</x:t>
        </x:is>
      </x:c>
      <x:c r="E132" s="49" t="inlineStr">
        <x:is>
          <x:t xml:space="preserve">BOUNDARY: Visible output same for both — non-injective. You can't tell FROM THE OUTSIDE which path someone took.</x:t>
        </x:is>
      </x:c>
      <x:c r="F132" s="49" t="inlineStr">
        <x:is>
          <x:t xml:space="preserve">BOUNDARY</x:t>
        </x:is>
      </x:c>
      <x:c r="G132" s="49" t="inlineStr">
        <x:is>
          <x:t xml:space="preserve">FOUND_IN_FULL_47_FILE_SCAN</x:t>
        </x:is>
      </x:c>
      <x:c r="H132" s="49" t="inlineStr">
        <x:is>
          <x:t xml:space="preserve">theophysics-lean-main\theophysics-lean-main\Theophysics_Adversarial.lean</x:t>
        </x:is>
      </x:c>
      <x:c r="I132" s="56" t="inlineStr">
        <x:is>
          <x:t xml:space="preserve">507</x:t>
        </x:is>
      </x:c>
    </x:row>
    <x:row r="133" ht="15" customHeight="1">
      <x:c r="A133" s="55" t="inlineStr">
        <x:is>
          <x:t xml:space="preserve">LEAN_DERIVATION_CHAIN</x:t>
        </x:is>
      </x:c>
      <x:c r="B133" s="49" t="inlineStr">
        <x:is>
          <x:t xml:space="preserve">148</x:t>
        </x:is>
      </x:c>
      <x:c r="C133" s="49" t="inlineStr">
        <x:is>
          <x:t xml:space="preserve">ChristOperatorDiscipline.lean</x:t>
        </x:is>
      </x:c>
      <x:c r="D133" s="49" t="inlineStr">
        <x:is>
          <x:t xml:space="preserve">lifted_outputs_preserve_distinct_source_signs</x:t>
        </x:is>
      </x:c>
      <x:c r="E133" s="49" t="inlineStr">
        <x:is>
          <x:t xml:space="preserve">But lifted output preserves the distinction. God sees the full record.</x:t>
        </x:is>
      </x:c>
      <x:c r="F133" s="49" t="inlineStr">
        <x:is>
          <x:t xml:space="preserve">PROVED</x:t>
        </x:is>
      </x:c>
      <x:c r="G133" s="49" t="inlineStr">
        <x:is>
          <x:t xml:space="preserve">FOUND_IN_FULL_47_FILE_SCAN</x:t>
        </x:is>
      </x:c>
      <x:c r="H133" s="49" t="inlineStr">
        <x:is>
          <x:t xml:space="preserve">theophysics-lean-main\theophysics-lean-main\Theophysics_Core.lean</x:t>
        </x:is>
      </x:c>
      <x:c r="I133" s="56" t="inlineStr">
        <x:is>
          <x:t xml:space="preserve">58</x:t>
        </x:is>
      </x:c>
    </x:row>
    <x:row r="134" ht="15" customHeight="1">
      <x:c r="A134" s="55" t="inlineStr">
        <x:is>
          <x:t xml:space="preserve">LEAN_DERIVATION_CHAIN</x:t>
        </x:is>
      </x:c>
      <x:c r="B134" s="49" t="inlineStr">
        <x:is>
          <x:t xml:space="preserve">149</x:t>
        </x:is>
      </x:c>
      <x:c r="C134" s="49" t="inlineStr">
        <x:is>
          <x:t xml:space="preserve">ChristOperatorDiscipline.lean</x:t>
        </x:is>
      </x:c>
      <x:c r="D134" s="49" t="inlineStr">
        <x:is>
          <x:t xml:space="preserve">visible_restoration_does_not_imply_erasure</x:t>
        </x:is>
      </x:c>
      <x:c r="E134" s="49" t="inlineStr">
        <x:is>
          <x:t xml:space="preserve">REJECTION: Restoration ≠ erasure — formally. Looking forgiven ≠ past erased.</x:t>
        </x:is>
      </x:c>
      <x:c r="F134" s="49" t="inlineStr">
        <x:is>
          <x:t xml:space="preserve">REJECTION</x:t>
        </x:is>
      </x:c>
      <x:c r="G134" s="49" t="inlineStr">
        <x:is>
          <x:t xml:space="preserve">FOUND_IN_FULL_47_FILE_SCAN</x:t>
        </x:is>
      </x:c>
      <x:c r="H134" s="49" t="inlineStr">
        <x:is>
          <x:t xml:space="preserve">theophysics-lean-main\theophysics-lean-main\Theophysics_Adversarial.lean</x:t>
        </x:is>
      </x:c>
      <x:c r="I134" s="56" t="inlineStr">
        <x:is>
          <x:t xml:space="preserve">511</x:t>
        </x:is>
      </x:c>
    </x:row>
    <x:row r="135" ht="15" customHeight="1">
      <x:c r="A135" s="55" t="inlineStr">
        <x:is>
          <x:t xml:space="preserve">LEAN_DERIVATION_CHAIN</x:t>
        </x:is>
      </x:c>
      <x:c r="B135" s="49" t="inlineStr">
        <x:is>
          <x:t xml:space="preserve">150</x:t>
        </x:is>
      </x:c>
      <x:c r="C135" s="49" t="inlineStr">
        <x:is>
          <x:t xml:space="preserve">ChristOperatorDiscipline.lean</x:t>
        </x:is>
      </x:c>
      <x:c r="D135" s="49" t="inlineStr">
        <x:is>
          <x:t xml:space="preserve">chi_via_COp_converts_two_negative_burdens</x:t>
        </x:is>
      </x:c>
      <x:c r="E135" s="49" t="inlineStr">
        <x:is>
          <x:t xml:space="preserve">C_op converts accumulated negative burdens into positive coherence</x:t>
        </x:is>
      </x:c>
      <x:c r="F135" s="49" t="inlineStr">
        <x:is>
          <x:t xml:space="preserve">PROVED</x:t>
        </x:is>
      </x:c>
      <x:c r="G135" s="49" t="inlineStr">
        <x:is>
          <x:t xml:space="preserve">FOUND_IN_FULL_47_FILE_SCAN</x:t>
        </x:is>
      </x:c>
      <x:c r="H135" s="49" t="inlineStr">
        <x:is>
          <x:t xml:space="preserve">theophysics-lean-main\theophysics-lean-main\Theophysics_Core.lean</x:t>
        </x:is>
      </x:c>
      <x:c r="I135" s="56" t="inlineStr">
        <x:is>
          <x:t xml:space="preserve">57</x:t>
        </x:is>
      </x:c>
    </x:row>
    <x:row r="136" ht="15" customHeight="1">
      <x:c r="A136" s="55" t="inlineStr">
        <x:is>
          <x:t xml:space="preserve">LEAN_DERIVATION_CHAIN</x:t>
        </x:is>
      </x:c>
      <x:c r="B136" s="49" t="inlineStr">
        <x:is>
          <x:t xml:space="preserve">151</x:t>
        </x:is>
      </x:c>
      <x:c r="C136" s="49" t="inlineStr">
        <x:is>
          <x:t xml:space="preserve">ChristOperatorDiscipline.lean</x:t>
        </x:is>
      </x:c>
      <x:c r="D136" s="49" t="inlineStr">
        <x:is>
          <x:t xml:space="preserve">chi_via_COp_is_not_plain_scalar_self_multiplication</x:t>
        </x:is>
      </x:c>
      <x:c r="E136" s="49" t="inlineStr">
        <x:is>
          <x:t xml:space="preserve">REJECTION: C is NOT just another factor in the product. External integration, not scalar.</x:t>
        </x:is>
      </x:c>
      <x:c r="F136" s="49" t="inlineStr">
        <x:is>
          <x:t xml:space="preserve">REJECTION</x:t>
        </x:is>
      </x:c>
      <x:c r="G136" s="49" t="inlineStr">
        <x:is>
          <x:t xml:space="preserve">FOUND_IN_FULL_47_FILE_SCAN</x:t>
        </x:is>
      </x:c>
      <x:c r="H136" s="49" t="inlineStr">
        <x:is>
          <x:t xml:space="preserve">theophysics-lean-main\theophysics-lean-main\Theophysics_Adversarial.lean</x:t>
        </x:is>
      </x:c>
      <x:c r="I136" s="56" t="inlineStr">
        <x:is>
          <x:t xml:space="preserve">515</x:t>
        </x:is>
      </x:c>
    </x:row>
    <x:row r="137" ht="15" customHeight="1">
      <x:c r="A137" s="55" t="inlineStr">
        <x:is>
          <x:t xml:space="preserve">LEAN_DERIVATION_CHAIN</x:t>
        </x:is>
      </x:c>
      <x:c r="B137" s="49" t="inlineStr">
        <x:is>
          <x:t xml:space="preserve">153</x:t>
        </x:is>
      </x:c>
      <x:c r="C137" s="49" t="inlineStr">
        <x:is>
          <x:t xml:space="preserve">MissionReturnOperator.lean</x:t>
        </x:is>
      </x:c>
      <x:c r="D137" s="49" t="inlineStr">
        <x:is>
          <x:t xml:space="preserve">incarnation_preserves_substrate_identity</x:t>
        </x:is>
      </x:c>
      <x:c r="E137" s="49" t="inlineStr">
        <x:is>
          <x:t xml:space="preserve">Substrate ID unchanged through incarnation</x:t>
        </x:is>
      </x:c>
      <x:c r="F137" s="49" t="inlineStr">
        <x:is>
          <x:t xml:space="preserve">PROVED</x:t>
        </x:is>
      </x:c>
      <x:c r="G137" s="49" t="inlineStr">
        <x:is>
          <x:t xml:space="preserve">FOUND_IN_FULL_47_FILE_SCAN</x:t>
        </x:is>
      </x:c>
      <x:c r="H137" s="49" t="inlineStr">
        <x:is>
          <x:t xml:space="preserve">theophysics-lean-main\theophysics-lean-main\Theophysics_Core.lean</x:t>
        </x:is>
      </x:c>
      <x:c r="I137" s="56" t="inlineStr">
        <x:is>
          <x:t xml:space="preserve">143</x:t>
        </x:is>
      </x:c>
    </x:row>
    <x:row r="138" ht="15" customHeight="1">
      <x:c r="A138" s="55" t="inlineStr">
        <x:is>
          <x:t xml:space="preserve">LEAN_DERIVATION_CHAIN</x:t>
        </x:is>
      </x:c>
      <x:c r="B138" s="49" t="inlineStr">
        <x:is>
          <x:t xml:space="preserve">154</x:t>
        </x:is>
      </x:c>
      <x:c r="C138" s="49" t="inlineStr">
        <x:is>
          <x:t xml:space="preserve">MissionReturnOperator.lean</x:t>
        </x:is>
      </x:c>
      <x:c r="D138" s="49" t="inlineStr">
        <x:is>
          <x:t xml:space="preserve">cross_preserves_substrate_identity</x:t>
        </x:is>
      </x:c>
      <x:c r="E138" s="49" t="inlineStr">
        <x:is>
          <x:t xml:space="preserve">Substrate ID unchanged through crucifixion</x:t>
        </x:is>
      </x:c>
      <x:c r="F138" s="49" t="inlineStr">
        <x:is>
          <x:t xml:space="preserve">PROVED</x:t>
        </x:is>
      </x:c>
      <x:c r="G138" s="49" t="inlineStr">
        <x:is>
          <x:t xml:space="preserve">FOUND_IN_FULL_47_FILE_SCAN</x:t>
        </x:is>
      </x:c>
      <x:c r="H138" s="49" t="inlineStr">
        <x:is>
          <x:t xml:space="preserve">theophysics-lean-main\theophysics-lean-main\Theophysics_Core.lean</x:t>
        </x:is>
      </x:c>
      <x:c r="I138" s="56" t="inlineStr">
        <x:is>
          <x:t xml:space="preserve">141</x:t>
        </x:is>
      </x:c>
    </x:row>
    <x:row r="139" ht="15" customHeight="1">
      <x:c r="A139" s="55" t="inlineStr">
        <x:is>
          <x:t xml:space="preserve">LEAN_DERIVATION_CHAIN</x:t>
        </x:is>
      </x:c>
      <x:c r="B139" s="49" t="inlineStr">
        <x:is>
          <x:t xml:space="preserve">155</x:t>
        </x:is>
      </x:c>
      <x:c r="C139" s="49" t="inlineStr">
        <x:is>
          <x:t xml:space="preserve">MissionReturnOperator.lean</x:t>
        </x:is>
      </x:c>
      <x:c r="D139" s="49" t="inlineStr">
        <x:is>
          <x:t xml:space="preserve">resurrection_preserves_substrate_identity</x:t>
        </x:is>
      </x:c>
      <x:c r="E139" s="49" t="inlineStr">
        <x:is>
          <x:t xml:space="preserve">Substrate ID unchanged through resurrection</x:t>
        </x:is>
      </x:c>
      <x:c r="F139" s="49" t="inlineStr">
        <x:is>
          <x:t xml:space="preserve">PROVED</x:t>
        </x:is>
      </x:c>
      <x:c r="G139" s="49" t="inlineStr">
        <x:is>
          <x:t xml:space="preserve">FOUND_IN_FULL_47_FILE_SCAN</x:t>
        </x:is>
      </x:c>
      <x:c r="H139" s="49" t="inlineStr">
        <x:is>
          <x:t xml:space="preserve">theophysics-lean-main\theophysics-lean-main\Theophysics_Core.lean</x:t>
        </x:is>
      </x:c>
      <x:c r="I139" s="56" t="inlineStr">
        <x:is>
          <x:t xml:space="preserve">144</x:t>
        </x:is>
      </x:c>
    </x:row>
    <x:row r="140" ht="15" customHeight="1">
      <x:c r="A140" s="55" t="inlineStr">
        <x:is>
          <x:t xml:space="preserve">LEAN_DERIVATION_CHAIN</x:t>
        </x:is>
      </x:c>
      <x:c r="B140" s="49" t="inlineStr">
        <x:is>
          <x:t xml:space="preserve">156</x:t>
        </x:is>
      </x:c>
      <x:c r="C140" s="49" t="inlineStr">
        <x:is>
          <x:t xml:space="preserve">MissionReturnOperator.lean</x:t>
        </x:is>
      </x:c>
      <x:c r="D140" s="49" t="inlineStr">
        <x:is>
          <x:t xml:space="preserve">incarnation_is_finite_compression</x:t>
        </x:is>
      </x:c>
      <x:c r="E140" s="49" t="inlineStr">
        <x:is>
          <x:t xml:space="preserve">Incarnation = resolution drops from infinite to finite</x:t>
        </x:is>
      </x:c>
      <x:c r="F140" s="49" t="inlineStr">
        <x:is>
          <x:t xml:space="preserve">PROVED</x:t>
        </x:is>
      </x:c>
      <x:c r="G140" s="49" t="inlineStr">
        <x:is>
          <x:t xml:space="preserve">FOUND_IN_FULL_47_FILE_SCAN</x:t>
        </x:is>
      </x:c>
      <x:c r="H140" s="49" t="inlineStr">
        <x:is>
          <x:t xml:space="preserve">theophysics-lean-main\theophysics-lean-main\Theophysics_Core.lean</x:t>
        </x:is>
      </x:c>
      <x:c r="I140" s="56" t="inlineStr">
        <x:is>
          <x:t xml:space="preserve">142</x:t>
        </x:is>
      </x:c>
    </x:row>
    <x:row r="141" ht="15" customHeight="1">
      <x:c r="A141" s="55" t="inlineStr">
        <x:is>
          <x:t xml:space="preserve">LEAN_DERIVATION_CHAIN</x:t>
        </x:is>
      </x:c>
      <x:c r="B141" s="49" t="inlineStr">
        <x:is>
          <x:t xml:space="preserve">157</x:t>
        </x:is>
      </x:c>
      <x:c r="C141" s="49" t="inlineStr">
        <x:is>
          <x:t xml:space="preserve">MissionReturnOperator.lean</x:t>
        </x:is>
      </x:c>
      <x:c r="D141" s="49" t="inlineStr">
        <x:is>
          <x:t xml:space="preserve">resurrection_returns_to_infinite_resolution</x:t>
        </x:is>
      </x:c>
      <x:c r="E141" s="49" t="inlineStr">
        <x:is>
          <x:t xml:space="preserve">Resurrection = resolution returns to infinite</x:t>
        </x:is>
      </x:c>
      <x:c r="F141" s="49" t="inlineStr">
        <x:is>
          <x:t xml:space="preserve">PROVED</x:t>
        </x:is>
      </x:c>
      <x:c r="G141" s="49" t="inlineStr">
        <x:is>
          <x:t xml:space="preserve">FOUND_IN_FULL_47_FILE_SCAN</x:t>
        </x:is>
      </x:c>
      <x:c r="H141" s="49" t="inlineStr">
        <x:is>
          <x:t xml:space="preserve">theophysics-lean-main\theophysics-lean-main\Theophysics_Core.lean</x:t>
        </x:is>
      </x:c>
      <x:c r="I141" s="56" t="inlineStr">
        <x:is>
          <x:t xml:space="preserve">145</x:t>
        </x:is>
      </x:c>
    </x:row>
    <x:row r="142" ht="15" customHeight="1">
      <x:c r="A142" s="55" t="inlineStr">
        <x:is>
          <x:t xml:space="preserve">LEAN_DERIVATION_CHAIN</x:t>
        </x:is>
      </x:c>
      <x:c r="B142" s="49" t="inlineStr">
        <x:is>
          <x:t xml:space="preserve">158</x:t>
        </x:is>
      </x:c>
      <x:c r="C142" s="49" t="inlineStr">
        <x:is>
          <x:t xml:space="preserve">MissionReturnOperator.lean</x:t>
        </x:is>
      </x:c>
      <x:c r="D142" s="49" t="inlineStr">
        <x:is>
          <x:t xml:space="preserve">cross_has_entropy_and_death_contact</x:t>
        </x:is>
      </x:c>
      <x:c r="E142" s="49" t="inlineStr">
        <x:is>
          <x:t xml:space="preserve">Cross records entropy contact AND death contact</x:t>
        </x:is>
      </x:c>
      <x:c r="F142" s="49" t="inlineStr">
        <x:is>
          <x:t xml:space="preserve">PROVED</x:t>
        </x:is>
      </x:c>
      <x:c r="G142" s="49" t="inlineStr">
        <x:is>
          <x:t xml:space="preserve">FOUND_IN_FULL_47_FILE_SCAN</x:t>
        </x:is>
      </x:c>
      <x:c r="H142" s="49" t="inlineStr">
        <x:is>
          <x:t xml:space="preserve">theophysics-lean-main\theophysics-lean-main\Theophysics_Core.lean</x:t>
        </x:is>
      </x:c>
      <x:c r="I142" s="56" t="inlineStr">
        <x:is>
          <x:t xml:space="preserve">59</x:t>
        </x:is>
      </x:c>
    </x:row>
    <x:row r="143" ht="15" customHeight="1">
      <x:c r="A143" s="55" t="inlineStr">
        <x:is>
          <x:t xml:space="preserve">LEAN_DERIVATION_CHAIN</x:t>
        </x:is>
      </x:c>
      <x:c r="B143" s="49" t="inlineStr">
        <x:is>
          <x:t xml:space="preserve">160</x:t>
        </x:is>
      </x:c>
      <x:c r="C143" s="49" t="inlineStr">
        <x:is>
          <x:t xml:space="preserve">MissionReturnOperator.lean</x:t>
        </x:is>
      </x:c>
      <x:c r="D143" s="49" t="inlineStr">
        <x:is>
          <x:t xml:space="preserve">resurrection_is_not_identical_to_preincarnate_visible_record</x:t>
        </x:is>
      </x:c>
      <x:c r="E143" s="49" t="inlineStr">
        <x:is>
          <x:t xml:space="preserve">REJECTION: Post-resurrection ≠ pre-incarnate. It is RICHER — not a reset.</x:t>
        </x:is>
      </x:c>
      <x:c r="F143" s="49" t="inlineStr">
        <x:is>
          <x:t xml:space="preserve">REJECTION</x:t>
        </x:is>
      </x:c>
      <x:c r="G143" s="49" t="inlineStr">
        <x:is>
          <x:t xml:space="preserve">FOUND_IN_FULL_47_FILE_SCAN</x:t>
        </x:is>
      </x:c>
      <x:c r="H143" s="49" t="inlineStr">
        <x:is>
          <x:t xml:space="preserve">theophysics-lean-main\theophysics-lean-main\Theophysics_Adversarial.lean</x:t>
        </x:is>
      </x:c>
      <x:c r="I143" s="56" t="inlineStr">
        <x:is>
          <x:t xml:space="preserve">520</x:t>
        </x:is>
      </x:c>
    </x:row>
    <x:row r="144" ht="15" customHeight="1">
      <x:c r="A144" s="55" t="inlineStr">
        <x:is>
          <x:t xml:space="preserve">LEAN_DERIVATION_CHAIN</x:t>
        </x:is>
      </x:c>
      <x:c r="B144" s="49" t="inlineStr">
        <x:is>
          <x:t xml:space="preserve">161</x:t>
        </x:is>
      </x:c>
      <x:c r="C144" s="49" t="inlineStr">
        <x:is>
          <x:t xml:space="preserve">MissionReturnOperator.lean</x:t>
        </x:is>
      </x:c>
      <x:c r="D144" s="49" t="inlineStr">
        <x:is>
          <x:t xml:space="preserve">resurrection_same_substrate_richer_expression</x:t>
        </x:is>
      </x:c>
      <x:c r="E144" s="49" t="inlineStr">
        <x:is>
          <x:t xml:space="preserve">Same substrate + finite record carried = richer than before</x:t>
        </x:is>
      </x:c>
      <x:c r="F144" s="49" t="inlineStr">
        <x:is>
          <x:t xml:space="preserve">PROVED</x:t>
        </x:is>
      </x:c>
      <x:c r="G144" s="49" t="inlineStr">
        <x:is>
          <x:t xml:space="preserve">FOUND_IN_FULL_47_FILE_SCAN</x:t>
        </x:is>
      </x:c>
      <x:c r="H144" s="49" t="inlineStr">
        <x:is>
          <x:t xml:space="preserve">theophysics-lean-main\theophysics-lean-main\Theophysics_Core.lean</x:t>
        </x:is>
      </x:c>
      <x:c r="I144" s="56" t="inlineStr">
        <x:is>
          <x:t xml:space="preserve">146</x:t>
        </x:is>
      </x:c>
    </x:row>
    <x:row r="145" ht="15" customHeight="1">
      <x:c r="A145" s="55" t="inlineStr">
        <x:is>
          <x:t xml:space="preserve">LEAN_DERIVATION_CHAIN</x:t>
        </x:is>
      </x:c>
      <x:c r="B145" s="49" t="inlineStr">
        <x:is>
          <x:t xml:space="preserve">163</x:t>
        </x:is>
      </x:c>
      <x:c r="C145" s="49" t="inlineStr">
        <x:is>
          <x:t xml:space="preserve">MissionReturnOperator.lean</x:t>
        </x:is>
      </x:c>
      <x:c r="D145" s="49" t="inlineStr">
        <x:is>
          <x:t xml:space="preserve">mission_COp_is_not_repair_only</x:t>
        </x:is>
      </x:c>
      <x:c r="E145" s="49" t="inlineStr">
        <x:is>
          <x:t xml:space="preserve">REJECTION: Phase = resurrection + source preserved. This is mission return, NOT repair-only.</x:t>
        </x:is>
      </x:c>
      <x:c r="F145" s="49" t="inlineStr">
        <x:is>
          <x:t xml:space="preserve">REJECTION</x:t>
        </x:is>
      </x:c>
      <x:c r="G145" s="49" t="inlineStr">
        <x:is>
          <x:t xml:space="preserve">FOUND_IN_FULL_47_FILE_SCAN</x:t>
        </x:is>
      </x:c>
      <x:c r="H145" s="49" t="inlineStr">
        <x:is>
          <x:t xml:space="preserve">theophysics-lean-main\theophysics-lean-main\Theophysics_Adversarial.lean</x:t>
        </x:is>
      </x:c>
      <x:c r="I145" s="56" t="inlineStr">
        <x:is>
          <x:t xml:space="preserve">524</x:t>
        </x:is>
      </x:c>
    </x:row>
    <x:row r="146" ht="15" customHeight="1">
      <x:c r="A146" s="55" t="inlineStr">
        <x:is>
          <x:t xml:space="preserve">LEAN_DERIVATION_CHAIN</x:t>
        </x:is>
      </x:c>
      <x:c r="B146" s="49" t="inlineStr">
        <x:is>
          <x:t xml:space="preserve">165</x:t>
        </x:is>
      </x:c>
      <x:c r="C146" s="49" t="inlineStr">
        <x:is>
          <x:t xml:space="preserve">MemoryPersistenceDiscipline.lean</x:t>
        </x:is>
      </x:c>
      <x:c r="D146" s="49" t="inlineStr">
        <x:is>
          <x:t xml:space="preserve">christ_coherent_memory_retained</x:t>
        </x:is>
      </x:c>
      <x:c r="E146" s="49" t="inlineStr">
        <x:is>
          <x:t xml:space="preserve">Recorded + Christ-coherent → retention bit = 1</x:t>
        </x:is>
      </x:c>
      <x:c r="F146" s="49" t="inlineStr">
        <x:is>
          <x:t xml:space="preserve">PROVED</x:t>
        </x:is>
      </x:c>
      <x:c r="G146" s="49" t="inlineStr">
        <x:is>
          <x:t xml:space="preserve">FOUND_IN_FULL_47_FILE_SCAN</x:t>
        </x:is>
      </x:c>
      <x:c r="H146" s="49" t="inlineStr">
        <x:is>
          <x:t xml:space="preserve">theophysics-lean-main\theophysics-lean-main\Theophysics_Core.lean</x:t>
        </x:is>
      </x:c>
      <x:c r="I146" s="56" t="inlineStr">
        <x:is>
          <x:t xml:space="preserve">147</x:t>
        </x:is>
      </x:c>
    </x:row>
    <x:row r="147" ht="15" customHeight="1">
      <x:c r="A147" s="55" t="inlineStr">
        <x:is>
          <x:t xml:space="preserve">LEAN_DERIVATION_CHAIN</x:t>
        </x:is>
      </x:c>
      <x:c r="B147" s="49" t="inlineStr">
        <x:is>
          <x:t xml:space="preserve">166</x:t>
        </x:is>
      </x:c>
      <x:c r="C147" s="49" t="inlineStr">
        <x:is>
          <x:t xml:space="preserve">MemoryPersistenceDiscipline.lean</x:t>
        </x:is>
      </x:c>
      <x:c r="D147" s="49" t="inlineStr">
        <x:is>
          <x:t xml:space="preserve">incoherent_recorded_memory_not_retained</x:t>
        </x:is>
      </x:c>
      <x:c r="E147" s="49" t="inlineStr">
        <x:is>
          <x:t xml:space="preserve">REJECTION: Recorded but incoherent → retention bit = 0. Record alone is insufficient.</x:t>
        </x:is>
      </x:c>
      <x:c r="F147" s="49" t="inlineStr">
        <x:is>
          <x:t xml:space="preserve">REJECTION</x:t>
        </x:is>
      </x:c>
      <x:c r="G147" s="49" t="inlineStr">
        <x:is>
          <x:t xml:space="preserve">FOUND_IN_FULL_47_FILE_SCAN</x:t>
        </x:is>
      </x:c>
      <x:c r="H147" s="49" t="inlineStr">
        <x:is>
          <x:t xml:space="preserve">theophysics-lean-main\theophysics-lean-main\Theophysics_Adversarial.lean</x:t>
        </x:is>
      </x:c>
      <x:c r="I147" s="56" t="inlineStr">
        <x:is>
          <x:t xml:space="preserve">528</x:t>
        </x:is>
      </x:c>
    </x:row>
    <x:row r="148" ht="15" customHeight="1">
      <x:c r="A148" s="55" t="inlineStr">
        <x:is>
          <x:t xml:space="preserve">LEAN_DERIVATION_CHAIN</x:t>
        </x:is>
      </x:c>
      <x:c r="B148" s="49" t="inlineStr">
        <x:is>
          <x:t xml:space="preserve">168</x:t>
        </x:is>
      </x:c>
      <x:c r="C148" s="49" t="inlineStr">
        <x:is>
          <x:t xml:space="preserve">MemoryPersistenceDiscipline.lean</x:t>
        </x:is>
      </x:c>
      <x:c r="D148" s="49" t="inlineStr">
        <x:is>
          <x:t xml:space="preserve">recorded_and_christ_coherent_forces_retention</x:t>
        </x:is>
      </x:c>
      <x:c r="E148" s="49" t="inlineStr">
        <x:is>
          <x:t xml:space="preserve">∀ m, recorded ∧ coherent → retention = 1</x:t>
        </x:is>
      </x:c>
      <x:c r="F148" s="49" t="inlineStr">
        <x:is>
          <x:t xml:space="preserve">PROVED</x:t>
        </x:is>
      </x:c>
      <x:c r="G148" s="49" t="inlineStr">
        <x:is>
          <x:t xml:space="preserve">FOUND_IN_FULL_47_FILE_SCAN</x:t>
        </x:is>
      </x:c>
      <x:c r="H148" s="49" t="inlineStr">
        <x:is>
          <x:t xml:space="preserve">theophysics-lean-main\theophysics-lean-main\Theophysics_Core.lean</x:t>
        </x:is>
      </x:c>
      <x:c r="I148" s="56" t="inlineStr">
        <x:is>
          <x:t xml:space="preserve">150</x:t>
        </x:is>
      </x:c>
    </x:row>
    <x:row r="149" ht="15" customHeight="1">
      <x:c r="A149" s="55" t="inlineStr">
        <x:is>
          <x:t xml:space="preserve">LEAN_DERIVATION_CHAIN</x:t>
        </x:is>
      </x:c>
      <x:c r="B149" s="49" t="inlineStr">
        <x:is>
          <x:t xml:space="preserve">169</x:t>
        </x:is>
      </x:c>
      <x:c r="C149" s="49" t="inlineStr">
        <x:is>
          <x:t xml:space="preserve">MemoryPersistenceDiscipline.lean</x:t>
        </x:is>
      </x:c>
      <x:c r="D149" s="49" t="inlineStr">
        <x:is>
          <x:t xml:space="preserve">incoherent_recorded_memory_fails_only_final_retention</x:t>
        </x:is>
      </x:c>
      <x:c r="E149" s="49" t="inlineStr">
        <x:is>
          <x:t xml:space="preserve">Accessible during life but filtered at death. Living memory ≠ final identity.</x:t>
        </x:is>
      </x:c>
      <x:c r="F149" s="49" t="inlineStr">
        <x:is>
          <x:t xml:space="preserve">PROVED</x:t>
        </x:is>
      </x:c>
      <x:c r="G149" s="49" t="inlineStr">
        <x:is>
          <x:t xml:space="preserve">FOUND_IN_FULL_47_FILE_SCAN</x:t>
        </x:is>
      </x:c>
      <x:c r="H149" s="49" t="inlineStr">
        <x:is>
          <x:t xml:space="preserve">theophysics-lean-main\theophysics-lean-main\Theophysics_Core.lean</x:t>
        </x:is>
      </x:c>
      <x:c r="I149" s="56" t="inlineStr">
        <x:is>
          <x:t xml:space="preserve">149</x:t>
        </x:is>
      </x:c>
    </x:row>
    <x:row r="150" ht="15" customHeight="1">
      <x:c r="A150" s="55" t="inlineStr">
        <x:is>
          <x:t xml:space="preserve">LEAN_DERIVATION_CHAIN</x:t>
        </x:is>
      </x:c>
      <x:c r="B150" s="49" t="inlineStr">
        <x:is>
          <x:t xml:space="preserve">170</x:t>
        </x:is>
      </x:c>
      <x:c r="C150" s="49" t="inlineStr">
        <x:is>
          <x:t xml:space="preserve">MemoryPersistenceDiscipline.lean</x:t>
        </x:is>
      </x:c>
      <x:c r="D150" s="49" t="inlineStr">
        <x:is>
          <x:t xml:space="preserve">living_memory_is_not_final_identity_memory</x:t>
        </x:is>
      </x:c>
      <x:c r="E150" s="49" t="inlineStr">
        <x:is>
          <x:t xml:space="preserve">REJECTION: Life memory ≠ final identity memory. What you carry ≠ who you become.</x:t>
        </x:is>
      </x:c>
      <x:c r="F150" s="49" t="inlineStr">
        <x:is>
          <x:t xml:space="preserve">REJECTION</x:t>
        </x:is>
      </x:c>
      <x:c r="G150" s="49" t="inlineStr">
        <x:is>
          <x:t xml:space="preserve">FOUND_IN_FULL_47_FILE_SCAN</x:t>
        </x:is>
      </x:c>
      <x:c r="H150" s="49" t="inlineStr">
        <x:is>
          <x:t xml:space="preserve">theophysics-lean-main\theophysics-lean-main\Theophysics_Adversarial.lean</x:t>
        </x:is>
      </x:c>
      <x:c r="I150" s="56" t="inlineStr">
        <x:is>
          <x:t xml:space="preserve">532</x:t>
        </x:is>
      </x:c>
    </x:row>
    <x:row r="151" ht="15" customHeight="1">
      <x:c r="A151" s="55" t="inlineStr">
        <x:is>
          <x:t xml:space="preserve">LEAN_DERIVATION_CHAIN</x:t>
        </x:is>
      </x:c>
      <x:c r="B151" s="49" t="inlineStr">
        <x:is>
          <x:t xml:space="preserve">171</x:t>
        </x:is>
      </x:c>
      <x:c r="C151" s="49" t="inlineStr">
        <x:is>
          <x:t xml:space="preserve">MemoryPersistenceDiscipline.lean</x:t>
        </x:is>
      </x:c>
      <x:c r="D151" s="49" t="inlineStr">
        <x:is>
          <x:t xml:space="preserve">reoriented_incoherent_memory_becomes_retained</x:t>
        </x:is>
      </x:c>
      <x:c r="E151" s="49" t="inlineStr">
        <x:is>
          <x:t xml:space="preserve">Reorientation to Christ → retention restored. Conversion works.</x:t>
        </x:is>
      </x:c>
      <x:c r="F151" s="49" t="inlineStr">
        <x:is>
          <x:t xml:space="preserve">PROVED</x:t>
        </x:is>
      </x:c>
      <x:c r="G151" s="49" t="inlineStr">
        <x:is>
          <x:t xml:space="preserve">FOUND_IN_FULL_47_FILE_SCAN</x:t>
        </x:is>
      </x:c>
      <x:c r="H151" s="49" t="inlineStr">
        <x:is>
          <x:t xml:space="preserve">theophysics-lean-main\theophysics-lean-main\Theophysics_Core.lean</x:t>
        </x:is>
      </x:c>
      <x:c r="I151" s="56" t="inlineStr">
        <x:is>
          <x:t xml:space="preserve">151</x:t>
        </x:is>
      </x:c>
    </x:row>
    <x:row r="152" ht="15" customHeight="1">
      <x:c r="A152" s="55" t="inlineStr">
        <x:is>
          <x:t xml:space="preserve">LEAN_DERIVATION_CHAIN</x:t>
        </x:is>
      </x:c>
      <x:c r="B152" s="49" t="inlineStr">
        <x:is>
          <x:t xml:space="preserve">173</x:t>
        </x:is>
      </x:c>
      <x:c r="C152" s="49" t="inlineStr">
        <x:is>
          <x:t xml:space="preserve">MemoryPersistenceDiscipline.lean</x:t>
        </x:is>
      </x:c>
      <x:c r="D152" s="49" t="inlineStr">
        <x:is>
          <x:t xml:space="preserve">heaven_is_coherent_and_eternal</x:t>
        </x:is>
      </x:c>
      <x:c r="E152" s="49" t="inlineStr">
        <x:is>
          <x:t xml:space="preserve">Heaven = coherent + eternal domain. Unique characterization.</x:t>
        </x:is>
      </x:c>
      <x:c r="F152" s="49" t="inlineStr">
        <x:is>
          <x:t xml:space="preserve">PROVED</x:t>
        </x:is>
      </x:c>
      <x:c r="G152" s="49" t="inlineStr">
        <x:is>
          <x:t xml:space="preserve">FOUND_IN_FULL_47_FILE_SCAN</x:t>
        </x:is>
      </x:c>
      <x:c r="H152" s="49" t="inlineStr">
        <x:is>
          <x:t xml:space="preserve">theophysics-lean-main\theophysics-lean-main\Theophysics_Core.lean</x:t>
        </x:is>
      </x:c>
      <x:c r="I152" s="56" t="inlineStr">
        <x:is>
          <x:t xml:space="preserve">148</x:t>
        </x:is>
      </x:c>
    </x:row>
    <x:row r="153" ht="15" customHeight="1">
      <x:c r="A153" s="55" t="inlineStr">
        <x:is>
          <x:t xml:space="preserve">LEAN_DERIVATION_CHAIN</x:t>
        </x:is>
      </x:c>
      <x:c r="B153" s="49" t="inlineStr">
        <x:is>
          <x:t xml:space="preserve">175</x:t>
        </x:is>
      </x:c>
      <x:c r="C153" s="49" t="inlineStr">
        <x:is>
          <x:t xml:space="preserve">MemoryPersistenceDiscipline.lean</x:t>
        </x:is>
      </x:c>
      <x:c r="D153" s="49" t="inlineStr">
        <x:is>
          <x:t xml:space="preserve">direct_discoherent_christ_entry_into_heaven_fails</x:t>
        </x:is>
      </x:c>
      <x:c r="E153" s="49" t="inlineStr">
        <x:is>
          <x:t xml:space="preserve">REJECTION: Discoherent memory cannot directly enter heaven</x:t>
        </x:is>
      </x:c>
      <x:c r="F153" s="49" t="inlineStr">
        <x:is>
          <x:t xml:space="preserve">REJECTION</x:t>
        </x:is>
      </x:c>
      <x:c r="G153" s="49" t="inlineStr">
        <x:is>
          <x:t xml:space="preserve">FOUND_IN_FULL_47_FILE_SCAN</x:t>
        </x:is>
      </x:c>
      <x:c r="H153" s="49" t="inlineStr">
        <x:is>
          <x:t xml:space="preserve">theophysics-lean-main\theophysics-lean-main\Theophysics_Adversarial.lean</x:t>
        </x:is>
      </x:c>
      <x:c r="I153" s="56" t="inlineStr">
        <x:is>
          <x:t xml:space="preserve">536</x:t>
        </x:is>
      </x:c>
    </x:row>
    <x:row r="154" ht="15" customHeight="1">
      <x:c r="A154" s="55" t="inlineStr">
        <x:is>
          <x:t xml:space="preserve">LEAN_DERIVATION_CHAIN</x:t>
        </x:is>
      </x:c>
      <x:c r="B154" s="49" t="inlineStr">
        <x:is>
          <x:t xml:space="preserve">176</x:t>
        </x:is>
      </x:c>
      <x:c r="C154" s="49" t="inlineStr">
        <x:is>
          <x:t xml:space="preserve">MemoryPersistenceDiscipline.lean</x:t>
        </x:is>
      </x:c>
      <x:c r="D154" s="49" t="inlineStr">
        <x:is>
          <x:t xml:space="preserve">transformed_discoherent_christ_entry_into_heaven_passes</x:t>
        </x:is>
      </x:c>
      <x:c r="E154" s="49" t="inlineStr">
        <x:is>
          <x:t xml:space="preserve">Reintegrated memory CAN enter heaven. Conversion opens the gate.</x:t>
        </x:is>
      </x:c>
      <x:c r="F154" s="49" t="inlineStr">
        <x:is>
          <x:t xml:space="preserve">PROVED</x:t>
        </x:is>
      </x:c>
      <x:c r="G154" s="49" t="inlineStr">
        <x:is>
          <x:t xml:space="preserve">FOUND_IN_FULL_47_FILE_SCAN</x:t>
        </x:is>
      </x:c>
      <x:c r="H154" s="49" t="inlineStr">
        <x:is>
          <x:t xml:space="preserve">theophysics-lean-main\theophysics-lean-main\Theophysics_Core.lean</x:t>
        </x:is>
      </x:c>
      <x:c r="I154" s="56" t="inlineStr">
        <x:is>
          <x:t xml:space="preserve">152</x:t>
        </x:is>
      </x:c>
    </x:row>
    <x:row r="155" ht="15" customHeight="1">
      <x:c r="A155" s="55" t="inlineStr">
        <x:is>
          <x:t xml:space="preserve">LEAN_DERIVATION_CHAIN</x:t>
        </x:is>
      </x:c>
      <x:c r="B155" s="49" t="inlineStr">
        <x:is>
          <x:t xml:space="preserve">177</x:t>
        </x:is>
      </x:c>
      <x:c r="C155" s="49" t="inlineStr">
        <x:is>
          <x:t xml:space="preserve">MemoryPersistenceDiscipline.lean</x:t>
        </x:is>
      </x:c>
      <x:c r="D155" s="49" t="inlineStr">
        <x:is>
          <x:t xml:space="preserve">transformed_unrecorded_discoherent_entry_still_fails</x:t>
        </x:is>
      </x:c>
      <x:c r="E155" s="49" t="inlineStr">
        <x:is>
          <x:t xml:space="preserve">REJECTION: But unrecorded events cannot be rescued. You cannot convert what was never recorded.</x:t>
        </x:is>
      </x:c>
      <x:c r="F155" s="49" t="inlineStr">
        <x:is>
          <x:t xml:space="preserve">REJECTION</x:t>
        </x:is>
      </x:c>
      <x:c r="G155" s="49" t="inlineStr">
        <x:is>
          <x:t xml:space="preserve">FOUND_IN_FULL_47_FILE_SCAN</x:t>
        </x:is>
      </x:c>
      <x:c r="H155" s="49" t="inlineStr">
        <x:is>
          <x:t xml:space="preserve">theophysics-lean-main\theophysics-lean-main\Theophysics_Adversarial.lean</x:t>
        </x:is>
      </x:c>
      <x:c r="I155" s="56" t="inlineStr">
        <x:is>
          <x:t xml:space="preserve">540</x:t>
        </x:is>
      </x:c>
    </x:row>
    <x:row r="156" ht="15" customHeight="1">
      <x:c r="A156" s="55" t="inlineStr">
        <x:is>
          <x:t xml:space="preserve">LEAN_DERIVATION_CHAIN</x:t>
        </x:is>
      </x:c>
      <x:c r="B156" s="49" t="inlineStr">
        <x:is>
          <x:t xml:space="preserve">178</x:t>
        </x:is>
      </x:c>
      <x:c r="C156" s="49" t="inlineStr">
        <x:is>
          <x:t xml:space="preserve">MemoryPersistenceDiscipline.lean</x:t>
        </x:is>
      </x:c>
      <x:c r="D156" s="49" t="inlineStr">
        <x:is>
          <x:t xml:space="preserve">valid_giving_life_to_christ</x:t>
        </x:is>
      </x:c>
      <x:c r="E156" s="49" t="inlineStr">
        <x:is>
          <x:t xml:space="preserve">Surrender + external grace = valid conversion</x:t>
        </x:is>
      </x:c>
      <x:c r="F156" s="49" t="inlineStr">
        <x:is>
          <x:t xml:space="preserve">PROVED</x:t>
        </x:is>
      </x:c>
      <x:c r="G156" s="49" t="inlineStr">
        <x:is>
          <x:t xml:space="preserve">FOUND_IN_FULL_47_FILE_SCAN</x:t>
        </x:is>
      </x:c>
      <x:c r="H156" s="49" t="inlineStr">
        <x:is>
          <x:t xml:space="preserve">theophysics-lean-main\theophysics-lean-main\Theophysics_Core.lean</x:t>
        </x:is>
      </x:c>
      <x:c r="I156" s="56" t="inlineStr">
        <x:is>
          <x:t xml:space="preserve">153</x:t>
        </x:is>
      </x:c>
    </x:row>
    <x:row r="157" ht="15" customHeight="1">
      <x:c r="A157" s="55" t="inlineStr">
        <x:is>
          <x:t xml:space="preserve">LEAN_DERIVATION_CHAIN</x:t>
        </x:is>
      </x:c>
      <x:c r="B157" s="49" t="inlineStr">
        <x:is>
          <x:t xml:space="preserve">179</x:t>
        </x:is>
      </x:c>
      <x:c r="C157" s="49" t="inlineStr">
        <x:is>
          <x:t xml:space="preserve">MemoryPersistenceDiscipline.lean</x:t>
        </x:is>
      </x:c>
      <x:c r="D157" s="49" t="inlineStr">
        <x:is>
          <x:t xml:space="preserve">resisting_without_grace_not_valid_conversion</x:t>
        </x:is>
      </x:c>
      <x:c r="E157" s="49" t="inlineStr">
        <x:is>
          <x:t xml:space="preserve">REJECTION: Resisting without grace = invalid. Will alone is not enough.</x:t>
        </x:is>
      </x:c>
      <x:c r="F157" s="49" t="inlineStr">
        <x:is>
          <x:t xml:space="preserve">REJECTION</x:t>
        </x:is>
      </x:c>
      <x:c r="G157" s="49" t="inlineStr">
        <x:is>
          <x:t xml:space="preserve">FOUND_IN_FULL_47_FILE_SCAN</x:t>
        </x:is>
      </x:c>
      <x:c r="H157" s="49" t="inlineStr">
        <x:is>
          <x:t xml:space="preserve">theophysics-lean-main\theophysics-lean-main\Theophysics_Adversarial.lean</x:t>
        </x:is>
      </x:c>
      <x:c r="I157" s="56" t="inlineStr">
        <x:is>
          <x:t xml:space="preserve">544</x:t>
        </x:is>
      </x:c>
    </x:row>
    <x:row r="158" ht="15" customHeight="1">
      <x:c r="A158" s="55" t="inlineStr">
        <x:is>
          <x:t xml:space="preserve">LEAN_DERIVATION_CHAIN</x:t>
        </x:is>
      </x:c>
      <x:c r="B158" s="49" t="inlineStr">
        <x:is>
          <x:t xml:space="preserve">181</x:t>
        </x:is>
      </x:c>
      <x:c r="C158" s="49" t="inlineStr">
        <x:is>
          <x:t xml:space="preserve">MemoryPersistenceDiscipline.lean</x:t>
        </x:is>
      </x:c>
      <x:c r="D158" s="49" t="inlineStr">
        <x:is>
          <x:t xml:space="preserve">unrecorded_negative_conversion_still_has_no_identity_trace</x:t>
        </x:is>
      </x:c>
      <x:c r="E158" s="49" t="inlineStr">
        <x:is>
          <x:t xml:space="preserve">REJECTION: Cannot create record from nothing. Grace restores, but doesn't fabricate.</x:t>
        </x:is>
      </x:c>
      <x:c r="F158" s="49" t="inlineStr">
        <x:is>
          <x:t xml:space="preserve">REJECTION</x:t>
        </x:is>
      </x:c>
      <x:c r="G158" s="49" t="inlineStr">
        <x:is>
          <x:t xml:space="preserve">FOUND_IN_FULL_47_FILE_SCAN</x:t>
        </x:is>
      </x:c>
      <x:c r="H158" s="49" t="inlineStr">
        <x:is>
          <x:t xml:space="preserve">theophysics-lean-main\theophysics-lean-main\Theophysics_Adversarial.lean</x:t>
        </x:is>
      </x:c>
      <x:c r="I158" s="56" t="inlineStr">
        <x:is>
          <x:t xml:space="preserve">548</x:t>
        </x:is>
      </x:c>
    </x:row>
    <x:row r="159" ht="15" customHeight="1">
      <x:c r="A159" s="55" t="inlineStr">
        <x:is>
          <x:t xml:space="preserve">LEAN_DERIVATION_CHAIN</x:t>
        </x:is>
      </x:c>
      <x:c r="B159" s="49" t="inlineStr">
        <x:is>
          <x:t xml:space="preserve">183</x:t>
        </x:is>
      </x:c>
      <x:c r="C159" s="49" t="inlineStr">
        <x:is>
          <x:t xml:space="preserve">DependencyLattice.lean</x:t>
        </x:is>
      </x:c>
      <x:c r="D159" s="49" t="inlineStr">
        <x:is>
          <x:t xml:space="preserve">fall_has_parallel_death_and_judgment</x:t>
        </x:is>
      </x:c>
      <x:c r="E159" s="49" t="inlineStr">
        <x:is>
          <x:t xml:space="preserve">Death and judgment are parallel consequences of the Fall</x:t>
        </x:is>
      </x:c>
      <x:c r="F159" s="49" t="inlineStr">
        <x:is>
          <x:t xml:space="preserve">PROVED</x:t>
        </x:is>
      </x:c>
      <x:c r="G159" s="49" t="inlineStr">
        <x:is>
          <x:t xml:space="preserve">FOUND_IN_FULL_47_FILE_SCAN</x:t>
        </x:is>
      </x:c>
      <x:c r="H159" s="49" t="inlineStr">
        <x:is>
          <x:t xml:space="preserve">theophysics-lean-main\theophysics-lean-main\Theophysics_Core.lean</x:t>
        </x:is>
      </x:c>
      <x:c r="I159" s="56" t="inlineStr">
        <x:is>
          <x:t xml:space="preserve">157</x:t>
        </x:is>
      </x:c>
    </x:row>
    <x:row r="160" ht="15" customHeight="1">
      <x:c r="A160" s="55" t="inlineStr">
        <x:is>
          <x:t xml:space="preserve">LEAN_DERIVATION_CHAIN</x:t>
        </x:is>
      </x:c>
      <x:c r="B160" s="49" t="inlineStr">
        <x:is>
          <x:t xml:space="preserve">184</x:t>
        </x:is>
      </x:c>
      <x:c r="C160" s="49" t="inlineStr">
        <x:is>
          <x:t xml:space="preserve">DependencyLattice.lean</x:t>
        </x:is>
      </x:c>
      <x:c r="D160" s="49" t="inlineStr">
        <x:is>
          <x:t xml:space="preserve">fall_has_parallel_promise_not_death_then_promise</x:t>
        </x:is>
      </x:c>
      <x:c r="E160" s="49" t="inlineStr">
        <x:is>
          <x:t xml:space="preserve">REJECTION: Promise is parallel from Fall, NOT sequential from Death</x:t>
        </x:is>
      </x:c>
      <x:c r="F160" s="49" t="inlineStr">
        <x:is>
          <x:t xml:space="preserve">REJECTION</x:t>
        </x:is>
      </x:c>
      <x:c r="G160" s="49" t="inlineStr">
        <x:is>
          <x:t xml:space="preserve">FOUND_IN_FULL_47_FILE_SCAN</x:t>
        </x:is>
      </x:c>
      <x:c r="H160" s="49" t="inlineStr">
        <x:is>
          <x:t xml:space="preserve">theophysics-lean-main\theophysics-lean-main\Theophysics_Adversarial.lean</x:t>
        </x:is>
      </x:c>
      <x:c r="I160" s="56" t="inlineStr">
        <x:is>
          <x:t xml:space="preserve">552</x:t>
        </x:is>
      </x:c>
    </x:row>
    <x:row r="161" ht="15" customHeight="1">
      <x:c r="A161" s="55" t="inlineStr">
        <x:is>
          <x:t xml:space="preserve">LEAN_DERIVATION_CHAIN</x:t>
        </x:is>
      </x:c>
      <x:c r="B161" s="49" t="inlineStr">
        <x:is>
          <x:t xml:space="preserve">185</x:t>
        </x:is>
      </x:c>
      <x:c r="C161" s="49" t="inlineStr">
        <x:is>
          <x:t xml:space="preserve">DependencyLattice.lean</x:t>
        </x:is>
      </x:c>
      <x:c r="D161" s="49" t="inlineStr">
        <x:is>
          <x:t xml:space="preserve">no_death_strictly_before_judgment</x:t>
        </x:is>
      </x:c>
      <x:c r="E161" s="49" t="inlineStr">
        <x:is>
          <x:t xml:space="preserve">REJECTION: Death is NOT a prerequisite for judgment</x:t>
        </x:is>
      </x:c>
      <x:c r="F161" s="49" t="inlineStr">
        <x:is>
          <x:t xml:space="preserve">REJECTION</x:t>
        </x:is>
      </x:c>
      <x:c r="G161" s="49" t="inlineStr">
        <x:is>
          <x:t xml:space="preserve">FOUND_IN_FULL_47_FILE_SCAN</x:t>
        </x:is>
      </x:c>
      <x:c r="H161" s="49" t="inlineStr">
        <x:is>
          <x:t xml:space="preserve">theophysics-lean-main\theophysics-lean-main\Theophysics_Adversarial.lean</x:t>
        </x:is>
      </x:c>
      <x:c r="I161" s="56" t="inlineStr">
        <x:is>
          <x:t xml:space="preserve">556</x:t>
        </x:is>
      </x:c>
    </x:row>
    <x:row r="162" ht="15" customHeight="1">
      <x:c r="A162" s="55" t="inlineStr">
        <x:is>
          <x:t xml:space="preserve">LEAN_DERIVATION_CHAIN</x:t>
        </x:is>
      </x:c>
      <x:c r="B162" s="49" t="inlineStr">
        <x:is>
          <x:t xml:space="preserve">186</x:t>
        </x:is>
      </x:c>
      <x:c r="C162" s="49" t="inlineStr">
        <x:is>
          <x:t xml:space="preserve">DependencyLattice.lean</x:t>
        </x:is>
      </x:c>
      <x:c r="D162" s="49" t="inlineStr">
        <x:is>
          <x:t xml:space="preserve">fall_as_covenant_rupture_requires_image_and_covenant</x:t>
        </x:is>
      </x:c>
      <x:c r="E162" s="49" t="inlineStr">
        <x:is>
          <x:t xml:space="preserve">Fall requires BOTH Image and Covenant (multi-parent). Cannot fall from a covenant you never had.</x:t>
        </x:is>
      </x:c>
      <x:c r="F162" s="49" t="inlineStr">
        <x:is>
          <x:t xml:space="preserve">PROVED</x:t>
        </x:is>
      </x:c>
      <x:c r="G162" s="49" t="inlineStr">
        <x:is>
          <x:t xml:space="preserve">FOUND_IN_FULL_47_FILE_SCAN</x:t>
        </x:is>
      </x:c>
      <x:c r="H162" s="49" t="inlineStr">
        <x:is>
          <x:t xml:space="preserve">theophysics-lean-main\theophysics-lean-main\Theophysics_Core.lean</x:t>
        </x:is>
      </x:c>
      <x:c r="I162" s="56" t="inlineStr">
        <x:is>
          <x:t xml:space="preserve">156</x:t>
        </x:is>
      </x:c>
    </x:row>
    <x:row r="163" ht="15" customHeight="1">
      <x:c r="A163" s="55" t="inlineStr">
        <x:is>
          <x:t xml:space="preserve">LEAN_DERIVATION_CHAIN</x:t>
        </x:is>
      </x:c>
      <x:c r="B163" s="49" t="inlineStr">
        <x:is>
          <x:t xml:space="preserve">187</x:t>
        </x:is>
      </x:c>
      <x:c r="C163" s="49" t="inlineStr">
        <x:is>
          <x:t xml:space="preserve">DependencyLattice.lean</x:t>
        </x:is>
      </x:c>
      <x:c r="D163" s="49" t="inlineStr">
        <x:is>
          <x:t xml:space="preserve">energy_and_momentum_are_noether_siblings</x:t>
        </x:is>
      </x:c>
      <x:c r="E163" s="49" t="inlineStr">
        <x:is>
          <x:t xml:space="preserve">Energy and momentum are parallel from symmetry (Noether). Neither parents the other.</x:t>
        </x:is>
      </x:c>
      <x:c r="F163" s="49" t="inlineStr">
        <x:is>
          <x:t xml:space="preserve">PROVED</x:t>
        </x:is>
      </x:c>
      <x:c r="G163" s="49" t="inlineStr">
        <x:is>
          <x:t xml:space="preserve">FOUND_IN_FULL_47_FILE_SCAN</x:t>
        </x:is>
      </x:c>
      <x:c r="H163" s="49" t="inlineStr">
        <x:is>
          <x:t xml:space="preserve">theophysics-lean-main\theophysics-lean-main\Theophysics_Core.lean</x:t>
        </x:is>
      </x:c>
      <x:c r="I163" s="56" t="inlineStr">
        <x:is>
          <x:t xml:space="preserve">155</x:t>
        </x:is>
      </x:c>
    </x:row>
    <x:row r="164" ht="15" customHeight="1">
      <x:c r="A164" s="55" t="inlineStr">
        <x:is>
          <x:t xml:space="preserve">LEAN_DERIVATION_CHAIN</x:t>
        </x:is>
      </x:c>
      <x:c r="B164" s="49" t="inlineStr">
        <x:is>
          <x:t xml:space="preserve">188</x:t>
        </x:is>
      </x:c>
      <x:c r="C164" s="49" t="inlineStr">
        <x:is>
          <x:t xml:space="preserve">DependencyLattice.lean</x:t>
        </x:is>
      </x:c>
      <x:c r="D164" s="49" t="inlineStr">
        <x:is>
          <x:t xml:space="preserve">no_energy_parent_of_momentum</x:t>
        </x:is>
      </x:c>
      <x:c r="E164" s="49" t="inlineStr">
        <x:is>
          <x:t xml:space="preserve">REJECTION: Energy does NOT parent momentum</x:t>
        </x:is>
      </x:c>
      <x:c r="F164" s="49" t="inlineStr">
        <x:is>
          <x:t xml:space="preserve">REJECTION</x:t>
        </x:is>
      </x:c>
      <x:c r="G164" s="49" t="inlineStr">
        <x:is>
          <x:t xml:space="preserve">FOUND_IN_FULL_47_FILE_SCAN</x:t>
        </x:is>
      </x:c>
      <x:c r="H164" s="49" t="inlineStr">
        <x:is>
          <x:t xml:space="preserve">theophysics-lean-main\theophysics-lean-main\Theophysics_Adversarial.lean</x:t>
        </x:is>
      </x:c>
      <x:c r="I164" s="56" t="inlineStr">
        <x:is>
          <x:t xml:space="preserve">560</x:t>
        </x:is>
      </x:c>
    </x:row>
    <x:row r="165" ht="15" customHeight="1">
      <x:c r="A165" s="55" t="inlineStr">
        <x:is>
          <x:t xml:space="preserve">LEAN_DERIVATION_CHAIN</x:t>
        </x:is>
      </x:c>
      <x:c r="B165" s="49" t="inlineStr">
        <x:is>
          <x:t xml:space="preserve">189</x:t>
        </x:is>
      </x:c>
      <x:c r="C165" s="49" t="inlineStr">
        <x:is>
          <x:t xml:space="preserve">DependencyLattice.lean</x:t>
        </x:is>
      </x:c>
      <x:c r="D165" s="49" t="inlineStr">
        <x:is>
          <x:t xml:space="preserve">bound_state_requires_excitation_and_coupling</x:t>
        </x:is>
      </x:c>
      <x:c r="E165" s="49" t="inlineStr">
        <x:is>
          <x:t xml:space="preserve">Bound state requires both excitation AND coupling (multi-parent)</x:t>
        </x:is>
      </x:c>
      <x:c r="F165" s="49" t="inlineStr">
        <x:is>
          <x:t xml:space="preserve">PROVED</x:t>
        </x:is>
      </x:c>
      <x:c r="G165" s="49" t="inlineStr">
        <x:is>
          <x:t xml:space="preserve">FOUND_IN_FULL_47_FILE_SCAN</x:t>
        </x:is>
      </x:c>
      <x:c r="H165" s="49" t="inlineStr">
        <x:is>
          <x:t xml:space="preserve">theophysics-lean-main\theophysics-lean-main\Theophysics_Core.lean</x:t>
        </x:is>
      </x:c>
      <x:c r="I165" s="56" t="inlineStr">
        <x:is>
          <x:t xml:space="preserve">154</x:t>
        </x:is>
      </x:c>
    </x:row>
    <x:row r="166" ht="15" customHeight="1">
      <x:c r="A166" s="55" t="inlineStr">
        <x:is>
          <x:t xml:space="preserve">LEAN_DERIVATION_CHAIN</x:t>
        </x:is>
      </x:c>
      <x:c r="B166" s="49" t="inlineStr">
        <x:is>
          <x:t xml:space="preserve">191</x:t>
        </x:is>
      </x:c>
      <x:c r="C166" s="49" t="inlineStr">
        <x:is>
          <x:t xml:space="preserve">DependencyLattice.lean</x:t>
        </x:is>
      </x:c>
      <x:c r="D166" s="49" t="inlineStr">
        <x:is>
          <x:t xml:space="preserve">glorification_requires_both_for_this_lattice</x:t>
        </x:is>
      </x:c>
      <x:c r="E166" s="49" t="inlineStr">
        <x:is>
          <x:t xml:space="preserve">Glorification requires both justification and sanctification</x:t>
        </x:is>
      </x:c>
      <x:c r="F166" s="49" t="inlineStr">
        <x:is>
          <x:t xml:space="preserve">PROVED</x:t>
        </x:is>
      </x:c>
      <x:c r="G166" s="49" t="inlineStr">
        <x:is>
          <x:t xml:space="preserve">FOUND_IN_FULL_47_FILE_SCAN</x:t>
        </x:is>
      </x:c>
      <x:c r="H166" s="49" t="inlineStr">
        <x:is>
          <x:t xml:space="preserve">theophysics-lean-main\theophysics-lean-main\Theophysics_Core.lean</x:t>
        </x:is>
      </x:c>
      <x:c r="I166" s="56" t="inlineStr">
        <x:is>
          <x:t xml:space="preserve">158</x:t>
        </x:is>
      </x:c>
    </x:row>
    <x:row r="167" ht="15" customHeight="1">
      <x:c r="A167" s="55" t="inlineStr">
        <x:is>
          <x:t xml:space="preserve">LEAN_DERIVATION_CHAIN</x:t>
        </x:is>
      </x:c>
      <x:c r="B167" s="49" t="inlineStr">
        <x:is>
          <x:t xml:space="preserve">192</x:t>
        </x:is>
      </x:c>
      <x:c r="C167" s="49" t="inlineStr">
        <x:is>
          <x:t xml:space="preserve">DependencyLattice.lean</x:t>
        </x:is>
      </x:c>
      <x:c r="D167" s="49" t="inlineStr">
        <x:is>
          <x:t xml:space="preserve">narrative_and_dependency_orders_diverge_at_justification_union</x:t>
        </x:is>
      </x:c>
      <x:c r="E167" s="49" t="inlineStr">
        <x:is>
          <x:t xml:space="preserve">Teaching order and dependency order diverge at exactly this point. The line is not the lattice.</x:t>
        </x:is>
      </x:c>
      <x:c r="F167" s="49" t="inlineStr">
        <x:is>
          <x:t xml:space="preserve">PROVED</x:t>
        </x:is>
      </x:c>
      <x:c r="G167" s="49" t="inlineStr">
        <x:is>
          <x:t xml:space="preserve">FOUND_IN_FULL_47_FILE_SCAN</x:t>
        </x:is>
      </x:c>
      <x:c r="H167" s="49" t="inlineStr">
        <x:is>
          <x:t xml:space="preserve">theophysics-lean-main\theophysics-lean-main\Theophysics_Core.lean</x:t>
        </x:is>
      </x:c>
      <x:c r="I167" s="56" t="inlineStr">
        <x:is>
          <x:t xml:space="preserve">159</x:t>
        </x:is>
      </x:c>
    </x:row>
    <x:row r="168" ht="15" customHeight="1">
      <x:c r="A168" s="55" t="inlineStr">
        <x:is>
          <x:t xml:space="preserve">LEAN_DERIVATION_CHAIN</x:t>
        </x:is>
      </x:c>
      <x:c r="B168" s="49" t="inlineStr">
        <x:is>
          <x:t xml:space="preserve">195</x:t>
        </x:is>
      </x:c>
      <x:c r="C168" s="49" t="inlineStr">
        <x:is>
          <x:t xml:space="preserve">HitRateDiscipline.lean</x:t>
        </x:is>
      </x:c>
      <x:c r="D168" s="49" t="inlineStr">
        <x:is>
          <x:t xml:space="preserve">closedEightOfTen_attempt_count</x:t>
        </x:is>
      </x:c>
      <x:c r="E168" s="49" t="inlineStr">
        <x:is>
          <x:t xml:space="preserve">10 attempts logged</x:t>
        </x:is>
      </x:c>
      <x:c r="F168" s="49" t="inlineStr">
        <x:is>
          <x:t xml:space="preserve">PROVED</x:t>
        </x:is>
      </x:c>
      <x:c r="G168" s="49" t="inlineStr">
        <x:is>
          <x:t xml:space="preserve">FOUND_IN_FULL_47_FILE_SCAN</x:t>
        </x:is>
      </x:c>
      <x:c r="H168" s="49" t="inlineStr">
        <x:is>
          <x:t xml:space="preserve">theophysics-lean-main\theophysics-lean-main\Theophysics_Core.lean</x:t>
        </x:is>
      </x:c>
      <x:c r="I168" s="56" t="inlineStr">
        <x:is>
          <x:t xml:space="preserve">160</x:t>
        </x:is>
      </x:c>
    </x:row>
    <x:row r="169" ht="15" customHeight="1">
      <x:c r="A169" s="55" t="inlineStr">
        <x:is>
          <x:t xml:space="preserve">LEAN_DERIVATION_CHAIN</x:t>
        </x:is>
      </x:c>
      <x:c r="B169" s="49" t="inlineStr">
        <x:is>
          <x:t xml:space="preserve">196</x:t>
        </x:is>
      </x:c>
      <x:c r="C169" s="49" t="inlineStr">
        <x:is>
          <x:t xml:space="preserve">HitRateDiscipline.lean</x:t>
        </x:is>
      </x:c>
      <x:c r="D169" s="49" t="inlineStr">
        <x:is>
          <x:t xml:space="preserve">closedEightOfTen_hit_count</x:t>
        </x:is>
      </x:c>
      <x:c r="E169" s="49" t="inlineStr">
        <x:is>
          <x:t xml:space="preserve">8 hits (compiled bridges)</x:t>
        </x:is>
      </x:c>
      <x:c r="F169" s="49" t="inlineStr">
        <x:is>
          <x:t xml:space="preserve">PROVED</x:t>
        </x:is>
      </x:c>
      <x:c r="G169" s="49" t="inlineStr">
        <x:is>
          <x:t xml:space="preserve">FOUND_IN_FULL_47_FILE_SCAN</x:t>
        </x:is>
      </x:c>
      <x:c r="H169" s="49" t="inlineStr">
        <x:is>
          <x:t xml:space="preserve">theophysics-lean-main\theophysics-lean-main\Theophysics_Core.lean</x:t>
        </x:is>
      </x:c>
      <x:c r="I169" s="56" t="inlineStr">
        <x:is>
          <x:t xml:space="preserve">163</x:t>
        </x:is>
      </x:c>
    </x:row>
    <x:row r="170" ht="15" customHeight="1">
      <x:c r="A170" s="55" t="inlineStr">
        <x:is>
          <x:t xml:space="preserve">LEAN_DERIVATION_CHAIN</x:t>
        </x:is>
      </x:c>
      <x:c r="B170" s="49" t="inlineStr">
        <x:is>
          <x:t xml:space="preserve">197</x:t>
        </x:is>
      </x:c>
      <x:c r="C170" s="49" t="inlineStr">
        <x:is>
          <x:t xml:space="preserve">HitRateDiscipline.lean</x:t>
        </x:is>
      </x:c>
      <x:c r="D170" s="49" t="inlineStr">
        <x:is>
          <x:t xml:space="preserve">closedEightOfTen_denominator_closed</x:t>
        </x:is>
      </x:c>
      <x:c r="E170" s="49" t="inlineStr">
        <x:is>
          <x:t xml:space="preserve">All attempts logged before publication. No hidden failures.</x:t>
        </x:is>
      </x:c>
      <x:c r="F170" s="49" t="inlineStr">
        <x:is>
          <x:t xml:space="preserve">PROVED</x:t>
        </x:is>
      </x:c>
      <x:c r="G170" s="49" t="inlineStr">
        <x:is>
          <x:t xml:space="preserve">FOUND_IN_FULL_47_FILE_SCAN</x:t>
        </x:is>
      </x:c>
      <x:c r="H170" s="49" t="inlineStr">
        <x:is>
          <x:t xml:space="preserve">theophysics-lean-main\theophysics-lean-main\Theophysics_Core.lean</x:t>
        </x:is>
      </x:c>
      <x:c r="I170" s="56" t="inlineStr">
        <x:is>
          <x:t xml:space="preserve">162</x:t>
        </x:is>
      </x:c>
    </x:row>
    <x:row r="171" ht="15" customHeight="1">
      <x:c r="A171" s="55" t="inlineStr">
        <x:is>
          <x:t xml:space="preserve">LEAN_DERIVATION_CHAIN</x:t>
        </x:is>
      </x:c>
      <x:c r="B171" s="49" t="inlineStr">
        <x:is>
          <x:t xml:space="preserve">198</x:t>
        </x:is>
      </x:c>
      <x:c r="C171" s="49" t="inlineStr">
        <x:is>
          <x:t xml:space="preserve">HitRateDiscipline.lean</x:t>
        </x:is>
      </x:c>
      <x:c r="D171" s="49" t="inlineStr">
        <x:is>
          <x:t xml:space="preserve">closedEightOfTen_can_claim_80_percent</x:t>
        </x:is>
      </x:c>
      <x:c r="E171" s="49" t="inlineStr">
        <x:is>
          <x:t xml:space="preserve">80% hit rate claim is valid</x:t>
        </x:is>
      </x:c>
      <x:c r="F171" s="49" t="inlineStr">
        <x:is>
          <x:t xml:space="preserve">PROVED</x:t>
        </x:is>
      </x:c>
      <x:c r="G171" s="49" t="inlineStr">
        <x:is>
          <x:t xml:space="preserve">FOUND_IN_FULL_47_FILE_SCAN</x:t>
        </x:is>
      </x:c>
      <x:c r="H171" s="49" t="inlineStr">
        <x:is>
          <x:t xml:space="preserve">theophysics-lean-main\theophysics-lean-main\Theophysics_Core.lean</x:t>
        </x:is>
      </x:c>
      <x:c r="I171" s="56" t="inlineStr">
        <x:is>
          <x:t xml:space="preserve">161</x:t>
        </x:is>
      </x:c>
    </x:row>
    <x:row r="172" ht="15" customHeight="1">
      <x:c r="A172" s="55" t="inlineStr">
        <x:is>
          <x:t xml:space="preserve">LEAN_DERIVATION_CHAIN</x:t>
        </x:is>
      </x:c>
      <x:c r="B172" s="49" t="inlineStr">
        <x:is>
          <x:t xml:space="preserve">199</x:t>
        </x:is>
      </x:c>
      <x:c r="C172" s="49" t="inlineStr">
        <x:is>
          <x:t xml:space="preserve">HitRateDiscipline.lean</x:t>
        </x:is>
      </x:c>
      <x:c r="D172" s="49" t="inlineStr">
        <x:is>
          <x:t xml:space="preserve">closedEightOfTen_cannot_claim_90_percent</x:t>
        </x:is>
      </x:c>
      <x:c r="E172" s="49" t="inlineStr">
        <x:is>
          <x:t xml:space="preserve">REJECTION: 90% claim is blocked. Can't claim what you haven't earned.</x:t>
        </x:is>
      </x:c>
      <x:c r="F172" s="49" t="inlineStr">
        <x:is>
          <x:t xml:space="preserve">REJECTION</x:t>
        </x:is>
      </x:c>
      <x:c r="G172" s="49" t="inlineStr">
        <x:is>
          <x:t xml:space="preserve">FOUND_IN_FULL_47_FILE_SCAN</x:t>
        </x:is>
      </x:c>
      <x:c r="H172" s="49" t="inlineStr">
        <x:is>
          <x:t xml:space="preserve">theophysics-lean-main\theophysics-lean-main\Theophysics_Adversarial.lean</x:t>
        </x:is>
      </x:c>
      <x:c r="I172" s="56" t="inlineStr">
        <x:is>
          <x:t xml:space="preserve">565</x:t>
        </x:is>
      </x:c>
    </x:row>
    <x:row r="173" ht="15" customHeight="1">
      <x:c r="A173" s="55" t="inlineStr">
        <x:is>
          <x:t xml:space="preserve">LEAN_DERIVATION_CHAIN</x:t>
        </x:is>
      </x:c>
      <x:c r="B173" s="49" t="inlineStr">
        <x:is>
          <x:t xml:space="preserve">200</x:t>
        </x:is>
      </x:c>
      <x:c r="C173" s="49" t="inlineStr">
        <x:is>
          <x:t xml:space="preserve">HitRateDiscipline.lean</x:t>
        </x:is>
      </x:c>
      <x:c r="D173" s="49" t="inlineStr">
        <x:is>
          <x:t xml:space="preserve">hiddenDenominator_blocks_anomaly_claim</x:t>
        </x:is>
      </x:c>
      <x:c r="E173" s="49" t="inlineStr">
        <x:is>
          <x:t xml:space="preserve">REJECTION: Hidden failures block ANY anomaly claim. Integrity is non-negotiable.</x:t>
        </x:is>
      </x:c>
      <x:c r="F173" s="49" t="inlineStr">
        <x:is>
          <x:t xml:space="preserve">REJECTION</x:t>
        </x:is>
      </x:c>
      <x:c r="G173" s="49" t="inlineStr">
        <x:is>
          <x:t xml:space="preserve">FOUND_IN_FULL_47_FILE_SCAN</x:t>
        </x:is>
      </x:c>
      <x:c r="H173" s="49" t="inlineStr">
        <x:is>
          <x:t xml:space="preserve">theophysics-lean-main\theophysics-lean-main\Theophysics_Adversarial.lean</x:t>
        </x:is>
      </x:c>
      <x:c r="I173" s="56" t="inlineStr">
        <x:is>
          <x:t xml:space="preserve">569</x:t>
        </x:is>
      </x:c>
    </x:row>
    <x:row r="174" ht="15" customHeight="1">
      <x:c r="A174" s="55" t="inlineStr">
        <x:is>
          <x:t xml:space="preserve">LEAN_DERIVATION_CHAIN</x:t>
        </x:is>
      </x:c>
      <x:c r="B174" s="49" t="inlineStr">
        <x:is>
          <x:t xml:space="preserve">201</x:t>
        </x:is>
      </x:c>
      <x:c r="C174" s="49" t="inlineStr">
        <x:is>
          <x:t xml:space="preserve">HitRateDiscipline.lean</x:t>
        </x:is>
      </x:c>
      <x:c r="D174" s="49" t="inlineStr">
        <x:is>
          <x:t xml:space="preserve">failed_attempt_counts_in_denominator</x:t>
        </x:is>
      </x:c>
      <x:c r="E174" s="49" t="inlineStr">
        <x:is>
          <x:t xml:space="preserve">REJECTION: Failures count against you. No cherry-picking.</x:t>
        </x:is>
      </x:c>
      <x:c r="F174" s="49" t="inlineStr">
        <x:is>
          <x:t xml:space="preserve">REJECTION</x:t>
        </x:is>
      </x:c>
      <x:c r="G174" s="49" t="inlineStr">
        <x:is>
          <x:t xml:space="preserve">FOUND_IN_FULL_47_FILE_SCAN</x:t>
        </x:is>
      </x:c>
      <x:c r="H174" s="49" t="inlineStr">
        <x:is>
          <x:t xml:space="preserve">theophysics-lean-main\theophysics-lean-main\Theophysics_Adversarial.lean</x:t>
        </x:is>
      </x:c>
      <x:c r="I174" s="56" t="inlineStr">
        <x:is>
          <x:t xml:space="preserve">573</x:t>
        </x:is>
      </x:c>
    </x:row>
    <x:row r="175" ht="15" customHeight="1">
      <x:c r="A175" s="57" t="inlineStr">
        <x:is>
          <x:t xml:space="preserve">LEAN_DERIVATION_CHAIN</x:t>
        </x:is>
      </x:c>
      <x:c r="B175" s="58" t="inlineStr">
        <x:is>
          <x:t xml:space="preserve">202</x:t>
        </x:is>
      </x:c>
      <x:c r="C175" s="58" t="inlineStr">
        <x:is>
          <x:t xml:space="preserve">HitRateDiscipline.lean</x:t>
        </x:is>
      </x:c>
      <x:c r="D175" s="58" t="inlineStr">
        <x:is>
          <x:t xml:space="preserve">partial_attempt_does_not_count_as_hit</x:t>
        </x:is>
      </x:c>
      <x:c r="E175" s="58" t="inlineStr">
        <x:is>
          <x:t xml:space="preserve">REJECTION: Partials are not hits. Close enough is not enough.</x:t>
        </x:is>
      </x:c>
      <x:c r="F175" s="58" t="inlineStr">
        <x:is>
          <x:t xml:space="preserve">REJECTION</x:t>
        </x:is>
      </x:c>
      <x:c r="G175" s="58" t="inlineStr">
        <x:is>
          <x:t xml:space="preserve">FOUND_IN_FULL_47_FILE_SCAN</x:t>
        </x:is>
      </x:c>
      <x:c r="H175" s="58" t="inlineStr">
        <x:is>
          <x:t xml:space="preserve">theophysics-lean-main\theophysics-lean-main\Theophysics_Adversarial.lean</x:t>
        </x:is>
      </x:c>
      <x:c r="I175" s="59" t="inlineStr">
        <x:is>
          <x:t xml:space="preserve">577</x:t>
        </x:is>
      </x:c>
    </x:row>
  </x:sheetData>
  <x:mergeCells>
    <x:mergeCell ref="A2:H2"/>
    <x:mergeCell ref="A1:H1"/>
  </x:mergeCells>
  <x:pageMargins left="0.7" right="0.7" top="0.75" bottom="0.75" header="0.3" footer="0.3"/>
</x:worksheet>
</file>

<file path=xl/worksheets/sheet24.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13" width="24.44140625" style="49" customWidth="1"/>
    <x:col min="14" max="16384" width="8.88671875" style="49" customWidth="1"/>
  </x:cols>
  <x:sheetData>
    <x:row r="1" ht="15" customHeight="1">
      <x:c r="A1" s="34" t="inlineStr">
        <x:is>
          <x:t xml:space="preserve">Source File</x:t>
        </x:is>
      </x:c>
      <x:c r="B1" s="35" t="inlineStr">
        <x:is>
          <x:t xml:space="preserve">Bucket</x:t>
        </x:is>
      </x:c>
      <x:c r="C1" s="35" t="inlineStr">
        <x:is>
          <x:t xml:space="preserve">Proposed Sheet</x:t>
        </x:is>
      </x:c>
      <x:c r="D1" s="35" t="inlineStr">
        <x:is>
          <x:t xml:space="preserve">Lane/Stage</x:t>
        </x:is>
      </x:c>
      <x:c r="E1" s="35" t="inlineStr">
        <x:is>
          <x:t xml:space="preserve">Role / What It Adds</x:t>
        </x:is>
      </x:c>
      <x:c r="F1" s="35" t="inlineStr">
        <x:is>
          <x:t xml:space="preserve">Claim Type</x:t>
        </x:is>
      </x:c>
      <x:c r="G1" s="35" t="inlineStr">
        <x:is>
          <x:t xml:space="preserve">Status / Strength</x:t>
        </x:is>
      </x:c>
      <x:c r="H1" s="35" t="inlineStr">
        <x:is>
          <x:t xml:space="preserve">Overclaim Guard</x:t>
        </x:is>
      </x:c>
      <x:c r="I1" s="35" t="inlineStr">
        <x:is>
          <x:t xml:space="preserve">Next Action</x:t>
        </x:is>
      </x:c>
      <x:c r="J1" s="35" t="inlineStr">
        <x:is>
          <x:t xml:space="preserve">Priority</x:t>
        </x:is>
      </x:c>
      <x:c r="K1" s="35" t="inlineStr">
        <x:is>
          <x:t xml:space="preserve">_source_workbook</x:t>
        </x:is>
      </x:c>
      <x:c r="L1" s="35" t="inlineStr">
        <x:is>
          <x:t xml:space="preserve">_source_sheet</x:t>
        </x:is>
      </x:c>
      <x:c r="M1" s="36" t="inlineStr">
        <x:is>
          <x:t xml:space="preserve">_source_row</x:t>
        </x:is>
      </x:c>
    </x:row>
    <x:row r="2" ht="15" customHeight="1">
      <x:c r="A2" s="37" t="inlineStr">
        <x:is>
          <x:t xml:space="preserve">TEN_LAWS_CANONICAL_EQUATIONS_v2 (1).md</x:t>
        </x:is>
      </x:c>
      <x:c r="B2" s="38" t="inlineStr">
        <x:is>
          <x:t xml:space="preserve">Formal Bridge</x:t>
        </x:is>
      </x:c>
      <x:c r="C2" s="38" t="inlineStr">
        <x:is>
          <x:t xml:space="preserve">SOURCE_REGISTER / GAUNTLET_ARCHITECTURE</x:t>
        </x:is>
      </x:c>
      <x:c r="D2" s="38" t="inlineStr">
        <x:is>
          <x:t xml:space="preserve">Ten Laws / All Lanes</x:t>
        </x:is>
      </x:c>
      <x:c r="E2" s="38" t="inlineStr">
        <x:is>
          <x:t xml:space="preserve">Canonical physical-to-spiritual equation map; each law has physical equation, spiritual equation, free-will asymmetry.</x:t>
        </x:is>
      </x:c>
      <x:c r="F2" s="38" t="inlineStr">
        <x:is>
          <x:t xml:space="preserve">Structural concordance / mathematical model</x:t>
        </x:is>
      </x:c>
      <x:c r="G2" s="38" t="inlineStr">
        <x:is>
          <x:t xml:space="preserve">Core reference; Wolfram-verified per file</x:t>
        </x:is>
      </x:c>
      <x:c r="H2" s="38" t="inlineStr">
        <x:is>
          <x:t xml:space="preserve">Structural identity under defined mappings, not 'physics proves theology'.</x:t>
        </x:is>
      </x:c>
      <x:c r="I2" s="38" t="inlineStr">
        <x:is>
          <x:t xml:space="preserve">Add each law row to architecture; map to proof boundaries and false-positive tests.</x:t>
        </x:is>
      </x:c>
      <x:c r="J2" s="38" t="inlineStr">
        <x:is>
          <x:t xml:space="preserve">Critical</x:t>
        </x:is>
      </x:c>
      <x:c r="K2" s="38" t="inlineStr">
        <x:is>
          <x:t xml:space="preserve">H:\Desktop 2\LEAN 4\Google CoLab Python\_EXTRACTED_REPOS\Faith-Thru-Physics-Lean-4--main\Faith-Thru-Physics-Lean-4--main\docs\Theophysics_Lean4_Addendum_Updated (1).xlsx</x:t>
        </x:is>
      </x:c>
      <x:c r="L2" s="38" t="inlineStr">
        <x:is>
          <x:t xml:space="preserve">EXCEL_ADD_LIST</x:t>
        </x:is>
      </x:c>
      <x:c r="M2" s="39" t="inlineStr">
        <x:is>
          <x:t xml:space="preserve">2</x:t>
        </x:is>
      </x:c>
    </x:row>
    <x:row r="3" ht="15" customHeight="1">
      <x:c r="A3" s="37" t="inlineStr">
        <x:is>
          <x:t xml:space="preserve">REFERENCE_OPUS.md</x:t>
        </x:is>
      </x:c>
      <x:c r="B3" s="38" t="inlineStr">
        <x:is>
          <x:t xml:space="preserve">Formal Core</x:t>
        </x:is>
      </x:c>
      <x:c r="C3" s="38" t="inlineStr">
        <x:is>
          <x:t xml:space="preserve">SOURCE_REGISTER</x:t>
        </x:is>
      </x:c>
      <x:c r="D3" s="38" t="inlineStr">
        <x:is>
          <x:t xml:space="preserve">Master Equation Core</x:t>
        </x:is>
      </x:c>
      <x:c r="E3" s="38" t="inlineStr">
        <x:is>
          <x:t xml:space="preserve">Canonical chi reference: variable map, product/ratio/dynamic forms, disambiguation issues.</x:t>
        </x:is>
      </x:c>
      <x:c r="F3" s="38" t="inlineStr">
        <x:is>
          <x:t xml:space="preserve">Formal model / canonical reference</x:t>
        </x:is>
      </x:c>
      <x:c r="G3" s="38" t="inlineStr">
        <x:is>
          <x:t xml:space="preserve">Core reference</x:t>
        </x:is>
      </x:c>
      <x:c r="H3" s="38" t="inlineStr">
        <x:is>
          <x:t xml:space="preserve">chi is a meta-theoretical coherence measure, not a replacement physics field by itself.</x:t>
        </x:is>
      </x:c>
      <x:c r="I3" s="38" t="inlineStr">
        <x:is>
          <x:t xml:space="preserve">Use as canonical variable and equation reference for all future sheets.</x:t>
        </x:is>
      </x:c>
      <x:c r="J3" s="38" t="inlineStr">
        <x:is>
          <x:t xml:space="preserve">Critical</x:t>
        </x:is>
      </x:c>
      <x:c r="K3" s="38" t="inlineStr">
        <x:is>
          <x:t xml:space="preserve">H:\Desktop 2\LEAN 4\Google CoLab Python\_EXTRACTED_REPOS\Faith-Thru-Physics-Lean-4--main\Faith-Thru-Physics-Lean-4--main\docs\Theophysics_Lean4_Addendum_Updated (1).xlsx</x:t>
        </x:is>
      </x:c>
      <x:c r="L3" s="38" t="inlineStr">
        <x:is>
          <x:t xml:space="preserve">EXCEL_ADD_LIST</x:t>
        </x:is>
      </x:c>
      <x:c r="M3" s="39" t="inlineStr">
        <x:is>
          <x:t xml:space="preserve">3</x:t>
        </x:is>
      </x:c>
    </x:row>
    <x:row r="4" ht="15" customHeight="1">
      <x:c r="A4" s="37" t="inlineStr">
        <x:is>
          <x:t xml:space="preserve">SUBMISSION_INTAKE_SYSTEM (3).md</x:t>
        </x:is>
      </x:c>
      <x:c r="B4" s="38" t="inlineStr">
        <x:is>
          <x:t xml:space="preserve">Implementation</x:t>
        </x:is>
      </x:c>
      <x:c r="C4" s="38" t="inlineStr">
        <x:is>
          <x:t xml:space="preserve">INFRA_PUBLICATION</x:t>
        </x:is>
      </x:c>
      <x:c r="D4" s="38" t="inlineStr">
        <x:is>
          <x:t xml:space="preserve">Evidence pipeline</x:t>
        </x:is>
      </x:c>
      <x:c r="E4" s="38" t="inlineStr">
        <x:is>
          <x:t xml:space="preserve">Submission forms, LLM extraction, pattern matching, routing, review queues.</x:t>
        </x:is>
      </x:c>
      <x:c r="F4" s="38" t="inlineStr">
        <x:is>
          <x:t xml:space="preserve">Implementation / evidence intake</x:t>
        </x:is>
      </x:c>
      <x:c r="G4" s="38" t="inlineStr">
        <x:is>
          <x:t xml:space="preserve">Useful platform architecture</x:t>
        </x:is>
      </x:c>
      <x:c r="H4" s="38" t="inlineStr">
        <x:is>
          <x:t xml:space="preserve">Infrastructure for collecting/testing claims, not proof of claims.</x:t>
        </x:is>
      </x:c>
      <x:c r="I4" s="38" t="inlineStr">
        <x:is>
          <x:t xml:space="preserve">Add to Forge/website implementation roadmap.</x:t>
        </x:is>
      </x:c>
      <x:c r="J4" s="38" t="inlineStr">
        <x:is>
          <x:t xml:space="preserve">Medium</x:t>
        </x:is>
      </x:c>
      <x:c r="K4" s="38" t="inlineStr">
        <x:is>
          <x:t xml:space="preserve">H:\Desktop 2\LEAN 4\Google CoLab Python\_EXTRACTED_REPOS\Faith-Thru-Physics-Lean-4--main\Faith-Thru-Physics-Lean-4--main\docs\Theophysics_Lean4_Addendum_Updated (1).xlsx</x:t>
        </x:is>
      </x:c>
      <x:c r="L4" s="38" t="inlineStr">
        <x:is>
          <x:t xml:space="preserve">EXCEL_ADD_LIST</x:t>
        </x:is>
      </x:c>
      <x:c r="M4" s="39" t="inlineStr">
        <x:is>
          <x:t xml:space="preserve">4</x:t>
        </x:is>
      </x:c>
    </x:row>
    <x:row r="5" ht="15" customHeight="1">
      <x:c r="A5" s="37" t="inlineStr">
        <x:is>
          <x:t xml:space="preserve">CONTENT_TIERS (3).md</x:t>
        </x:is>
      </x:c>
      <x:c r="B5" s="38" t="inlineStr">
        <x:is>
          <x:t xml:space="preserve">Publication</x:t>
        </x:is>
      </x:c>
      <x:c r="C5" s="38" t="inlineStr">
        <x:is>
          <x:t xml:space="preserve">INFRA_PUBLICATION</x:t>
        </x:is>
      </x:c>
      <x:c r="D5" s="38" t="inlineStr">
        <x:is>
          <x:t xml:space="preserve">Public rollout</x:t>
        </x:is>
      </x:c>
      <x:c r="E5" s="38" t="inlineStr">
        <x:is>
          <x:t xml:space="preserve">Three content depths: Article, Primer, Deep Dive; max 2 paragraphs before visual break.</x:t>
        </x:is>
      </x:c>
      <x:c r="F5" s="38" t="inlineStr">
        <x:is>
          <x:t xml:space="preserve">Publication system</x:t>
        </x:is>
      </x:c>
      <x:c r="G5" s="38" t="inlineStr">
        <x:is>
          <x:t xml:space="preserve">High delivery value</x:t>
        </x:is>
      </x:c>
      <x:c r="H5" s="38" t="inlineStr">
        <x:is>
          <x:t xml:space="preserve">Presentation system, not evidence.</x:t>
        </x:is>
      </x:c>
      <x:c r="I5" s="38" t="inlineStr">
        <x:is>
          <x:t xml:space="preserve">Use for public essay and axiom pages.</x:t>
        </x:is>
      </x:c>
      <x:c r="J5" s="38" t="inlineStr">
        <x:is>
          <x:t xml:space="preserve">Medium</x:t>
        </x:is>
      </x:c>
      <x:c r="K5" s="38" t="inlineStr">
        <x:is>
          <x:t xml:space="preserve">H:\Desktop 2\LEAN 4\Google CoLab Python\_EXTRACTED_REPOS\Faith-Thru-Physics-Lean-4--main\Faith-Thru-Physics-Lean-4--main\docs\Theophysics_Lean4_Addendum_Updated (1).xlsx</x:t>
        </x:is>
      </x:c>
      <x:c r="L5" s="38" t="inlineStr">
        <x:is>
          <x:t xml:space="preserve">EXCEL_ADD_LIST</x:t>
        </x:is>
      </x:c>
      <x:c r="M5" s="39" t="inlineStr">
        <x:is>
          <x:t xml:space="preserve">5</x:t>
        </x:is>
      </x:c>
    </x:row>
    <x:row r="6" ht="15" customHeight="1">
      <x:c r="A6" s="37" t="inlineStr">
        <x:is>
          <x:t xml:space="preserve">LLM_INSTRUCTIONS (3).md</x:t>
        </x:is>
      </x:c>
      <x:c r="B6" s="38" t="inlineStr">
        <x:is>
          <x:t xml:space="preserve">Publication</x:t>
        </x:is>
      </x:c>
      <x:c r="C6" s="38" t="inlineStr">
        <x:is>
          <x:t xml:space="preserve">INFRA_PUBLICATION</x:t>
        </x:is>
      </x:c>
      <x:c r="D6" s="38" t="inlineStr">
        <x:is>
          <x:t xml:space="preserve">Article generation</x:t>
        </x:is>
      </x:c>
      <x:c r="E6" s="38" t="inlineStr">
        <x:is>
          <x:t xml:space="preserve">LLM generation rules for polished HTML articles using design system.</x:t>
        </x:is>
      </x:c>
      <x:c r="F6" s="38" t="inlineStr">
        <x:is>
          <x:t xml:space="preserve">Publication automation</x:t>
        </x:is>
      </x:c>
      <x:c r="G6" s="38" t="inlineStr">
        <x:is>
          <x:t xml:space="preserve">High delivery value</x:t>
        </x:is>
      </x:c>
      <x:c r="H6" s="38" t="inlineStr">
        <x:is>
          <x:t xml:space="preserve">Instruction template, not proof.</x:t>
        </x:is>
      </x:c>
      <x:c r="I6" s="38" t="inlineStr">
        <x:is>
          <x:t xml:space="preserve">Connect to content tier templates.</x:t>
        </x:is>
      </x:c>
      <x:c r="J6" s="38" t="inlineStr">
        <x:is>
          <x:t xml:space="preserve">Medium</x:t>
        </x:is>
      </x:c>
      <x:c r="K6" s="38" t="inlineStr">
        <x:is>
          <x:t xml:space="preserve">H:\Desktop 2\LEAN 4\Google CoLab Python\_EXTRACTED_REPOS\Faith-Thru-Physics-Lean-4--main\Faith-Thru-Physics-Lean-4--main\docs\Theophysics_Lean4_Addendum_Updated (1).xlsx</x:t>
        </x:is>
      </x:c>
      <x:c r="L6" s="38" t="inlineStr">
        <x:is>
          <x:t xml:space="preserve">EXCEL_ADD_LIST</x:t>
        </x:is>
      </x:c>
      <x:c r="M6" s="39" t="inlineStr">
        <x:is>
          <x:t xml:space="preserve">6</x:t>
        </x:is>
      </x:c>
    </x:row>
    <x:row r="7" ht="15" customHeight="1">
      <x:c r="A7" s="37" t="inlineStr">
        <x:is>
          <x:t xml:space="preserve">DESIGN_SYSTEM (3).md</x:t>
        </x:is>
      </x:c>
      <x:c r="B7" s="38" t="inlineStr">
        <x:is>
          <x:t xml:space="preserve">Publication</x:t>
        </x:is>
      </x:c>
      <x:c r="C7" s="38" t="inlineStr">
        <x:is>
          <x:t xml:space="preserve">INFRA_PUBLICATION</x:t>
        </x:is>
      </x:c>
      <x:c r="D7" s="38" t="inlineStr">
        <x:is>
          <x:t xml:space="preserve">Visual system</x:t>
        </x:is>
      </x:c>
      <x:c r="E7" s="38" t="inlineStr">
        <x:is>
          <x:t xml:space="preserve">Dark theme/gold accent, fonts, components, charts, responsive design.</x:t>
        </x:is>
      </x:c>
      <x:c r="F7" s="38" t="inlineStr">
        <x:is>
          <x:t xml:space="preserve">Design system</x:t>
        </x:is>
      </x:c>
      <x:c r="G7" s="38" t="inlineStr">
        <x:is>
          <x:t xml:space="preserve">High delivery value</x:t>
        </x:is>
      </x:c>
      <x:c r="H7" s="38" t="inlineStr">
        <x:is>
          <x:t xml:space="preserve">Design quality, not evidence.</x:t>
        </x:is>
      </x:c>
      <x:c r="I7" s="38" t="inlineStr">
        <x:is>
          <x:t xml:space="preserve">Use for website/Forge article pages.</x:t>
        </x:is>
      </x:c>
      <x:c r="J7" s="38" t="inlineStr">
        <x:is>
          <x:t xml:space="preserve">Medium</x:t>
        </x:is>
      </x:c>
      <x:c r="K7" s="38" t="inlineStr">
        <x:is>
          <x:t xml:space="preserve">H:\Desktop 2\LEAN 4\Google CoLab Python\_EXTRACTED_REPOS\Faith-Thru-Physics-Lean-4--main\Faith-Thru-Physics-Lean-4--main\docs\Theophysics_Lean4_Addendum_Updated (1).xlsx</x:t>
        </x:is>
      </x:c>
      <x:c r="L7" s="38" t="inlineStr">
        <x:is>
          <x:t xml:space="preserve">EXCEL_ADD_LIST</x:t>
        </x:is>
      </x:c>
      <x:c r="M7" s="39" t="inlineStr">
        <x:is>
          <x:t xml:space="preserve">7</x:t>
        </x:is>
      </x:c>
    </x:row>
    <x:row r="8" ht="15" customHeight="1">
      <x:c r="A8" s="37" t="inlineStr">
        <x:is>
          <x:t xml:space="preserve">README (4).md</x:t>
        </x:is>
      </x:c>
      <x:c r="B8" s="38" t="inlineStr">
        <x:is>
          <x:t xml:space="preserve">Project Packaging</x:t>
        </x:is>
      </x:c>
      <x:c r="C8" s="38" t="inlineStr">
        <x:is>
          <x:t xml:space="preserve">INFRA_PUBLICATION</x:t>
        </x:is>
      </x:c>
      <x:c r="D8" s="38" t="inlineStr">
        <x:is>
          <x:t xml:space="preserve">Repository orientation</x:t>
        </x:is>
      </x:c>
      <x:c r="E8" s="38" t="inlineStr">
        <x:is>
          <x:t xml:space="preserve">Theophysics Mathematical Framework repo overview; folders for Lagrangian, Maxwell, product form, Lindblad, fixed point, symplectic, gauge groups, consistency tests.</x:t>
        </x:is>
      </x:c>
      <x:c r="F8" s="38" t="inlineStr">
        <x:is>
          <x:t xml:space="preserve">Computational verification roadmap</x:t>
        </x:is>
      </x:c>
      <x:c r="G8" s="38" t="inlineStr">
        <x:is>
          <x:t xml:space="preserve">Strong work-program overview</x:t>
        </x:is>
      </x:c>
      <x:c r="H8" s="38" t="inlineStr">
        <x:is>
          <x:t xml:space="preserve">Computationally checked models, not all reality proven.</x:t>
        </x:is>
      </x:c>
      <x:c r="I8" s="38" t="inlineStr">
        <x:is>
          <x:t xml:space="preserve">Add as repository/package reference.</x:t>
        </x:is>
      </x:c>
      <x:c r="J8" s="38" t="inlineStr">
        <x:is>
          <x:t xml:space="preserve">High</x:t>
        </x:is>
      </x:c>
      <x:c r="K8" s="38" t="inlineStr">
        <x:is>
          <x:t xml:space="preserve">H:\Desktop 2\LEAN 4\Google CoLab Python\_EXTRACTED_REPOS\Faith-Thru-Physics-Lean-4--main\Faith-Thru-Physics-Lean-4--main\docs\Theophysics_Lean4_Addendum_Updated (1).xlsx</x:t>
        </x:is>
      </x:c>
      <x:c r="L8" s="38" t="inlineStr">
        <x:is>
          <x:t xml:space="preserve">EXCEL_ADD_LIST</x:t>
        </x:is>
      </x:c>
      <x:c r="M8" s="39" t="inlineStr">
        <x:is>
          <x:t xml:space="preserve">8</x:t>
        </x:is>
      </x:c>
    </x:row>
    <x:row r="9" ht="15" customHeight="1">
      <x:c r="A9" s="37" t="inlineStr">
        <x:is>
          <x:t xml:space="preserve">FIRST_PRINCIPLES_TREE.md</x:t>
        </x:is>
      </x:c>
      <x:c r="B9" s="38" t="inlineStr">
        <x:is>
          <x:t xml:space="preserve">Logic Lane</x:t>
        </x:is>
      </x:c>
      <x:c r="C9" s="38" t="inlineStr">
        <x:is>
          <x:t xml:space="preserve">LOGIC_TANGENTS</x:t>
        </x:is>
      </x:c>
      <x:c r="D9" s="38" t="inlineStr">
        <x:is>
          <x:t xml:space="preserve">Lane 3 / First Principles</x:t>
        </x:is>
      </x:c>
      <x:c r="E9" s="38" t="inlineStr">
        <x:is>
          <x:t xml:space="preserve">Question tree with forks, survive/collapse branches, and locked conclusions from existence to self-grounding substrate.</x:t>
        </x:is>
      </x:c>
      <x:c r="F9" s="38" t="inlineStr">
        <x:is>
          <x:t xml:space="preserve">Philosophical/logical derivation</x:t>
        </x:is>
      </x:c>
      <x:c r="G9" s="38" t="inlineStr">
        <x:is>
          <x:t xml:space="preserve">Core logic lane</x:t>
        </x:is>
      </x:c>
      <x:c r="H9" s="38" t="inlineStr">
        <x:is>
          <x:t xml:space="preserve">Some steps are abductive, not pure deduction; mark branch type.</x:t>
        </x:is>
      </x:c>
      <x:c r="I9" s="38" t="inlineStr">
        <x:is>
          <x:t xml:space="preserve">Map Q1-Q22 to lane rows and proof boundaries.</x:t>
        </x:is>
      </x:c>
      <x:c r="J9" s="38" t="inlineStr">
        <x:is>
          <x:t xml:space="preserve">Critical</x:t>
        </x:is>
      </x:c>
      <x:c r="K9" s="38" t="inlineStr">
        <x:is>
          <x:t xml:space="preserve">H:\Desktop 2\LEAN 4\Google CoLab Python\_EXTRACTED_REPOS\Faith-Thru-Physics-Lean-4--main\Faith-Thru-Physics-Lean-4--main\docs\Theophysics_Lean4_Addendum_Updated (1).xlsx</x:t>
        </x:is>
      </x:c>
      <x:c r="L9" s="38" t="inlineStr">
        <x:is>
          <x:t xml:space="preserve">EXCEL_ADD_LIST</x:t>
        </x:is>
      </x:c>
      <x:c r="M9" s="39" t="inlineStr">
        <x:is>
          <x:t xml:space="preserve">9</x:t>
        </x:is>
      </x:c>
    </x:row>
    <x:row r="10" ht="15" customHeight="1">
      <x:c r="A10" s="37" t="inlineStr">
        <x:is>
          <x:t xml:space="preserve">CONJECTURE_4_2_FIXED_POINT.md</x:t>
        </x:is>
      </x:c>
      <x:c r="B10" s="38" t="inlineStr">
        <x:is>
          <x:t xml:space="preserve">Formal/Open Problem</x:t>
        </x:is>
      </x:c>
      <x:c r="C10" s="38" t="inlineStr">
        <x:is>
          <x:t xml:space="preserve">OPEN_PROBLEMS</x:t>
        </x:is>
      </x:c>
      <x:c r="D10" s="38" t="inlineStr">
        <x:is>
          <x:t xml:space="preserve">Product-form / dynamics</x:t>
        </x:is>
      </x:c>
      <x:c r="E10" s="38" t="inlineStr">
        <x:is>
          <x:t xml:space="preserve">Fixed-point existence under gamma_up &gt; gamma_down; stability analysis; uniqueness/global case open.</x:t>
        </x:is>
      </x:c>
      <x:c r="F10" s="38" t="inlineStr">
        <x:is>
          <x:t xml:space="preserve">Partial formal result</x:t>
        </x:is>
      </x:c>
      <x:c r="G10" s="38" t="inlineStr">
        <x:is>
          <x:t xml:space="preserve">Partial result; important</x:t>
        </x:is>
      </x:c>
      <x:c r="H10" s="38" t="inlineStr">
        <x:is>
          <x:t xml:space="preserve">Existence under conditions, not full global uniqueness.</x:t>
        </x:is>
      </x:c>
      <x:c r="I10" s="38" t="inlineStr">
        <x:is>
          <x:t xml:space="preserve">Add to gap inventory and future worklist.</x:t>
        </x:is>
      </x:c>
      <x:c r="J10" s="38" t="inlineStr">
        <x:is>
          <x:t xml:space="preserve">High</x:t>
        </x:is>
      </x:c>
      <x:c r="K10" s="38" t="inlineStr">
        <x:is>
          <x:t xml:space="preserve">H:\Desktop 2\LEAN 4\Google CoLab Python\_EXTRACTED_REPOS\Faith-Thru-Physics-Lean-4--main\Faith-Thru-Physics-Lean-4--main\docs\Theophysics_Lean4_Addendum_Updated (1).xlsx</x:t>
        </x:is>
      </x:c>
      <x:c r="L10" s="38" t="inlineStr">
        <x:is>
          <x:t xml:space="preserve">EXCEL_ADD_LIST</x:t>
        </x:is>
      </x:c>
      <x:c r="M10" s="39" t="inlineStr">
        <x:is>
          <x:t xml:space="preserve">10</x:t>
        </x:is>
      </x:c>
    </x:row>
    <x:row r="11" ht="15" customHeight="1">
      <x:c r="A11" s="37" t="inlineStr">
        <x:is>
          <x:t xml:space="preserve">TIMESTAMP_LOCKDOWN.md</x:t>
        </x:is>
      </x:c>
      <x:c r="B11" s="38" t="inlineStr">
        <x:is>
          <x:t xml:space="preserve">Evidence Chain</x:t>
        </x:is>
      </x:c>
      <x:c r="C11" s="38" t="inlineStr">
        <x:is>
          <x:t xml:space="preserve">EVIDENCE_CHAIN</x:t>
        </x:is>
      </x:c>
      <x:c r="D11" s="38" t="inlineStr">
        <x:is>
          <x:t xml:space="preserve">Credibility / timestamp</x:t>
        </x:is>
      </x:c>
      <x:c r="E11" s="38" t="inlineStr">
        <x:is>
          <x:t xml:space="preserve">Hashing, OpenTimestamps, Zenodo DOI, Wayback, local backup procedure.</x:t>
        </x:is>
      </x:c>
      <x:c r="F11" s="38" t="inlineStr">
        <x:is>
          <x:t xml:space="preserve">Evidence provenance</x:t>
        </x:is>
      </x:c>
      <x:c r="G11" s="38" t="inlineStr">
        <x:is>
          <x:t xml:space="preserve">High credibility infrastructure</x:t>
        </x:is>
      </x:c>
      <x:c r="H11" s="38" t="inlineStr">
        <x:is>
          <x:t xml:space="preserve">Timestamp proves existence/date, not truth.</x:t>
        </x:is>
      </x:c>
      <x:c r="I11" s="38" t="inlineStr">
        <x:is>
          <x:t xml:space="preserve">Add to evidence chain roadmap.</x:t>
        </x:is>
      </x:c>
      <x:c r="J11" s="38" t="inlineStr">
        <x:is>
          <x:t xml:space="preserve">Medium</x:t>
        </x:is>
      </x:c>
      <x:c r="K11" s="38" t="inlineStr">
        <x:is>
          <x:t xml:space="preserve">H:\Desktop 2\LEAN 4\Google CoLab Python\_EXTRACTED_REPOS\Faith-Thru-Physics-Lean-4--main\Faith-Thru-Physics-Lean-4--main\docs\Theophysics_Lean4_Addendum_Updated (1).xlsx</x:t>
        </x:is>
      </x:c>
      <x:c r="L11" s="38" t="inlineStr">
        <x:is>
          <x:t xml:space="preserve">EXCEL_ADD_LIST</x:t>
        </x:is>
      </x:c>
      <x:c r="M11" s="39" t="inlineStr">
        <x:is>
          <x:t xml:space="preserve">11</x:t>
        </x:is>
      </x:c>
    </x:row>
    <x:row r="12" ht="15" customHeight="1">
      <x:c r="A12" s="37" t="inlineStr">
        <x:is>
          <x:t xml:space="preserve">WEBSITE_EVIDENCE_PAGE.md</x:t>
        </x:is>
      </x:c>
      <x:c r="B12" s="38" t="inlineStr">
        <x:is>
          <x:t xml:space="preserve">Evidence Chain</x:t>
        </x:is>
      </x:c>
      <x:c r="C12" s="38" t="inlineStr">
        <x:is>
          <x:t xml:space="preserve">EVIDENCE_CHAIN</x:t>
        </x:is>
      </x:c>
      <x:c r="D12" s="38" t="inlineStr">
        <x:is>
          <x:t xml:space="preserve">Public verification</x:t>
        </x:is>
      </x:c>
      <x:c r="E12" s="38" t="inlineStr">
        <x:is>
          <x:t xml:space="preserve">Public evidence page with hash, review findings, architecture gap.</x:t>
        </x:is>
      </x:c>
      <x:c r="F12" s="38" t="inlineStr">
        <x:is>
          <x:t xml:space="preserve">Evidence/provenance</x:t>
        </x:is>
      </x:c>
      <x:c r="G12" s="38" t="inlineStr">
        <x:is>
          <x:t xml:space="preserve">High credibility infrastructure</x:t>
        </x:is>
      </x:c>
      <x:c r="H12" s="38" t="inlineStr">
        <x:is>
          <x:t xml:space="preserve">Public summary of review, not itself a proof.</x:t>
        </x:is>
      </x:c>
      <x:c r="I12" s="38" t="inlineStr">
        <x:is>
          <x:t xml:space="preserve">Use as public verification page.</x:t>
        </x:is>
      </x:c>
      <x:c r="J12" s="38" t="inlineStr">
        <x:is>
          <x:t xml:space="preserve">Medium</x:t>
        </x:is>
      </x:c>
      <x:c r="K12" s="38" t="inlineStr">
        <x:is>
          <x:t xml:space="preserve">H:\Desktop 2\LEAN 4\Google CoLab Python\_EXTRACTED_REPOS\Faith-Thru-Physics-Lean-4--main\Faith-Thru-Physics-Lean-4--main\docs\Theophysics_Lean4_Addendum_Updated (1).xlsx</x:t>
        </x:is>
      </x:c>
      <x:c r="L12" s="38" t="inlineStr">
        <x:is>
          <x:t xml:space="preserve">EXCEL_ADD_LIST</x:t>
        </x:is>
      </x:c>
      <x:c r="M12" s="39" t="inlineStr">
        <x:is>
          <x:t xml:space="preserve">12</x:t>
        </x:is>
      </x:c>
    </x:row>
    <x:row r="13" ht="15" customHeight="1">
      <x:c r="A13" s="37" t="inlineStr">
        <x:is>
          <x:t xml:space="preserve">INDEPENDENT_REVIEW_CLAUDE_OPUS_2026-03-28.md</x:t>
        </x:is>
      </x:c>
      <x:c r="B13" s="38" t="inlineStr">
        <x:is>
          <x:t xml:space="preserve">Adversarial Review</x:t>
        </x:is>
      </x:c>
      <x:c r="C13" s="38" t="inlineStr">
        <x:is>
          <x:t xml:space="preserve">ADVERSARIAL_REVIEW</x:t>
        </x:is>
      </x:c>
      <x:c r="D13" s="38" t="inlineStr">
        <x:is>
          <x:t xml:space="preserve">Stress test</x:t>
        </x:is>
      </x:c>
      <x:c r="E13" s="38" t="inlineStr">
        <x:is>
          <x:t xml:space="preserve">Cold review: strengths, failures, dimensional issue, Lagrangian strength, product-form gap.</x:t>
        </x:is>
      </x:c>
      <x:c r="F13" s="38" t="inlineStr">
        <x:is>
          <x:t xml:space="preserve">Adversarial audit</x:t>
        </x:is>
      </x:c>
      <x:c r="G13" s="38" t="inlineStr">
        <x:is>
          <x:t xml:space="preserve">Critical credibility asset</x:t>
        </x:is>
      </x:c>
      <x:c r="H13" s="38" t="inlineStr">
        <x:is>
          <x:t xml:space="preserve">Review findings need reproducible source files and code.</x:t>
        </x:is>
      </x:c>
      <x:c r="I13" s="38" t="inlineStr">
        <x:is>
          <x:t xml:space="preserve">Use as front-facing review/gap evidence.</x:t>
        </x:is>
      </x:c>
      <x:c r="J13" s="38" t="inlineStr">
        <x:is>
          <x:t xml:space="preserve">Critical</x:t>
        </x:is>
      </x:c>
      <x:c r="K13" s="38" t="inlineStr">
        <x:is>
          <x:t xml:space="preserve">H:\Desktop 2\LEAN 4\Google CoLab Python\_EXTRACTED_REPOS\Faith-Thru-Physics-Lean-4--main\Faith-Thru-Physics-Lean-4--main\docs\Theophysics_Lean4_Addendum_Updated (1).xlsx</x:t>
        </x:is>
      </x:c>
      <x:c r="L13" s="38" t="inlineStr">
        <x:is>
          <x:t xml:space="preserve">EXCEL_ADD_LIST</x:t>
        </x:is>
      </x:c>
      <x:c r="M13" s="39" t="inlineStr">
        <x:is>
          <x:t xml:space="preserve">13</x:t>
        </x:is>
      </x:c>
    </x:row>
    <x:row r="14" ht="15" customHeight="1">
      <x:c r="A14" s="37" t="inlineStr">
        <x:is>
          <x:t xml:space="preserve">OPEN_PROBLEM_001_LAGRANGIAN_TO_PRODUCT_FORM.md</x:t>
        </x:is>
      </x:c>
      <x:c r="B14" s="38" t="inlineStr">
        <x:is>
          <x:t xml:space="preserve">Critical Open Problem</x:t>
        </x:is>
      </x:c>
      <x:c r="C14" s="38" t="inlineStr">
        <x:is>
          <x:t xml:space="preserve">OPEN_PROBLEMS</x:t>
        </x:is>
      </x:c>
      <x:c r="D14" s="38" t="inlineStr">
        <x:is>
          <x:t xml:space="preserve">Core formal gap</x:t>
        </x:is>
      </x:c>
      <x:c r="E14" s="38" t="inlineStr">
        <x:is>
          <x:t xml:space="preserve">Defines gap between chi-field Lagrangian and 10-variable product form; either derive bridge or treat product as axiom.</x:t>
        </x:is>
      </x:c>
      <x:c r="F14" s="38" t="inlineStr">
        <x:is>
          <x:t xml:space="preserve">Gap inventory</x:t>
        </x:is>
      </x:c>
      <x:c r="G14" s="38" t="inlineStr">
        <x:is>
          <x:t xml:space="preserve">Critical</x:t>
        </x:is>
      </x:c>
      <x:c r="H14" s="38" t="inlineStr">
        <x:is>
          <x:t xml:space="preserve">Product form remains conditional/postulated until bridge is closed.</x:t>
        </x:is>
      </x:c>
      <x:c r="I14" s="38" t="inlineStr">
        <x:is>
          <x:t xml:space="preserve">Put on page 2 of serious packet.</x:t>
        </x:is>
      </x:c>
      <x:c r="J14" s="38" t="inlineStr">
        <x:is>
          <x:t xml:space="preserve">Critical</x:t>
        </x:is>
      </x:c>
      <x:c r="K14" s="38" t="inlineStr">
        <x:is>
          <x:t xml:space="preserve">H:\Desktop 2\LEAN 4\Google CoLab Python\_EXTRACTED_REPOS\Faith-Thru-Physics-Lean-4--main\Faith-Thru-Physics-Lean-4--main\docs\Theophysics_Lean4_Addendum_Updated (1).xlsx</x:t>
        </x:is>
      </x:c>
      <x:c r="L14" s="38" t="inlineStr">
        <x:is>
          <x:t xml:space="preserve">EXCEL_ADD_LIST</x:t>
        </x:is>
      </x:c>
      <x:c r="M14" s="39" t="inlineStr">
        <x:is>
          <x:t xml:space="preserve">14</x:t>
        </x:is>
      </x:c>
    </x:row>
    <x:row r="15" ht="15" customHeight="1">
      <x:c r="A15" s="37" t="inlineStr">
        <x:is>
          <x:t xml:space="preserve">2026-03-27-enriched-knowledge-graph-design (3).md</x:t>
        </x:is>
      </x:c>
      <x:c r="B15" s="38" t="inlineStr">
        <x:is>
          <x:t xml:space="preserve">Research Infrastructure</x:t>
        </x:is>
      </x:c>
      <x:c r="C15" s="38" t="inlineStr">
        <x:is>
          <x:t xml:space="preserve">INFRA_PUBLICATION</x:t>
        </x:is>
      </x:c>
      <x:c r="D15" s="38" t="inlineStr">
        <x:is>
          <x:t xml:space="preserve">Knowledge graph / Research Mode</x:t>
        </x:is>
      </x:c>
      <x:c r="E15" s="38" t="inlineStr">
        <x:is>
          <x:t xml:space="preserve">~800+ node enriched research graph from 7Q/CKG data with claims, evidence, predictions, failure points.</x:t>
        </x:is>
      </x:c>
      <x:c r="F15" s="38" t="inlineStr">
        <x:is>
          <x:t xml:space="preserve">Tooling / audit infrastructure</x:t>
        </x:is>
      </x:c>
      <x:c r="G15" s="38" t="inlineStr">
        <x:is>
          <x:t xml:space="preserve">High implementation value</x:t>
        </x:is>
      </x:c>
      <x:c r="H15" s="38" t="inlineStr">
        <x:is>
          <x:t xml:space="preserve">Graph organizes claims; it does not prove claims.</x:t>
        </x:is>
      </x:c>
      <x:c r="I15" s="38" t="inlineStr">
        <x:is>
          <x:t xml:space="preserve">Add to Forge/website research mode roadmap.</x:t>
        </x:is>
      </x:c>
      <x:c r="J15" s="38" t="inlineStr">
        <x:is>
          <x:t xml:space="preserve">Medium</x:t>
        </x:is>
      </x:c>
      <x:c r="K15" s="38" t="inlineStr">
        <x:is>
          <x:t xml:space="preserve">H:\Desktop 2\LEAN 4\Google CoLab Python\_EXTRACTED_REPOS\Faith-Thru-Physics-Lean-4--main\Faith-Thru-Physics-Lean-4--main\docs\Theophysics_Lean4_Addendum_Updated (1).xlsx</x:t>
        </x:is>
      </x:c>
      <x:c r="L15" s="38" t="inlineStr">
        <x:is>
          <x:t xml:space="preserve">EXCEL_ADD_LIST</x:t>
        </x:is>
      </x:c>
      <x:c r="M15" s="39" t="inlineStr">
        <x:is>
          <x:t xml:space="preserve">15</x:t>
        </x:is>
      </x:c>
    </x:row>
    <x:row r="16" ht="15" customHeight="1">
      <x:c r="A16" s="37" t="inlineStr">
        <x:is>
          <x:t xml:space="preserve">README (7).md</x:t>
        </x:is>
      </x:c>
      <x:c r="B16" s="38" t="inlineStr">
        <x:is>
          <x:t xml:space="preserve">Empirical Testing</x:t>
        </x:is>
      </x:c>
      <x:c r="C16" s="38" t="inlineStr">
        <x:is>
          <x:t xml:space="preserve">EMPIRICAL_TESTS</x:t>
        </x:is>
      </x:c>
      <x:c r="D16" s="38" t="inlineStr">
        <x:is>
          <x:t xml:space="preserve">Testing layer</x:t>
        </x:is>
      </x:c>
      <x:c r="E16" s="38" t="inlineStr">
        <x:is>
          <x:t xml:space="preserve">16 independent tests against biblical/historical data; 8 confirmed, 1 failed, future tests; reproducible seed.</x:t>
        </x:is>
      </x:c>
      <x:c r="F16" s="38" t="inlineStr">
        <x:is>
          <x:t xml:space="preserve">Computational empirical suite</x:t>
        </x:is>
      </x:c>
      <x:c r="G16" s="38" t="inlineStr">
        <x:is>
          <x:t xml:space="preserve">High if reproducible</x:t>
        </x:is>
      </x:c>
      <x:c r="H16" s="38" t="inlineStr">
        <x:is>
          <x:t xml:space="preserve">Scoring/coding must be independently audited.</x:t>
        </x:is>
      </x:c>
      <x:c r="I16" s="38" t="inlineStr">
        <x:is>
          <x:t xml:space="preserve">Add as testing suite overview.</x:t>
        </x:is>
      </x:c>
      <x:c r="J16" s="38" t="inlineStr">
        <x:is>
          <x:t xml:space="preserve">Critical</x:t>
        </x:is>
      </x:c>
      <x:c r="K16" s="38" t="inlineStr">
        <x:is>
          <x:t xml:space="preserve">H:\Desktop 2\LEAN 4\Google CoLab Python\_EXTRACTED_REPOS\Faith-Thru-Physics-Lean-4--main\Faith-Thru-Physics-Lean-4--main\docs\Theophysics_Lean4_Addendum_Updated (1).xlsx</x:t>
        </x:is>
      </x:c>
      <x:c r="L16" s="38" t="inlineStr">
        <x:is>
          <x:t xml:space="preserve">EXCEL_ADD_LIST</x:t>
        </x:is>
      </x:c>
      <x:c r="M16" s="39" t="inlineStr">
        <x:is>
          <x:t xml:space="preserve">16</x:t>
        </x:is>
      </x:c>
    </x:row>
    <x:row r="17" ht="15" customHeight="1">
      <x:c r="A17" s="37" t="inlineStr">
        <x:is>
          <x:t xml:space="preserve">TEST04_Grace_Response_Time.md</x:t>
        </x:is>
      </x:c>
      <x:c r="B17" s="38" t="inlineStr">
        <x:is>
          <x:t xml:space="preserve">Empirical Test</x:t>
        </x:is>
      </x:c>
      <x:c r="C17" s="38" t="inlineStr">
        <x:is>
          <x:t xml:space="preserve">EMPIRICAL_TESTS</x:t>
        </x:is>
      </x:c>
      <x:c r="D17" s="38" t="inlineStr">
        <x:is>
          <x:t xml:space="preserve">P(t) / Grace response</x:t>
        </x:is>
      </x:c>
      <x:c r="E17" s="38" t="inlineStr">
        <x:is>
          <x:t xml:space="preserve">Tests G→C response delay vs P(t); reported failed in suite with p=0.91.</x:t>
        </x:is>
      </x:c>
      <x:c r="F17" s="38" t="inlineStr">
        <x:is>
          <x:t xml:space="preserve">Empirical test</x:t>
        </x:is>
      </x:c>
      <x:c r="G17" s="38" t="inlineStr">
        <x:is>
          <x:t xml:space="preserve">Failed test; credibility boost</x:t>
        </x:is>
      </x:c>
      <x:c r="H17" s="38" t="inlineStr">
        <x:is>
          <x:t xml:space="preserve">Do not bury; failure may imply nonlinear/complexity model instead of linear response.</x:t>
        </x:is>
      </x:c>
      <x:c r="I17" s="38" t="inlineStr">
        <x:is>
          <x:t xml:space="preserve">Keep as honest failure and revise hypothesis.</x:t>
        </x:is>
      </x:c>
      <x:c r="J17" s="38" t="inlineStr">
        <x:is>
          <x:t xml:space="preserve">High</x:t>
        </x:is>
      </x:c>
      <x:c r="K17" s="38" t="inlineStr">
        <x:is>
          <x:t xml:space="preserve">H:\Desktop 2\LEAN 4\Google CoLab Python\_EXTRACTED_REPOS\Faith-Thru-Physics-Lean-4--main\Faith-Thru-Physics-Lean-4--main\docs\Theophysics_Lean4_Addendum_Updated (1).xlsx</x:t>
        </x:is>
      </x:c>
      <x:c r="L17" s="38" t="inlineStr">
        <x:is>
          <x:t xml:space="preserve">EXCEL_ADD_LIST</x:t>
        </x:is>
      </x:c>
      <x:c r="M17" s="39" t="inlineStr">
        <x:is>
          <x:t xml:space="preserve">17</x:t>
        </x:is>
      </x:c>
    </x:row>
    <x:row r="18" ht="15" customHeight="1">
      <x:c r="A18" s="37" t="inlineStr">
        <x:is>
          <x:t xml:space="preserve">TEST05_Prophecy_Precision_Growth.md</x:t>
        </x:is>
      </x:c>
      <x:c r="B18" s="38" t="inlineStr">
        <x:is>
          <x:t xml:space="preserve">Empirical Test</x:t>
        </x:is>
      </x:c>
      <x:c r="C18" s="38" t="inlineStr">
        <x:is>
          <x:t xml:space="preserve">EMPIRICAL_TESTS</x:t>
        </x:is>
      </x:c>
      <x:c r="D18" s="38" t="inlineStr">
        <x:is>
          <x:t xml:space="preserve">P(t) / Prophecy</x:t>
        </x:is>
      </x:c>
      <x:c r="E18" s="38" t="inlineStr">
        <x:is>
          <x:t xml:space="preserve">Prophetic specificity increases with preparation function; Shannon channel framing.</x:t>
        </x:is>
      </x:c>
      <x:c r="F18" s="38" t="inlineStr">
        <x:is>
          <x:t xml:space="preserve">Empirical / biblical information theory</x:t>
        </x:is>
      </x:c>
      <x:c r="G18" s="38" t="inlineStr">
        <x:is>
          <x:t xml:space="preserve">Promising</x:t>
        </x:is>
      </x:c>
      <x:c r="H18" s="38" t="inlineStr">
        <x:is>
          <x:t xml:space="preserve">Prophecy detail scoring needs public coding rulebook.</x:t>
        </x:is>
      </x:c>
      <x:c r="I18" s="38" t="inlineStr">
        <x:is>
          <x:t xml:space="preserve">Add to P(t) validation rows.</x:t>
        </x:is>
      </x:c>
      <x:c r="J18" s="38" t="inlineStr">
        <x:is>
          <x:t xml:space="preserve">High</x:t>
        </x:is>
      </x:c>
      <x:c r="K18" s="38" t="inlineStr">
        <x:is>
          <x:t xml:space="preserve">H:\Desktop 2\LEAN 4\Google CoLab Python\_EXTRACTED_REPOS\Faith-Thru-Physics-Lean-4--main\Faith-Thru-Physics-Lean-4--main\docs\Theophysics_Lean4_Addendum_Updated (1).xlsx</x:t>
        </x:is>
      </x:c>
      <x:c r="L18" s="38" t="inlineStr">
        <x:is>
          <x:t xml:space="preserve">EXCEL_ADD_LIST</x:t>
        </x:is>
      </x:c>
      <x:c r="M18" s="39" t="inlineStr">
        <x:is>
          <x:t xml:space="preserve">18</x:t>
        </x:is>
      </x:c>
    </x:row>
    <x:row r="19" ht="15" customHeight="1">
      <x:c r="A19" s="37" t="inlineStr">
        <x:is>
          <x:t xml:space="preserve">TEST07_Community_Coherence_Scaling.md</x:t>
        </x:is>
      </x:c>
      <x:c r="B19" s="38" t="inlineStr">
        <x:is>
          <x:t xml:space="preserve">Empirical Test</x:t>
        </x:is>
      </x:c>
      <x:c r="C19" s="38" t="inlineStr">
        <x:is>
          <x:t xml:space="preserve">EMPIRICAL_TESTS</x:t>
        </x:is>
      </x:c>
      <x:c r="D19" s="38" t="inlineStr">
        <x:is>
          <x:t xml:space="preserve">P(t) / Community scale</x:t>
        </x:is>
      </x:c>
      <x:c r="E19" s="38" t="inlineStr">
        <x:is>
          <x:t xml:space="preserve">Covenant community scale tracks preparation level; remnant anomaly as compression.</x:t>
        </x:is>
      </x:c>
      <x:c r="F19" s="38" t="inlineStr">
        <x:is>
          <x:t xml:space="preserve">Empirical / social coherence</x:t>
        </x:is>
      </x:c>
      <x:c r="G19" s="38" t="inlineStr">
        <x:is>
          <x:t xml:space="preserve">Promising qualitative</x:t>
        </x:is>
      </x:c>
      <x:c r="H19" s="38" t="inlineStr">
        <x:is>
          <x:t xml:space="preserve">Membership/bandwidth scores need validation.</x:t>
        </x:is>
      </x:c>
      <x:c r="I19" s="38" t="inlineStr">
        <x:is>
          <x:t xml:space="preserve">Add to social coherence tests.</x:t>
        </x:is>
      </x:c>
      <x:c r="J19" s="38" t="inlineStr">
        <x:is>
          <x:t xml:space="preserve">Medium</x:t>
        </x:is>
      </x:c>
      <x:c r="K19" s="38" t="inlineStr">
        <x:is>
          <x:t xml:space="preserve">H:\Desktop 2\LEAN 4\Google CoLab Python\_EXTRACTED_REPOS\Faith-Thru-Physics-Lean-4--main\Faith-Thru-Physics-Lean-4--main\docs\Theophysics_Lean4_Addendum_Updated (1).xlsx</x:t>
        </x:is>
      </x:c>
      <x:c r="L19" s="38" t="inlineStr">
        <x:is>
          <x:t xml:space="preserve">EXCEL_ADD_LIST</x:t>
        </x:is>
      </x:c>
      <x:c r="M19" s="39" t="inlineStr">
        <x:is>
          <x:t xml:space="preserve">19</x:t>
        </x:is>
      </x:c>
    </x:row>
    <x:row r="20" ht="15" customHeight="1">
      <x:c r="A20" s="37" t="inlineStr">
        <x:is>
          <x:t xml:space="preserve">TEST08_Revelation_Density_S_Curve.md</x:t>
        </x:is>
      </x:c>
      <x:c r="B20" s="38" t="inlineStr">
        <x:is>
          <x:t xml:space="preserve">Empirical Test</x:t>
        </x:is>
      </x:c>
      <x:c r="C20" s="38" t="inlineStr">
        <x:is>
          <x:t xml:space="preserve">EMPIRICAL_TESTS</x:t>
        </x:is>
      </x:c>
      <x:c r="D20" s="38" t="inlineStr">
        <x:is>
          <x:t xml:space="preserve">P(t) / Revelation density</x:t>
        </x:is>
      </x:c>
      <x:c r="E20" s="38" t="inlineStr">
        <x:is>
          <x:t xml:space="preserve">Novel theological concept density follows S-curve; incarnation spike; post-apostolic leveling.</x:t>
        </x:is>
      </x:c>
      <x:c r="F20" s="38" t="inlineStr">
        <x:is>
          <x:t xml:space="preserve">Empirical / revelation information flow</x:t>
        </x:is>
      </x:c>
      <x:c r="G20" s="38" t="inlineStr">
        <x:is>
          <x:t xml:space="preserve">Strong if coding is rigorous</x:t>
        </x:is>
      </x:c>
      <x:c r="H20" s="38" t="inlineStr">
        <x:is>
          <x:t xml:space="preserve">Novel concept count requires public coding rulebook and controls.</x:t>
        </x:is>
      </x:c>
      <x:c r="I20" s="38" t="inlineStr">
        <x:is>
          <x:t xml:space="preserve">Add to P(t) validation; build coding appendix.</x:t>
        </x:is>
      </x:c>
      <x:c r="J20" s="38" t="inlineStr">
        <x:is>
          <x:t xml:space="preserve">High</x:t>
        </x:is>
      </x:c>
      <x:c r="K20" s="38" t="inlineStr">
        <x:is>
          <x:t xml:space="preserve">H:\Desktop 2\LEAN 4\Google CoLab Python\_EXTRACTED_REPOS\Faith-Thru-Physics-Lean-4--main\Faith-Thru-Physics-Lean-4--main\docs\Theophysics_Lean4_Addendum_Updated (1).xlsx</x:t>
        </x:is>
      </x:c>
      <x:c r="L20" s="38" t="inlineStr">
        <x:is>
          <x:t xml:space="preserve">EXCEL_ADD_LIST</x:t>
        </x:is>
      </x:c>
      <x:c r="M20" s="39" t="inlineStr">
        <x:is>
          <x:t xml:space="preserve">20</x:t>
        </x:is>
      </x:c>
    </x:row>
    <x:row r="21" ht="15" customHeight="1">
      <x:c r="A21" s="37" t="inlineStr">
        <x:is>
          <x:t xml:space="preserve">TANGENT_08_The_Pride_Glitch (2).md</x:t>
        </x:is>
      </x:c>
      <x:c r="B21" s="38" t="inlineStr">
        <x:is>
          <x:t xml:space="preserve">Lane 4 / Decoherence</x:t>
        </x:is>
      </x:c>
      <x:c r="C21" s="38" t="inlineStr">
        <x:is>
          <x:t xml:space="preserve">LANE4_DOSSIER</x:t>
        </x:is>
      </x:c>
      <x:c r="D21" s="38" t="inlineStr">
        <x:is>
          <x:t xml:space="preserve">Origin of rupture</x:t>
        </x:is>
      </x:c>
      <x:c r="E21" s="38" t="inlineStr">
        <x:is>
          <x:t xml:space="preserve">First decoherence as self-sourcing error; pride as misattributed coherence source.</x:t>
        </x:is>
      </x:c>
      <x:c r="F21" s="38" t="inlineStr">
        <x:is>
          <x:t xml:space="preserve">Philosophical/theological model</x:t>
        </x:is>
      </x:c>
      <x:c r="G21" s="38" t="inlineStr">
        <x:is>
          <x:t xml:space="preserve">Strong explanatory piece</x:t>
        </x:is>
      </x:c>
      <x:c r="H21" s="38" t="inlineStr">
        <x:is>
          <x:t xml:space="preserve">Not empirical proof; relies on orientation model.</x:t>
        </x:is>
      </x:c>
      <x:c r="I21" s="38" t="inlineStr">
        <x:is>
          <x:t xml:space="preserve">Add before generational entropy in Lane 4 sequence.</x:t>
        </x:is>
      </x:c>
      <x:c r="J21" s="38" t="inlineStr">
        <x:is>
          <x:t xml:space="preserve">High</x:t>
        </x:is>
      </x:c>
      <x:c r="K21" s="38" t="inlineStr">
        <x:is>
          <x:t xml:space="preserve">H:\Desktop 2\LEAN 4\Google CoLab Python\_EXTRACTED_REPOS\Faith-Thru-Physics-Lean-4--main\Faith-Thru-Physics-Lean-4--main\docs\Theophysics_Lean4_Addendum_Updated (1).xlsx</x:t>
        </x:is>
      </x:c>
      <x:c r="L21" s="38" t="inlineStr">
        <x:is>
          <x:t xml:space="preserve">EXCEL_ADD_LIST</x:t>
        </x:is>
      </x:c>
      <x:c r="M21" s="39" t="inlineStr">
        <x:is>
          <x:t xml:space="preserve">21</x:t>
        </x:is>
      </x:c>
    </x:row>
    <x:row r="22" ht="15" customHeight="1">
      <x:c r="A22" s="37" t="inlineStr">
        <x:is>
          <x:t xml:space="preserve">TANGENT_09_Generational_Entropy (2).md</x:t>
        </x:is>
      </x:c>
      <x:c r="B22" s="38" t="inlineStr">
        <x:is>
          <x:t xml:space="preserve">Lane 4 / Propagation</x:t>
        </x:is>
      </x:c>
      <x:c r="C22" s="38" t="inlineStr">
        <x:is>
          <x:t xml:space="preserve">LANE4_DOSSIER</x:t>
        </x:is>
      </x:c>
      <x:c r="D22" s="38" t="inlineStr">
        <x:is>
          <x:t xml:space="preserve">Consequences cascade</x:t>
        </x:is>
      </x:c>
      <x:c r="E22" s="38" t="inlineStr">
        <x:is>
          <x:t xml:space="preserve">Consequences transfer, not guilt; templates, epigenetics, culture, environment.</x:t>
        </x:is>
      </x:c>
      <x:c r="F22" s="38" t="inlineStr">
        <x:is>
          <x:t xml:space="preserve">Theological/social model</x:t>
        </x:is>
      </x:c>
      <x:c r="G22" s="38" t="inlineStr">
        <x:is>
          <x:t xml:space="preserve">Strong if cited</x:t>
        </x:is>
      </x:c>
      <x:c r="H22" s="38" t="inlineStr">
        <x:is>
          <x:t xml:space="preserve">Epigenetic claims need careful citations and limits.</x:t>
        </x:is>
      </x:c>
      <x:c r="I22" s="38" t="inlineStr">
        <x:is>
          <x:t xml:space="preserve">Add to cascade/record section.</x:t>
        </x:is>
      </x:c>
      <x:c r="J22" s="38" t="inlineStr">
        <x:is>
          <x:t xml:space="preserve">High</x:t>
        </x:is>
      </x:c>
      <x:c r="K22" s="38" t="inlineStr">
        <x:is>
          <x:t xml:space="preserve">H:\Desktop 2\LEAN 4\Google CoLab Python\_EXTRACTED_REPOS\Faith-Thru-Physics-Lean-4--main\Faith-Thru-Physics-Lean-4--main\docs\Theophysics_Lean4_Addendum_Updated (1).xlsx</x:t>
        </x:is>
      </x:c>
      <x:c r="L22" s="38" t="inlineStr">
        <x:is>
          <x:t xml:space="preserve">EXCEL_ADD_LIST</x:t>
        </x:is>
      </x:c>
      <x:c r="M22" s="39" t="inlineStr">
        <x:is>
          <x:t xml:space="preserve">22</x:t>
        </x:is>
      </x:c>
    </x:row>
    <x:row r="23" ht="15" customHeight="1">
      <x:c r="A23" s="37" t="inlineStr">
        <x:is>
          <x:t xml:space="preserve">TANGENT_10_The_Sign_Theorem (2).md</x:t>
        </x:is>
      </x:c>
      <x:c r="B23" s="38" t="inlineStr">
        <x:is>
          <x:t xml:space="preserve">Lane 4 / Repair</x:t>
        </x:is>
      </x:c>
      <x:c r="C23" s="38" t="inlineStr">
        <x:is>
          <x:t xml:space="preserve">LANE4_DOSSIER</x:t>
        </x:is>
      </x:c>
      <x:c r="D23" s="38" t="inlineStr">
        <x:is>
          <x:t xml:space="preserve">Self-repair impossibility</x:t>
        </x:is>
      </x:c>
      <x:c r="E23" s="38" t="inlineStr">
        <x:is>
          <x:t xml:space="preserve">Self-generated operators preserve sign; external grace operator required.</x:t>
        </x:is>
      </x:c>
      <x:c r="F23" s="38" t="inlineStr">
        <x:is>
          <x:t xml:space="preserve">Formal/philosophical theorem</x:t>
        </x:is>
      </x:c>
      <x:c r="G23" s="38" t="inlineStr">
        <x:is>
          <x:t xml:space="preserve">Very strong Lane 4 piece</x:t>
        </x:is>
      </x:c>
      <x:c r="H23" s="38" t="inlineStr">
        <x:is>
          <x:t xml:space="preserve">Depends on sign-operator definitions; not universal physics proof.</x:t>
        </x:is>
      </x:c>
      <x:c r="I23" s="38" t="inlineStr">
        <x:is>
          <x:t xml:space="preserve">Add to repair constraint chain.</x:t>
        </x:is>
      </x:c>
      <x:c r="J23" s="38" t="inlineStr">
        <x:is>
          <x:t xml:space="preserve">Critical</x:t>
        </x:is>
      </x:c>
      <x:c r="K23" s="38" t="inlineStr">
        <x:is>
          <x:t xml:space="preserve">H:\Desktop 2\LEAN 4\Google CoLab Python\_EXTRACTED_REPOS\Faith-Thru-Physics-Lean-4--main\Faith-Thru-Physics-Lean-4--main\docs\Theophysics_Lean4_Addendum_Updated (1).xlsx</x:t>
        </x:is>
      </x:c>
      <x:c r="L23" s="38" t="inlineStr">
        <x:is>
          <x:t xml:space="preserve">EXCEL_ADD_LIST</x:t>
        </x:is>
      </x:c>
      <x:c r="M23" s="39" t="inlineStr">
        <x:is>
          <x:t xml:space="preserve">23</x:t>
        </x:is>
      </x:c>
    </x:row>
    <x:row r="24" ht="15" customHeight="1">
      <x:c r="A24" s="37" t="inlineStr">
        <x:is>
          <x:t xml:space="preserve">TANGENT_11_The_Constraint_Fork (2).md</x:t>
        </x:is>
      </x:c>
      <x:c r="B24" s="38" t="inlineStr">
        <x:is>
          <x:t xml:space="preserve">Lane 4 / Objections</x:t>
        </x:is>
      </x:c>
      <x:c r="C24" s="38" t="inlineStr">
        <x:is>
          <x:t xml:space="preserve">LANE4_DOSSIER</x:t>
        </x:is>
      </x:c>
      <x:c r="D24" s="38" t="inlineStr">
        <x:is>
          <x:t xml:space="preserve">Alternative strategies drop constraints</x:t>
        </x:is>
      </x:c>
      <x:c r="E24" s="38" t="inlineStr">
        <x:is>
          <x:t xml:space="preserve">Tests 'God should have done X' by whether it drops free will, grace, or justice.</x:t>
        </x:is>
      </x:c>
      <x:c r="F24" s="38" t="inlineStr">
        <x:is>
          <x:t xml:space="preserve">Objection engine / constraint model</x:t>
        </x:is>
      </x:c>
      <x:c r="G24" s="38" t="inlineStr">
        <x:is>
          <x:t xml:space="preserve">Very strong public tool</x:t>
        </x:is>
      </x:c>
      <x:c r="H24" s="38" t="inlineStr">
        <x:is>
          <x:t xml:space="preserve">Softens 'every objection' to 'every tested objection so far'.</x:t>
        </x:is>
      </x:c>
      <x:c r="I24" s="38" t="inlineStr">
        <x:is>
          <x:t xml:space="preserve">Use as central Lane 4 objection tool.</x:t>
        </x:is>
      </x:c>
      <x:c r="J24" s="38" t="inlineStr">
        <x:is>
          <x:t xml:space="preserve">Critical</x:t>
        </x:is>
      </x:c>
      <x:c r="K24" s="38" t="inlineStr">
        <x:is>
          <x:t xml:space="preserve">H:\Desktop 2\LEAN 4\Google CoLab Python\_EXTRACTED_REPOS\Faith-Thru-Physics-Lean-4--main\Faith-Thru-Physics-Lean-4--main\docs\Theophysics_Lean4_Addendum_Updated (1).xlsx</x:t>
        </x:is>
      </x:c>
      <x:c r="L24" s="38" t="inlineStr">
        <x:is>
          <x:t xml:space="preserve">EXCEL_ADD_LIST</x:t>
        </x:is>
      </x:c>
      <x:c r="M24" s="39" t="inlineStr">
        <x:is>
          <x:t xml:space="preserve">24</x:t>
        </x:is>
      </x:c>
    </x:row>
    <x:row r="25" ht="15" customHeight="1">
      <x:c r="A25" s="37" t="inlineStr">
        <x:is>
          <x:t xml:space="preserve">TANGENT_12_The_Pt_Function (2).md</x:t>
        </x:is>
      </x:c>
      <x:c r="B25" s="38" t="inlineStr">
        <x:is>
          <x:t xml:space="preserve">Empirical / P(t)</x:t>
        </x:is>
      </x:c>
      <x:c r="C25" s="38" t="inlineStr">
        <x:is>
          <x:t xml:space="preserve">EMPIRICAL_TESTS</x:t>
        </x:is>
      </x:c>
      <x:c r="D25" s="38" t="inlineStr">
        <x:is>
          <x:t xml:space="preserve">Preparation function</x:t>
        </x:is>
      </x:c>
      <x:c r="E25" s="38" t="inlineStr">
        <x:is>
          <x:t xml:space="preserve">Five textual metrics; P(t) as pedagogical S-curve; control tests pending.</x:t>
        </x:is>
      </x:c>
      <x:c r="F25" s="38" t="inlineStr">
        <x:is>
          <x:t xml:space="preserve">Empirical/theological information model</x:t>
        </x:is>
      </x:c>
      <x:c r="G25" s="38" t="inlineStr">
        <x:is>
          <x:t xml:space="preserve">Strong if reproducible</x:t>
        </x:is>
      </x:c>
      <x:c r="H25" s="38" t="inlineStr">
        <x:is>
          <x:t xml:space="preserve">Needs corpus methods, controls: Quran, Vedas, Pali Canon.</x:t>
        </x:is>
      </x:c>
      <x:c r="I25" s="38" t="inlineStr">
        <x:is>
          <x:t xml:space="preserve">Add to methodology and future controls.</x:t>
        </x:is>
      </x:c>
      <x:c r="J25" s="38" t="inlineStr">
        <x:is>
          <x:t xml:space="preserve">Critical</x:t>
        </x:is>
      </x:c>
      <x:c r="K25" s="38" t="inlineStr">
        <x:is>
          <x:t xml:space="preserve">H:\Desktop 2\LEAN 4\Google CoLab Python\_EXTRACTED_REPOS\Faith-Thru-Physics-Lean-4--main\Faith-Thru-Physics-Lean-4--main\docs\Theophysics_Lean4_Addendum_Updated (1).xlsx</x:t>
        </x:is>
      </x:c>
      <x:c r="L25" s="38" t="inlineStr">
        <x:is>
          <x:t xml:space="preserve">EXCEL_ADD_LIST</x:t>
        </x:is>
      </x:c>
      <x:c r="M25" s="39" t="inlineStr">
        <x:is>
          <x:t xml:space="preserve">25</x:t>
        </x:is>
      </x:c>
    </x:row>
    <x:row r="26" ht="15" customHeight="1">
      <x:c r="A26" s="37" t="inlineStr">
        <x:is>
          <x:t xml:space="preserve">TANGENT_13_The_Entropy_Crossover (2).md</x:t>
        </x:is>
      </x:c>
      <x:c r="B26" s="38" t="inlineStr">
        <x:is>
          <x:t xml:space="preserve">Lane 4 / Cross necessity</x:t>
        </x:is>
      </x:c>
      <x:c r="C26" s="38" t="inlineStr">
        <x:is>
          <x:t xml:space="preserve">LANE4_DOSSIER</x:t>
        </x:is>
      </x:c>
      <x:c r="D26" s="38" t="inlineStr">
        <x:is>
          <x:t xml:space="preserve">Cross needed above entropy threshold</x:t>
        </x:is>
      </x:c>
      <x:c r="E26" s="38" t="inlineStr">
        <x:is>
          <x:t xml:space="preserve">Progressive grace wins low entropy; Biblical/cross strategy wins at S≈0.28+.</x:t>
        </x:is>
      </x:c>
      <x:c r="F26" s="38" t="inlineStr">
        <x:is>
          <x:t xml:space="preserve">Simulation / constraint model</x:t>
        </x:is>
      </x:c>
      <x:c r="G26" s="38" t="inlineStr">
        <x:is>
          <x:t xml:space="preserve">Very high if reproducible</x:t>
        </x:is>
      </x:c>
      <x:c r="H26" s="38" t="inlineStr">
        <x:is>
          <x:t xml:space="preserve">'This universe S&gt;&gt;0.28' needs empirical justification.</x:t>
        </x:is>
      </x:c>
      <x:c r="I26" s="38" t="inlineStr">
        <x:is>
          <x:t xml:space="preserve">Add next to Justice-Mercy / Cross unique.</x:t>
        </x:is>
      </x:c>
      <x:c r="J26" s="38" t="inlineStr">
        <x:is>
          <x:t xml:space="preserve">Critical</x:t>
        </x:is>
      </x:c>
      <x:c r="K26" s="38" t="inlineStr">
        <x:is>
          <x:t xml:space="preserve">H:\Desktop 2\LEAN 4\Google CoLab Python\_EXTRACTED_REPOS\Faith-Thru-Physics-Lean-4--main\Faith-Thru-Physics-Lean-4--main\docs\Theophysics_Lean4_Addendum_Updated (1).xlsx</x:t>
        </x:is>
      </x:c>
      <x:c r="L26" s="38" t="inlineStr">
        <x:is>
          <x:t xml:space="preserve">EXCEL_ADD_LIST</x:t>
        </x:is>
      </x:c>
      <x:c r="M26" s="39" t="inlineStr">
        <x:is>
          <x:t xml:space="preserve">26</x:t>
        </x:is>
      </x:c>
    </x:row>
    <x:row r="27" ht="15" customHeight="1">
      <x:c r="A27" s="37" t="inlineStr">
        <x:is>
          <x:t xml:space="preserve">THE CROSS UNIQUE SOLUTION (2).md</x:t>
        </x:is>
      </x:c>
      <x:c r="B27" s="38" t="inlineStr">
        <x:is>
          <x:t xml:space="preserve">Lane 4 / Cross uniqueness</x:t>
        </x:is>
      </x:c>
      <x:c r="C27" s="38" t="inlineStr">
        <x:is>
          <x:t xml:space="preserve">LANE4_DOSSIER</x:t>
        </x:is>
      </x:c>
      <x:c r="D27" s="38" t="inlineStr">
        <x:is>
          <x:t xml:space="preserve">Rival-model elimination</x:t>
        </x:is>
      </x:c>
      <x:c r="E27" s="38" t="inlineStr">
        <x:is>
          <x:t xml:space="preserve">Monte Carlo and named alternatives; Cross satisfies six-force model, alternatives fail constraints.</x:t>
        </x:is>
      </x:c>
      <x:c r="F27" s="38" t="inlineStr">
        <x:is>
          <x:t xml:space="preserve">Simulation / rival repair models</x:t>
        </x:is>
      </x:c>
      <x:c r="G27" s="38" t="inlineStr">
        <x:is>
          <x:t xml:space="preserve">Central Lane 4 claim</x:t>
        </x:is>
      </x:c>
      <x:c r="H27" s="38" t="inlineStr">
        <x:is>
          <x:t xml:space="preserve">Uniqueness depends on force definitions/scoring rules; compare respectfully.</x:t>
        </x:is>
      </x:c>
      <x:c r="I27" s="38" t="inlineStr">
        <x:is>
          <x:t xml:space="preserve">Build 10 wrong-before-right table from this.</x:t>
        </x:is>
      </x:c>
      <x:c r="J27" s="38" t="inlineStr">
        <x:is>
          <x:t xml:space="preserve">Critical</x:t>
        </x:is>
      </x:c>
      <x:c r="K27" s="38" t="inlineStr">
        <x:is>
          <x:t xml:space="preserve">H:\Desktop 2\LEAN 4\Google CoLab Python\_EXTRACTED_REPOS\Faith-Thru-Physics-Lean-4--main\Faith-Thru-Physics-Lean-4--main\docs\Theophysics_Lean4_Addendum_Updated (1).xlsx</x:t>
        </x:is>
      </x:c>
      <x:c r="L27" s="38" t="inlineStr">
        <x:is>
          <x:t xml:space="preserve">EXCEL_ADD_LIST</x:t>
        </x:is>
      </x:c>
      <x:c r="M27" s="39" t="inlineStr">
        <x:is>
          <x:t xml:space="preserve">27</x:t>
        </x:is>
      </x:c>
    </x:row>
    <x:row r="28" ht="15" customHeight="1">
      <x:c r="A28" s="37" t="inlineStr">
        <x:is>
          <x:t xml:space="preserve">TANGENT_01_The_Nothing_Problem (1).md</x:t>
        </x:is>
      </x:c>
      <x:c r="B28" s="38" t="inlineStr">
        <x:is>
          <x:t xml:space="preserve">Logic Tangent</x:t>
        </x:is>
      </x:c>
      <x:c r="C28" s="38" t="inlineStr">
        <x:is>
          <x:t xml:space="preserve">LOGIC_TANGENTS</x:t>
        </x:is>
      </x:c>
      <x:c r="D28" s="38" t="inlineStr">
        <x:is>
          <x:t xml:space="preserve">Q1 / Existence</x:t>
        </x:is>
      </x:c>
      <x:c r="E28" s="38" t="inlineStr">
        <x:is>
          <x:t xml:space="preserve">Absolute nothing may be incoherent; 'something exists' may be necessary rather than contingent.</x:t>
        </x:is>
      </x:c>
      <x:c r="F28" s="38" t="inlineStr">
        <x:is>
          <x:t xml:space="preserve">Philosophical derivation</x:t>
        </x:is>
      </x:c>
      <x:c r="G28" s="38" t="inlineStr">
        <x:is>
          <x:t xml:space="preserve">Useful support</x:t>
        </x:is>
      </x:c>
      <x:c r="H28" s="38" t="inlineStr">
        <x:is>
          <x:t xml:space="preserve">Do not overstate as settled metaphysical proof; distinguish physical vacuum from absolute nothing.</x:t>
        </x:is>
      </x:c>
      <x:c r="I28" s="38" t="inlineStr">
        <x:is>
          <x:t xml:space="preserve">Add as Q1 tangent/support row.</x:t>
        </x:is>
      </x:c>
      <x:c r="J28" s="38" t="inlineStr">
        <x:is>
          <x:t xml:space="preserve">High</x:t>
        </x:is>
      </x:c>
      <x:c r="K28" s="38" t="inlineStr">
        <x:is>
          <x:t xml:space="preserve">H:\Desktop 2\LEAN 4\Google CoLab Python\_EXTRACTED_REPOS\Faith-Thru-Physics-Lean-4--main\Faith-Thru-Physics-Lean-4--main\docs\Theophysics_Lean4_Addendum_Updated (1).xlsx</x:t>
        </x:is>
      </x:c>
      <x:c r="L28" s="38" t="inlineStr">
        <x:is>
          <x:t xml:space="preserve">EXCEL_ADD_LIST</x:t>
        </x:is>
      </x:c>
      <x:c r="M28" s="39" t="inlineStr">
        <x:is>
          <x:t xml:space="preserve">28</x:t>
        </x:is>
      </x:c>
    </x:row>
    <x:row r="29" ht="15" customHeight="1">
      <x:c r="A29" s="37" t="inlineStr">
        <x:is>
          <x:t xml:space="preserve">TANGENT_02_Wheelers_It_From_Bit (1).md</x:t>
        </x:is>
      </x:c>
      <x:c r="B29" s="38" t="inlineStr">
        <x:is>
          <x:t xml:space="preserve">Logic Tangent</x:t>
        </x:is>
      </x:c>
      <x:c r="C29" s="38" t="inlineStr">
        <x:is>
          <x:t xml:space="preserve">LOGIC_TANGENTS</x:t>
        </x:is>
      </x:c>
      <x:c r="D29" s="38" t="inlineStr">
        <x:is>
          <x:t xml:space="preserve">Q3 / Information Primacy</x:t>
        </x:is>
      </x:c>
      <x:c r="E29" s="38" t="inlineStr">
        <x:is>
          <x:t xml:space="preserve">Wheeler's It-from-Bit as independent physics-side support for information primacy.</x:t>
        </x:is>
      </x:c>
      <x:c r="F29" s="38" t="inlineStr">
        <x:is>
          <x:t xml:space="preserve">Physics/philosophy support</x:t>
        </x:is>
      </x:c>
      <x:c r="G29" s="38" t="inlineStr">
        <x:is>
          <x:t xml:space="preserve">Strong support if cited</x:t>
        </x:is>
      </x:c>
      <x:c r="H29" s="38" t="inlineStr">
        <x:is>
          <x:t xml:space="preserve">Wheeler supports information primacy; not direct proof of Logos.</x:t>
        </x:is>
      </x:c>
      <x:c r="I29" s="38" t="inlineStr">
        <x:is>
          <x:t xml:space="preserve">Add as independent convergence support.</x:t>
        </x:is>
      </x:c>
      <x:c r="J29" s="38" t="inlineStr">
        <x:is>
          <x:t xml:space="preserve">High</x:t>
        </x:is>
      </x:c>
      <x:c r="K29" s="38" t="inlineStr">
        <x:is>
          <x:t xml:space="preserve">H:\Desktop 2\LEAN 4\Google CoLab Python\_EXTRACTED_REPOS\Faith-Thru-Physics-Lean-4--main\Faith-Thru-Physics-Lean-4--main\docs\Theophysics_Lean4_Addendum_Updated (1).xlsx</x:t>
        </x:is>
      </x:c>
      <x:c r="L29" s="38" t="inlineStr">
        <x:is>
          <x:t xml:space="preserve">EXCEL_ADD_LIST</x:t>
        </x:is>
      </x:c>
      <x:c r="M29" s="39" t="inlineStr">
        <x:is>
          <x:t xml:space="preserve">29</x:t>
        </x:is>
      </x:c>
    </x:row>
    <x:row r="30" ht="15" customHeight="1">
      <x:c r="A30" s="37" t="inlineStr">
        <x:is>
          <x:t xml:space="preserve">TANGENT_03_Kolmogorov_and_Gods_Compression (1).md</x:t>
        </x:is>
      </x:c>
      <x:c r="B30" s="38" t="inlineStr">
        <x:is>
          <x:t xml:space="preserve">Logic Tangent</x:t>
        </x:is>
      </x:c>
      <x:c r="C30" s="38" t="inlineStr">
        <x:is>
          <x:t xml:space="preserve">LOGIC_TANGENTS</x:t>
        </x:is>
      </x:c>
      <x:c r="D30" s="38" t="inlineStr">
        <x:is>
          <x:t xml:space="preserve">Q3 / Compression</x:t>
        </x:is>
      </x:c>
      <x:c r="E30" s="38" t="inlineStr">
        <x:is>
          <x:t xml:space="preserve">Physical laws as low-K programs; Logos as compression operator; dK/dt = -alpha chi(t).</x:t>
        </x:is>
      </x:c>
      <x:c r="F30" s="38" t="inlineStr">
        <x:is>
          <x:t xml:space="preserve">Information theory / explanatory model</x:t>
        </x:is>
      </x:c>
      <x:c r="G30" s="38" t="inlineStr">
        <x:is>
          <x:t xml:space="preserve">Strong conceptual bridge</x:t>
        </x:is>
      </x:c>
      <x:c r="H30" s="38" t="inlineStr">
        <x:is>
          <x:t xml:space="preserve">Kolmogorov analogy needs careful separation from proof of design.</x:t>
        </x:is>
      </x:c>
      <x:c r="I30" s="38" t="inlineStr">
        <x:is>
          <x:t xml:space="preserve">Add to Law 6 / Logos support.</x:t>
        </x:is>
      </x:c>
      <x:c r="J30" s="38" t="inlineStr">
        <x:is>
          <x:t xml:space="preserve">High</x:t>
        </x:is>
      </x:c>
      <x:c r="K30" s="38" t="inlineStr">
        <x:is>
          <x:t xml:space="preserve">H:\Desktop 2\LEAN 4\Google CoLab Python\_EXTRACTED_REPOS\Faith-Thru-Physics-Lean-4--main\Faith-Thru-Physics-Lean-4--main\docs\Theophysics_Lean4_Addendum_Updated (1).xlsx</x:t>
        </x:is>
      </x:c>
      <x:c r="L30" s="38" t="inlineStr">
        <x:is>
          <x:t xml:space="preserve">EXCEL_ADD_LIST</x:t>
        </x:is>
      </x:c>
      <x:c r="M30" s="39" t="inlineStr">
        <x:is>
          <x:t xml:space="preserve">30</x:t>
        </x:is>
      </x:c>
    </x:row>
    <x:row r="31" ht="15" customHeight="1">
      <x:c r="A31" s="37" t="inlineStr">
        <x:is>
          <x:t xml:space="preserve">TANGENT_04_Godels_Echo (1).md</x:t>
        </x:is>
      </x:c>
      <x:c r="B31" s="38" t="inlineStr">
        <x:is>
          <x:t xml:space="preserve">Logic Tangent</x:t>
        </x:is>
      </x:c>
      <x:c r="C31" s="38" t="inlineStr">
        <x:is>
          <x:t xml:space="preserve">LOGIC_TANGENTS</x:t>
        </x:is>
      </x:c>
      <x:c r="D31" s="38" t="inlineStr">
        <x:is>
          <x:t xml:space="preserve">Q5 / Ground</x:t>
        </x:is>
      </x:c>
      <x:c r="E31" s="38" t="inlineStr">
        <x:is>
          <x:t xml:space="preserve">Godel/Tarski/Church as echoes that truth exceeds formal systems, language, computation.</x:t>
        </x:is>
      </x:c>
      <x:c r="F31" s="38" t="inlineStr">
        <x:is>
          <x:t xml:space="preserve">Mathematical philosophy support</x:t>
        </x:is>
      </x:c>
      <x:c r="G31" s="38" t="inlineStr">
        <x:is>
          <x:t xml:space="preserve">Strong but delicate</x:t>
        </x:is>
      </x:c>
      <x:c r="H31" s="38" t="inlineStr">
        <x:is>
          <x:t xml:space="preserve">Do not claim Godel alone proves God; use as transcendence-of-system support.</x:t>
        </x:is>
      </x:c>
      <x:c r="I31" s="38" t="inlineStr">
        <x:is>
          <x:t xml:space="preserve">Add as Q5 grounding tangent.</x:t>
        </x:is>
      </x:c>
      <x:c r="J31" s="38" t="inlineStr">
        <x:is>
          <x:t xml:space="preserve">High</x:t>
        </x:is>
      </x:c>
      <x:c r="K31" s="38" t="inlineStr">
        <x:is>
          <x:t xml:space="preserve">H:\Desktop 2\LEAN 4\Google CoLab Python\_EXTRACTED_REPOS\Faith-Thru-Physics-Lean-4--main\Faith-Thru-Physics-Lean-4--main\docs\Theophysics_Lean4_Addendum_Updated (1).xlsx</x:t>
        </x:is>
      </x:c>
      <x:c r="L31" s="38" t="inlineStr">
        <x:is>
          <x:t xml:space="preserve">EXCEL_ADD_LIST</x:t>
        </x:is>
      </x:c>
      <x:c r="M31" s="39" t="inlineStr">
        <x:is>
          <x:t xml:space="preserve">31</x:t>
        </x:is>
      </x:c>
    </x:row>
    <x:row r="32" ht="15" customHeight="1">
      <x:c r="A32" s="37" t="inlineStr">
        <x:is>
          <x:t xml:space="preserve">TANGENT_05_The_Low_Entropy_Beginning (1).md</x:t>
        </x:is>
      </x:c>
      <x:c r="B32" s="38" t="inlineStr">
        <x:is>
          <x:t xml:space="preserve">Logic Tangent</x:t>
        </x:is>
      </x:c>
      <x:c r="C32" s="38" t="inlineStr">
        <x:is>
          <x:t xml:space="preserve">LOGIC_TANGENTS</x:t>
        </x:is>
      </x:c>
      <x:c r="D32" s="38" t="inlineStr">
        <x:is>
          <x:t xml:space="preserve">Q7 / Initial order</x:t>
        </x:is>
      </x:c>
      <x:c r="E32" s="38" t="inlineStr">
        <x:is>
          <x:t xml:space="preserve">Penrose low-entropy beginning as evidence that order is fundamental, not random emergence.</x:t>
        </x:is>
      </x:c>
      <x:c r="F32" s="38" t="inlineStr">
        <x:is>
          <x:t xml:space="preserve">Cosmology/fine-tuning support</x:t>
        </x:is>
      </x:c>
      <x:c r="G32" s="38" t="inlineStr">
        <x:is>
          <x:t xml:space="preserve">Strong if citations are precise</x:t>
        </x:is>
      </x:c>
      <x:c r="H32" s="38" t="inlineStr">
        <x:is>
          <x:t xml:space="preserve">Penrose number supports low-entropy puzzle, not direct proof of intentional Logos.</x:t>
        </x:is>
      </x:c>
      <x:c r="I32" s="38" t="inlineStr">
        <x:is>
          <x:t xml:space="preserve">Add as Q7 tangent and citation check.</x:t>
        </x:is>
      </x:c>
      <x:c r="J32" s="38" t="inlineStr">
        <x:is>
          <x:t xml:space="preserve">High</x:t>
        </x:is>
      </x:c>
      <x:c r="K32" s="38" t="inlineStr">
        <x:is>
          <x:t xml:space="preserve">H:\Desktop 2\LEAN 4\Google CoLab Python\_EXTRACTED_REPOS\Faith-Thru-Physics-Lean-4--main\Faith-Thru-Physics-Lean-4--main\docs\Theophysics_Lean4_Addendum_Updated (1).xlsx</x:t>
        </x:is>
      </x:c>
      <x:c r="L32" s="38" t="inlineStr">
        <x:is>
          <x:t xml:space="preserve">EXCEL_ADD_LIST</x:t>
        </x:is>
      </x:c>
      <x:c r="M32" s="39" t="inlineStr">
        <x:is>
          <x:t xml:space="preserve">32</x:t>
        </x:is>
      </x:c>
    </x:row>
    <x:row r="33" ht="15" customHeight="1">
      <x:c r="A33" s="37" t="inlineStr">
        <x:is>
          <x:t xml:space="preserve">TANGENT_06_The_Hard_Problem (1).md</x:t>
        </x:is>
      </x:c>
      <x:c r="B33" s="38" t="inlineStr">
        <x:is>
          <x:t xml:space="preserve">Consciousness Lane</x:t>
        </x:is>
      </x:c>
      <x:c r="C33" s="38" t="inlineStr">
        <x:is>
          <x:t xml:space="preserve">LOGIC_TANGENTS</x:t>
        </x:is>
      </x:c>
      <x:c r="D33" s="38" t="inlineStr">
        <x:is>
          <x:t xml:space="preserve">Q8 / Consciousness</x:t>
        </x:is>
      </x:c>
      <x:c r="E33" s="38" t="inlineStr">
        <x:is>
          <x:t xml:space="preserve">Hard problem, materialism gap, Φ/IIT as observer capacity measure.</x:t>
        </x:is>
      </x:c>
      <x:c r="F33" s="38" t="inlineStr">
        <x:is>
          <x:t xml:space="preserve">Philosophy of mind / consciousness model</x:t>
        </x:is>
      </x:c>
      <x:c r="G33" s="38" t="inlineStr">
        <x:is>
          <x:t xml:space="preserve">Strong lane support</x:t>
        </x:is>
      </x:c>
      <x:c r="H33" s="38" t="inlineStr">
        <x:is>
          <x:t xml:space="preserve">IIT is debated; present as adopted formalism, not settled consensus.</x:t>
        </x:is>
      </x:c>
      <x:c r="I33" s="38" t="inlineStr">
        <x:is>
          <x:t xml:space="preserve">Add to Lane 4/Consciousness row and objection guard.</x:t>
        </x:is>
      </x:c>
      <x:c r="J33" s="38" t="inlineStr">
        <x:is>
          <x:t xml:space="preserve">High</x:t>
        </x:is>
      </x:c>
      <x:c r="K33" s="38" t="inlineStr">
        <x:is>
          <x:t xml:space="preserve">H:\Desktop 2\LEAN 4\Google CoLab Python\_EXTRACTED_REPOS\Faith-Thru-Physics-Lean-4--main\Faith-Thru-Physics-Lean-4--main\docs\Theophysics_Lean4_Addendum_Updated (1).xlsx</x:t>
        </x:is>
      </x:c>
      <x:c r="L33" s="38" t="inlineStr">
        <x:is>
          <x:t xml:space="preserve">EXCEL_ADD_LIST</x:t>
        </x:is>
      </x:c>
      <x:c r="M33" s="39" t="inlineStr">
        <x:is>
          <x:t xml:space="preserve">33</x:t>
        </x:is>
      </x:c>
    </x:row>
    <x:row r="34" ht="15" customHeight="1">
      <x:c r="A34" s="37" t="inlineStr">
        <x:is>
          <x:t xml:space="preserve">TANGENT_07_Quantum_Measurement (1).md</x:t>
        </x:is>
      </x:c>
      <x:c r="B34" s="38" t="inlineStr">
        <x:is>
          <x:t xml:space="preserve">Quantum / Observer Lane</x:t>
        </x:is>
      </x:c>
      <x:c r="C34" s="38" t="inlineStr">
        <x:is>
          <x:t xml:space="preserve">LOGIC_TANGENTS</x:t>
        </x:is>
      </x:c>
      <x:c r="D34" s="38" t="inlineStr">
        <x:is>
          <x:t xml:space="preserve">Q9 / Participatory universe</x:t>
        </x:is>
      </x:c>
      <x:c r="E34" s="38" t="inlineStr">
        <x:is>
          <x:t xml:space="preserve">Bell, Aspect, measurement problem; observer-participation interpretation selected over alternatives.</x:t>
        </x:is>
      </x:c>
      <x:c r="F34" s="38" t="inlineStr">
        <x:is>
          <x:t xml:space="preserve">Quantum foundations support</x:t>
        </x:is>
      </x:c>
      <x:c r="G34" s="38" t="inlineStr">
        <x:is>
          <x:t xml:space="preserve">Useful but interpretation-sensitive</x:t>
        </x:is>
      </x:c>
      <x:c r="H34" s="38" t="inlineStr">
        <x:is>
          <x:t xml:space="preserve">Bell rules out local hidden variables, not all non-participatory interpretations.</x:t>
        </x:is>
      </x:c>
      <x:c r="I34" s="38" t="inlineStr">
        <x:is>
          <x:t xml:space="preserve">Add interpretation guard and alternatives table.</x:t>
        </x:is>
      </x:c>
      <x:c r="J34" s="38" t="inlineStr">
        <x:is>
          <x:t xml:space="preserve">High</x:t>
        </x:is>
      </x:c>
      <x:c r="K34" s="38" t="inlineStr">
        <x:is>
          <x:t xml:space="preserve">H:\Desktop 2\LEAN 4\Google CoLab Python\_EXTRACTED_REPOS\Faith-Thru-Physics-Lean-4--main\Faith-Thru-Physics-Lean-4--main\docs\Theophysics_Lean4_Addendum_Updated (1).xlsx</x:t>
        </x:is>
      </x:c>
      <x:c r="L34" s="38" t="inlineStr">
        <x:is>
          <x:t xml:space="preserve">EXCEL_ADD_LIST</x:t>
        </x:is>
      </x:c>
      <x:c r="M34" s="39" t="inlineStr">
        <x:is>
          <x:t xml:space="preserve">34</x:t>
        </x:is>
      </x:c>
    </x:row>
    <x:row r="35" ht="15" customHeight="1">
      <x:c r="A35" s="37" t="inlineStr">
        <x:is>
          <x:t xml:space="preserve">01_THE GOD STORY — Narrative Map.md</x:t>
        </x:is>
      </x:c>
      <x:c r="B35" s="38" t="inlineStr">
        <x:is>
          <x:t xml:space="preserve">Narrative Engine</x:t>
        </x:is>
      </x:c>
      <x:c r="C35" s="38" t="inlineStr">
        <x:is>
          <x:t xml:space="preserve">LANE4_DOSSIER</x:t>
        </x:is>
      </x:c>
      <x:c r="D35" s="38" t="inlineStr">
        <x:is>
          <x:t xml:space="preserve">God-builder / Story</x:t>
        </x:is>
      </x:c>
      <x:c r="E35" s="38" t="inlineStr">
        <x:is>
          <x:t xml:space="preserve">First-person gospel narrative map Q1-Q12; maps story beats to axioms; creation, free will, fall, adversary, grace.</x:t>
        </x:is>
      </x:c>
      <x:c r="F35" s="38" t="inlineStr">
        <x:is>
          <x:t xml:space="preserve">Narrative / teaching layer</x:t>
        </x:is>
      </x:c>
      <x:c r="G35" s="38" t="inlineStr">
        <x:is>
          <x:t xml:space="preserve">Core public narrative</x:t>
        </x:is>
      </x:c>
      <x:c r="H35" s="38" t="inlineStr">
        <x:is>
          <x:t xml:space="preserve">Narrative derives shape; not formal proof by itself.</x:t>
        </x:is>
      </x:c>
      <x:c r="I35" s="38" t="inlineStr">
        <x:is>
          <x:t xml:space="preserve">Use as human-facing Lane 4/story version.</x:t>
        </x:is>
      </x:c>
      <x:c r="J35" s="38" t="inlineStr">
        <x:is>
          <x:t xml:space="preserve">High</x:t>
        </x:is>
      </x:c>
      <x:c r="K35" s="38" t="inlineStr">
        <x:is>
          <x:t xml:space="preserve">H:\Desktop 2\LEAN 4\Google CoLab Python\_EXTRACTED_REPOS\Faith-Thru-Physics-Lean-4--main\Faith-Thru-Physics-Lean-4--main\docs\Theophysics_Lean4_Addendum_Updated (1).xlsx</x:t>
        </x:is>
      </x:c>
      <x:c r="L35" s="38" t="inlineStr">
        <x:is>
          <x:t xml:space="preserve">EXCEL_ADD_LIST</x:t>
        </x:is>
      </x:c>
      <x:c r="M35" s="39" t="inlineStr">
        <x:is>
          <x:t xml:space="preserve">35</x:t>
        </x:is>
      </x:c>
    </x:row>
    <x:row r="36" ht="15" customHeight="1">
      <x:c r="A36" s="37" t="inlineStr">
        <x:is>
          <x:t xml:space="preserve">071_C8.1_Self-Flip-Impossible.md</x:t>
        </x:is>
      </x:c>
      <x:c r="B36" s="38" t="inlineStr">
        <x:is>
          <x:t xml:space="preserve">Axiom Detail</x:t>
        </x:is>
      </x:c>
      <x:c r="C36" s="38" t="inlineStr">
        <x:is>
          <x:t xml:space="preserve">LANE4_DOSSIER</x:t>
        </x:is>
      </x:c>
      <x:c r="D36" s="38" t="inlineStr">
        <x:is>
          <x:t xml:space="preserve">C8.1 / Self-flip</x:t>
        </x:is>
      </x:c>
      <x:c r="E36" s="38" t="inlineStr">
        <x:is>
          <x:t xml:space="preserve">Formal corollary: self-operations cannot flip sign; collapse if self-salvation possible.</x:t>
        </x:is>
      </x:c>
      <x:c r="F36" s="38" t="inlineStr">
        <x:is>
          <x:t xml:space="preserve">Axiom / formal corollary</x:t>
        </x:is>
      </x:c>
      <x:c r="G36" s="38" t="inlineStr">
        <x:is>
          <x:t xml:space="preserve">Critical support</x:t>
        </x:is>
      </x:c>
      <x:c r="H36" s="38" t="inlineStr">
        <x:is>
          <x:t xml:space="preserve">Depends on T8.1 and sign model; not empirical proof of conversion.</x:t>
        </x:is>
      </x:c>
      <x:c r="I36" s="38" t="inlineStr">
        <x:is>
          <x:t xml:space="preserve">Link to Sign Theorem and Lean rows.</x:t>
        </x:is>
      </x:c>
      <x:c r="J36" s="38" t="inlineStr">
        <x:is>
          <x:t xml:space="preserve">Critical</x:t>
        </x:is>
      </x:c>
      <x:c r="K36" s="38" t="inlineStr">
        <x:is>
          <x:t xml:space="preserve">H:\Desktop 2\LEAN 4\Google CoLab Python\_EXTRACTED_REPOS\Faith-Thru-Physics-Lean-4--main\Faith-Thru-Physics-Lean-4--main\docs\Theophysics_Lean4_Addendum_Updated (1).xlsx</x:t>
        </x:is>
      </x:c>
      <x:c r="L36" s="38" t="inlineStr">
        <x:is>
          <x:t xml:space="preserve">EXCEL_ADD_LIST</x:t>
        </x:is>
      </x:c>
      <x:c r="M36" s="39" t="inlineStr">
        <x:is>
          <x:t xml:space="preserve">36</x:t>
        </x:is>
      </x:c>
    </x:row>
    <x:row r="37" ht="15" customHeight="1">
      <x:c r="A37" s="37" t="inlineStr">
        <x:is>
          <x:t xml:space="preserve">174_BRIDGE-PHI-CHI_Individual-Phi-To-Social-Chi.md</x:t>
        </x:is>
      </x:c>
      <x:c r="B37" s="38" t="inlineStr">
        <x:is>
          <x:t xml:space="preserve">Scale Bridge</x:t>
        </x:is>
      </x:c>
      <x:c r="C37" s="38" t="inlineStr">
        <x:is>
          <x:t xml:space="preserve">EMPIRICAL_TESTS</x:t>
        </x:is>
      </x:c>
      <x:c r="D37" s="38" t="inlineStr">
        <x:is>
          <x:t xml:space="preserve">Individual to social coherence</x:t>
        </x:is>
      </x:c>
      <x:c r="E37" s="38" t="inlineStr">
        <x:is>
          <x:t xml:space="preserve">Social chi as weighted/integrated sum of individual Phi and relational alignment; scale bridge for society/history.</x:t>
        </x:is>
      </x:c>
      <x:c r="F37" s="38" t="inlineStr">
        <x:is>
          <x:t xml:space="preserve">Bridge / social coherence model</x:t>
        </x:is>
      </x:c>
      <x:c r="G37" s="38" t="inlineStr">
        <x:is>
          <x:t xml:space="preserve">Important but high-risk</x:t>
        </x:is>
      </x:c>
      <x:c r="H37" s="38" t="inlineStr">
        <x:is>
          <x:t xml:space="preserve">IIT/social aggregation bridge needs rigorous definition and empirical validation.</x:t>
        </x:is>
      </x:c>
      <x:c r="I37" s="38" t="inlineStr">
        <x:is>
          <x:t xml:space="preserve">Add to social coherence methodology and coding rulebook.</x:t>
        </x:is>
      </x:c>
      <x:c r="J37" s="38" t="inlineStr">
        <x:is>
          <x:t xml:space="preserve">Critical</x:t>
        </x:is>
      </x:c>
      <x:c r="K37" s="38" t="inlineStr">
        <x:is>
          <x:t xml:space="preserve">H:\Desktop 2\LEAN 4\Google CoLab Python\_EXTRACTED_REPOS\Faith-Thru-Physics-Lean-4--main\Faith-Thru-Physics-Lean-4--main\docs\Theophysics_Lean4_Addendum_Updated (1).xlsx</x:t>
        </x:is>
      </x:c>
      <x:c r="L37" s="38" t="inlineStr">
        <x:is>
          <x:t xml:space="preserve">EXCEL_ADD_LIST</x:t>
        </x:is>
      </x:c>
      <x:c r="M37" s="39" t="inlineStr">
        <x:is>
          <x:t xml:space="preserve">37</x:t>
        </x:is>
      </x:c>
    </x:row>
    <x:row r="38" ht="15" customHeight="1">
      <x:c r="A38" s="37" t="inlineStr">
        <x:is>
          <x:t xml:space="preserve">PRINCIPIA_A11_REVISION_DRAFT.md</x:t>
        </x:is>
      </x:c>
      <x:c r="B38" s="38" t="inlineStr">
        <x:is>
          <x:t xml:space="preserve">Principia Revision</x:t>
        </x:is>
      </x:c>
      <x:c r="C38" s="38" t="inlineStr">
        <x:is>
          <x:t xml:space="preserve">OPEN_PROBLEMS</x:t>
        </x:is>
      </x:c>
      <x:c r="D38" s="38" t="inlineStr">
        <x:is>
          <x:t xml:space="preserve">A11 / Moral source</x:t>
        </x:is>
      </x:c>
      <x:c r="E38" s="38" t="inlineStr">
        <x:is>
          <x:t xml:space="preserve">Fixes prior AI-flagged weakness by deriving moral property from design/audience/relationship rather than non-deception premise.</x:t>
        </x:is>
      </x:c>
      <x:c r="F38" s="38" t="inlineStr">
        <x:is>
          <x:t xml:space="preserve">Philosophical/theological revision</x:t>
        </x:is>
      </x:c>
      <x:c r="G38" s="38" t="inlineStr">
        <x:is>
          <x:t xml:space="preserve">Very important correction</x:t>
        </x:is>
      </x:c>
      <x:c r="H38" s="38" t="inlineStr">
        <x:is>
          <x:t xml:space="preserve">Design-to-moral-character step must be defended; avoid smuggling agency.</x:t>
        </x:is>
      </x:c>
      <x:c r="I38" s="38" t="inlineStr">
        <x:is>
          <x:t xml:space="preserve">Add to claim boundary and revised Principia sheet.</x:t>
        </x:is>
      </x:c>
      <x:c r="J38" s="38" t="inlineStr">
        <x:is>
          <x:t xml:space="preserve">Critical</x:t>
        </x:is>
      </x:c>
      <x:c r="K38" s="38" t="inlineStr">
        <x:is>
          <x:t xml:space="preserve">H:\Desktop 2\LEAN 4\Google CoLab Python\_EXTRACTED_REPOS\Faith-Thru-Physics-Lean-4--main\Faith-Thru-Physics-Lean-4--main\docs\Theophysics_Lean4_Addendum_Updated (1).xlsx</x:t>
        </x:is>
      </x:c>
      <x:c r="L38" s="38" t="inlineStr">
        <x:is>
          <x:t xml:space="preserve">EXCEL_ADD_LIST</x:t>
        </x:is>
      </x:c>
      <x:c r="M38" s="39" t="inlineStr">
        <x:is>
          <x:t xml:space="preserve">38</x:t>
        </x:is>
      </x:c>
    </x:row>
    <x:row r="39" ht="15" customHeight="1">
      <x:c r="A39" s="37" t="inlineStr">
        <x:is>
          <x:t xml:space="preserve">README (19).md</x:t>
        </x:is>
      </x:c>
      <x:c r="B39" s="38" t="inlineStr">
        <x:is>
          <x:t xml:space="preserve">App / Engine</x:t>
        </x:is>
      </x:c>
      <x:c r="C39" s="38" t="inlineStr">
        <x:is>
          <x:t xml:space="preserve">INFRA_PUBLICATION</x:t>
        </x:is>
      </x:c>
      <x:c r="D39" s="38" t="inlineStr">
        <x:is>
          <x:t xml:space="preserve">Theophysics Engine v2</x:t>
        </x:is>
      </x:c>
      <x:c r="E39" s="38" t="inlineStr">
        <x:is>
          <x:t xml:space="preserve">Modular knowledge platform: audience tiers, graph, rigor cards, AI chat, questions explorer.</x:t>
        </x:is>
      </x:c>
      <x:c r="F39" s="38" t="inlineStr">
        <x:is>
          <x:t xml:space="preserve">Implementation platform</x:t>
        </x:is>
      </x:c>
      <x:c r="G39" s="38" t="inlineStr">
        <x:is>
          <x:t xml:space="preserve">High rollout value</x:t>
        </x:is>
      </x:c>
      <x:c r="H39" s="38" t="inlineStr">
        <x:is>
          <x:t xml:space="preserve">Platform does not validate claims.</x:t>
        </x:is>
      </x:c>
      <x:c r="I39" s="38" t="inlineStr">
        <x:is>
          <x:t xml:space="preserve">Add to implementation roadmap.</x:t>
        </x:is>
      </x:c>
      <x:c r="J39" s="38" t="inlineStr">
        <x:is>
          <x:t xml:space="preserve">Medium</x:t>
        </x:is>
      </x:c>
      <x:c r="K39" s="38" t="inlineStr">
        <x:is>
          <x:t xml:space="preserve">H:\Desktop 2\LEAN 4\Google CoLab Python\_EXTRACTED_REPOS\Faith-Thru-Physics-Lean-4--main\Faith-Thru-Physics-Lean-4--main\docs\Theophysics_Lean4_Addendum_Updated (1).xlsx</x:t>
        </x:is>
      </x:c>
      <x:c r="L39" s="38" t="inlineStr">
        <x:is>
          <x:t xml:space="preserve">EXCEL_ADD_LIST</x:t>
        </x:is>
      </x:c>
      <x:c r="M39" s="39" t="inlineStr">
        <x:is>
          <x:t xml:space="preserve">39</x:t>
        </x:is>
      </x:c>
    </x:row>
    <x:row r="40" ht="15" customHeight="1">
      <x:c r="A40" s="37" t="inlineStr">
        <x:is>
          <x:t xml:space="preserve">TEMPLATE.md</x:t>
        </x:is>
      </x:c>
      <x:c r="B40" s="38" t="inlineStr">
        <x:is>
          <x:t xml:space="preserve">App / Engine</x:t>
        </x:is>
      </x:c>
      <x:c r="C40" s="38" t="inlineStr">
        <x:is>
          <x:t xml:space="preserve">INFRA_PUBLICATION</x:t>
        </x:is>
      </x:c>
      <x:c r="D40" s="38" t="inlineStr">
        <x:is>
          <x:t xml:space="preserve">Cloudflare template</x:t>
        </x:is>
      </x:c>
      <x:c r="E40" s="38" t="inlineStr">
        <x:is>
          <x:t xml:space="preserve">Project structure and Shell/Audience Tier system for 200+ page deployment.</x:t>
        </x:is>
      </x:c>
      <x:c r="F40" s="38" t="inlineStr">
        <x:is>
          <x:t xml:space="preserve">Implementation template</x:t>
        </x:is>
      </x:c>
      <x:c r="G40" s="38" t="inlineStr">
        <x:is>
          <x:t xml:space="preserve">High rollout value</x:t>
        </x:is>
      </x:c>
      <x:c r="H40" s="38" t="inlineStr">
        <x:is>
          <x:t xml:space="preserve">Template only.</x:t>
        </x:is>
      </x:c>
      <x:c r="I40" s="38" t="inlineStr">
        <x:is>
          <x:t xml:space="preserve">Add to deployment checklist.</x:t>
        </x:is>
      </x:c>
      <x:c r="J40" s="38" t="inlineStr">
        <x:is>
          <x:t xml:space="preserve">Medium</x:t>
        </x:is>
      </x:c>
      <x:c r="K40" s="38" t="inlineStr">
        <x:is>
          <x:t xml:space="preserve">H:\Desktop 2\LEAN 4\Google CoLab Python\_EXTRACTED_REPOS\Faith-Thru-Physics-Lean-4--main\Faith-Thru-Physics-Lean-4--main\docs\Theophysics_Lean4_Addendum_Updated (1).xlsx</x:t>
        </x:is>
      </x:c>
      <x:c r="L40" s="38" t="inlineStr">
        <x:is>
          <x:t xml:space="preserve">EXCEL_ADD_LIST</x:t>
        </x:is>
      </x:c>
      <x:c r="M40" s="39" t="inlineStr">
        <x:is>
          <x:t xml:space="preserve">40</x:t>
        </x:is>
      </x:c>
    </x:row>
    <x:row r="41" ht="15" customHeight="1">
      <x:c r="A41" s="37" t="inlineStr">
        <x:is>
          <x:t xml:space="preserve">info (4).md</x:t>
        </x:is>
      </x:c>
      <x:c r="B41" s="38" t="inlineStr">
        <x:is>
          <x:t xml:space="preserve">App Setup</x:t>
        </x:is>
      </x:c>
      <x:c r="C41" s="38" t="inlineStr">
        <x:is>
          <x:t xml:space="preserve">INFRA_PUBLICATION</x:t>
        </x:is>
      </x:c>
      <x:c r="D41" s="38" t="inlineStr">
        <x:is>
          <x:t xml:space="preserve">Technical setup</x:t>
        </x:is>
      </x:c>
      <x:c r="E41" s="38" t="inlineStr">
        <x:is>
          <x:t xml:space="preserve">Node/Tailwind/Vite/shadcn component inventory and project structure.</x:t>
        </x:is>
      </x:c>
      <x:c r="F41" s="38" t="inlineStr">
        <x:is>
          <x:t xml:space="preserve">Technical environment</x:t>
        </x:is>
      </x:c>
      <x:c r="G41" s="38" t="inlineStr">
        <x:is>
          <x:t xml:space="preserve">Useful install note</x:t>
        </x:is>
      </x:c>
      <x:c r="H41" s="38" t="inlineStr">
        <x:is>
          <x:t xml:space="preserve">Setup log only.</x:t>
        </x:is>
      </x:c>
      <x:c r="I41" s="38" t="inlineStr">
        <x:is>
          <x:t xml:space="preserve">Archive as technical metadata.</x:t>
        </x:is>
      </x:c>
      <x:c r="J41" s="38" t="inlineStr">
        <x:is>
          <x:t xml:space="preserve">Low</x:t>
        </x:is>
      </x:c>
      <x:c r="K41" s="38" t="inlineStr">
        <x:is>
          <x:t xml:space="preserve">H:\Desktop 2\LEAN 4\Google CoLab Python\_EXTRACTED_REPOS\Faith-Thru-Physics-Lean-4--main\Faith-Thru-Physics-Lean-4--main\docs\Theophysics_Lean4_Addendum_Updated (1).xlsx</x:t>
        </x:is>
      </x:c>
      <x:c r="L41" s="38" t="inlineStr">
        <x:is>
          <x:t xml:space="preserve">EXCEL_ADD_LIST</x:t>
        </x:is>
      </x:c>
      <x:c r="M41" s="39" t="inlineStr">
        <x:is>
          <x:t xml:space="preserve">41</x:t>
        </x:is>
      </x:c>
    </x:row>
    <x:row r="42" ht="15" customHeight="1">
      <x:c r="A42" s="37" t="inlineStr">
        <x:is>
          <x:t xml:space="preserve">SORT_PLAN (1).md</x:t>
        </x:is>
      </x:c>
      <x:c r="B42" s="38" t="inlineStr">
        <x:is>
          <x:t xml:space="preserve">Data Management</x:t>
        </x:is>
      </x:c>
      <x:c r="C42" s="38" t="inlineStr">
        <x:is>
          <x:t xml:space="preserve">INFRA_PUBLICATION</x:t>
        </x:is>
      </x:c>
      <x:c r="D42" s="38" t="inlineStr">
        <x:is>
          <x:t xml:space="preserve">Data vault sorting</x:t>
        </x:is>
      </x:c>
      <x:c r="E42" s="38" t="inlineStr">
        <x:is>
          <x:t xml:space="preserve">Data vault archive sort plan: content to score, structured data, duplicate archive.</x:t>
        </x:is>
      </x:c>
      <x:c r="F42" s="38" t="inlineStr">
        <x:is>
          <x:t xml:space="preserve">Data governance</x:t>
        </x:is>
      </x:c>
      <x:c r="G42" s="38" t="inlineStr">
        <x:is>
          <x:t xml:space="preserve">High hygiene value</x:t>
        </x:is>
      </x:c>
      <x:c r="H42" s="38" t="inlineStr">
        <x:is>
          <x:t xml:space="preserve">Not evidence; keeps pipeline clean.</x:t>
        </x:is>
      </x:c>
      <x:c r="I42" s="38" t="inlineStr">
        <x:is>
          <x:t xml:space="preserve">Add to data governance/workflow.</x:t>
        </x:is>
      </x:c>
      <x:c r="J42" s="38" t="inlineStr">
        <x:is>
          <x:t xml:space="preserve">Medium</x:t>
        </x:is>
      </x:c>
      <x:c r="K42" s="38" t="inlineStr">
        <x:is>
          <x:t xml:space="preserve">H:\Desktop 2\LEAN 4\Google CoLab Python\_EXTRACTED_REPOS\Faith-Thru-Physics-Lean-4--main\Faith-Thru-Physics-Lean-4--main\docs\Theophysics_Lean4_Addendum_Updated (1).xlsx</x:t>
        </x:is>
      </x:c>
      <x:c r="L42" s="38" t="inlineStr">
        <x:is>
          <x:t xml:space="preserve">EXCEL_ADD_LIST</x:t>
        </x:is>
      </x:c>
      <x:c r="M42" s="39" t="inlineStr">
        <x:is>
          <x:t xml:space="preserve">42</x:t>
        </x:is>
      </x:c>
    </x:row>
    <x:row r="43" ht="15" customHeight="1">
      <x:c r="A43" s="40" t="inlineStr">
        <x:is>
          <x:t xml:space="preserve">CHANGELOG (35).md</x:t>
        </x:is>
      </x:c>
      <x:c r="B43" s="41" t="inlineStr">
        <x:is>
          <x:t xml:space="preserve">Dependency Noise</x:t>
        </x:is>
      </x:c>
      <x:c r="C43" s="41" t="inlineStr">
        <x:is>
          <x:t xml:space="preserve">IGNORE_OR_ARCHIVE</x:t>
        </x:is>
      </x:c>
      <x:c r="D43" s="41" t="inlineStr">
        <x:is>
          <x:t xml:space="preserve">Package changelog</x:t>
        </x:is>
      </x:c>
      <x:c r="E43" s="41" t="inlineStr">
        <x:is>
          <x:t xml:space="preserve">Looks like dependency/package changelog, likely not project signal.</x:t>
        </x:is>
      </x:c>
      <x:c r="F43" s="41" t="inlineStr">
        <x:is>
          <x:t xml:space="preserve">Noise / archive</x:t>
        </x:is>
      </x:c>
      <x:c r="G43" s="41" t="inlineStr">
        <x:is>
          <x:t xml:space="preserve">Low</x:t>
        </x:is>
      </x:c>
      <x:c r="H43" s="41" t="inlineStr">
        <x:is>
          <x:t xml:space="preserve">Do not treat as Theophysics evidence.</x:t>
        </x:is>
      </x:c>
      <x:c r="I43" s="41" t="inlineStr">
        <x:is>
          <x:t xml:space="preserve">Archive/ignore unless dependency provenance needed.</x:t>
        </x:is>
      </x:c>
      <x:c r="J43" s="41" t="inlineStr">
        <x:is>
          <x:t xml:space="preserve">Low</x:t>
        </x:is>
      </x:c>
      <x:c r="K43" s="41" t="inlineStr">
        <x:is>
          <x:t xml:space="preserve">H:\Desktop 2\LEAN 4\Google CoLab Python\_EXTRACTED_REPOS\Faith-Thru-Physics-Lean-4--main\Faith-Thru-Physics-Lean-4--main\docs\Theophysics_Lean4_Addendum_Updated (1).xlsx</x:t>
        </x:is>
      </x:c>
      <x:c r="L43" s="41" t="inlineStr">
        <x:is>
          <x:t xml:space="preserve">EXCEL_ADD_LIST</x:t>
        </x:is>
      </x:c>
      <x:c r="M43" s="42" t="inlineStr">
        <x:is>
          <x:t xml:space="preserve">43</x:t>
        </x:is>
      </x:c>
    </x:row>
  </x:sheetData>
  <x:pageMargins left="0.7" right="0.7" top="0.75" bottom="0.75" header="0.3" footer="0.3"/>
</x:worksheet>
</file>

<file path=xl/worksheets/sheet25.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13" width="24.44140625" style="49" customWidth="1"/>
    <x:col min="14" max="16384" width="8.88671875" style="49" customWidth="1"/>
  </x:cols>
  <x:sheetData>
    <x:row r="1" ht="15" customHeight="1">
      <x:c r="A1" s="34" t="inlineStr">
        <x:is>
          <x:t xml:space="preserve">Source File</x:t>
        </x:is>
      </x:c>
      <x:c r="B1" s="35" t="inlineStr">
        <x:is>
          <x:t xml:space="preserve">Bucket</x:t>
        </x:is>
      </x:c>
      <x:c r="C1" s="35" t="inlineStr">
        <x:is>
          <x:t xml:space="preserve">Proposed Sheet</x:t>
        </x:is>
      </x:c>
      <x:c r="D1" s="35" t="inlineStr">
        <x:is>
          <x:t xml:space="preserve">Lane/Stage</x:t>
        </x:is>
      </x:c>
      <x:c r="E1" s="35" t="inlineStr">
        <x:is>
          <x:t xml:space="preserve">Role / What It Adds</x:t>
        </x:is>
      </x:c>
      <x:c r="F1" s="35" t="inlineStr">
        <x:is>
          <x:t xml:space="preserve">Claim Type</x:t>
        </x:is>
      </x:c>
      <x:c r="G1" s="35" t="inlineStr">
        <x:is>
          <x:t xml:space="preserve">Status / Strength</x:t>
        </x:is>
      </x:c>
      <x:c r="H1" s="35" t="inlineStr">
        <x:is>
          <x:t xml:space="preserve">Overclaim Guard</x:t>
        </x:is>
      </x:c>
      <x:c r="I1" s="35" t="inlineStr">
        <x:is>
          <x:t xml:space="preserve">Next Action</x:t>
        </x:is>
      </x:c>
      <x:c r="J1" s="35" t="inlineStr">
        <x:is>
          <x:t xml:space="preserve">Priority</x:t>
        </x:is>
      </x:c>
      <x:c r="K1" s="35" t="inlineStr">
        <x:is>
          <x:t xml:space="preserve">_source_workbook</x:t>
        </x:is>
      </x:c>
      <x:c r="L1" s="35" t="inlineStr">
        <x:is>
          <x:t xml:space="preserve">_source_sheet</x:t>
        </x:is>
      </x:c>
      <x:c r="M1" s="36" t="inlineStr">
        <x:is>
          <x:t xml:space="preserve">_source_row</x:t>
        </x:is>
      </x:c>
    </x:row>
    <x:row r="2" ht="15" customHeight="1">
      <x:c r="A2" s="37" t="inlineStr">
        <x:is>
          <x:t xml:space="preserve">CONJECTURE_4_2_FIXED_POINT.md</x:t>
        </x:is>
      </x:c>
      <x:c r="B2" s="38" t="inlineStr">
        <x:is>
          <x:t xml:space="preserve">Formal/Open Problem</x:t>
        </x:is>
      </x:c>
      <x:c r="C2" s="38" t="inlineStr">
        <x:is>
          <x:t xml:space="preserve">OPEN_PROBLEMS</x:t>
        </x:is>
      </x:c>
      <x:c r="D2" s="38" t="inlineStr">
        <x:is>
          <x:t xml:space="preserve">Product-form / dynamics</x:t>
        </x:is>
      </x:c>
      <x:c r="E2" s="38" t="inlineStr">
        <x:is>
          <x:t xml:space="preserve">Fixed-point existence under gamma_up &gt; gamma_down; stability analysis; uniqueness/global case open.</x:t>
        </x:is>
      </x:c>
      <x:c r="F2" s="38" t="inlineStr">
        <x:is>
          <x:t xml:space="preserve">Partial formal result</x:t>
        </x:is>
      </x:c>
      <x:c r="G2" s="38" t="inlineStr">
        <x:is>
          <x:t xml:space="preserve">Partial result; important</x:t>
        </x:is>
      </x:c>
      <x:c r="H2" s="38" t="inlineStr">
        <x:is>
          <x:t xml:space="preserve">Existence under conditions, not full global uniqueness.</x:t>
        </x:is>
      </x:c>
      <x:c r="I2" s="38" t="inlineStr">
        <x:is>
          <x:t xml:space="preserve">Add to gap inventory and future worklist.</x:t>
        </x:is>
      </x:c>
      <x:c r="J2" s="38" t="inlineStr">
        <x:is>
          <x:t xml:space="preserve">High</x:t>
        </x:is>
      </x:c>
      <x:c r="K2" s="38" t="inlineStr">
        <x:is>
          <x:t xml:space="preserve">H:\Desktop 2\LEAN 4\Google CoLab Python\_EXTRACTED_REPOS\Faith-Thru-Physics-Lean-4--main\Faith-Thru-Physics-Lean-4--main\docs\Theophysics_Lean4_Addendum_Updated (1).xlsx</x:t>
        </x:is>
      </x:c>
      <x:c r="L2" s="38" t="inlineStr">
        <x:is>
          <x:t xml:space="preserve">OPEN_PROBLEMS_GUARDS</x:t>
        </x:is>
      </x:c>
      <x:c r="M2" s="39" t="inlineStr">
        <x:is>
          <x:t xml:space="preserve">2</x:t>
        </x:is>
      </x:c>
    </x:row>
    <x:row r="3" ht="15" customHeight="1">
      <x:c r="A3" s="37" t="inlineStr">
        <x:is>
          <x:t xml:space="preserve">TIMESTAMP_LOCKDOWN.md</x:t>
        </x:is>
      </x:c>
      <x:c r="B3" s="38" t="inlineStr">
        <x:is>
          <x:t xml:space="preserve">Evidence Chain</x:t>
        </x:is>
      </x:c>
      <x:c r="C3" s="38" t="inlineStr">
        <x:is>
          <x:t xml:space="preserve">EVIDENCE_CHAIN</x:t>
        </x:is>
      </x:c>
      <x:c r="D3" s="38" t="inlineStr">
        <x:is>
          <x:t xml:space="preserve">Credibility / timestamp</x:t>
        </x:is>
      </x:c>
      <x:c r="E3" s="38" t="inlineStr">
        <x:is>
          <x:t xml:space="preserve">Hashing, OpenTimestamps, Zenodo DOI, Wayback, local backup procedure.</x:t>
        </x:is>
      </x:c>
      <x:c r="F3" s="38" t="inlineStr">
        <x:is>
          <x:t xml:space="preserve">Evidence provenance</x:t>
        </x:is>
      </x:c>
      <x:c r="G3" s="38" t="inlineStr">
        <x:is>
          <x:t xml:space="preserve">High credibility infrastructure</x:t>
        </x:is>
      </x:c>
      <x:c r="H3" s="38" t="inlineStr">
        <x:is>
          <x:t xml:space="preserve">Timestamp proves existence/date, not truth.</x:t>
        </x:is>
      </x:c>
      <x:c r="I3" s="38" t="inlineStr">
        <x:is>
          <x:t xml:space="preserve">Add to evidence chain roadmap.</x:t>
        </x:is>
      </x:c>
      <x:c r="J3" s="38" t="inlineStr">
        <x:is>
          <x:t xml:space="preserve">Medium</x:t>
        </x:is>
      </x:c>
      <x:c r="K3" s="38" t="inlineStr">
        <x:is>
          <x:t xml:space="preserve">H:\Desktop 2\LEAN 4\Google CoLab Python\_EXTRACTED_REPOS\Faith-Thru-Physics-Lean-4--main\Faith-Thru-Physics-Lean-4--main\docs\Theophysics_Lean4_Addendum_Updated (1).xlsx</x:t>
        </x:is>
      </x:c>
      <x:c r="L3" s="38" t="inlineStr">
        <x:is>
          <x:t xml:space="preserve">OPEN_PROBLEMS_GUARDS</x:t>
        </x:is>
      </x:c>
      <x:c r="M3" s="39" t="inlineStr">
        <x:is>
          <x:t xml:space="preserve">3</x:t>
        </x:is>
      </x:c>
    </x:row>
    <x:row r="4" ht="15" customHeight="1">
      <x:c r="A4" s="37" t="inlineStr">
        <x:is>
          <x:t xml:space="preserve">WEBSITE_EVIDENCE_PAGE.md</x:t>
        </x:is>
      </x:c>
      <x:c r="B4" s="38" t="inlineStr">
        <x:is>
          <x:t xml:space="preserve">Evidence Chain</x:t>
        </x:is>
      </x:c>
      <x:c r="C4" s="38" t="inlineStr">
        <x:is>
          <x:t xml:space="preserve">EVIDENCE_CHAIN</x:t>
        </x:is>
      </x:c>
      <x:c r="D4" s="38" t="inlineStr">
        <x:is>
          <x:t xml:space="preserve">Public verification</x:t>
        </x:is>
      </x:c>
      <x:c r="E4" s="38" t="inlineStr">
        <x:is>
          <x:t xml:space="preserve">Public evidence page with hash, review findings, architecture gap.</x:t>
        </x:is>
      </x:c>
      <x:c r="F4" s="38" t="inlineStr">
        <x:is>
          <x:t xml:space="preserve">Evidence/provenance</x:t>
        </x:is>
      </x:c>
      <x:c r="G4" s="38" t="inlineStr">
        <x:is>
          <x:t xml:space="preserve">High credibility infrastructure</x:t>
        </x:is>
      </x:c>
      <x:c r="H4" s="38" t="inlineStr">
        <x:is>
          <x:t xml:space="preserve">Public summary of review, not itself a proof.</x:t>
        </x:is>
      </x:c>
      <x:c r="I4" s="38" t="inlineStr">
        <x:is>
          <x:t xml:space="preserve">Use as public verification page.</x:t>
        </x:is>
      </x:c>
      <x:c r="J4" s="38" t="inlineStr">
        <x:is>
          <x:t xml:space="preserve">Medium</x:t>
        </x:is>
      </x:c>
      <x:c r="K4" s="38" t="inlineStr">
        <x:is>
          <x:t xml:space="preserve">H:\Desktop 2\LEAN 4\Google CoLab Python\_EXTRACTED_REPOS\Faith-Thru-Physics-Lean-4--main\Faith-Thru-Physics-Lean-4--main\docs\Theophysics_Lean4_Addendum_Updated (1).xlsx</x:t>
        </x:is>
      </x:c>
      <x:c r="L4" s="38" t="inlineStr">
        <x:is>
          <x:t xml:space="preserve">OPEN_PROBLEMS_GUARDS</x:t>
        </x:is>
      </x:c>
      <x:c r="M4" s="39" t="inlineStr">
        <x:is>
          <x:t xml:space="preserve">4</x:t>
        </x:is>
      </x:c>
    </x:row>
    <x:row r="5" ht="15" customHeight="1">
      <x:c r="A5" s="37" t="inlineStr">
        <x:is>
          <x:t xml:space="preserve">INDEPENDENT_REVIEW_CLAUDE_OPUS_2026-03-28.md</x:t>
        </x:is>
      </x:c>
      <x:c r="B5" s="38" t="inlineStr">
        <x:is>
          <x:t xml:space="preserve">Adversarial Review</x:t>
        </x:is>
      </x:c>
      <x:c r="C5" s="38" t="inlineStr">
        <x:is>
          <x:t xml:space="preserve">ADVERSARIAL_REVIEW</x:t>
        </x:is>
      </x:c>
      <x:c r="D5" s="38" t="inlineStr">
        <x:is>
          <x:t xml:space="preserve">Stress test</x:t>
        </x:is>
      </x:c>
      <x:c r="E5" s="38" t="inlineStr">
        <x:is>
          <x:t xml:space="preserve">Cold review: strengths, failures, dimensional issue, Lagrangian strength, product-form gap.</x:t>
        </x:is>
      </x:c>
      <x:c r="F5" s="38" t="inlineStr">
        <x:is>
          <x:t xml:space="preserve">Adversarial audit</x:t>
        </x:is>
      </x:c>
      <x:c r="G5" s="38" t="inlineStr">
        <x:is>
          <x:t xml:space="preserve">Critical credibility asset</x:t>
        </x:is>
      </x:c>
      <x:c r="H5" s="38" t="inlineStr">
        <x:is>
          <x:t xml:space="preserve">Review findings need reproducible source files and code.</x:t>
        </x:is>
      </x:c>
      <x:c r="I5" s="38" t="inlineStr">
        <x:is>
          <x:t xml:space="preserve">Use as front-facing review/gap evidence.</x:t>
        </x:is>
      </x:c>
      <x:c r="J5" s="38" t="inlineStr">
        <x:is>
          <x:t xml:space="preserve">Critical</x:t>
        </x:is>
      </x:c>
      <x:c r="K5" s="38" t="inlineStr">
        <x:is>
          <x:t xml:space="preserve">H:\Desktop 2\LEAN 4\Google CoLab Python\_EXTRACTED_REPOS\Faith-Thru-Physics-Lean-4--main\Faith-Thru-Physics-Lean-4--main\docs\Theophysics_Lean4_Addendum_Updated (1).xlsx</x:t>
        </x:is>
      </x:c>
      <x:c r="L5" s="38" t="inlineStr">
        <x:is>
          <x:t xml:space="preserve">OPEN_PROBLEMS_GUARDS</x:t>
        </x:is>
      </x:c>
      <x:c r="M5" s="39" t="inlineStr">
        <x:is>
          <x:t xml:space="preserve">5</x:t>
        </x:is>
      </x:c>
    </x:row>
    <x:row r="6" ht="15" customHeight="1">
      <x:c r="A6" s="37" t="inlineStr">
        <x:is>
          <x:t xml:space="preserve">OPEN_PROBLEM_001_LAGRANGIAN_TO_PRODUCT_FORM.md</x:t>
        </x:is>
      </x:c>
      <x:c r="B6" s="38" t="inlineStr">
        <x:is>
          <x:t xml:space="preserve">Critical Open Problem</x:t>
        </x:is>
      </x:c>
      <x:c r="C6" s="38" t="inlineStr">
        <x:is>
          <x:t xml:space="preserve">OPEN_PROBLEMS</x:t>
        </x:is>
      </x:c>
      <x:c r="D6" s="38" t="inlineStr">
        <x:is>
          <x:t xml:space="preserve">Core formal gap</x:t>
        </x:is>
      </x:c>
      <x:c r="E6" s="38" t="inlineStr">
        <x:is>
          <x:t xml:space="preserve">Defines gap between chi-field Lagrangian and 10-variable product form; either derive bridge or treat product as axiom.</x:t>
        </x:is>
      </x:c>
      <x:c r="F6" s="38" t="inlineStr">
        <x:is>
          <x:t xml:space="preserve">Gap inventory</x:t>
        </x:is>
      </x:c>
      <x:c r="G6" s="38" t="inlineStr">
        <x:is>
          <x:t xml:space="preserve">Critical</x:t>
        </x:is>
      </x:c>
      <x:c r="H6" s="38" t="inlineStr">
        <x:is>
          <x:t xml:space="preserve">Product form remains conditional/postulated until bridge is closed.</x:t>
        </x:is>
      </x:c>
      <x:c r="I6" s="38" t="inlineStr">
        <x:is>
          <x:t xml:space="preserve">Put on page 2 of serious packet.</x:t>
        </x:is>
      </x:c>
      <x:c r="J6" s="38" t="inlineStr">
        <x:is>
          <x:t xml:space="preserve">Critical</x:t>
        </x:is>
      </x:c>
      <x:c r="K6" s="38" t="inlineStr">
        <x:is>
          <x:t xml:space="preserve">H:\Desktop 2\LEAN 4\Google CoLab Python\_EXTRACTED_REPOS\Faith-Thru-Physics-Lean-4--main\Faith-Thru-Physics-Lean-4--main\docs\Theophysics_Lean4_Addendum_Updated (1).xlsx</x:t>
        </x:is>
      </x:c>
      <x:c r="L6" s="38" t="inlineStr">
        <x:is>
          <x:t xml:space="preserve">OPEN_PROBLEMS_GUARDS</x:t>
        </x:is>
      </x:c>
      <x:c r="M6" s="39" t="inlineStr">
        <x:is>
          <x:t xml:space="preserve">6</x:t>
        </x:is>
      </x:c>
    </x:row>
    <x:row r="7" ht="15" customHeight="1">
      <x:c r="A7" s="40" t="inlineStr">
        <x:is>
          <x:t xml:space="preserve">PRINCIPIA_A11_REVISION_DRAFT.md</x:t>
        </x:is>
      </x:c>
      <x:c r="B7" s="41" t="inlineStr">
        <x:is>
          <x:t xml:space="preserve">Principia Revision</x:t>
        </x:is>
      </x:c>
      <x:c r="C7" s="41" t="inlineStr">
        <x:is>
          <x:t xml:space="preserve">OPEN_PROBLEMS</x:t>
        </x:is>
      </x:c>
      <x:c r="D7" s="41" t="inlineStr">
        <x:is>
          <x:t xml:space="preserve">A11 / Moral source</x:t>
        </x:is>
      </x:c>
      <x:c r="E7" s="41" t="inlineStr">
        <x:is>
          <x:t xml:space="preserve">Fixes prior AI-flagged weakness by deriving moral property from design/audience/relationship rather than non-deception premise.</x:t>
        </x:is>
      </x:c>
      <x:c r="F7" s="41" t="inlineStr">
        <x:is>
          <x:t xml:space="preserve">Philosophical/theological revision</x:t>
        </x:is>
      </x:c>
      <x:c r="G7" s="41" t="inlineStr">
        <x:is>
          <x:t xml:space="preserve">Very important correction</x:t>
        </x:is>
      </x:c>
      <x:c r="H7" s="41" t="inlineStr">
        <x:is>
          <x:t xml:space="preserve">Design-to-moral-character step must be defended; avoid smuggling agency.</x:t>
        </x:is>
      </x:c>
      <x:c r="I7" s="41" t="inlineStr">
        <x:is>
          <x:t xml:space="preserve">Add to claim boundary and revised Principia sheet.</x:t>
        </x:is>
      </x:c>
      <x:c r="J7" s="41" t="inlineStr">
        <x:is>
          <x:t xml:space="preserve">Critical</x:t>
        </x:is>
      </x:c>
      <x:c r="K7" s="41" t="inlineStr">
        <x:is>
          <x:t xml:space="preserve">H:\Desktop 2\LEAN 4\Google CoLab Python\_EXTRACTED_REPOS\Faith-Thru-Physics-Lean-4--main\Faith-Thru-Physics-Lean-4--main\docs\Theophysics_Lean4_Addendum_Updated (1).xlsx</x:t>
        </x:is>
      </x:c>
      <x:c r="L7" s="41" t="inlineStr">
        <x:is>
          <x:t xml:space="preserve">OPEN_PROBLEMS_GUARDS</x:t>
        </x:is>
      </x:c>
      <x:c r="M7" s="42" t="inlineStr">
        <x:is>
          <x:t xml:space="preserve">7</x:t>
        </x:is>
      </x:c>
    </x:row>
  </x:sheetData>
  <x:pageMargins left="0.7" right="0.7" top="0.75" bottom="0.75" header="0.3" footer="0.3"/>
</x:worksheet>
</file>

<file path=xl/worksheets/sheet26.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13" width="24.44140625" style="49" customWidth="1"/>
    <x:col min="14" max="16384" width="8.88671875" style="49" customWidth="1"/>
  </x:cols>
  <x:sheetData>
    <x:row r="1" ht="15" customHeight="1">
      <x:c r="A1" s="34" t="inlineStr">
        <x:is>
          <x:t xml:space="preserve">Right Claim</x:t>
        </x:is>
      </x:c>
      <x:c r="B1" s="35" t="inlineStr">
        <x:is>
          <x:t xml:space="preserve">Wrong Model #</x:t>
        </x:is>
      </x:c>
      <x:c r="C1" s="35" t="inlineStr">
        <x:is>
          <x:t xml:space="preserve">Wrong / Rival Model</x:t>
        </x:is>
      </x:c>
      <x:c r="D1" s="35" t="inlineStr">
        <x:is>
          <x:t xml:space="preserve">Why It Seems Plausible</x:t>
        </x:is>
      </x:c>
      <x:c r="E1" s="35" t="inlineStr">
        <x:is>
          <x:t xml:space="preserve">Constraint Failed</x:t>
        </x:is>
      </x:c>
      <x:c r="F1" s="35" t="inlineStr">
        <x:is>
          <x:t xml:space="preserve">Lean/Test Anchor</x:t>
        </x:is>
      </x:c>
      <x:c r="G1" s="35" t="inlineStr">
        <x:is>
          <x:t xml:space="preserve">Result / Needed Work</x:t>
        </x:is>
      </x:c>
      <x:c r="H1" s="35" t="inlineStr">
        <x:is>
          <x:t xml:space="preserve">Status</x:t>
        </x:is>
      </x:c>
      <x:c r="I1" s="35" t="inlineStr">
        <x:is>
          <x:t xml:space="preserve">col_9</x:t>
        </x:is>
      </x:c>
      <x:c r="J1" s="35" t="inlineStr">
        <x:is>
          <x:t xml:space="preserve">col_10</x:t>
        </x:is>
      </x:c>
      <x:c r="K1" s="35" t="inlineStr">
        <x:is>
          <x:t xml:space="preserve">_source_workbook</x:t>
        </x:is>
      </x:c>
      <x:c r="L1" s="35" t="inlineStr">
        <x:is>
          <x:t xml:space="preserve">_source_sheet</x:t>
        </x:is>
      </x:c>
      <x:c r="M1" s="36" t="inlineStr">
        <x:is>
          <x:t xml:space="preserve">_source_row</x:t>
        </x:is>
      </x:c>
    </x:row>
    <x:row r="2" ht="15" customHeight="1">
      <x:c r="A2" s="37" t="inlineStr">
        <x:is>
          <x:t xml:space="preserve">Cost-bearing judge repair</x:t>
        </x:is>
      </x:c>
      <x:c r="B2" s="38" t="inlineStr">
        <x:is>
          <x:t xml:space="preserve">1</x:t>
        </x:is>
      </x:c>
      <x:c r="C2" s="38" t="inlineStr">
        <x:is>
          <x:t xml:space="preserve">Offender pays full cost</x:t>
        </x:is>
      </x:c>
      <x:c r="D2" s="38" t="inlineStr">
        <x:is>
          <x:t xml:space="preserve">Satisfies consequence/justice intuitively</x:t>
        </x:is>
      </x:c>
      <x:c r="E2" s="38" t="inlineStr">
        <x:is>
          <x:t xml:space="preserve">Mercy fails</x:t>
        </x:is>
      </x:c>
      <x:c r="F2" s="38" t="inlineStr">
        <x:is>
          <x:t xml:space="preserve">JusticeMercyOperator / THE CROSS UNIQUE SOLUTION</x:t>
        </x:is>
      </x:c>
      <x:c r="G2" s="38" t="inlineStr">
        <x:is>
          <x:t xml:space="preserve">Already modeled as failure</x:t>
        </x:is>
      </x:c>
      <x:c r="H2" s="38" t="inlineStr">
        <x:is>
          <x:t xml:space="preserve">Need formal table row</x:t>
        </x:is>
      </x:c>
      <x:c r="I2" s="38" t="n"/>
      <x:c r="J2" s="38" t="n"/>
      <x:c r="K2" s="38" t="inlineStr">
        <x:is>
          <x:t xml:space="preserve">H:\Desktop 2\LEAN 4\Google CoLab Python\_EXTRACTED_REPOS\Faith-Thru-Physics-Lean-4--main\Faith-Thru-Physics-Lean-4--main\docs\Theophysics_Lean4_Addendum_Updated (1).xlsx</x:t>
        </x:is>
      </x:c>
      <x:c r="L2" s="38" t="inlineStr">
        <x:is>
          <x:t xml:space="preserve">FALSE_POSITIVE_QUEUE</x:t>
        </x:is>
      </x:c>
      <x:c r="M2" s="39" t="inlineStr">
        <x:is>
          <x:t xml:space="preserve">2</x:t>
        </x:is>
      </x:c>
    </x:row>
    <x:row r="3" ht="15" customHeight="1">
      <x:c r="A3" s="37" t="inlineStr">
        <x:is>
          <x:t xml:space="preserve">Cost-bearing judge repair</x:t>
        </x:is>
      </x:c>
      <x:c r="B3" s="38" t="inlineStr">
        <x:is>
          <x:t xml:space="preserve">2</x:t>
        </x:is>
      </x:c>
      <x:c r="C3" s="38" t="inlineStr">
        <x:is>
          <x:t xml:space="preserve">Debt simply waived</x:t>
        </x:is>
      </x:c>
      <x:c r="D3" s="38" t="inlineStr">
        <x:is>
          <x:t xml:space="preserve">Sounds merciful and forgiving</x:t>
        </x:is>
      </x:c>
      <x:c r="E3" s="38" t="inlineStr">
        <x:is>
          <x:t xml:space="preserve">Justice/record unresolved</x:t>
        </x:is>
      </x:c>
      <x:c r="F3" s="38" t="inlineStr">
        <x:is>
          <x:t xml:space="preserve">JusticeMercyOperator</x:t>
        </x:is>
      </x:c>
      <x:c r="G3" s="38" t="inlineStr">
        <x:is>
          <x:t xml:space="preserve">Already modeled as failure</x:t>
        </x:is>
      </x:c>
      <x:c r="H3" s="38" t="inlineStr">
        <x:is>
          <x:t xml:space="preserve">Need formal table row</x:t>
        </x:is>
      </x:c>
      <x:c r="I3" s="38" t="n"/>
      <x:c r="J3" s="38" t="n"/>
      <x:c r="K3" s="38" t="inlineStr">
        <x:is>
          <x:t xml:space="preserve">H:\Desktop 2\LEAN 4\Google CoLab Python\_EXTRACTED_REPOS\Faith-Thru-Physics-Lean-4--main\Faith-Thru-Physics-Lean-4--main\docs\Theophysics_Lean4_Addendum_Updated (1).xlsx</x:t>
        </x:is>
      </x:c>
      <x:c r="L3" s="38" t="inlineStr">
        <x:is>
          <x:t xml:space="preserve">FALSE_POSITIVE_QUEUE</x:t>
        </x:is>
      </x:c>
      <x:c r="M3" s="39" t="inlineStr">
        <x:is>
          <x:t xml:space="preserve">3</x:t>
        </x:is>
      </x:c>
    </x:row>
    <x:row r="4" ht="15" customHeight="1">
      <x:c r="A4" s="37" t="inlineStr">
        <x:is>
          <x:t xml:space="preserve">Cost-bearing judge repair</x:t>
        </x:is>
      </x:c>
      <x:c r="B4" s="38" t="inlineStr">
        <x:is>
          <x:t xml:space="preserve">3</x:t>
        </x:is>
      </x:c>
      <x:c r="C4" s="38" t="inlineStr">
        <x:is>
          <x:t xml:space="preserve">Coerced third party pays</x:t>
        </x:is>
      </x:c>
      <x:c r="D4" s="38" t="inlineStr">
        <x:is>
          <x:t xml:space="preserve">Substitution appears to cover cost</x:t>
        </x:is>
      </x:c>
      <x:c r="E4" s="38" t="inlineStr">
        <x:is>
          <x:t xml:space="preserve">Voluntariness fails</x:t>
        </x:is>
      </x:c>
      <x:c r="F4" s="38" t="inlineStr">
        <x:is>
          <x:t xml:space="preserve">JusticeMercyOperator</x:t>
        </x:is>
      </x:c>
      <x:c r="G4" s="38" t="inlineStr">
        <x:is>
          <x:t xml:space="preserve">Already modeled as failure</x:t>
        </x:is>
      </x:c>
      <x:c r="H4" s="38" t="inlineStr">
        <x:is>
          <x:t xml:space="preserve">Need formal table row</x:t>
        </x:is>
      </x:c>
      <x:c r="I4" s="38" t="n"/>
      <x:c r="J4" s="38" t="n"/>
      <x:c r="K4" s="38" t="inlineStr">
        <x:is>
          <x:t xml:space="preserve">H:\Desktop 2\LEAN 4\Google CoLab Python\_EXTRACTED_REPOS\Faith-Thru-Physics-Lean-4--main\Faith-Thru-Physics-Lean-4--main\docs\Theophysics_Lean4_Addendum_Updated (1).xlsx</x:t>
        </x:is>
      </x:c>
      <x:c r="L4" s="38" t="inlineStr">
        <x:is>
          <x:t xml:space="preserve">FALSE_POSITIVE_QUEUE</x:t>
        </x:is>
      </x:c>
      <x:c r="M4" s="39" t="inlineStr">
        <x:is>
          <x:t xml:space="preserve">4</x:t>
        </x:is>
      </x:c>
    </x:row>
    <x:row r="5" ht="15" customHeight="1">
      <x:c r="A5" s="37" t="inlineStr">
        <x:is>
          <x:t xml:space="preserve">Cost-bearing judge repair</x:t>
        </x:is>
      </x:c>
      <x:c r="B5" s="38" t="inlineStr">
        <x:is>
          <x:t xml:space="preserve">4</x:t>
        </x:is>
      </x:c>
      <x:c r="C5" s="38" t="inlineStr">
        <x:is>
          <x:t xml:space="preserve">Finite human third party pays</x:t>
        </x:is>
      </x:c>
      <x:c r="D5" s="38" t="inlineStr">
        <x:is>
          <x:t xml:space="preserve">Martyrdom/substitution intuition</x:t>
        </x:is>
      </x:c>
      <x:c r="E5" s="38" t="inlineStr">
        <x:is>
          <x:t xml:space="preserve">Authority/universality fails</x:t>
        </x:is>
      </x:c>
      <x:c r="F5" s="38" t="inlineStr">
        <x:is>
          <x:t xml:space="preserve">JusticeMercyOperator</x:t>
        </x:is>
      </x:c>
      <x:c r="G5" s="38" t="inlineStr">
        <x:is>
          <x:t xml:space="preserve">Already modeled as failure</x:t>
        </x:is>
      </x:c>
      <x:c r="H5" s="38" t="inlineStr">
        <x:is>
          <x:t xml:space="preserve">Need formal table row</x:t>
        </x:is>
      </x:c>
      <x:c r="I5" s="38" t="n"/>
      <x:c r="J5" s="38" t="n"/>
      <x:c r="K5" s="38" t="inlineStr">
        <x:is>
          <x:t xml:space="preserve">H:\Desktop 2\LEAN 4\Google CoLab Python\_EXTRACTED_REPOS\Faith-Thru-Physics-Lean-4--main\Faith-Thru-Physics-Lean-4--main\docs\Theophysics_Lean4_Addendum_Updated (1).xlsx</x:t>
        </x:is>
      </x:c>
      <x:c r="L5" s="38" t="inlineStr">
        <x:is>
          <x:t xml:space="preserve">FALSE_POSITIVE_QUEUE</x:t>
        </x:is>
      </x:c>
      <x:c r="M5" s="39" t="inlineStr">
        <x:is>
          <x:t xml:space="preserve">5</x:t>
        </x:is>
      </x:c>
    </x:row>
    <x:row r="6" ht="15" customHeight="1">
      <x:c r="A6" s="37" t="inlineStr">
        <x:is>
          <x:t xml:space="preserve">Cost-bearing judge repair</x:t>
        </x:is>
      </x:c>
      <x:c r="B6" s="38" t="inlineStr">
        <x:is>
          <x:t xml:space="preserve">5</x:t>
        </x:is>
      </x:c>
      <x:c r="C6" s="38" t="inlineStr">
        <x:is>
          <x:t xml:space="preserve">Shared cost</x:t>
        </x:is>
      </x:c>
      <x:c r="D6" s="38" t="inlineStr">
        <x:is>
          <x:t xml:space="preserve">Balances justice and mercy</x:t>
        </x:is>
      </x:c>
      <x:c r="E6" s="38" t="inlineStr">
        <x:is>
          <x:t xml:space="preserve">Maximal mercy fails</x:t>
        </x:is>
      </x:c>
      <x:c r="F6" s="38" t="inlineStr">
        <x:is>
          <x:t xml:space="preserve">JusticeMercyOperator</x:t>
        </x:is>
      </x:c>
      <x:c r="G6" s="38" t="inlineStr">
        <x:is>
          <x:t xml:space="preserve">Already modeled as failure</x:t>
        </x:is>
      </x:c>
      <x:c r="H6" s="38" t="inlineStr">
        <x:is>
          <x:t xml:space="preserve">Need formal table row</x:t>
        </x:is>
      </x:c>
      <x:c r="I6" s="38" t="n"/>
      <x:c r="J6" s="38" t="n"/>
      <x:c r="K6" s="38" t="inlineStr">
        <x:is>
          <x:t xml:space="preserve">H:\Desktop 2\LEAN 4\Google CoLab Python\_EXTRACTED_REPOS\Faith-Thru-Physics-Lean-4--main\Faith-Thru-Physics-Lean-4--main\docs\Theophysics_Lean4_Addendum_Updated (1).xlsx</x:t>
        </x:is>
      </x:c>
      <x:c r="L6" s="38" t="inlineStr">
        <x:is>
          <x:t xml:space="preserve">FALSE_POSITIVE_QUEUE</x:t>
        </x:is>
      </x:c>
      <x:c r="M6" s="39" t="inlineStr">
        <x:is>
          <x:t xml:space="preserve">6</x:t>
        </x:is>
      </x:c>
    </x:row>
    <x:row r="7" ht="15" customHeight="1">
      <x:c r="A7" s="37" t="inlineStr">
        <x:is>
          <x:t xml:space="preserve">Cross necessity</x:t>
        </x:is>
      </x:c>
      <x:c r="B7" s="38" t="inlineStr">
        <x:is>
          <x:t xml:space="preserve">6</x:t>
        </x:is>
      </x:c>
      <x:c r="C7" s="38" t="inlineStr">
        <x:is>
          <x:t xml:space="preserve">Progressive grace only</x:t>
        </x:is>
      </x:c>
      <x:c r="D7" s="38" t="inlineStr">
        <x:is>
          <x:t xml:space="preserve">Gradual repair feels less violent</x:t>
        </x:is>
      </x:c>
      <x:c r="E7" s="38" t="inlineStr">
        <x:is>
          <x:t xml:space="preserve">Fails above entropy threshold</x:t>
        </x:is>
      </x:c>
      <x:c r="F7" s="38" t="inlineStr">
        <x:is>
          <x:t xml:space="preserve">TANGENT_13_Entropy_Crossover</x:t>
        </x:is>
      </x:c>
      <x:c r="G7" s="38" t="inlineStr">
        <x:is>
          <x:t xml:space="preserve">Wins only below S≈0.28</x:t>
        </x:is>
      </x:c>
      <x:c r="H7" s="38" t="inlineStr">
        <x:is>
          <x:t xml:space="preserve">Needs reproducible simulation</x:t>
        </x:is>
      </x:c>
      <x:c r="I7" s="38" t="n"/>
      <x:c r="J7" s="38" t="n"/>
      <x:c r="K7" s="38" t="inlineStr">
        <x:is>
          <x:t xml:space="preserve">H:\Desktop 2\LEAN 4\Google CoLab Python\_EXTRACTED_REPOS\Faith-Thru-Physics-Lean-4--main\Faith-Thru-Physics-Lean-4--main\docs\Theophysics_Lean4_Addendum_Updated (1).xlsx</x:t>
        </x:is>
      </x:c>
      <x:c r="L7" s="38" t="inlineStr">
        <x:is>
          <x:t xml:space="preserve">FALSE_POSITIVE_QUEUE</x:t>
        </x:is>
      </x:c>
      <x:c r="M7" s="39" t="inlineStr">
        <x:is>
          <x:t xml:space="preserve">7</x:t>
        </x:is>
      </x:c>
    </x:row>
    <x:row r="8" ht="15" customHeight="1">
      <x:c r="A8" s="37" t="inlineStr">
        <x:is>
          <x:t xml:space="preserve">Cross uniqueness</x:t>
        </x:is>
      </x:c>
      <x:c r="B8" s="38" t="inlineStr">
        <x:is>
          <x:t xml:space="preserve">7</x:t>
        </x:is>
      </x:c>
      <x:c r="C8" s="38" t="inlineStr">
        <x:is>
          <x:t xml:space="preserve">Universal pardon</x:t>
        </x:is>
      </x:c>
      <x:c r="D8" s="38" t="inlineStr">
        <x:is>
          <x:t xml:space="preserve">Maximizes forgiveness</x:t>
        </x:is>
      </x:c>
      <x:c r="E8" s="38" t="inlineStr">
        <x:is>
          <x:t xml:space="preserve">Justice/love/entropy/holiness fail per model</x:t>
        </x:is>
      </x:c>
      <x:c r="F8" s="38" t="inlineStr">
        <x:is>
          <x:t xml:space="preserve">THE CROSS UNIQUE SOLUTION</x:t>
        </x:is>
      </x:c>
      <x:c r="G8" s="38" t="inlineStr">
        <x:is>
          <x:t xml:space="preserve">Named alternative 2/6</x:t>
        </x:is>
      </x:c>
      <x:c r="H8" s="38" t="inlineStr">
        <x:is>
          <x:t xml:space="preserve">Needs respectful public framing</x:t>
        </x:is>
      </x:c>
      <x:c r="I8" s="38" t="n"/>
      <x:c r="J8" s="38" t="n"/>
      <x:c r="K8" s="38" t="inlineStr">
        <x:is>
          <x:t xml:space="preserve">H:\Desktop 2\LEAN 4\Google CoLab Python\_EXTRACTED_REPOS\Faith-Thru-Physics-Lean-4--main\Faith-Thru-Physics-Lean-4--main\docs\Theophysics_Lean4_Addendum_Updated (1).xlsx</x:t>
        </x:is>
      </x:c>
      <x:c r="L8" s="38" t="inlineStr">
        <x:is>
          <x:t xml:space="preserve">FALSE_POSITIVE_QUEUE</x:t>
        </x:is>
      </x:c>
      <x:c r="M8" s="39" t="inlineStr">
        <x:is>
          <x:t xml:space="preserve">8</x:t>
        </x:is>
      </x:c>
    </x:row>
    <x:row r="9" ht="15" customHeight="1">
      <x:c r="A9" s="37" t="inlineStr">
        <x:is>
          <x:t xml:space="preserve">Cross uniqueness</x:t>
        </x:is>
      </x:c>
      <x:c r="B9" s="38" t="inlineStr">
        <x:is>
          <x:t xml:space="preserve">8</x:t>
        </x:is>
      </x:c>
      <x:c r="C9" s="38" t="inlineStr">
        <x:is>
          <x:t xml:space="preserve">Divine override</x:t>
        </x:is>
      </x:c>
      <x:c r="D9" s="38" t="inlineStr">
        <x:is>
          <x:t xml:space="preserve">Maximizes immediate coherence</x:t>
        </x:is>
      </x:c>
      <x:c r="E9" s="38" t="inlineStr">
        <x:is>
          <x:t xml:space="preserve">Free will and love fail</x:t>
        </x:is>
      </x:c>
      <x:c r="F9" s="38" t="inlineStr">
        <x:is>
          <x:t xml:space="preserve">THE CROSS UNIQUE SOLUTION / Constraint Fork</x:t>
        </x:is>
      </x:c>
      <x:c r="G9" s="38" t="inlineStr">
        <x:is>
          <x:t xml:space="preserve">Named alternative 4/6</x:t>
        </x:is>
      </x:c>
      <x:c r="H9" s="38" t="inlineStr">
        <x:is>
          <x:t xml:space="preserve">Needs public version</x:t>
        </x:is>
      </x:c>
      <x:c r="I9" s="38" t="n"/>
      <x:c r="J9" s="38" t="n"/>
      <x:c r="K9" s="38" t="inlineStr">
        <x:is>
          <x:t xml:space="preserve">H:\Desktop 2\LEAN 4\Google CoLab Python\_EXTRACTED_REPOS\Faith-Thru-Physics-Lean-4--main\Faith-Thru-Physics-Lean-4--main\docs\Theophysics_Lean4_Addendum_Updated (1).xlsx</x:t>
        </x:is>
      </x:c>
      <x:c r="L9" s="38" t="inlineStr">
        <x:is>
          <x:t xml:space="preserve">FALSE_POSITIVE_QUEUE</x:t>
        </x:is>
      </x:c>
      <x:c r="M9" s="39" t="inlineStr">
        <x:is>
          <x:t xml:space="preserve">9</x:t>
        </x:is>
      </x:c>
    </x:row>
    <x:row r="10" ht="15" customHeight="1">
      <x:c r="A10" s="37" t="inlineStr">
        <x:is>
          <x:t xml:space="preserve">Self-repair impossibility</x:t>
        </x:is>
      </x:c>
      <x:c r="B10" s="38" t="inlineStr">
        <x:is>
          <x:t xml:space="preserve">9</x:t>
        </x:is>
      </x:c>
      <x:c r="C10" s="38" t="inlineStr">
        <x:is>
          <x:t xml:space="preserve">Works-based self-improvement</x:t>
        </x:is>
      </x:c>
      <x:c r="D10" s="38" t="inlineStr">
        <x:is>
          <x:t xml:space="preserve">People visibly improve behavior</x:t>
        </x:is>
      </x:c>
      <x:c r="E10" s="38" t="inlineStr">
        <x:is>
          <x:t xml:space="preserve">Sign flip vs magnitude change confused</x:t>
        </x:is>
      </x:c>
      <x:c r="F10" s="38" t="inlineStr">
        <x:is>
          <x:t xml:space="preserve">TANGENT_10 / C8.1</x:t>
        </x:is>
      </x:c>
      <x:c r="G10" s="38" t="inlineStr">
        <x:is>
          <x:t xml:space="preserve">Fails sign-flip claim</x:t>
        </x:is>
      </x:c>
      <x:c r="H10" s="38" t="inlineStr">
        <x:is>
          <x:t xml:space="preserve">Need empirical signature plan</x:t>
        </x:is>
      </x:c>
      <x:c r="I10" s="38" t="n"/>
      <x:c r="J10" s="38" t="n"/>
      <x:c r="K10" s="38" t="inlineStr">
        <x:is>
          <x:t xml:space="preserve">H:\Desktop 2\LEAN 4\Google CoLab Python\_EXTRACTED_REPOS\Faith-Thru-Physics-Lean-4--main\Faith-Thru-Physics-Lean-4--main\docs\Theophysics_Lean4_Addendum_Updated (1).xlsx</x:t>
        </x:is>
      </x:c>
      <x:c r="L10" s="38" t="inlineStr">
        <x:is>
          <x:t xml:space="preserve">FALSE_POSITIVE_QUEUE</x:t>
        </x:is>
      </x:c>
      <x:c r="M10" s="39" t="inlineStr">
        <x:is>
          <x:t xml:space="preserve">10</x:t>
        </x:is>
      </x:c>
    </x:row>
    <x:row r="11" ht="15" customHeight="1">
      <x:c r="A11" s="40" t="inlineStr">
        <x:is>
          <x:t xml:space="preserve">Polarity structure</x:t>
        </x:is>
      </x:c>
      <x:c r="B11" s="41" t="inlineStr">
        <x:is>
          <x:t xml:space="preserve">10</x:t>
        </x:is>
      </x:c>
      <x:c r="C11" s="41" t="inlineStr">
        <x:is>
          <x:t xml:space="preserve">Evil is merely less-good</x:t>
        </x:is>
      </x:c>
      <x:c r="D11" s="41" t="inlineStr">
        <x:is>
          <x:t xml:space="preserve">Explains immaturity/imperfection</x:t>
        </x:is>
      </x:c>
      <x:c r="E11" s="41" t="inlineStr">
        <x:is>
          <x:t xml:space="preserve">Cannot explain inversion/betrayal/malice</x:t>
        </x:is>
      </x:c>
      <x:c r="F11" s="41" t="inlineStr">
        <x:is>
          <x:t xml:space="preserve">Duality Project / Polarity Lane</x:t>
        </x:is>
      </x:c>
      <x:c r="G11" s="41" t="inlineStr">
        <x:is>
          <x:t xml:space="preserve">Needs Lean polarity module</x:t>
        </x:is>
      </x:c>
      <x:c r="H11" s="41" t="inlineStr">
        <x:is>
          <x:t xml:space="preserve">Open</x:t>
        </x:is>
      </x:c>
      <x:c r="I11" s="41" t="n"/>
      <x:c r="J11" s="41" t="n"/>
      <x:c r="K11" s="41" t="inlineStr">
        <x:is>
          <x:t xml:space="preserve">H:\Desktop 2\LEAN 4\Google CoLab Python\_EXTRACTED_REPOS\Faith-Thru-Physics-Lean-4--main\Faith-Thru-Physics-Lean-4--main\docs\Theophysics_Lean4_Addendum_Updated (1).xlsx</x:t>
        </x:is>
      </x:c>
      <x:c r="L11" s="41" t="inlineStr">
        <x:is>
          <x:t xml:space="preserve">FALSE_POSITIVE_QUEUE</x:t>
        </x:is>
      </x:c>
      <x:c r="M11" s="42" t="inlineStr">
        <x:is>
          <x:t xml:space="preserve">11</x:t>
        </x:is>
      </x:c>
    </x:row>
  </x:sheetData>
  <x:pageMargins left="0.7" right="0.7" top="0.75" bottom="0.75" header="0.3" footer="0.3"/>
</x:worksheet>
</file>

<file path=xl/worksheets/sheet27.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1" width="56.77734375" style="49" customWidth="1"/>
    <x:col min="2" max="2" width="63.88671875" style="49" customWidth="1"/>
    <x:col min="3" max="3" width="12.77734375" style="49" customWidth="1"/>
    <x:col min="4" max="4" width="22.33203125" style="49" customWidth="1"/>
    <x:col min="5" max="5" width="46.33203125" style="49" customWidth="1"/>
    <x:col min="6" max="6" width="68.44140625" style="49" customWidth="1"/>
    <x:col min="7" max="7" width="46" style="49" customWidth="1"/>
    <x:col min="8" max="16384" width="8.88671875" style="49" customWidth="1"/>
  </x:cols>
  <x:sheetData>
    <x:row r="1" ht="17.399999618530273" customHeight="1">
      <x:c r="A1" s="50" t="inlineStr">
        <x:is>
          <x:t xml:space="preserve">Load-Bearing Controls</x:t>
        </x:is>
      </x:c>
    </x:row>
    <x:row r="2" ht="14.399999618530273" customHeight="1">
      <x:c r="A2" s="51" t="inlineStr">
        <x:is>
          <x:t xml:space="preserve">Maxwell/adversarial controls found in the full 47-file canonical scan.</x:t>
        </x:is>
      </x:c>
    </x:row>
    <x:row r="4" ht="15" customHeight="1">
      <x:c r="A4" s="52" t="inlineStr">
        <x:is>
          <x:t xml:space="preserve">theorem_name</x:t>
        </x:is>
      </x:c>
      <x:c r="B4" s="53" t="inlineStr">
        <x:is>
          <x:t xml:space="preserve">canonical_file</x:t>
        </x:is>
      </x:c>
      <x:c r="C4" s="53" t="inlineStr">
        <x:is>
          <x:t xml:space="preserve">canonical_line</x:t>
        </x:is>
      </x:c>
      <x:c r="D4" s="53" t="inlineStr">
        <x:is>
          <x:t xml:space="preserve">proof_strength</x:t>
        </x:is>
      </x:c>
      <x:c r="E4" s="53" t="inlineStr">
        <x:is>
          <x:t xml:space="preserve">public_count_bucket</x:t>
        </x:is>
      </x:c>
      <x:c r="F4" s="53" t="inlineStr">
        <x:is>
          <x:t xml:space="preserve">canonical_statement</x:t>
        </x:is>
      </x:c>
      <x:c r="G4" s="54" t="inlineStr">
        <x:is>
          <x:t xml:space="preserve">public_claim_supported</x:t>
        </x:is>
      </x:c>
    </x:row>
    <x:row r="5" ht="15" customHeight="1">
      <x:c r="A5" s="55" t="inlineStr">
        <x:is>
          <x:t xml:space="preserve">heavisideVectorEM_invalid</x:t>
        </x:is>
      </x:c>
      <x:c r="B5" s="49" t="inlineStr">
        <x:is>
          <x:t xml:space="preserve">theophysics-lean-main\theophysics-lean-main\Theophysics_Adversarial.lean</x:t>
        </x:is>
      </x:c>
      <x:c r="C5" s="49" t="inlineStr">
        <x:is>
          <x:t xml:space="preserve">453</x:t>
        </x:is>
      </x:c>
      <x:c r="D5" s="49" t="inlineStr">
        <x:is>
          <x:t xml:space="preserve">WRAPPER_OR_IMPORTED</x:t>
        </x:is>
      </x:c>
      <x:c r="E5" s="49" t="inlineStr">
        <x:is>
          <x:t xml:space="preserve">CANONICAL_THEOREM_DEDUPED_PENDING_COMPILE</x:t>
        </x:is>
      </x:c>
      <x:c r="F5" s="49" t="inlineStr">
        <x:is>
          <x:t xml:space="preserve">theorem heavisideVectorEM_invalid :</x:t>
        </x:is>
      </x:c>
      <x:c r="G5" s="56" t="inlineStr">
        <x:is>
          <x:t xml:space="preserve">REJECTION: Heaviside EM fails — no coupling invariant</x:t>
        </x:is>
      </x:c>
    </x:row>
    <x:row r="6" ht="15" customHeight="1">
      <x:c r="A6" s="55" t="inlineStr">
        <x:is>
          <x:t xml:space="preserve">heaviside_passes_if_coupling_guard_removed</x:t>
        </x:is>
      </x:c>
      <x:c r="B6" s="49" t="inlineStr">
        <x:is>
          <x:t xml:space="preserve">theophysics-lean-main\theophysics-lean-main\Theophysics_Core.lean</x:t>
        </x:is>
      </x:c>
      <x:c r="C6" s="49" t="inlineStr">
        <x:is>
          <x:t xml:space="preserve">234</x:t>
        </x:is>
      </x:c>
      <x:c r="D6" s="49" t="inlineStr">
        <x:is>
          <x:t xml:space="preserve">TRIVIAL_TRUE</x:t>
        </x:is>
      </x:c>
      <x:c r="E6" s="49" t="inlineStr">
        <x:is>
          <x:t xml:space="preserve">LOW_CONTENT_TRUE_NOT_PUBLIC_COUNT</x:t>
        </x:is>
      </x:c>
      <x:c r="F6" s="49" t="inlineStr">
        <x:is>
          <x:t xml:space="preserve">theorem heaviside_passes_if_coupling_guard_removed : True := by trivial</x:t>
        </x:is>
      </x:c>
      <x:c r="G6" s="56" t="n"/>
    </x:row>
    <x:row r="7" ht="15" customHeight="1">
      <x:c r="A7" s="55" t="inlineStr">
        <x:is>
          <x:t xml:space="preserve">modalism_invalid</x:t>
        </x:is>
      </x:c>
      <x:c r="B7" s="49" t="inlineStr">
        <x:is>
          <x:t xml:space="preserve">theophysics-lean-main\theophysics-lean-main\Theophysics_Adversarial.lean</x:t>
        </x:is>
      </x:c>
      <x:c r="C7" s="49" t="inlineStr">
        <x:is>
          <x:t xml:space="preserve">457</x:t>
        </x:is>
      </x:c>
      <x:c r="D7" s="49" t="inlineStr">
        <x:is>
          <x:t xml:space="preserve">WRAPPER_OR_IMPORTED</x:t>
        </x:is>
      </x:c>
      <x:c r="E7" s="49" t="inlineStr">
        <x:is>
          <x:t xml:space="preserve">CANONICAL_THEOREM_DEDUPED_PENDING_COMPILE</x:t>
        </x:is>
      </x:c>
      <x:c r="F7" s="49" t="inlineStr">
        <x:is>
          <x:t xml:space="preserve">theorem modalism_invalid :</x:t>
        </x:is>
      </x:c>
      <x:c r="G7" s="56" t="inlineStr">
        <x:is>
          <x:t xml:space="preserve">REJECTION: Modalism fails — no relational distinctness</x:t>
        </x:is>
      </x:c>
    </x:row>
    <x:row r="8" ht="15" customHeight="1">
      <x:c r="A8" s="55" t="inlineStr">
        <x:is>
          <x:t xml:space="preserve">modalism_passes_if_distinctness_guard_removed</x:t>
        </x:is>
      </x:c>
      <x:c r="B8" s="49" t="inlineStr">
        <x:is>
          <x:t xml:space="preserve">theophysics-lean-main\theophysics-lean-main\Theophysics_Core.lean</x:t>
        </x:is>
      </x:c>
      <x:c r="C8" s="49" t="inlineStr">
        <x:is>
          <x:t xml:space="preserve">235</x:t>
        </x:is>
      </x:c>
      <x:c r="D8" s="49" t="inlineStr">
        <x:is>
          <x:t xml:space="preserve">TRIVIAL_TRUE</x:t>
        </x:is>
      </x:c>
      <x:c r="E8" s="49" t="inlineStr">
        <x:is>
          <x:t xml:space="preserve">LOW_CONTENT_TRUE_NOT_PUBLIC_COUNT</x:t>
        </x:is>
      </x:c>
      <x:c r="F8" s="49" t="inlineStr">
        <x:is>
          <x:t xml:space="preserve">theorem modalism_passes_if_distinctness_guard_removed : True := by trivial</x:t>
        </x:is>
      </x:c>
      <x:c r="G8" s="56" t="n"/>
    </x:row>
    <x:row r="9" ht="15" customHeight="1">
      <x:c r="A9" s="55" t="inlineStr">
        <x:is>
          <x:t xml:space="preserve">relabeledRoleSystem_invalid</x:t>
        </x:is>
      </x:c>
      <x:c r="B9" s="49" t="inlineStr">
        <x:is>
          <x:t xml:space="preserve">theophysics-lean-main\theophysics-lean-main\Theophysics_Adversarial.lean</x:t>
        </x:is>
      </x:c>
      <x:c r="C9" s="49" t="inlineStr">
        <x:is>
          <x:t xml:space="preserve">469</x:t>
        </x:is>
      </x:c>
      <x:c r="D9" s="49" t="inlineStr">
        <x:is>
          <x:t xml:space="preserve">WRAPPER_OR_IMPORTED</x:t>
        </x:is>
      </x:c>
      <x:c r="E9" s="49" t="inlineStr">
        <x:is>
          <x:t xml:space="preserve">CANONICAL_THEOREM_DEDUPED_PENDING_COMPILE</x:t>
        </x:is>
      </x:c>
      <x:c r="F9" s="49" t="inlineStr">
        <x:is>
          <x:t xml:space="preserve">theorem relabeledRoleSystem_invalid :</x:t>
        </x:is>
      </x:c>
      <x:c r="G9" s="56" t="inlineStr">
        <x:is>
          <x:t xml:space="preserve">REJECTION: Relabeled roles fail — labels ≠ profiles</x:t>
        </x:is>
      </x:c>
    </x:row>
    <x:row r="10" ht="15" customHeight="1">
      <x:c r="A10" s="55" t="inlineStr">
        <x:is>
          <x:t xml:space="preserve">relabeled_roles_pass_if_profile_guard_removed</x:t>
        </x:is>
      </x:c>
      <x:c r="B10" s="49" t="inlineStr">
        <x:is>
          <x:t xml:space="preserve">theophysics-lean-main\theophysics-lean-main\Theophysics_Core.lean</x:t>
        </x:is>
      </x:c>
      <x:c r="C10" s="49" t="inlineStr">
        <x:is>
          <x:t xml:space="preserve">237</x:t>
        </x:is>
      </x:c>
      <x:c r="D10" s="49" t="inlineStr">
        <x:is>
          <x:t xml:space="preserve">TRIVIAL_TRUE</x:t>
        </x:is>
      </x:c>
      <x:c r="E10" s="49" t="inlineStr">
        <x:is>
          <x:t xml:space="preserve">LOW_CONTENT_TRUE_NOT_PUBLIC_COUNT</x:t>
        </x:is>
      </x:c>
      <x:c r="F10" s="49" t="inlineStr">
        <x:is>
          <x:t xml:space="preserve">theorem relabeled_roles_pass_if_profile_guard_removed : True := by trivial</x:t>
        </x:is>
      </x:c>
      <x:c r="G10" s="56" t="n"/>
    </x:row>
    <x:row r="11" ht="15" customHeight="1">
      <x:c r="A11" s="57" t="inlineStr">
        <x:is>
          <x:t xml:space="preserve">static_single_field_passes_if_dynamic_guard_removed</x:t>
        </x:is>
      </x:c>
      <x:c r="B11" s="58" t="inlineStr">
        <x:is>
          <x:t xml:space="preserve">theophysics-lean-main\theophysics-lean-main\Theophysics_Core.lean</x:t>
        </x:is>
      </x:c>
      <x:c r="C11" s="58" t="inlineStr">
        <x:is>
          <x:t xml:space="preserve">236</x:t>
        </x:is>
      </x:c>
      <x:c r="D11" s="58" t="inlineStr">
        <x:is>
          <x:t xml:space="preserve">TRIVIAL_TRUE</x:t>
        </x:is>
      </x:c>
      <x:c r="E11" s="58" t="inlineStr">
        <x:is>
          <x:t xml:space="preserve">LOW_CONTENT_TRUE_NOT_PUBLIC_COUNT</x:t>
        </x:is>
      </x:c>
      <x:c r="F11" s="58" t="inlineStr">
        <x:is>
          <x:t xml:space="preserve">theorem static_single_field_passes_if_dynamic_guard_removed : True := by trivial</x:t>
        </x:is>
      </x:c>
      <x:c r="G11" s="59" t="n"/>
    </x:row>
  </x:sheetData>
  <x:mergeCells>
    <x:mergeCell ref="A2:H2"/>
    <x:mergeCell ref="A1:H1"/>
  </x:mergeCells>
  <x:pageMargins left="0.7" right="0.7" top="0.75" bottom="0.75" header="0.3" footer="0.3"/>
</x:worksheet>
</file>

<file path=xl/worksheets/sheet28.xml><?xml version="1.0" encoding="utf-8"?>
<x:worksheet xmlns:x="http://schemas.openxmlformats.org/spreadsheetml/2006/main">
  <x:sheetPr>
    <x:tabColor rgb="FF9DC3E6"/>
  </x:sheetPr>
  <x:sheetViews>
    <x:sheetView showGridLines="0" workbookViewId="0"/>
  </x:sheetViews>
  <x:sheetFormatPr baseColWidth="8" defaultRowHeight="13.800000190734863"/>
  <x:cols>
    <x:col min="1" max="1" width="33.33203125" style="49" customWidth="1"/>
    <x:col min="2" max="2" width="133.33203125" style="49" customWidth="1"/>
    <x:col min="3" max="3" width="20" style="49" customWidth="1"/>
    <x:col min="4" max="4" width="28.88671875" style="49" customWidth="1"/>
    <x:col min="5" max="5" width="31.109375" style="49" customWidth="1"/>
    <x:col min="6" max="6" width="68.88671875" style="49" customWidth="1"/>
    <x:col min="7" max="7" width="20" style="49" customWidth="1"/>
    <x:col min="8" max="8" width="28.88671875" style="49" customWidth="1"/>
    <x:col min="9" max="9" width="26.6640625" style="49" customWidth="1"/>
    <x:col min="10" max="10" width="24.44140625" style="49" customWidth="1"/>
    <x:col min="11" max="11" width="33.33203125" style="49" customWidth="1"/>
    <x:col min="12" max="12" width="20" style="49" customWidth="1"/>
    <x:col min="13" max="13" width="13.33203125" style="49" customWidth="1"/>
    <x:col min="14" max="14" width="17.77734375" style="49" customWidth="1"/>
    <x:col min="15" max="17" width="13.33203125" style="49" customWidth="1"/>
    <x:col min="18" max="18" width="62.21875" style="49" customWidth="1"/>
    <x:col min="19" max="19" width="77.77734375" style="49" customWidth="1"/>
    <x:col min="20" max="20" width="62.21875" style="49" customWidth="1"/>
    <x:col min="21" max="21" width="48.88671875" style="49" customWidth="1"/>
    <x:col min="22" max="22" width="77.77734375" style="49" customWidth="1"/>
    <x:col min="23" max="23" width="55.5546875" style="49" customWidth="1"/>
    <x:col min="24" max="16384" width="8.88671875" style="49" customWidth="1"/>
  </x:cols>
  <x:sheetData>
    <x:row r="1" ht="28.049999237060547" customHeight="1">
      <x:c r="A1" s="60" t="inlineStr">
        <x:is>
          <x:t xml:space="preserve">Python / Colab Runtime Support Audit</x:t>
        </x:is>
      </x:c>
    </x:row>
    <x:row r="2" ht="22.049999237060547" customHeight="1">
      <x:c r="A2" s="61" t="inlineStr">
        <x:is>
          <x:t xml:space="preserve">Source folder</x:t>
        </x:is>
      </x:c>
      <x:c r="B2" s="62" t="inlineStr">
        <x:is>
          <x:t xml:space="preserve">H:\Desktop 2\LEAN 4</x:t>
        </x:is>
      </x:c>
    </x:row>
    <x:row r="3" ht="22.049999237060547" customHeight="1">
      <x:c r="A3" s="61" t="inlineStr">
        <x:is>
          <x:t xml:space="preserve">Readiness packet</x:t>
        </x:is>
      </x:c>
      <x:c r="B3" s="62" t="inlineStr">
        <x:is>
          <x:t xml:space="preserve">H:\Desktop 2\LEAN 4\Google CoLab Python\_CLAIM_HUB\06_python_colab_readiness_packet</x:t>
        </x:is>
      </x:c>
    </x:row>
    <x:row r="4" ht="22.049999237060547" customHeight="1">
      <x:c r="A4" s="61" t="inlineStr">
        <x:is>
          <x:t xml:space="preserve">Notebook artifacts</x:t>
        </x:is>
      </x:c>
      <x:c r="B4" s="62" t="n">
        <x:v>20</x:v>
      </x:c>
    </x:row>
    <x:row r="5" ht="22.049999237060547" customHeight="1">
      <x:c r="A5" s="61" t="inlineStr">
        <x:is>
          <x:t xml:space="preserve">Python scripts</x:t>
        </x:is>
      </x:c>
      <x:c r="B5" s="62" t="n">
        <x:v>5</x:v>
      </x:c>
    </x:row>
    <x:row r="6" ht="22.049999237060547" customHeight="1">
      <x:c r="A6" s="61" t="inlineStr">
        <x:is>
          <x:t xml:space="preserve">Status counts</x:t>
        </x:is>
      </x:c>
      <x:c r="B6" s="62" t="inlineStr">
        <x:is>
          <x:t xml:space="preserve">{"not_declared": 11, "open_or_conflicted": 5, "claims_verified": 3, "mixed_verified_and_open": 6}</x:t>
        </x:is>
      </x:c>
    </x:row>
    <x:row r="7" ht="22.049999237060547" customHeight="1">
      <x:c r="A7" s="61" t="inlineStr">
        <x:is>
          <x:t xml:space="preserve">Evidence classes</x:t>
        </x:is>
      </x:c>
      <x:c r="B7" s="62" t="inlineStr">
        <x:is>
          <x:t xml:space="preserve">{"physics_model_bridge": 3, "unclassified_support": 2, "prediction_or_forecast": 8, "simulation_or_stability": 6, "empirical_or_fit": 6}</x:t>
        </x:is>
      </x:c>
    </x:row>
    <x:row r="8" ht="22.049999237060547" customHeight="1">
      <x:c r="A8" s="61" t="inlineStr">
        <x:is>
          <x:t xml:space="preserve">Local execution added by this pass</x:t>
        </x:is>
      </x:c>
      <x:c r="B8" s="62" t="inlineStr">
        <x:is>
          <x:t xml:space="preserve">pytest master-equation unit tests passed; lagrangian_side_by_side.py reran; evolution sim rerun blocked by hardcoded /mnt/data path.</x:t>
        </x:is>
      </x:c>
    </x:row>
    <x:row r="9" ht="22.049999237060547" customHeight="1"/>
    <x:row r="10" ht="30" customHeight="1">
      <x:c r="A10" s="63" t="inlineStr">
        <x:is>
          <x:t xml:space="preserve">artifact_id</x:t>
        </x:is>
      </x:c>
      <x:c r="B10" s="63" t="inlineStr">
        <x:is>
          <x:t xml:space="preserve">kind</x:t>
        </x:is>
      </x:c>
      <x:c r="C10" s="63" t="inlineStr">
        <x:is>
          <x:t xml:space="preserve">python_or_colab</x:t>
        </x:is>
      </x:c>
      <x:c r="D10" s="63" t="inlineStr">
        <x:is>
          <x:t xml:space="preserve">claim_family</x:t>
        </x:is>
      </x:c>
      <x:c r="E10" s="63" t="inlineStr">
        <x:is>
          <x:t xml:space="preserve">repo_family</x:t>
        </x:is>
      </x:c>
      <x:c r="F10" s="63" t="inlineStr">
        <x:is>
          <x:t xml:space="preserve">relative_file</x:t>
        </x:is>
      </x:c>
      <x:c r="G10" s="63" t="inlineStr">
        <x:is>
          <x:t xml:space="preserve">run_phase</x:t>
        </x:is>
      </x:c>
      <x:c r="H10" s="63" t="inlineStr">
        <x:is>
          <x:t xml:space="preserve">run_tier</x:t>
        </x:is>
      </x:c>
      <x:c r="I10" s="63" t="inlineStr">
        <x:is>
          <x:t xml:space="preserve">evidence_class</x:t>
        </x:is>
      </x:c>
      <x:c r="J10" s="63" t="inlineStr">
        <x:is>
          <x:t xml:space="preserve">public_status</x:t>
        </x:is>
      </x:c>
      <x:c r="K10" s="63" t="inlineStr">
        <x:is>
          <x:t xml:space="preserve">support_status</x:t>
        </x:is>
      </x:c>
      <x:c r="L10" s="63" t="inlineStr">
        <x:is>
          <x:t xml:space="preserve">static_check_status</x:t>
        </x:is>
      </x:c>
      <x:c r="M10" s="63" t="inlineStr">
        <x:is>
          <x:t xml:space="preserve">has_outputs</x:t>
        </x:is>
      </x:c>
      <x:c r="N10" s="63" t="inlineStr">
        <x:is>
          <x:t xml:space="preserve">has_assertions_or_checks</x:t>
        </x:is>
      </x:c>
      <x:c r="O10" s="63" t="inlineStr">
        <x:is>
          <x:t xml:space="preserve">has_data_reads</x:t>
        </x:is>
      </x:c>
      <x:c r="P10" s="63" t="inlineStr">
        <x:is>
          <x:t xml:space="preserve">has_gpu_or_jax</x:t>
        </x:is>
      </x:c>
      <x:c r="Q10" s="63" t="inlineStr">
        <x:is>
          <x:t xml:space="preserve">has_network</x:t>
        </x:is>
      </x:c>
      <x:c r="R10" s="63" t="inlineStr">
        <x:is>
          <x:t xml:space="preserve">what_it_tests</x:t>
        </x:is>
      </x:c>
      <x:c r="S10" s="63" t="inlineStr">
        <x:is>
          <x:t xml:space="preserve">what_test_showed</x:t>
        </x:is>
      </x:c>
      <x:c r="T10" s="63" t="inlineStr">
        <x:is>
          <x:t xml:space="preserve">missing_or_required_before_public</x:t>
        </x:is>
      </x:c>
      <x:c r="U10" s="63" t="inlineStr">
        <x:is>
          <x:t xml:space="preserve">data_path_notes</x:t>
        </x:is>
      </x:c>
      <x:c r="V10" s="63" t="inlineStr">
        <x:is>
          <x:t xml:space="preserve">source_file</x:t>
        </x:is>
      </x:c>
      <x:c r="W10" s="63" t="inlineStr">
        <x:is>
          <x:t xml:space="preserve">notes</x:t>
        </x:is>
      </x:c>
    </x:row>
    <x:row r="11" ht="30" customHeight="1">
      <x:c r="A11" s="20" t="inlineStr">
        <x:is>
          <x:t xml:space="preserve">PYCOLAB-001</x:t>
        </x:is>
      </x:c>
      <x:c r="B11" s="20" t="inlineStr">
        <x:is>
          <x:t xml:space="preserve">notebook</x:t>
        </x:is>
      </x:c>
      <x:c r="C11" s="20" t="inlineStr">
        <x:is>
          <x:t xml:space="preserve">COLAB_NOTEBOOK</x:t>
        </x:is>
      </x:c>
      <x:c r="D11" s="20" t="inlineStr">
        <x:is>
          <x:t xml:space="preserve">Master equation</x:t>
        </x:is>
      </x:c>
      <x:c r="E11" s="20" t="inlineStr">
        <x:is>
          <x:t xml:space="preserve">Lean-4-Proofs-main</x:t>
        </x:is>
      </x:c>
      <x:c r="F11" s="20" t="inlineStr">
        <x:is>
          <x:t xml:space="preserve">Lean-4-Proofs-main\Lean-4-Proofs-main\theophysics-lean-verification-package\notebooks\Theophysics_Master_Equation_Tests.ipynb</x:t>
        </x:is>
      </x:c>
      <x:c r="G11" s="20" t="inlineStr">
        <x:is>
          <x:t xml:space="preserve">Phase 1</x:t>
        </x:is>
      </x:c>
      <x:c r="H11" s="20" t="inlineStr">
        <x:is>
          <x:t xml:space="preserve">T1_FAST_LOCAL_CHECK</x:t>
        </x:is>
      </x:c>
      <x:c r="I11" s="20" t="inlineStr">
        <x:is>
          <x:t xml:space="preserve">physics_model_bridge</x:t>
        </x:is>
      </x:c>
      <x:c r="J11" s="64" t="inlineStr">
        <x:is>
          <x:t xml:space="preserve">not_declared</x:t>
        </x:is>
      </x:c>
      <x:c r="K11" s="64" t="inlineStr">
        <x:is>
          <x:t xml:space="preserve">NOT_DECLARED</x:t>
        </x:is>
      </x:c>
      <x:c r="L11" s="20" t="inlineStr">
        <x:is>
          <x:t xml:space="preserve">OK</x:t>
        </x:is>
      </x:c>
      <x:c r="M11" s="20" t="inlineStr">
        <x:is>
          <x:t xml:space="preserve">False</x:t>
        </x:is>
      </x:c>
      <x:c r="N11" s="20" t="inlineStr">
        <x:is>
          <x:t xml:space="preserve">True</x:t>
        </x:is>
      </x:c>
      <x:c r="O11" s="20" t="inlineStr">
        <x:is>
          <x:t xml:space="preserve">False</x:t>
        </x:is>
      </x:c>
      <x:c r="P11" s="20" t="inlineStr">
        <x:is>
          <x:t xml:space="preserve">False</x:t>
        </x:is>
      </x:c>
      <x:c r="Q11" s="20" t="inlineStr">
        <x:is>
          <x:t xml:space="preserve">False</x:t>
        </x:is>
      </x:c>
      <x:c r="R11" s="20" t="inlineStr">
        <x:is>
          <x:t xml:space="preserve">run minimal equation path | turn off each law/coupling term one at a time | run side-by-side against a null equation | record which claims are formal, simulated, or empirical</x:t>
        </x:is>
      </x:c>
      <x:c r="S11" s="20" t="inlineStr">
        <x:is>
          <x:t xml:space="preserve">Notebook parses but has no saved outputs in the file; result not executed in this audit. No public evidence status declared yet.</x:t>
        </x:is>
      </x:c>
      <x:c r="T11" s="20" t="inlineStr">
        <x:is>
          <x:t xml:space="preserve">saved notebook outputs; public evidence status</x:t>
        </x:is>
      </x:c>
      <x:c r="U11" s="20" t="n"/>
      <x:c r="V11" s="20" t="inlineStr">
        <x:is>
          <x:t xml:space="preserve">H:\Desktop 2\LEAN 4\Google CoLab Python\_EXTRACTED_REPOS\Lean-4-Proofs-main\Lean-4-Proofs-main\theophysics-lean-verification-package\notebooks\Theophysics_Master_Equation_Tests.ipynb</x:t>
        </x:is>
      </x:c>
      <x:c r="W11" s="20" t="inlineStr">
        <x:is>
          <x:t xml:space="preserve">This artifact has not yet declared a public evidence status.</x:t>
        </x:is>
      </x:c>
    </x:row>
    <x:row r="12" ht="30" customHeight="1">
      <x:c r="A12" s="20" t="inlineStr">
        <x:is>
          <x:t xml:space="preserve">PYCOLAB-002</x:t>
        </x:is>
      </x:c>
      <x:c r="B12" s="20" t="inlineStr">
        <x:is>
          <x:t xml:space="preserve">python</x:t>
        </x:is>
      </x:c>
      <x:c r="C12" s="20" t="inlineStr">
        <x:is>
          <x:t xml:space="preserve">PYTHON_SCRIPT</x:t>
        </x:is>
      </x:c>
      <x:c r="D12" s="20" t="inlineStr">
        <x:is>
          <x:t xml:space="preserve">Master equation</x:t>
        </x:is>
      </x:c>
      <x:c r="E12" s="20" t="inlineStr">
        <x:is>
          <x:t xml:space="preserve">Lean-4-Proofs-main</x:t>
        </x:is>
      </x:c>
      <x:c r="F12" s="20" t="inlineStr">
        <x:is>
          <x:t xml:space="preserve">Lean-4-Proofs-main\Lean-4-Proofs-main\theophysics-lean-verification-package\python\test_master_equation.py</x:t>
        </x:is>
      </x:c>
      <x:c r="G12" s="20" t="inlineStr">
        <x:is>
          <x:t xml:space="preserve">Phase 1</x:t>
        </x:is>
      </x:c>
      <x:c r="H12" s="20" t="inlineStr">
        <x:is>
          <x:t xml:space="preserve">T1_FAST_LOCAL_CHECK</x:t>
        </x:is>
      </x:c>
      <x:c r="I12" s="20" t="inlineStr">
        <x:is>
          <x:t xml:space="preserve">unclassified_support</x:t>
        </x:is>
      </x:c>
      <x:c r="J12" s="64" t="inlineStr">
        <x:is>
          <x:t xml:space="preserve">not_declared</x:t>
        </x:is>
      </x:c>
      <x:c r="K12" s="65" t="inlineStr">
        <x:is>
          <x:t xml:space="preserve">SUPPORTED_LOCAL_RUN</x:t>
        </x:is>
      </x:c>
      <x:c r="L12" s="20" t="inlineStr">
        <x:is>
          <x:t xml:space="preserve">OK</x:t>
        </x:is>
      </x:c>
      <x:c r="M12" s="20" t="n"/>
      <x:c r="N12" s="20" t="inlineStr">
        <x:is>
          <x:t xml:space="preserve">True</x:t>
        </x:is>
      </x:c>
      <x:c r="O12" s="20" t="inlineStr">
        <x:is>
          <x:t xml:space="preserve">False</x:t>
        </x:is>
      </x:c>
      <x:c r="P12" s="20" t="inlineStr">
        <x:is>
          <x:t xml:space="preserve">False</x:t>
        </x:is>
      </x:c>
      <x:c r="Q12" s="20" t="inlineStr">
        <x:is>
          <x:t xml:space="preserve">False</x:t>
        </x:is>
      </x:c>
      <x:c r="R12" s="20" t="inlineStr">
        <x:is>
          <x:t xml:space="preserve">Unit checks for Python mirror of master equation: zero-collapse behavior, entropy attenuation, M_eff bounds, grace idempotence, fruits gate, zero-preserving operator.</x:t>
        </x:is>
      </x:c>
      <x:c r="S12" s="20" t="inlineStr">
        <x:is>
          <x:t xml:space="preserve">pytest: 9 passed in 0.42s; checks entropy attenuation, zero-collapse gates, M_eff bounds, raw negative M, grace idempotence, fruits gate, and zero-preserving operator.</x:t>
        </x:is>
      </x:c>
      <x:c r="T12" s="20" t="inlineStr">
        <x:is>
          <x:t xml:space="preserve">public evidence status</x:t>
        </x:is>
      </x:c>
      <x:c r="U12" s="20" t="n"/>
      <x:c r="V12" s="20" t="inlineStr">
        <x:is>
          <x:t xml:space="preserve">H:\Desktop 2\LEAN 4\Google CoLab Python\_EXTRACTED_REPOS\Lean-4-Proofs-main\Lean-4-Proofs-main\theophysics-lean-verification-package\python\test_master_equation.py</x:t>
        </x:is>
      </x:c>
      <x:c r="W12" s="20" t="inlineStr">
        <x:is>
          <x:t xml:space="preserve">This artifact has not yet declared a public evidence status.</x:t>
        </x:is>
      </x:c>
    </x:row>
    <x:row r="13" ht="30" customHeight="1">
      <x:c r="A13" s="20" t="inlineStr">
        <x:is>
          <x:t xml:space="preserve">PYCOLAB-003</x:t>
        </x:is>
      </x:c>
      <x:c r="B13" s="20" t="inlineStr">
        <x:is>
          <x:t xml:space="preserve">python</x:t>
        </x:is>
      </x:c>
      <x:c r="C13" s="20" t="inlineStr">
        <x:is>
          <x:t xml:space="preserve">PYTHON_SCRIPT</x:t>
        </x:is>
      </x:c>
      <x:c r="D13" s="20" t="inlineStr">
        <x:is>
          <x:t xml:space="preserve">Master equation</x:t>
        </x:is>
      </x:c>
      <x:c r="E13" s="20" t="inlineStr">
        <x:is>
          <x:t xml:space="preserve">Lean-4-Proofs-main</x:t>
        </x:is>
      </x:c>
      <x:c r="F13" s="20" t="inlineStr">
        <x:is>
          <x:t xml:space="preserve">Lean-4-Proofs-main\Lean-4-Proofs-main\theophysics-lean-verification-package\python\theophysics_master_equation.py</x:t>
        </x:is>
      </x:c>
      <x:c r="G13" s="20" t="inlineStr">
        <x:is>
          <x:t xml:space="preserve">Phase 1</x:t>
        </x:is>
      </x:c>
      <x:c r="H13" s="20" t="inlineStr">
        <x:is>
          <x:t xml:space="preserve">T1_FAST_LOCAL_CHECK</x:t>
        </x:is>
      </x:c>
      <x:c r="I13" s="20" t="inlineStr">
        <x:is>
          <x:t xml:space="preserve">physics_model_bridge</x:t>
        </x:is>
      </x:c>
      <x:c r="J13" s="64" t="inlineStr">
        <x:is>
          <x:t xml:space="preserve">not_declared</x:t>
        </x:is>
      </x:c>
      <x:c r="K13" s="25" t="inlineStr">
        <x:is>
          <x:t xml:space="preserve">MODULE_SUPPORTS_TESTS</x:t>
        </x:is>
      </x:c>
      <x:c r="L13" s="20" t="inlineStr">
        <x:is>
          <x:t xml:space="preserve">OK</x:t>
        </x:is>
      </x:c>
      <x:c r="M13" s="20" t="n"/>
      <x:c r="N13" s="20" t="inlineStr">
        <x:is>
          <x:t xml:space="preserve">True</x:t>
        </x:is>
      </x:c>
      <x:c r="O13" s="20" t="inlineStr">
        <x:is>
          <x:t xml:space="preserve">False</x:t>
        </x:is>
      </x:c>
      <x:c r="P13" s="20" t="inlineStr">
        <x:is>
          <x:t xml:space="preserve">False</x:t>
        </x:is>
      </x:c>
      <x:c r="Q13" s="20" t="inlineStr">
        <x:is>
          <x:t xml:space="preserve">False</x:t>
        </x:is>
      </x:c>
      <x:c r="R13" s="20" t="inlineStr">
        <x:is>
          <x:t xml:space="preserve">Runtime implementation of local master-equation product layer used by Python tests and notebooks.</x:t>
        </x:is>
      </x:c>
      <x:c r="S13" s="20" t="inlineStr">
        <x:is>
          <x:t xml:space="preserve">Imported by test_master_equation.py; pytest run passed through this module.</x:t>
        </x:is>
      </x:c>
      <x:c r="T13" s="20" t="inlineStr">
        <x:is>
          <x:t xml:space="preserve">public evidence status</x:t>
        </x:is>
      </x:c>
      <x:c r="U13" s="20" t="n"/>
      <x:c r="V13" s="20" t="inlineStr">
        <x:is>
          <x:t xml:space="preserve">H:\Desktop 2\LEAN 4\Google CoLab Python\_EXTRACTED_REPOS\Lean-4-Proofs-main\Lean-4-Proofs-main\theophysics-lean-verification-package\python\theophysics_master_equation.py</x:t>
        </x:is>
      </x:c>
      <x:c r="W13" s="20" t="inlineStr">
        <x:is>
          <x:t xml:space="preserve">This artifact has not yet declared a public evidence status.</x:t>
        </x:is>
      </x:c>
    </x:row>
    <x:row r="14" ht="30" customHeight="1">
      <x:c r="A14" s="20" t="inlineStr">
        <x:is>
          <x:t xml:space="preserve">PYCOLAB-004</x:t>
        </x:is>
      </x:c>
      <x:c r="B14" s="20" t="inlineStr">
        <x:is>
          <x:t xml:space="preserve">python</x:t>
        </x:is>
      </x:c>
      <x:c r="C14" s="20" t="inlineStr">
        <x:is>
          <x:t xml:space="preserve">PYTHON_SCRIPT</x:t>
        </x:is>
      </x:c>
      <x:c r="D14" s="20" t="inlineStr">
        <x:is>
          <x:t xml:space="preserve">Unmapped support</x:t>
        </x:is>
      </x:c>
      <x:c r="E14" s="20" t="inlineStr">
        <x:is>
          <x:t xml:space="preserve">Lean-4-Proofs-main</x:t>
        </x:is>
      </x:c>
      <x:c r="F14" s="20" t="inlineStr">
        <x:is>
          <x:t xml:space="preserve">Lean-4-Proofs-main\Lean-4-Proofs-main\theophysics-lean-verification-package\tools\audit_lean_placeholders.py</x:t>
        </x:is>
      </x:c>
      <x:c r="G14" s="20" t="inlineStr">
        <x:is>
          <x:t xml:space="preserve">Phase 1</x:t>
        </x:is>
      </x:c>
      <x:c r="H14" s="20" t="inlineStr">
        <x:is>
          <x:t xml:space="preserve">T1_FAST_LOCAL_CHECK</x:t>
        </x:is>
      </x:c>
      <x:c r="I14" s="20" t="inlineStr">
        <x:is>
          <x:t xml:space="preserve">unclassified_support</x:t>
        </x:is>
      </x:c>
      <x:c r="J14" s="64" t="inlineStr">
        <x:is>
          <x:t xml:space="preserve">not_declared</x:t>
        </x:is>
      </x:c>
      <x:c r="K14" s="64" t="inlineStr">
        <x:is>
          <x:t xml:space="preserve">SUPPORT_UTILITY_NOT_CLAIM_TEST</x:t>
        </x:is>
      </x:c>
      <x:c r="L14" s="20" t="inlineStr">
        <x:is>
          <x:t xml:space="preserve">OK</x:t>
        </x:is>
      </x:c>
      <x:c r="M14" s="20" t="n"/>
      <x:c r="N14" s="20" t="inlineStr">
        <x:is>
          <x:t xml:space="preserve">False</x:t>
        </x:is>
      </x:c>
      <x:c r="O14" s="20" t="inlineStr">
        <x:is>
          <x:t xml:space="preserve">True</x:t>
        </x:is>
      </x:c>
      <x:c r="P14" s="20" t="inlineStr">
        <x:is>
          <x:t xml:space="preserve">False</x:t>
        </x:is>
      </x:c>
      <x:c r="Q14" s="20" t="inlineStr">
        <x:is>
          <x:t xml:space="preserve">False</x:t>
        </x:is>
      </x:c>
      <x:c r="R14" s="20" t="inlineStr">
        <x:is>
          <x:t xml:space="preserve">Unmapped support: static readiness and claim-status classification.</x:t>
        </x:is>
      </x:c>
      <x:c r="S14" s="20" t="inlineStr">
        <x:is>
          <x:t xml:space="preserve">Support/audit utility; static syntax OK, not a public claim test by itself.</x:t>
        </x:is>
      </x:c>
      <x:c r="T14" s="20" t="inlineStr">
        <x:is>
          <x:t xml:space="preserve">public evidence status</x:t>
        </x:is>
      </x:c>
      <x:c r="U14" s="20" t="n"/>
      <x:c r="V14" s="20" t="inlineStr">
        <x:is>
          <x:t xml:space="preserve">H:\Desktop 2\LEAN 4\Google CoLab Python\_EXTRACTED_REPOS\Lean-4-Proofs-main\Lean-4-Proofs-main\theophysics-lean-verification-package\tools\audit_lean_placeholders.py</x:t>
        </x:is>
      </x:c>
      <x:c r="W14" s="20" t="inlineStr">
        <x:is>
          <x:t xml:space="preserve">This artifact has not yet declared a public evidence status.</x:t>
        </x:is>
      </x:c>
    </x:row>
    <x:row r="15" ht="30" customHeight="1">
      <x:c r="A15" s="20" t="inlineStr">
        <x:is>
          <x:t xml:space="preserve">PYCOLAB-005</x:t>
        </x:is>
      </x:c>
      <x:c r="B15" s="20" t="inlineStr">
        <x:is>
          <x:t xml:space="preserve">notebook</x:t>
        </x:is>
      </x:c>
      <x:c r="C15" s="20" t="inlineStr">
        <x:is>
          <x:t xml:space="preserve">COLAB_NOTEBOOK</x:t>
        </x:is>
      </x:c>
      <x:c r="D15" s="20" t="inlineStr">
        <x:is>
          <x:t xml:space="preserve">Master equation</x:t>
        </x:is>
      </x:c>
      <x:c r="E15" s="20" t="inlineStr">
        <x:is>
          <x:t xml:space="preserve">Master-Equation-COLAB-main</x:t>
        </x:is>
      </x:c>
      <x:c r="F15" s="20" t="inlineStr">
        <x:is>
          <x:t xml:space="preserve">Master-Equation-COLAB-main\Master-Equation-COLAB-main\COLAB_MASTER_EQUATION\canonical_derivation.ipynb</x:t>
        </x:is>
      </x:c>
      <x:c r="G15" s="20" t="inlineStr">
        <x:is>
          <x:t xml:space="preserve">Phase 3</x:t>
        </x:is>
      </x:c>
      <x:c r="H15" s="20" t="inlineStr">
        <x:is>
          <x:t xml:space="preserve">T3_DATA_OR_NETWORK_CHECK</x:t>
        </x:is>
      </x:c>
      <x:c r="I15" s="20" t="inlineStr">
        <x:is>
          <x:t xml:space="preserve">prediction_or_forecast</x:t>
        </x:is>
      </x:c>
      <x:c r="J15" s="22" t="inlineStr">
        <x:is>
          <x:t xml:space="preserve">open_or_conflicted</x:t>
        </x:is>
      </x:c>
      <x:c r="K15" s="22" t="inlineStr">
        <x:is>
          <x:t xml:space="preserve">OPEN_OR_CONFLICTED</x:t>
        </x:is>
      </x:c>
      <x:c r="L15" s="20" t="inlineStr">
        <x:is>
          <x:t xml:space="preserve">OK</x:t>
        </x:is>
      </x:c>
      <x:c r="M15" s="20" t="inlineStr">
        <x:is>
          <x:t xml:space="preserve">False</x:t>
        </x:is>
      </x:c>
      <x:c r="N15" s="20" t="inlineStr">
        <x:is>
          <x:t xml:space="preserve">True</x:t>
        </x:is>
      </x:c>
      <x:c r="O15" s="20" t="inlineStr">
        <x:is>
          <x:t xml:space="preserve">False</x:t>
        </x:is>
      </x:c>
      <x:c r="P15" s="20" t="inlineStr">
        <x:is>
          <x:t xml:space="preserve">False</x:t>
        </x:is>
      </x:c>
      <x:c r="Q15" s="20" t="inlineStr">
        <x:is>
          <x:t xml:space="preserve">False</x:t>
        </x:is>
      </x:c>
      <x:c r="R15" s="20" t="inlineStr">
        <x:is>
          <x:t xml:space="preserve">run minimal equation path | turn off each law/coupling term one at a time | run side-by-side against a null equation | record which claims are formal, simulated, or empirical</x:t>
        </x:is>
      </x:c>
      <x:c r="S15" s="20" t="inlineStr">
        <x:is>
          <x:t xml:space="preserve">Notebook parses but has no saved outputs in the file; result not executed in this audit. Open/conflicted; treat as objection or repair queue before public claim.</x:t>
        </x:is>
      </x:c>
      <x:c r="T15" s="20" t="inlineStr">
        <x:is>
          <x:t xml:space="preserve">saved notebook outputs; conflict resolution; seed/control declaration</x:t>
        </x:is>
      </x:c>
      <x:c r="U15" s="20" t="n"/>
      <x:c r="V15" s="20" t="inlineStr">
        <x:is>
          <x:t xml:space="preserve">H:\Desktop 2\LEAN 4\Google CoLab Python\_EXTRACTED_REPOS\Master-Equation-COLAB-main\Master-Equation-COLAB-main\COLAB_MASTER_EQUATION\canonical_derivation.ipynb</x:t>
        </x:is>
      </x:c>
      <x:c r="W15" s="20" t="inlineStr">
        <x:is>
          <x:t xml:space="preserve">This artifact currently belongs in the objection or repair ledger, not the public proof stack.</x:t>
        </x:is>
      </x:c>
    </x:row>
    <x:row r="16" ht="30" customHeight="1">
      <x:c r="A16" s="20" t="inlineStr">
        <x:is>
          <x:t xml:space="preserve">PYCOLAB-006</x:t>
        </x:is>
      </x:c>
      <x:c r="B16" s="20" t="inlineStr">
        <x:is>
          <x:t xml:space="preserve">notebook</x:t>
        </x:is>
      </x:c>
      <x:c r="C16" s="20" t="inlineStr">
        <x:is>
          <x:t xml:space="preserve">COLAB_NOTEBOOK</x:t>
        </x:is>
      </x:c>
      <x:c r="D16" s="20" t="inlineStr">
        <x:is>
          <x:t xml:space="preserve">Chi field</x:t>
        </x:is>
      </x:c>
      <x:c r="E16" s="20" t="inlineStr">
        <x:is>
          <x:t xml:space="preserve">Master-Equation-COLAB-main</x:t>
        </x:is>
      </x:c>
      <x:c r="F16" s="20" t="inlineStr">
        <x:is>
          <x:t xml:space="preserve">Master-Equation-COLAB-main\Master-Equation-COLAB-main\COLAB_MASTER_EQUATION\chi_field.ipynb</x:t>
        </x:is>
      </x:c>
      <x:c r="G16" s="20" t="inlineStr">
        <x:is>
          <x:t xml:space="preserve">Phase 2</x:t>
        </x:is>
      </x:c>
      <x:c r="H16" s="20" t="inlineStr">
        <x:is>
          <x:t xml:space="preserve">T2_RUNTIME_CHECK</x:t>
        </x:is>
      </x:c>
      <x:c r="I16" s="20" t="inlineStr">
        <x:is>
          <x:t xml:space="preserve">simulation_or_stability</x:t>
        </x:is>
      </x:c>
      <x:c r="J16" s="22" t="inlineStr">
        <x:is>
          <x:t xml:space="preserve">open_or_conflicted</x:t>
        </x:is>
      </x:c>
      <x:c r="K16" s="22" t="inlineStr">
        <x:is>
          <x:t xml:space="preserve">OPEN_OR_CONFLICTED</x:t>
        </x:is>
      </x:c>
      <x:c r="L16" s="20" t="inlineStr">
        <x:is>
          <x:t xml:space="preserve">OK</x:t>
        </x:is>
      </x:c>
      <x:c r="M16" s="20" t="inlineStr">
        <x:is>
          <x:t xml:space="preserve">False</x:t>
        </x:is>
      </x:c>
      <x:c r="N16" s="20" t="inlineStr">
        <x:is>
          <x:t xml:space="preserve">False</x:t>
        </x:is>
      </x:c>
      <x:c r="O16" s="20" t="inlineStr">
        <x:is>
          <x:t xml:space="preserve">False</x:t>
        </x:is>
      </x:c>
      <x:c r="P16" s="20" t="inlineStr">
        <x:is>
          <x:t xml:space="preserve">True</x:t>
        </x:is>
      </x:c>
      <x:c r="Q16" s="20" t="inlineStr">
        <x:is>
          <x:t xml:space="preserve">False</x:t>
        </x:is>
      </x:c>
      <x:c r="R16" s="20" t="inlineStr">
        <x:is>
          <x:t xml:space="preserve">turn chi coupling off | run potential search with fixed seed | sweep grid resolution | compare CPU/JAX behavior and hash output</x:t>
        </x:is>
      </x:c>
      <x:c r="S16" s="20" t="inlineStr">
        <x:is>
          <x:t xml:space="preserve">Notebook parses but has no saved outputs in the file; result not executed in this audit. Open/conflicted; treat as objection or repair queue before public claim.</x:t>
        </x:is>
      </x:c>
      <x:c r="T16" s="20" t="inlineStr">
        <x:is>
          <x:t xml:space="preserve">saved notebook outputs; conflict resolution</x:t>
        </x:is>
      </x:c>
      <x:c r="U16" s="20" t="n"/>
      <x:c r="V16" s="20" t="inlineStr">
        <x:is>
          <x:t xml:space="preserve">H:\Desktop 2\LEAN 4\Google CoLab Python\_EXTRACTED_REPOS\Master-Equation-COLAB-main\Master-Equation-COLAB-main\COLAB_MASTER_EQUATION\chi_field.ipynb</x:t>
        </x:is>
      </x:c>
      <x:c r="W16" s="20" t="inlineStr">
        <x:is>
          <x:t xml:space="preserve">This artifact currently belongs in the objection or repair ledger, not the public proof stack.</x:t>
        </x:is>
      </x:c>
    </x:row>
    <x:row r="17" ht="30" customHeight="1">
      <x:c r="A17" s="20" t="inlineStr">
        <x:is>
          <x:t xml:space="preserve">PYCOLAB-007</x:t>
        </x:is>
      </x:c>
      <x:c r="B17" s="20" t="inlineStr">
        <x:is>
          <x:t xml:space="preserve">notebook</x:t>
        </x:is>
      </x:c>
      <x:c r="C17" s="20" t="inlineStr">
        <x:is>
          <x:t xml:space="preserve">COLAB_NOTEBOOK</x:t>
        </x:is>
      </x:c>
      <x:c r="D17" s="20" t="inlineStr">
        <x:is>
          <x:t xml:space="preserve">Chi field</x:t>
        </x:is>
      </x:c>
      <x:c r="E17" s="20" t="inlineStr">
        <x:is>
          <x:t xml:space="preserve">Master-Equation-COLAB-main</x:t>
        </x:is>
      </x:c>
      <x:c r="F17" s="20" t="inlineStr">
        <x:is>
          <x:t xml:space="preserve">Master-Equation-COLAB-main\Master-Equation-COLAB-main\COLAB_MASTER_EQUATION\chi_field_potential_search.ipynb</x:t>
        </x:is>
      </x:c>
      <x:c r="G17" s="20" t="inlineStr">
        <x:is>
          <x:t xml:space="preserve">Phase 3</x:t>
        </x:is>
      </x:c>
      <x:c r="H17" s="20" t="inlineStr">
        <x:is>
          <x:t xml:space="preserve">T3_DATA_OR_NETWORK_CHECK</x:t>
        </x:is>
      </x:c>
      <x:c r="I17" s="20" t="inlineStr">
        <x:is>
          <x:t xml:space="preserve">empirical_or_fit</x:t>
        </x:is>
      </x:c>
      <x:c r="J17" s="65" t="inlineStr">
        <x:is>
          <x:t xml:space="preserve">claims_verified</x:t>
        </x:is>
      </x:c>
      <x:c r="K17" s="25" t="inlineStr">
        <x:is>
          <x:t xml:space="preserve">CLAIMS_VERIFIED_LANGUAGE_STATIC_ONLY</x:t>
        </x:is>
      </x:c>
      <x:c r="L17" s="20" t="inlineStr">
        <x:is>
          <x:t xml:space="preserve">OK</x:t>
        </x:is>
      </x:c>
      <x:c r="M17" s="20" t="inlineStr">
        <x:is>
          <x:t xml:space="preserve">False</x:t>
        </x:is>
      </x:c>
      <x:c r="N17" s="20" t="inlineStr">
        <x:is>
          <x:t xml:space="preserve">True</x:t>
        </x:is>
      </x:c>
      <x:c r="O17" s="20" t="inlineStr">
        <x:is>
          <x:t xml:space="preserve">True</x:t>
        </x:is>
      </x:c>
      <x:c r="P17" s="20" t="inlineStr">
        <x:is>
          <x:t xml:space="preserve">True</x:t>
        </x:is>
      </x:c>
      <x:c r="Q17" s="20" t="inlineStr">
        <x:is>
          <x:t xml:space="preserve">False</x:t>
        </x:is>
      </x:c>
      <x:c r="R17" s="20" t="inlineStr">
        <x:is>
          <x:t xml:space="preserve">turn chi coupling off | run potential search with fixed seed | sweep grid resolution | compare CPU/JAX behavior and hash output</x:t>
        </x:is>
      </x:c>
      <x:c r="S17" s="20" t="inlineStr">
        <x:is>
          <x:t xml:space="preserve">Notebook parses but has no saved outputs in the file; result not executed in this audit. Existing artifact language says claims verified; still should rerun before public citation.</x:t>
        </x:is>
      </x:c>
      <x:c r="T17" s="20" t="inlineStr">
        <x:is>
          <x:t xml:space="preserve">saved notebook outputs</x:t>
        </x:is>
      </x:c>
      <x:c r="U17" s="20" t="n"/>
      <x:c r="V17" s="20" t="inlineStr">
        <x:is>
          <x:t xml:space="preserve">H:\Desktop 2\LEAN 4\Google CoLab Python\_EXTRACTED_REPOS\Master-Equation-COLAB-main\Master-Equation-COLAB-main\COLAB_MASTER_EQUATION\chi_field_potential_search.ipynb</x:t>
        </x:is>
      </x:c>
      <x:c r="W17" s="20" t="inlineStr">
        <x:is>
          <x:t xml:space="preserve">This artifact reports a verified computational result, pending rerun and source hash.</x:t>
        </x:is>
      </x:c>
    </x:row>
    <x:row r="18" ht="30" customHeight="1">
      <x:c r="A18" s="20" t="inlineStr">
        <x:is>
          <x:t xml:space="preserve">PYCOLAB-008</x:t>
        </x:is>
      </x:c>
      <x:c r="B18" s="20" t="inlineStr">
        <x:is>
          <x:t xml:space="preserve">notebook</x:t>
        </x:is>
      </x:c>
      <x:c r="C18" s="20" t="inlineStr">
        <x:is>
          <x:t xml:space="preserve">COLAB_NOTEBOOK</x:t>
        </x:is>
      </x:c>
      <x:c r="D18" s="20" t="inlineStr">
        <x:is>
          <x:t xml:space="preserve">Master equation</x:t>
        </x:is>
      </x:c>
      <x:c r="E18" s="20" t="inlineStr">
        <x:is>
          <x:t xml:space="preserve">Master-Equation-COLAB-main</x:t>
        </x:is>
      </x:c>
      <x:c r="F18" s="20" t="inlineStr">
        <x:is>
          <x:t xml:space="preserve">Master-Equation-COLAB-main\Master-Equation-COLAB-main\COLAB_MASTER_EQUATION\COLAB_SINGLE_FILE.ipynb</x:t>
        </x:is>
      </x:c>
      <x:c r="G18" s="20" t="inlineStr">
        <x:is>
          <x:t xml:space="preserve">Phase 2</x:t>
        </x:is>
      </x:c>
      <x:c r="H18" s="20" t="inlineStr">
        <x:is>
          <x:t xml:space="preserve">T2_RUNTIME_CHECK</x:t>
        </x:is>
      </x:c>
      <x:c r="I18" s="20" t="inlineStr">
        <x:is>
          <x:t xml:space="preserve">prediction_or_forecast</x:t>
        </x:is>
      </x:c>
      <x:c r="J18" s="23" t="inlineStr">
        <x:is>
          <x:t xml:space="preserve">mixed_verified_and_open</x:t>
        </x:is>
      </x:c>
      <x:c r="K18" s="23" t="inlineStr">
        <x:is>
          <x:t xml:space="preserve">PARTIAL_MIXED_OPEN</x:t>
        </x:is>
      </x:c>
      <x:c r="L18" s="20" t="inlineStr">
        <x:is>
          <x:t xml:space="preserve">OK</x:t>
        </x:is>
      </x:c>
      <x:c r="M18" s="20" t="inlineStr">
        <x:is>
          <x:t xml:space="preserve">False</x:t>
        </x:is>
      </x:c>
      <x:c r="N18" s="20" t="inlineStr">
        <x:is>
          <x:t xml:space="preserve">False</x:t>
        </x:is>
      </x:c>
      <x:c r="O18" s="20" t="inlineStr">
        <x:is>
          <x:t xml:space="preserve">False</x:t>
        </x:is>
      </x:c>
      <x:c r="P18" s="20" t="inlineStr">
        <x:is>
          <x:t xml:space="preserve">True</x:t>
        </x:is>
      </x:c>
      <x:c r="Q18" s="20" t="inlineStr">
        <x:is>
          <x:t xml:space="preserve">False</x:t>
        </x:is>
      </x:c>
      <x:c r="R18" s="20" t="inlineStr">
        <x:is>
          <x:t xml:space="preserve">run minimal equation path | turn off each law/coupling term one at a time | run side-by-side against a null equation | record which claims are formal, simulated, or empirical</x:t>
        </x:is>
      </x:c>
      <x:c r="S18" s="20" t="inlineStr">
        <x:is>
          <x:t xml:space="preserve">Notebook parses but has no saved outputs in the file; result not executed in this audit. Mixed verified/open language; split proven result from unresolved notes before citing.</x:t>
        </x:is>
      </x:c>
      <x:c r="T18" s="20" t="inlineStr">
        <x:is>
          <x:t xml:space="preserve">saved notebook outputs; split verified vs open claims</x:t>
        </x:is>
      </x:c>
      <x:c r="U18" s="20" t="n"/>
      <x:c r="V18" s="20" t="inlineStr">
        <x:is>
          <x:t xml:space="preserve">H:\Desktop 2\LEAN 4\Google CoLab Python\_EXTRACTED_REPOS\Master-Equation-COLAB-main\Master-Equation-COLAB-main\COLAB_MASTER_EQUATION\COLAB_SINGLE_FILE.ipynb</x:t>
        </x:is>
      </x:c>
      <x:c r="W18" s="20" t="inlineStr">
        <x:is>
          <x:t xml:space="preserve">This artifact contains both positive and unresolved language; cite only after separation.</x:t>
        </x:is>
      </x:c>
    </x:row>
    <x:row r="19" ht="30" customHeight="1">
      <x:c r="A19" s="20" t="inlineStr">
        <x:is>
          <x:t xml:space="preserve">PYCOLAB-009</x:t>
        </x:is>
      </x:c>
      <x:c r="B19" s="20" t="inlineStr">
        <x:is>
          <x:t xml:space="preserve">notebook</x:t>
        </x:is>
      </x:c>
      <x:c r="C19" s="20" t="inlineStr">
        <x:is>
          <x:t xml:space="preserve">COLAB_NOTEBOOK</x:t>
        </x:is>
      </x:c>
      <x:c r="D19" s="20" t="inlineStr">
        <x:is>
          <x:t xml:space="preserve">Master equation</x:t>
        </x:is>
      </x:c>
      <x:c r="E19" s="20" t="inlineStr">
        <x:is>
          <x:t xml:space="preserve">Master-Equation-COLAB-main</x:t>
        </x:is>
      </x:c>
      <x:c r="F19" s="20" t="inlineStr">
        <x:is>
          <x:t xml:space="preserve">Master-Equation-COLAB-main\Master-Equation-COLAB-main\COLAB_MASTER_EQUATION\config.ipynb</x:t>
        </x:is>
      </x:c>
      <x:c r="G19" s="20" t="inlineStr">
        <x:is>
          <x:t xml:space="preserve">Phase 2</x:t>
        </x:is>
      </x:c>
      <x:c r="H19" s="20" t="inlineStr">
        <x:is>
          <x:t xml:space="preserve">T2_RUNTIME_CHECK</x:t>
        </x:is>
      </x:c>
      <x:c r="I19" s="20" t="inlineStr">
        <x:is>
          <x:t xml:space="preserve">simulation_or_stability</x:t>
        </x:is>
      </x:c>
      <x:c r="J19" s="64" t="inlineStr">
        <x:is>
          <x:t xml:space="preserve">not_declared</x:t>
        </x:is>
      </x:c>
      <x:c r="K19" s="64" t="inlineStr">
        <x:is>
          <x:t xml:space="preserve">NOT_DECLARED</x:t>
        </x:is>
      </x:c>
      <x:c r="L19" s="20" t="inlineStr">
        <x:is>
          <x:t xml:space="preserve">OK</x:t>
        </x:is>
      </x:c>
      <x:c r="M19" s="20" t="inlineStr">
        <x:is>
          <x:t xml:space="preserve">False</x:t>
        </x:is>
      </x:c>
      <x:c r="N19" s="20" t="inlineStr">
        <x:is>
          <x:t xml:space="preserve">False</x:t>
        </x:is>
      </x:c>
      <x:c r="O19" s="20" t="inlineStr">
        <x:is>
          <x:t xml:space="preserve">False</x:t>
        </x:is>
      </x:c>
      <x:c r="P19" s="20" t="inlineStr">
        <x:is>
          <x:t xml:space="preserve">True</x:t>
        </x:is>
      </x:c>
      <x:c r="Q19" s="20" t="inlineStr">
        <x:is>
          <x:t xml:space="preserve">False</x:t>
        </x:is>
      </x:c>
      <x:c r="R19" s="20" t="inlineStr">
        <x:is>
          <x:t xml:space="preserve">run minimal equation path | turn off each law/coupling term one at a time | run side-by-side against a null equation | record which claims are formal, simulated, or empirical</x:t>
        </x:is>
      </x:c>
      <x:c r="S19" s="20" t="inlineStr">
        <x:is>
          <x:t xml:space="preserve">Notebook parses but has no saved outputs in the file; result not executed in this audit. No public evidence status declared yet.</x:t>
        </x:is>
      </x:c>
      <x:c r="T19" s="20" t="inlineStr">
        <x:is>
          <x:t xml:space="preserve">saved notebook outputs; public evidence status; seed/control declaration</x:t>
        </x:is>
      </x:c>
      <x:c r="U19" s="20" t="n"/>
      <x:c r="V19" s="20" t="inlineStr">
        <x:is>
          <x:t xml:space="preserve">H:\Desktop 2\LEAN 4\Google CoLab Python\_EXTRACTED_REPOS\Master-Equation-COLAB-main\Master-Equation-COLAB-main\COLAB_MASTER_EQUATION\config.ipynb</x:t>
        </x:is>
      </x:c>
      <x:c r="W19" s="20" t="inlineStr">
        <x:is>
          <x:t xml:space="preserve">This artifact has not yet declared a public evidence status.</x:t>
        </x:is>
      </x:c>
    </x:row>
    <x:row r="20" ht="30" customHeight="1">
      <x:c r="A20" s="20" t="inlineStr">
        <x:is>
          <x:t xml:space="preserve">PYCOLAB-010</x:t>
        </x:is>
      </x:c>
      <x:c r="B20" s="20" t="inlineStr">
        <x:is>
          <x:t xml:space="preserve">notebook</x:t>
        </x:is>
      </x:c>
      <x:c r="C20" s="20" t="inlineStr">
        <x:is>
          <x:t xml:space="preserve">COLAB_NOTEBOOK</x:t>
        </x:is>
      </x:c>
      <x:c r="D20" s="20" t="inlineStr">
        <x:is>
          <x:t xml:space="preserve">Galaxy rotation curves</x:t>
        </x:is>
      </x:c>
      <x:c r="E20" s="20" t="inlineStr">
        <x:is>
          <x:t xml:space="preserve">Master-Equation-COLAB-main</x:t>
        </x:is>
      </x:c>
      <x:c r="F20" s="20" t="inlineStr">
        <x:is>
          <x:t xml:space="preserve">Master-Equation-COLAB-main\Master-Equation-COLAB-main\COLAB_MASTER_EQUATION\galaxy_rotation_curves.ipynb</x:t>
        </x:is>
      </x:c>
      <x:c r="G20" s="20" t="inlineStr">
        <x:is>
          <x:t xml:space="preserve">Phase 1</x:t>
        </x:is>
      </x:c>
      <x:c r="H20" s="20" t="inlineStr">
        <x:is>
          <x:t xml:space="preserve">T1_FAST_LOCAL_CHECK</x:t>
        </x:is>
      </x:c>
      <x:c r="I20" s="20" t="inlineStr">
        <x:is>
          <x:t xml:space="preserve">empirical_or_fit</x:t>
        </x:is>
      </x:c>
      <x:c r="J20" s="22" t="inlineStr">
        <x:is>
          <x:t xml:space="preserve">open_or_conflicted</x:t>
        </x:is>
      </x:c>
      <x:c r="K20" s="22" t="inlineStr">
        <x:is>
          <x:t xml:space="preserve">OPEN_OR_CONFLICTED</x:t>
        </x:is>
      </x:c>
      <x:c r="L20" s="20" t="inlineStr">
        <x:is>
          <x:t xml:space="preserve">OK</x:t>
        </x:is>
      </x:c>
      <x:c r="M20" s="20" t="inlineStr">
        <x:is>
          <x:t xml:space="preserve">False</x:t>
        </x:is>
      </x:c>
      <x:c r="N20" s="20" t="inlineStr">
        <x:is>
          <x:t xml:space="preserve">True</x:t>
        </x:is>
      </x:c>
      <x:c r="O20" s="20" t="inlineStr">
        <x:is>
          <x:t xml:space="preserve">True</x:t>
        </x:is>
      </x:c>
      <x:c r="P20" s="20" t="inlineStr">
        <x:is>
          <x:t xml:space="preserve">False</x:t>
        </x:is>
      </x:c>
      <x:c r="Q20" s="20" t="inlineStr">
        <x:is>
          <x:t xml:space="preserve">False</x:t>
        </x:is>
      </x:c>
      <x:c r="R20" s="20" t="inlineStr">
        <x:is>
          <x:t xml:space="preserve">run Newtonian/null baseline beside chi-field model | hold dataset and preprocessing fixed | sweep chi coupling and report residuals | treat contradiction as repair evidence until resolved</x:t>
        </x:is>
      </x:c>
      <x:c r="S20" s="20" t="inlineStr">
        <x:is>
          <x:t xml:space="preserve">Notebook parses but has no saved outputs in the file; result not executed in this audit. Open/conflicted; treat as objection or repair queue before public claim.</x:t>
        </x:is>
      </x:c>
      <x:c r="T20" s="20" t="inlineStr">
        <x:is>
          <x:t xml:space="preserve">saved notebook outputs; conflict resolution; seed/control declaration</x:t>
        </x:is>
      </x:c>
      <x:c r="U20" s="20" t="n"/>
      <x:c r="V20" s="20" t="inlineStr">
        <x:is>
          <x:t xml:space="preserve">H:\Desktop 2\LEAN 4\Google CoLab Python\_EXTRACTED_REPOS\Master-Equation-COLAB-main\Master-Equation-COLAB-main\COLAB_MASTER_EQUATION\galaxy_rotation_curves.ipynb</x:t>
        </x:is>
      </x:c>
      <x:c r="W20" s="20" t="inlineStr">
        <x:is>
          <x:t xml:space="preserve">This artifact currently belongs in the objection or repair ledger, not the public proof stack.</x:t>
        </x:is>
      </x:c>
    </x:row>
    <x:row r="21" ht="30" customHeight="1">
      <x:c r="A21" s="20" t="inlineStr">
        <x:is>
          <x:t xml:space="preserve">PYCOLAB-011</x:t>
        </x:is>
      </x:c>
      <x:c r="B21" s="20" t="inlineStr">
        <x:is>
          <x:t xml:space="preserve">notebook</x:t>
        </x:is>
      </x:c>
      <x:c r="C21" s="20" t="inlineStr">
        <x:is>
          <x:t xml:space="preserve">COLAB_NOTEBOOK</x:t>
        </x:is>
      </x:c>
      <x:c r="D21" s="20" t="inlineStr">
        <x:is>
          <x:t xml:space="preserve">Hubble gradient</x:t>
        </x:is>
      </x:c>
      <x:c r="E21" s="20" t="inlineStr">
        <x:is>
          <x:t xml:space="preserve">Master-Equation-COLAB-main</x:t>
        </x:is>
      </x:c>
      <x:c r="F21" s="20" t="inlineStr">
        <x:is>
          <x:t xml:space="preserve">Master-Equation-COLAB-main\Master-Equation-COLAB-main\COLAB_MASTER_EQUATION\hubble_gradient.ipynb</x:t>
        </x:is>
      </x:c>
      <x:c r="G21" s="20" t="inlineStr">
        <x:is>
          <x:t xml:space="preserve">Phase 2</x:t>
        </x:is>
      </x:c>
      <x:c r="H21" s="20" t="inlineStr">
        <x:is>
          <x:t xml:space="preserve">T2_RUNTIME_CHECK</x:t>
        </x:is>
      </x:c>
      <x:c r="I21" s="20" t="inlineStr">
        <x:is>
          <x:t xml:space="preserve">prediction_or_forecast</x:t>
        </x:is>
      </x:c>
      <x:c r="J21" s="64" t="inlineStr">
        <x:is>
          <x:t xml:space="preserve">not_declared</x:t>
        </x:is>
      </x:c>
      <x:c r="K21" s="64" t="inlineStr">
        <x:is>
          <x:t xml:space="preserve">NOT_DECLARED</x:t>
        </x:is>
      </x:c>
      <x:c r="L21" s="20" t="inlineStr">
        <x:is>
          <x:t xml:space="preserve">OK</x:t>
        </x:is>
      </x:c>
      <x:c r="M21" s="20" t="inlineStr">
        <x:is>
          <x:t xml:space="preserve">False</x:t>
        </x:is>
      </x:c>
      <x:c r="N21" s="20" t="inlineStr">
        <x:is>
          <x:t xml:space="preserve">False</x:t>
        </x:is>
      </x:c>
      <x:c r="O21" s="20" t="inlineStr">
        <x:is>
          <x:t xml:space="preserve">False</x:t>
        </x:is>
      </x:c>
      <x:c r="P21" s="20" t="inlineStr">
        <x:is>
          <x:t xml:space="preserve">True</x:t>
        </x:is>
      </x:c>
      <x:c r="Q21" s="20" t="inlineStr">
        <x:is>
          <x:t xml:space="preserve">False</x:t>
        </x:is>
      </x:c>
      <x:c r="R21" s="20" t="inlineStr">
        <x:is>
          <x:t xml:space="preserve">run Lambda-CDM/null baseline beside framework gradient | lock input cosmology constants | sweep gradient parameter and report sensitivity | require source dataset and output hash before citation</x:t>
        </x:is>
      </x:c>
      <x:c r="S21" s="20" t="inlineStr">
        <x:is>
          <x:t xml:space="preserve">Notebook parses but has no saved outputs in the file; result not executed in this audit. No public evidence status declared yet.</x:t>
        </x:is>
      </x:c>
      <x:c r="T21" s="20" t="inlineStr">
        <x:is>
          <x:t xml:space="preserve">saved notebook outputs; public evidence status; seed/control declaration</x:t>
        </x:is>
      </x:c>
      <x:c r="U21" s="20" t="n"/>
      <x:c r="V21" s="20" t="inlineStr">
        <x:is>
          <x:t xml:space="preserve">H:\Desktop 2\LEAN 4\Google CoLab Python\_EXTRACTED_REPOS\Master-Equation-COLAB-main\Master-Equation-COLAB-main\COLAB_MASTER_EQUATION\hubble_gradient.ipynb</x:t>
        </x:is>
      </x:c>
      <x:c r="W21" s="20" t="inlineStr">
        <x:is>
          <x:t xml:space="preserve">This artifact has not yet declared a public evidence status.</x:t>
        </x:is>
      </x:c>
    </x:row>
    <x:row r="22" ht="30" customHeight="1">
      <x:c r="A22" s="20" t="inlineStr">
        <x:is>
          <x:t xml:space="preserve">PYCOLAB-012</x:t>
        </x:is>
      </x:c>
      <x:c r="B22" s="20" t="inlineStr">
        <x:is>
          <x:t xml:space="preserve">notebook</x:t>
        </x:is>
      </x:c>
      <x:c r="C22" s="20" t="inlineStr">
        <x:is>
          <x:t xml:space="preserve">COLAB_NOTEBOOK</x:t>
        </x:is>
      </x:c>
      <x:c r="D22" s="20" t="inlineStr">
        <x:is>
          <x:t xml:space="preserve">Master equation</x:t>
        </x:is>
      </x:c>
      <x:c r="E22" s="20" t="inlineStr">
        <x:is>
          <x:t xml:space="preserve">Master-Equation-COLAB-main</x:t>
        </x:is>
      </x:c>
      <x:c r="F22" s="20" t="inlineStr">
        <x:is>
          <x:t xml:space="preserve">Master-Equation-COLAB-main\Master-Equation-COLAB-main\COLAB_MASTER_EQUATION\master_equation.ipynb</x:t>
        </x:is>
      </x:c>
      <x:c r="G22" s="20" t="inlineStr">
        <x:is>
          <x:t xml:space="preserve">Phase 2</x:t>
        </x:is>
      </x:c>
      <x:c r="H22" s="20" t="inlineStr">
        <x:is>
          <x:t xml:space="preserve">T2_RUNTIME_CHECK</x:t>
        </x:is>
      </x:c>
      <x:c r="I22" s="20" t="inlineStr">
        <x:is>
          <x:t xml:space="preserve">simulation_or_stability</x:t>
        </x:is>
      </x:c>
      <x:c r="J22" s="64" t="inlineStr">
        <x:is>
          <x:t xml:space="preserve">not_declared</x:t>
        </x:is>
      </x:c>
      <x:c r="K22" s="64" t="inlineStr">
        <x:is>
          <x:t xml:space="preserve">NOT_DECLARED</x:t>
        </x:is>
      </x:c>
      <x:c r="L22" s="20" t="inlineStr">
        <x:is>
          <x:t xml:space="preserve">OK</x:t>
        </x:is>
      </x:c>
      <x:c r="M22" s="20" t="inlineStr">
        <x:is>
          <x:t xml:space="preserve">False</x:t>
        </x:is>
      </x:c>
      <x:c r="N22" s="20" t="inlineStr">
        <x:is>
          <x:t xml:space="preserve">False</x:t>
        </x:is>
      </x:c>
      <x:c r="O22" s="20" t="inlineStr">
        <x:is>
          <x:t xml:space="preserve">False</x:t>
        </x:is>
      </x:c>
      <x:c r="P22" s="20" t="inlineStr">
        <x:is>
          <x:t xml:space="preserve">True</x:t>
        </x:is>
      </x:c>
      <x:c r="Q22" s="20" t="inlineStr">
        <x:is>
          <x:t xml:space="preserve">False</x:t>
        </x:is>
      </x:c>
      <x:c r="R22" s="20" t="inlineStr">
        <x:is>
          <x:t xml:space="preserve">run minimal equation path | turn off each law/coupling term one at a time | run side-by-side against a null equation | record which claims are formal, simulated, or empirical</x:t>
        </x:is>
      </x:c>
      <x:c r="S22" s="20" t="inlineStr">
        <x:is>
          <x:t xml:space="preserve">Notebook parses but has no saved outputs in the file; result not executed in this audit. No public evidence status declared yet.</x:t>
        </x:is>
      </x:c>
      <x:c r="T22" s="20" t="inlineStr">
        <x:is>
          <x:t xml:space="preserve">saved notebook outputs; public evidence status; seed/control declaration</x:t>
        </x:is>
      </x:c>
      <x:c r="U22" s="20" t="n"/>
      <x:c r="V22" s="20" t="inlineStr">
        <x:is>
          <x:t xml:space="preserve">H:\Desktop 2\LEAN 4\Google CoLab Python\_EXTRACTED_REPOS\Master-Equation-COLAB-main\Master-Equation-COLAB-main\COLAB_MASTER_EQUATION\master_equation.ipynb</x:t>
        </x:is>
      </x:c>
      <x:c r="W22" s="20" t="inlineStr">
        <x:is>
          <x:t xml:space="preserve">This artifact has not yet declared a public evidence status.</x:t>
        </x:is>
      </x:c>
    </x:row>
    <x:row r="23" ht="30" customHeight="1">
      <x:c r="A23" s="20" t="inlineStr">
        <x:is>
          <x:t xml:space="preserve">PYCOLAB-013</x:t>
        </x:is>
      </x:c>
      <x:c r="B23" s="20" t="inlineStr">
        <x:is>
          <x:t xml:space="preserve">notebook</x:t>
        </x:is>
      </x:c>
      <x:c r="C23" s="20" t="inlineStr">
        <x:is>
          <x:t xml:space="preserve">COLAB_NOTEBOOK</x:t>
        </x:is>
      </x:c>
      <x:c r="D23" s="20" t="inlineStr">
        <x:is>
          <x:t xml:space="preserve">Maxwell / quaternion mirror</x:t>
        </x:is>
      </x:c>
      <x:c r="E23" s="20" t="inlineStr">
        <x:is>
          <x:t xml:space="preserve">Master-Equation-COLAB-main</x:t>
        </x:is>
      </x:c>
      <x:c r="F23" s="20" t="inlineStr">
        <x:is>
          <x:t xml:space="preserve">Master-Equation-COLAB-main\Master-Equation-COLAB-main\COLAB_MASTER_EQUATION\maxwell_mirror_v1_saddle.ipynb</x:t>
        </x:is>
      </x:c>
      <x:c r="G23" s="20" t="inlineStr">
        <x:is>
          <x:t xml:space="preserve">Phase 2</x:t>
        </x:is>
      </x:c>
      <x:c r="H23" s="20" t="inlineStr">
        <x:is>
          <x:t xml:space="preserve">T2_RUNTIME_CHECK</x:t>
        </x:is>
      </x:c>
      <x:c r="I23" s="20" t="inlineStr">
        <x:is>
          <x:t xml:space="preserve">simulation_or_stability</x:t>
        </x:is>
      </x:c>
      <x:c r="J23" s="65" t="inlineStr">
        <x:is>
          <x:t xml:space="preserve">claims_verified</x:t>
        </x:is>
      </x:c>
      <x:c r="K23" s="25" t="inlineStr">
        <x:is>
          <x:t xml:space="preserve">CLAIMS_VERIFIED_LANGUAGE_STATIC_ONLY</x:t>
        </x:is>
      </x:c>
      <x:c r="L23" s="20" t="inlineStr">
        <x:is>
          <x:t xml:space="preserve">OK</x:t>
        </x:is>
      </x:c>
      <x:c r="M23" s="20" t="inlineStr">
        <x:is>
          <x:t xml:space="preserve">False</x:t>
        </x:is>
      </x:c>
      <x:c r="N23" s="20" t="inlineStr">
        <x:is>
          <x:t xml:space="preserve">True</x:t>
        </x:is>
      </x:c>
      <x:c r="O23" s="20" t="inlineStr">
        <x:is>
          <x:t xml:space="preserve">False</x:t>
        </x:is>
      </x:c>
      <x:c r="P23" s="20" t="inlineStr">
        <x:is>
          <x:t xml:space="preserve">True</x:t>
        </x:is>
      </x:c>
      <x:c r="Q23" s="20" t="inlineStr">
        <x:is>
          <x:t xml:space="preserve">False</x:t>
        </x:is>
      </x:c>
      <x:c r="R23" s="20" t="inlineStr">
        <x:is>
          <x:t xml:space="preserve">Maxwell / quaternion mirror: dimensional/static symbol audit over 16 symbols (chi; chi_base; chi_hessian; chi_val; lagrangian; lambda; mass; mass_matrix; nonpair_couplings; omega_1; omega_2; pair_avg; pair_couplings; rotation; time_mod; v...).</x:t>
        </x:is>
      </x:c>
      <x:c r="S23" s="20" t="inlineStr">
        <x:is>
          <x:t xml:space="preserve">Notebook parses but has no saved outputs in the file; result not executed in this audit. Existing artifact language says claims verified; still should rerun before public citation.</x:t>
        </x:is>
      </x:c>
      <x:c r="T23" s="20" t="inlineStr">
        <x:is>
          <x:t xml:space="preserve">saved notebook outputs</x:t>
        </x:is>
      </x:c>
      <x:c r="U23" s="20" t="n"/>
      <x:c r="V23" s="20" t="inlineStr">
        <x:is>
          <x:t xml:space="preserve">H:\Desktop 2\LEAN 4\Google CoLab Python\_EXTRACTED_REPOS\Master-Equation-COLAB-main\Master-Equation-COLAB-main\COLAB_MASTER_EQUATION\maxwell_mirror_v1_saddle.ipynb</x:t>
        </x:is>
      </x:c>
      <x:c r="W23" s="20" t="inlineStr">
        <x:is>
          <x:t xml:space="preserve">This artifact reports a verified computational result, pending rerun and source hash.</x:t>
        </x:is>
      </x:c>
    </x:row>
    <x:row r="24" ht="30" customHeight="1">
      <x:c r="A24" s="20" t="inlineStr">
        <x:is>
          <x:t xml:space="preserve">PYCOLAB-014</x:t>
        </x:is>
      </x:c>
      <x:c r="B24" s="20" t="inlineStr">
        <x:is>
          <x:t xml:space="preserve">notebook</x:t>
        </x:is>
      </x:c>
      <x:c r="C24" s="20" t="inlineStr">
        <x:is>
          <x:t xml:space="preserve">COLAB_NOTEBOOK</x:t>
        </x:is>
      </x:c>
      <x:c r="D24" s="20" t="inlineStr">
        <x:is>
          <x:t xml:space="preserve">Maxwell / quaternion mirror</x:t>
        </x:is>
      </x:c>
      <x:c r="E24" s="20" t="inlineStr">
        <x:is>
          <x:t xml:space="preserve">Master-Equation-COLAB-main</x:t>
        </x:is>
      </x:c>
      <x:c r="F24" s="20" t="inlineStr">
        <x:is>
          <x:t xml:space="preserve">Master-Equation-COLAB-main\Master-Equation-COLAB-main\COLAB_MASTER_EQUATION\maxwell_mirror_verification.ipynb</x:t>
        </x:is>
      </x:c>
      <x:c r="G24" s="20" t="inlineStr">
        <x:is>
          <x:t xml:space="preserve">Phase 2</x:t>
        </x:is>
      </x:c>
      <x:c r="H24" s="20" t="inlineStr">
        <x:is>
          <x:t xml:space="preserve">T2_RUNTIME_CHECK</x:t>
        </x:is>
      </x:c>
      <x:c r="I24" s="20" t="inlineStr">
        <x:is>
          <x:t xml:space="preserve">simulation_or_stability</x:t>
        </x:is>
      </x:c>
      <x:c r="J24" s="65" t="inlineStr">
        <x:is>
          <x:t xml:space="preserve">claims_verified</x:t>
        </x:is>
      </x:c>
      <x:c r="K24" s="25" t="inlineStr">
        <x:is>
          <x:t xml:space="preserve">CLAIMS_VERIFIED_LANGUAGE_STATIC_ONLY</x:t>
        </x:is>
      </x:c>
      <x:c r="L24" s="20" t="inlineStr">
        <x:is>
          <x:t xml:space="preserve">OK</x:t>
        </x:is>
      </x:c>
      <x:c r="M24" s="20" t="inlineStr">
        <x:is>
          <x:t xml:space="preserve">False</x:t>
        </x:is>
      </x:c>
      <x:c r="N24" s="20" t="inlineStr">
        <x:is>
          <x:t xml:space="preserve">True</x:t>
        </x:is>
      </x:c>
      <x:c r="O24" s="20" t="inlineStr">
        <x:is>
          <x:t xml:space="preserve">False</x:t>
        </x:is>
      </x:c>
      <x:c r="P24" s="20" t="inlineStr">
        <x:is>
          <x:t xml:space="preserve">True</x:t>
        </x:is>
      </x:c>
      <x:c r="Q24" s="20" t="inlineStr">
        <x:is>
          <x:t xml:space="preserve">False</x:t>
        </x:is>
      </x:c>
      <x:c r="R24" s="20" t="inlineStr">
        <x:is>
          <x:t xml:space="preserve">Maxwell / quaternion mirror: dimensional/static symbol audit over 20 symbols (chi; chi_base; chi_hessian; chi_val; lagrangian; lambda; lambda_1; lambda_2; mass; mass_matrix; nonpair_couplings; omega_1; omega_2; pair_avg; pair_couplings; q...).</x:t>
        </x:is>
      </x:c>
      <x:c r="S24" s="20" t="inlineStr">
        <x:is>
          <x:t xml:space="preserve">Notebook parses but has no saved outputs in the file; result not executed in this audit. Existing artifact language says claims verified; still should rerun before public citation.</x:t>
        </x:is>
      </x:c>
      <x:c r="T24" s="20" t="inlineStr">
        <x:is>
          <x:t xml:space="preserve">saved notebook outputs</x:t>
        </x:is>
      </x:c>
      <x:c r="U24" s="20" t="n"/>
      <x:c r="V24" s="20" t="inlineStr">
        <x:is>
          <x:t xml:space="preserve">H:\Desktop 2\LEAN 4\Google CoLab Python\_EXTRACTED_REPOS\Master-Equation-COLAB-main\Master-Equation-COLAB-main\COLAB_MASTER_EQUATION\maxwell_mirror_verification.ipynb</x:t>
        </x:is>
      </x:c>
      <x:c r="W24" s="20" t="inlineStr">
        <x:is>
          <x:t xml:space="preserve">This artifact reports a verified computational result, pending rerun and source hash.</x:t>
        </x:is>
      </x:c>
    </x:row>
    <x:row r="25" ht="30" customHeight="1">
      <x:c r="A25" s="20" t="inlineStr">
        <x:is>
          <x:t xml:space="preserve">PYCOLAB-015</x:t>
        </x:is>
      </x:c>
      <x:c r="B25" s="20" t="inlineStr">
        <x:is>
          <x:t xml:space="preserve">notebook</x:t>
        </x:is>
      </x:c>
      <x:c r="C25" s="20" t="inlineStr">
        <x:is>
          <x:t xml:space="preserve">COLAB_NOTEBOOK</x:t>
        </x:is>
      </x:c>
      <x:c r="D25" s="20" t="inlineStr">
        <x:is>
          <x:t xml:space="preserve">Master equation</x:t>
        </x:is>
      </x:c>
      <x:c r="E25" s="20" t="inlineStr">
        <x:is>
          <x:t xml:space="preserve">Master-Equation-COLAB-main</x:t>
        </x:is>
      </x:c>
      <x:c r="F25" s="20" t="inlineStr">
        <x:is>
          <x:t xml:space="preserve">Master-Equation-COLAB-main\Master-Equation-COLAB-main\COLAB_MASTER_EQUATION\migrate_academic.ipynb</x:t>
        </x:is>
      </x:c>
      <x:c r="G25" s="20" t="inlineStr">
        <x:is>
          <x:t xml:space="preserve">Phase 3</x:t>
        </x:is>
      </x:c>
      <x:c r="H25" s="20" t="inlineStr">
        <x:is>
          <x:t xml:space="preserve">T3_DATA_OR_NETWORK_CHECK</x:t>
        </x:is>
      </x:c>
      <x:c r="I25" s="20" t="inlineStr">
        <x:is>
          <x:t xml:space="preserve">prediction_or_forecast</x:t>
        </x:is>
      </x:c>
      <x:c r="J25" s="22" t="inlineStr">
        <x:is>
          <x:t xml:space="preserve">open_or_conflicted</x:t>
        </x:is>
      </x:c>
      <x:c r="K25" s="22" t="inlineStr">
        <x:is>
          <x:t xml:space="preserve">OPEN_OR_CONFLICTED</x:t>
        </x:is>
      </x:c>
      <x:c r="L25" s="20" t="inlineStr">
        <x:is>
          <x:t xml:space="preserve">OK</x:t>
        </x:is>
      </x:c>
      <x:c r="M25" s="20" t="inlineStr">
        <x:is>
          <x:t xml:space="preserve">False</x:t>
        </x:is>
      </x:c>
      <x:c r="N25" s="20" t="inlineStr">
        <x:is>
          <x:t xml:space="preserve">True</x:t>
        </x:is>
      </x:c>
      <x:c r="O25" s="20" t="inlineStr">
        <x:is>
          <x:t xml:space="preserve">True</x:t>
        </x:is>
      </x:c>
      <x:c r="P25" s="20" t="inlineStr">
        <x:is>
          <x:t xml:space="preserve">True</x:t>
        </x:is>
      </x:c>
      <x:c r="Q25" s="20" t="inlineStr">
        <x:is>
          <x:t xml:space="preserve">False</x:t>
        </x:is>
      </x:c>
      <x:c r="R25" s="20" t="inlineStr">
        <x:is>
          <x:t xml:space="preserve">run minimal equation path | turn off each law/coupling term one at a time | run side-by-side against a null equation | record which claims are formal, simulated, or empirical</x:t>
        </x:is>
      </x:c>
      <x:c r="S25" s="20" t="inlineStr">
        <x:is>
          <x:t xml:space="preserve">Notebook parses but has no saved outputs in the file; result not executed in this audit. Open/conflicted; treat as objection or repair queue before public claim.</x:t>
        </x:is>
      </x:c>
      <x:c r="T25" s="20" t="inlineStr">
        <x:is>
          <x:t xml:space="preserve">saved notebook outputs; conflict resolution; source/data path resolution; seed/control declaration</x:t>
        </x:is>
      </x:c>
      <x:c r="U25" s="20" t="inlineStr">
        <x:is>
          <x:t xml:space="preserve">C:\Users\lowes\Desktop\MASTER_EQUATION_TEST exists=False</x:t>
        </x:is>
      </x:c>
      <x:c r="V25" s="20" t="inlineStr">
        <x:is>
          <x:t xml:space="preserve">H:\Desktop 2\LEAN 4\Google CoLab Python\_EXTRACTED_REPOS\Master-Equation-COLAB-main\Master-Equation-COLAB-main\COLAB_MASTER_EQUATION\migrate_academic.ipynb</x:t>
        </x:is>
      </x:c>
      <x:c r="W25" s="20" t="inlineStr">
        <x:is>
          <x:t xml:space="preserve">This artifact currently belongs in the objection or repair ledger, not the public proof stack.</x:t>
        </x:is>
      </x:c>
    </x:row>
    <x:row r="26" ht="30" customHeight="1">
      <x:c r="A26" s="20" t="inlineStr">
        <x:is>
          <x:t xml:space="preserve">PYCOLAB-016</x:t>
        </x:is>
      </x:c>
      <x:c r="B26" s="20" t="inlineStr">
        <x:is>
          <x:t xml:space="preserve">notebook</x:t>
        </x:is>
      </x:c>
      <x:c r="C26" s="20" t="inlineStr">
        <x:is>
          <x:t xml:space="preserve">COLAB_NOTEBOOK</x:t>
        </x:is>
      </x:c>
      <x:c r="D26" s="20" t="inlineStr">
        <x:is>
          <x:t xml:space="preserve">Galaxy rotation curves</x:t>
        </x:is>
      </x:c>
      <x:c r="E26" s="20" t="inlineStr">
        <x:is>
          <x:t xml:space="preserve">Master-Equation-COLAB-main</x:t>
        </x:is>
      </x:c>
      <x:c r="F26" s="20" t="inlineStr">
        <x:is>
          <x:t xml:space="preserve">Master-Equation-COLAB-main\Master-Equation-COLAB-main\COLAB_MASTER_EQUATION\rotation_curves_chi_field.ipynb</x:t>
        </x:is>
      </x:c>
      <x:c r="G26" s="20" t="inlineStr">
        <x:is>
          <x:t xml:space="preserve">Phase 3</x:t>
        </x:is>
      </x:c>
      <x:c r="H26" s="20" t="inlineStr">
        <x:is>
          <x:t xml:space="preserve">T3_DATA_OR_NETWORK_CHECK</x:t>
        </x:is>
      </x:c>
      <x:c r="I26" s="20" t="inlineStr">
        <x:is>
          <x:t xml:space="preserve">prediction_or_forecast</x:t>
        </x:is>
      </x:c>
      <x:c r="J26" s="22" t="inlineStr">
        <x:is>
          <x:t xml:space="preserve">open_or_conflicted</x:t>
        </x:is>
      </x:c>
      <x:c r="K26" s="22" t="inlineStr">
        <x:is>
          <x:t xml:space="preserve">OPEN_OR_CONFLICTED</x:t>
        </x:is>
      </x:c>
      <x:c r="L26" s="20" t="inlineStr">
        <x:is>
          <x:t xml:space="preserve">OK</x:t>
        </x:is>
      </x:c>
      <x:c r="M26" s="20" t="inlineStr">
        <x:is>
          <x:t xml:space="preserve">False</x:t>
        </x:is>
      </x:c>
      <x:c r="N26" s="20" t="inlineStr">
        <x:is>
          <x:t xml:space="preserve">False</x:t>
        </x:is>
      </x:c>
      <x:c r="O26" s="20" t="inlineStr">
        <x:is>
          <x:t xml:space="preserve">False</x:t>
        </x:is>
      </x:c>
      <x:c r="P26" s="20" t="inlineStr">
        <x:is>
          <x:t xml:space="preserve">False</x:t>
        </x:is>
      </x:c>
      <x:c r="Q26" s="20" t="inlineStr">
        <x:is>
          <x:t xml:space="preserve">False</x:t>
        </x:is>
      </x:c>
      <x:c r="R26" s="20" t="inlineStr">
        <x:is>
          <x:t xml:space="preserve">run Newtonian/null baseline beside chi-field model | hold dataset and preprocessing fixed | sweep chi coupling and report residuals | treat contradiction as repair evidence until resolved</x:t>
        </x:is>
      </x:c>
      <x:c r="S26" s="20" t="inlineStr">
        <x:is>
          <x:t xml:space="preserve">Notebook parses but has no saved outputs in the file; result not executed in this audit. Open/conflicted; treat as objection or repair queue before public claim.</x:t>
        </x:is>
      </x:c>
      <x:c r="T26" s="20" t="inlineStr">
        <x:is>
          <x:t xml:space="preserve">saved notebook outputs; conflict resolution; source/data path resolution; seed/control declaration</x:t>
        </x:is>
      </x:c>
      <x:c r="U26" s="20" t="inlineStr">
        <x:is>
          <x:t xml:space="preserve">C:\Users\lowes\Desktop\MASTER_EQUATION_TEST\_CANONICAL_BUILD\08_COMPLETE_FORMAL_STATEMENT\rotation_curves.png exists=False</x:t>
        </x:is>
      </x:c>
      <x:c r="V26" s="20" t="inlineStr">
        <x:is>
          <x:t xml:space="preserve">H:\Desktop 2\LEAN 4\Google CoLab Python\_EXTRACTED_REPOS\Master-Equation-COLAB-main\Master-Equation-COLAB-main\COLAB_MASTER_EQUATION\rotation_curves_chi_field.ipynb</x:t>
        </x:is>
      </x:c>
      <x:c r="W26" s="20" t="inlineStr">
        <x:is>
          <x:t xml:space="preserve">This artifact currently belongs in the objection or repair ledger, not the public proof stack.</x:t>
        </x:is>
      </x:c>
    </x:row>
    <x:row r="27" ht="30" customHeight="1">
      <x:c r="A27" s="20" t="inlineStr">
        <x:is>
          <x:t xml:space="preserve">PYCOLAB-017</x:t>
        </x:is>
      </x:c>
      <x:c r="B27" s="20" t="inlineStr">
        <x:is>
          <x:t xml:space="preserve">notebook</x:t>
        </x:is>
      </x:c>
      <x:c r="C27" s="20" t="inlineStr">
        <x:is>
          <x:t xml:space="preserve">COLAB_NOTEBOOK</x:t>
        </x:is>
      </x:c>
      <x:c r="D27" s="20" t="inlineStr">
        <x:is>
          <x:t xml:space="preserve">Master equation</x:t>
        </x:is>
      </x:c>
      <x:c r="E27" s="20" t="inlineStr">
        <x:is>
          <x:t xml:space="preserve">Master-Equation-COLAB-main</x:t>
        </x:is>
      </x:c>
      <x:c r="F27" s="20" t="inlineStr">
        <x:is>
          <x:t xml:space="preserve">Master-Equation-COLAB-main\Master-Equation-COLAB-main\COLAB_MASTER_EQUATION\run_all.ipynb</x:t>
        </x:is>
      </x:c>
      <x:c r="G27" s="20" t="inlineStr">
        <x:is>
          <x:t xml:space="preserve">Phase 3</x:t>
        </x:is>
      </x:c>
      <x:c r="H27" s="20" t="inlineStr">
        <x:is>
          <x:t xml:space="preserve">T3_DATA_OR_NETWORK_CHECK</x:t>
        </x:is>
      </x:c>
      <x:c r="I27" s="20" t="inlineStr">
        <x:is>
          <x:t xml:space="preserve">prediction_or_forecast</x:t>
        </x:is>
      </x:c>
      <x:c r="J27" s="23" t="inlineStr">
        <x:is>
          <x:t xml:space="preserve">mixed_verified_and_open</x:t>
        </x:is>
      </x:c>
      <x:c r="K27" s="23" t="inlineStr">
        <x:is>
          <x:t xml:space="preserve">PARTIAL_MIXED_OPEN</x:t>
        </x:is>
      </x:c>
      <x:c r="L27" s="20" t="inlineStr">
        <x:is>
          <x:t xml:space="preserve">OK</x:t>
        </x:is>
      </x:c>
      <x:c r="M27" s="20" t="inlineStr">
        <x:is>
          <x:t xml:space="preserve">False</x:t>
        </x:is>
      </x:c>
      <x:c r="N27" s="20" t="inlineStr">
        <x:is>
          <x:t xml:space="preserve">True</x:t>
        </x:is>
      </x:c>
      <x:c r="O27" s="20" t="inlineStr">
        <x:is>
          <x:t xml:space="preserve">True</x:t>
        </x:is>
      </x:c>
      <x:c r="P27" s="20" t="inlineStr">
        <x:is>
          <x:t xml:space="preserve">True</x:t>
        </x:is>
      </x:c>
      <x:c r="Q27" s="20" t="inlineStr">
        <x:is>
          <x:t xml:space="preserve">False</x:t>
        </x:is>
      </x:c>
      <x:c r="R27" s="20" t="inlineStr">
        <x:is>
          <x:t xml:space="preserve">run minimal equation path | turn off each law/coupling term one at a time | run side-by-side against a null equation | record which claims are formal, simulated, or empirical</x:t>
        </x:is>
      </x:c>
      <x:c r="S27" s="20" t="inlineStr">
        <x:is>
          <x:t xml:space="preserve">Notebook parses but has no saved outputs in the file; result not executed in this audit. Mixed verified/open language; split proven result from unresolved notes before citing.</x:t>
        </x:is>
      </x:c>
      <x:c r="T27" s="20" t="inlineStr">
        <x:is>
          <x:t xml:space="preserve">saved notebook outputs; split verified vs open claims</x:t>
        </x:is>
      </x:c>
      <x:c r="U27" s="20" t="n"/>
      <x:c r="V27" s="20" t="inlineStr">
        <x:is>
          <x:t xml:space="preserve">H:\Desktop 2\LEAN 4\Google CoLab Python\_EXTRACTED_REPOS\Master-Equation-COLAB-main\Master-Equation-COLAB-main\COLAB_MASTER_EQUATION\run_all.ipynb</x:t>
        </x:is>
      </x:c>
      <x:c r="W27" s="20" t="inlineStr">
        <x:is>
          <x:t xml:space="preserve">This artifact contains both positive and unresolved language; cite only after separation.</x:t>
        </x:is>
      </x:c>
    </x:row>
    <x:row r="28" ht="30" customHeight="1">
      <x:c r="A28" s="20" t="inlineStr">
        <x:is>
          <x:t xml:space="preserve">PYCOLAB-018</x:t>
        </x:is>
      </x:c>
      <x:c r="B28" s="20" t="inlineStr">
        <x:is>
          <x:t xml:space="preserve">notebook</x:t>
        </x:is>
      </x:c>
      <x:c r="C28" s="20" t="inlineStr">
        <x:is>
          <x:t xml:space="preserve">COLAB_NOTEBOOK</x:t>
        </x:is>
      </x:c>
      <x:c r="D28" s="20" t="inlineStr">
        <x:is>
          <x:t xml:space="preserve">Master equation</x:t>
        </x:is>
      </x:c>
      <x:c r="E28" s="20" t="inlineStr">
        <x:is>
          <x:t xml:space="preserve">Master-Equation-COLAB-main</x:t>
        </x:is>
      </x:c>
      <x:c r="F28" s="20" t="inlineStr">
        <x:is>
          <x:t xml:space="preserve">Master-Equation-COLAB-main\Master-Equation-COLAB-main\COLAB_MASTER_EQUATION\solve_master_equation.ipynb</x:t>
        </x:is>
      </x:c>
      <x:c r="G28" s="20" t="inlineStr">
        <x:is>
          <x:t xml:space="preserve">Phase 2</x:t>
        </x:is>
      </x:c>
      <x:c r="H28" s="20" t="inlineStr">
        <x:is>
          <x:t xml:space="preserve">T2_RUNTIME_CHECK</x:t>
        </x:is>
      </x:c>
      <x:c r="I28" s="20" t="inlineStr">
        <x:is>
          <x:t xml:space="preserve">simulation_or_stability</x:t>
        </x:is>
      </x:c>
      <x:c r="J28" s="64" t="inlineStr">
        <x:is>
          <x:t xml:space="preserve">not_declared</x:t>
        </x:is>
      </x:c>
      <x:c r="K28" s="64" t="inlineStr">
        <x:is>
          <x:t xml:space="preserve">NOT_DECLARED</x:t>
        </x:is>
      </x:c>
      <x:c r="L28" s="20" t="inlineStr">
        <x:is>
          <x:t xml:space="preserve">OK</x:t>
        </x:is>
      </x:c>
      <x:c r="M28" s="20" t="inlineStr">
        <x:is>
          <x:t xml:space="preserve">False</x:t>
        </x:is>
      </x:c>
      <x:c r="N28" s="20" t="inlineStr">
        <x:is>
          <x:t xml:space="preserve">False</x:t>
        </x:is>
      </x:c>
      <x:c r="O28" s="20" t="inlineStr">
        <x:is>
          <x:t xml:space="preserve">False</x:t>
        </x:is>
      </x:c>
      <x:c r="P28" s="20" t="inlineStr">
        <x:is>
          <x:t xml:space="preserve">True</x:t>
        </x:is>
      </x:c>
      <x:c r="Q28" s="20" t="inlineStr">
        <x:is>
          <x:t xml:space="preserve">False</x:t>
        </x:is>
      </x:c>
      <x:c r="R28" s="20" t="inlineStr">
        <x:is>
          <x:t xml:space="preserve">run minimal equation path | turn off each law/coupling term one at a time | run side-by-side against a null equation | record which claims are formal, simulated, or empirical</x:t>
        </x:is>
      </x:c>
      <x:c r="S28" s="20" t="inlineStr">
        <x:is>
          <x:t xml:space="preserve">Notebook parses but has no saved outputs in the file; result not executed in this audit. No public evidence status declared yet.</x:t>
        </x:is>
      </x:c>
      <x:c r="T28" s="20" t="inlineStr">
        <x:is>
          <x:t xml:space="preserve">saved notebook outputs; public evidence status</x:t>
        </x:is>
      </x:c>
      <x:c r="U28" s="20" t="n"/>
      <x:c r="V28" s="20" t="inlineStr">
        <x:is>
          <x:t xml:space="preserve">H:\Desktop 2\LEAN 4\Google CoLab Python\_EXTRACTED_REPOS\Master-Equation-COLAB-main\Master-Equation-COLAB-main\COLAB_MASTER_EQUATION\solve_master_equation.ipynb</x:t>
        </x:is>
      </x:c>
      <x:c r="W28" s="20" t="inlineStr">
        <x:is>
          <x:t xml:space="preserve">This artifact has not yet declared a public evidence status.</x:t>
        </x:is>
      </x:c>
    </x:row>
    <x:row r="29" ht="30" customHeight="1">
      <x:c r="A29" s="20" t="inlineStr">
        <x:is>
          <x:t xml:space="preserve">PYCOLAB-019</x:t>
        </x:is>
      </x:c>
      <x:c r="B29" s="20" t="inlineStr">
        <x:is>
          <x:t xml:space="preserve">notebook</x:t>
        </x:is>
      </x:c>
      <x:c r="C29" s="20" t="inlineStr">
        <x:is>
          <x:t xml:space="preserve">COLAB_NOTEBOOK</x:t>
        </x:is>
      </x:c>
      <x:c r="D29" s="20" t="inlineStr">
        <x:is>
          <x:t xml:space="preserve">Symbolic derivations</x:t>
        </x:is>
      </x:c>
      <x:c r="E29" s="20" t="inlineStr">
        <x:is>
          <x:t xml:space="preserve">Master-Equation-COLAB-main</x:t>
        </x:is>
      </x:c>
      <x:c r="F29" s="20" t="inlineStr">
        <x:is>
          <x:t xml:space="preserve">Master-Equation-COLAB-main\Master-Equation-COLAB-main\COLAB_MASTER_EQUATION\symbolic_derivations.ipynb</x:t>
        </x:is>
      </x:c>
      <x:c r="G29" s="20" t="inlineStr">
        <x:is>
          <x:t xml:space="preserve">Phase 1</x:t>
        </x:is>
      </x:c>
      <x:c r="H29" s="20" t="inlineStr">
        <x:is>
          <x:t xml:space="preserve">T1_FAST_LOCAL_CHECK</x:t>
        </x:is>
      </x:c>
      <x:c r="I29" s="20" t="inlineStr">
        <x:is>
          <x:t xml:space="preserve">physics_model_bridge</x:t>
        </x:is>
      </x:c>
      <x:c r="J29" s="64" t="inlineStr">
        <x:is>
          <x:t xml:space="preserve">not_declared</x:t>
        </x:is>
      </x:c>
      <x:c r="K29" s="64" t="inlineStr">
        <x:is>
          <x:t xml:space="preserve">NOT_DECLARED</x:t>
        </x:is>
      </x:c>
      <x:c r="L29" s="20" t="inlineStr">
        <x:is>
          <x:t xml:space="preserve">OK</x:t>
        </x:is>
      </x:c>
      <x:c r="M29" s="20" t="inlineStr">
        <x:is>
          <x:t xml:space="preserve">False</x:t>
        </x:is>
      </x:c>
      <x:c r="N29" s="20" t="inlineStr">
        <x:is>
          <x:t xml:space="preserve">True</x:t>
        </x:is>
      </x:c>
      <x:c r="O29" s="20" t="inlineStr">
        <x:is>
          <x:t xml:space="preserve">False</x:t>
        </x:is>
      </x:c>
      <x:c r="P29" s="20" t="inlineStr">
        <x:is>
          <x:t xml:space="preserve">False</x:t>
        </x:is>
      </x:c>
      <x:c r="Q29" s="20" t="inlineStr">
        <x:is>
          <x:t xml:space="preserve">False</x:t>
        </x:is>
      </x:c>
      <x:c r="R29" s="20" t="inlineStr">
        <x:is>
          <x:t xml:space="preserve">Symbolic derivations: dimensional/static symbol audit over 25 symbols (alpha; alpha_val; chi; chi_0; chi_0_val; chi_exp_solution; chi_expr; chi_general; chi_history; chi_master; chi_particular; chi_result; chi_small; chi_ss; chi_ss...).</x:t>
        </x:is>
      </x:c>
      <x:c r="S29" s="20" t="inlineStr">
        <x:is>
          <x:t xml:space="preserve">Notebook parses but has no saved outputs in the file; result not executed in this audit. No public evidence status declared yet.</x:t>
        </x:is>
      </x:c>
      <x:c r="T29" s="20" t="inlineStr">
        <x:is>
          <x:t xml:space="preserve">saved notebook outputs; public evidence status</x:t>
        </x:is>
      </x:c>
      <x:c r="U29" s="20" t="n"/>
      <x:c r="V29" s="20" t="inlineStr">
        <x:is>
          <x:t xml:space="preserve">H:\Desktop 2\LEAN 4\Google CoLab Python\_EXTRACTED_REPOS\Master-Equation-COLAB-main\Master-Equation-COLAB-main\COLAB_MASTER_EQUATION\symbolic_derivations.ipynb</x:t>
        </x:is>
      </x:c>
      <x:c r="W29" s="20" t="inlineStr">
        <x:is>
          <x:t xml:space="preserve">This artifact has not yet declared a public evidence status.</x:t>
        </x:is>
      </x:c>
    </x:row>
    <x:row r="30" ht="30" customHeight="1">
      <x:c r="A30" s="20" t="inlineStr">
        <x:is>
          <x:t xml:space="preserve">PYCOLAB-020</x:t>
        </x:is>
      </x:c>
      <x:c r="B30" s="20" t="inlineStr">
        <x:is>
          <x:t xml:space="preserve">notebook</x:t>
        </x:is>
      </x:c>
      <x:c r="C30" s="20" t="inlineStr">
        <x:is>
          <x:t xml:space="preserve">COLAB_NOTEBOOK</x:t>
        </x:is>
      </x:c>
      <x:c r="D30" s="20" t="inlineStr">
        <x:is>
          <x:t xml:space="preserve">Master equation</x:t>
        </x:is>
      </x:c>
      <x:c r="E30" s="20" t="inlineStr">
        <x:is>
          <x:t xml:space="preserve">Master-Equation-COLAB-main</x:t>
        </x:is>
      </x:c>
      <x:c r="F30" s="20" t="inlineStr">
        <x:is>
          <x:t xml:space="preserve">Master-Equation-COLAB-main\Master-Equation-COLAB-main\COLAB_MASTER_EQUATION\test_10_laws.ipynb</x:t>
        </x:is>
      </x:c>
      <x:c r="G30" s="20" t="inlineStr">
        <x:is>
          <x:t xml:space="preserve">Phase 1</x:t>
        </x:is>
      </x:c>
      <x:c r="H30" s="20" t="inlineStr">
        <x:is>
          <x:t xml:space="preserve">T1_FAST_LOCAL_CHECK</x:t>
        </x:is>
      </x:c>
      <x:c r="I30" s="20" t="inlineStr">
        <x:is>
          <x:t xml:space="preserve">empirical_or_fit</x:t>
        </x:is>
      </x:c>
      <x:c r="J30" s="23" t="inlineStr">
        <x:is>
          <x:t xml:space="preserve">mixed_verified_and_open</x:t>
        </x:is>
      </x:c>
      <x:c r="K30" s="23" t="inlineStr">
        <x:is>
          <x:t xml:space="preserve">PARTIAL_MIXED_OPEN</x:t>
        </x:is>
      </x:c>
      <x:c r="L30" s="20" t="inlineStr">
        <x:is>
          <x:t xml:space="preserve">OK</x:t>
        </x:is>
      </x:c>
      <x:c r="M30" s="20" t="inlineStr">
        <x:is>
          <x:t xml:space="preserve">False</x:t>
        </x:is>
      </x:c>
      <x:c r="N30" s="20" t="inlineStr">
        <x:is>
          <x:t xml:space="preserve">True</x:t>
        </x:is>
      </x:c>
      <x:c r="O30" s="20" t="inlineStr">
        <x:is>
          <x:t xml:space="preserve">False</x:t>
        </x:is>
      </x:c>
      <x:c r="P30" s="20" t="inlineStr">
        <x:is>
          <x:t xml:space="preserve">False</x:t>
        </x:is>
      </x:c>
      <x:c r="Q30" s="20" t="inlineStr">
        <x:is>
          <x:t xml:space="preserve">False</x:t>
        </x:is>
      </x:c>
      <x:c r="R30" s="20" t="inlineStr">
        <x:is>
          <x:t xml:space="preserve">run minimal equation path | turn off each law/coupling term one at a time | run side-by-side against a null equation | record which claims are formal, simulated, or empirical</x:t>
        </x:is>
      </x:c>
      <x:c r="S30" s="20" t="inlineStr">
        <x:is>
          <x:t xml:space="preserve">Notebook parses but has no saved outputs in the file; result not executed in this audit. Mixed verified/open language; split proven result from unresolved notes before citing.</x:t>
        </x:is>
      </x:c>
      <x:c r="T30" s="20" t="inlineStr">
        <x:is>
          <x:t xml:space="preserve">saved notebook outputs; split verified vs open claims</x:t>
        </x:is>
      </x:c>
      <x:c r="U30" s="20" t="n"/>
      <x:c r="V30" s="20" t="inlineStr">
        <x:is>
          <x:t xml:space="preserve">H:\Desktop 2\LEAN 4\Google CoLab Python\_EXTRACTED_REPOS\Master-Equation-COLAB-main\Master-Equation-COLAB-main\COLAB_MASTER_EQUATION\test_10_laws.ipynb</x:t>
        </x:is>
      </x:c>
      <x:c r="W30" s="20" t="inlineStr">
        <x:is>
          <x:t xml:space="preserve">This artifact contains both positive and unresolved language; cite only after separation.</x:t>
        </x:is>
      </x:c>
    </x:row>
    <x:row r="31" ht="30" customHeight="1">
      <x:c r="A31" s="20" t="inlineStr">
        <x:is>
          <x:t xml:space="preserve">PYCOLAB-021</x:t>
        </x:is>
      </x:c>
      <x:c r="B31" s="20" t="inlineStr">
        <x:is>
          <x:t xml:space="preserve">notebook</x:t>
        </x:is>
      </x:c>
      <x:c r="C31" s="20" t="inlineStr">
        <x:is>
          <x:t xml:space="preserve">COLAB_NOTEBOOK</x:t>
        </x:is>
      </x:c>
      <x:c r="D31" s="20" t="inlineStr">
        <x:is>
          <x:t xml:space="preserve">Master equation</x:t>
        </x:is>
      </x:c>
      <x:c r="E31" s="20" t="inlineStr">
        <x:is>
          <x:t xml:space="preserve">Master-Equation-COLAB-main</x:t>
        </x:is>
      </x:c>
      <x:c r="F31" s="20" t="inlineStr">
        <x:is>
          <x:t xml:space="preserve">Master-Equation-COLAB-main\Master-Equation-COLAB-main\COLAB_MASTER_EQUATION\verify_master_equation.ipynb</x:t>
        </x:is>
      </x:c>
      <x:c r="G31" s="20" t="inlineStr">
        <x:is>
          <x:t xml:space="preserve">Phase 3</x:t>
        </x:is>
      </x:c>
      <x:c r="H31" s="20" t="inlineStr">
        <x:is>
          <x:t xml:space="preserve">T3_DATA_OR_NETWORK_CHECK</x:t>
        </x:is>
      </x:c>
      <x:c r="I31" s="20" t="inlineStr">
        <x:is>
          <x:t xml:space="preserve">prediction_or_forecast</x:t>
        </x:is>
      </x:c>
      <x:c r="J31" s="23" t="inlineStr">
        <x:is>
          <x:t xml:space="preserve">mixed_verified_and_open</x:t>
        </x:is>
      </x:c>
      <x:c r="K31" s="23" t="inlineStr">
        <x:is>
          <x:t xml:space="preserve">PARTIAL_MIXED_OPEN</x:t>
        </x:is>
      </x:c>
      <x:c r="L31" s="20" t="inlineStr">
        <x:is>
          <x:t xml:space="preserve">OK</x:t>
        </x:is>
      </x:c>
      <x:c r="M31" s="20" t="inlineStr">
        <x:is>
          <x:t xml:space="preserve">False</x:t>
        </x:is>
      </x:c>
      <x:c r="N31" s="20" t="inlineStr">
        <x:is>
          <x:t xml:space="preserve">True</x:t>
        </x:is>
      </x:c>
      <x:c r="O31" s="20" t="inlineStr">
        <x:is>
          <x:t xml:space="preserve">True</x:t>
        </x:is>
      </x:c>
      <x:c r="P31" s="20" t="inlineStr">
        <x:is>
          <x:t xml:space="preserve">True</x:t>
        </x:is>
      </x:c>
      <x:c r="Q31" s="20" t="inlineStr">
        <x:is>
          <x:t xml:space="preserve">True</x:t>
        </x:is>
      </x:c>
      <x:c r="R31" s="20" t="inlineStr">
        <x:is>
          <x:t xml:space="preserve">run minimal equation path | turn off each law/coupling term one at a time | run side-by-side against a null equation | record which claims are formal, simulated, or empirical</x:t>
        </x:is>
      </x:c>
      <x:c r="S31" s="20" t="inlineStr">
        <x:is>
          <x:t xml:space="preserve">Notebook parses but has no saved outputs in the file; result not executed in this audit. Mixed verified/open language; split proven result from unresolved notes before citing.</x:t>
        </x:is>
      </x:c>
      <x:c r="T31" s="20" t="inlineStr">
        <x:is>
          <x:t xml:space="preserve">saved notebook outputs; split verified vs open claims; source/data path resolution</x:t>
        </x:is>
      </x:c>
      <x:c r="U31" s="20" t="inlineStr">
        <x:is>
          <x:t xml:space="preserve">/content/drive exists=False; /content/drive/MyDrive/theophysics_runs exists=False</x:t>
        </x:is>
      </x:c>
      <x:c r="V31" s="20" t="inlineStr">
        <x:is>
          <x:t xml:space="preserve">H:\Desktop 2\LEAN 4\Google CoLab Python\_EXTRACTED_REPOS\Master-Equation-COLAB-main\Master-Equation-COLAB-main\COLAB_MASTER_EQUATION\verify_master_equation.ipynb</x:t>
        </x:is>
      </x:c>
      <x:c r="W31" s="20" t="inlineStr">
        <x:is>
          <x:t xml:space="preserve">This artifact contains both positive and unresolved language; cite only after separation.</x:t>
        </x:is>
      </x:c>
    </x:row>
    <x:row r="32" ht="30" customHeight="1">
      <x:c r="A32" s="20" t="inlineStr">
        <x:is>
          <x:t xml:space="preserve">PYCOLAB-022</x:t>
        </x:is>
      </x:c>
      <x:c r="B32" s="20" t="inlineStr">
        <x:is>
          <x:t xml:space="preserve">notebook</x:t>
        </x:is>
      </x:c>
      <x:c r="C32" s="20" t="inlineStr">
        <x:is>
          <x:t xml:space="preserve">COLAB_NOTEBOOK</x:t>
        </x:is>
      </x:c>
      <x:c r="D32" s="20" t="inlineStr">
        <x:is>
          <x:t xml:space="preserve">Master equation</x:t>
        </x:is>
      </x:c>
      <x:c r="E32" s="20" t="inlineStr">
        <x:is>
          <x:t xml:space="preserve">Master-Equation-COLAB-main</x:t>
        </x:is>
      </x:c>
      <x:c r="F32" s="20" t="inlineStr">
        <x:is>
          <x:t xml:space="preserve">Master-Equation-COLAB-main\Master-Equation-COLAB-main\COLAB_MASTER_EQUATION\version_manager.ipynb</x:t>
        </x:is>
      </x:c>
      <x:c r="G32" s="20" t="inlineStr">
        <x:is>
          <x:t xml:space="preserve">Phase 2</x:t>
        </x:is>
      </x:c>
      <x:c r="H32" s="20" t="inlineStr">
        <x:is>
          <x:t xml:space="preserve">T2_RUNTIME_CHECK</x:t>
        </x:is>
      </x:c>
      <x:c r="I32" s="20" t="inlineStr">
        <x:is>
          <x:t xml:space="preserve">empirical_or_fit</x:t>
        </x:is>
      </x:c>
      <x:c r="J32" s="64" t="inlineStr">
        <x:is>
          <x:t xml:space="preserve">not_declared</x:t>
        </x:is>
      </x:c>
      <x:c r="K32" s="64" t="inlineStr">
        <x:is>
          <x:t xml:space="preserve">NOT_DECLARED</x:t>
        </x:is>
      </x:c>
      <x:c r="L32" s="20" t="inlineStr">
        <x:is>
          <x:t xml:space="preserve">OK</x:t>
        </x:is>
      </x:c>
      <x:c r="M32" s="20" t="inlineStr">
        <x:is>
          <x:t xml:space="preserve">False</x:t>
        </x:is>
      </x:c>
      <x:c r="N32" s="20" t="inlineStr">
        <x:is>
          <x:t xml:space="preserve">False</x:t>
        </x:is>
      </x:c>
      <x:c r="O32" s="20" t="inlineStr">
        <x:is>
          <x:t xml:space="preserve">True</x:t>
        </x:is>
      </x:c>
      <x:c r="P32" s="20" t="inlineStr">
        <x:is>
          <x:t xml:space="preserve">True</x:t>
        </x:is>
      </x:c>
      <x:c r="Q32" s="20" t="inlineStr">
        <x:is>
          <x:t xml:space="preserve">False</x:t>
        </x:is>
      </x:c>
      <x:c r="R32" s="20" t="inlineStr">
        <x:is>
          <x:t xml:space="preserve">run minimal equation path | turn off each law/coupling term one at a time | run side-by-side against a null equation | record which claims are formal, simulated, or empirical</x:t>
        </x:is>
      </x:c>
      <x:c r="S32" s="20" t="inlineStr">
        <x:is>
          <x:t xml:space="preserve">Notebook parses but has no saved outputs in the file; result not executed in this audit. No public evidence status declared yet.</x:t>
        </x:is>
      </x:c>
      <x:c r="T32" s="20" t="inlineStr">
        <x:is>
          <x:t xml:space="preserve">saved notebook outputs; public evidence status; seed/control declaration</x:t>
        </x:is>
      </x:c>
      <x:c r="U32" s="20" t="n"/>
      <x:c r="V32" s="20" t="inlineStr">
        <x:is>
          <x:t xml:space="preserve">H:\Desktop 2\LEAN 4\Google CoLab Python\_EXTRACTED_REPOS\Master-Equation-COLAB-main\Master-Equation-COLAB-main\COLAB_MASTER_EQUATION\version_manager.ipynb</x:t>
        </x:is>
      </x:c>
      <x:c r="W32" s="20" t="inlineStr">
        <x:is>
          <x:t xml:space="preserve">This artifact has not yet declared a public evidence status.</x:t>
        </x:is>
      </x:c>
    </x:row>
    <x:row r="33" ht="30" customHeight="1">
      <x:c r="A33" s="20" t="inlineStr">
        <x:is>
          <x:t xml:space="preserve">PYCOLAB-023</x:t>
        </x:is>
      </x:c>
      <x:c r="B33" s="20" t="inlineStr">
        <x:is>
          <x:t xml:space="preserve">notebook</x:t>
        </x:is>
      </x:c>
      <x:c r="C33" s="20" t="inlineStr">
        <x:is>
          <x:t xml:space="preserve">COLAB_NOTEBOOK</x:t>
        </x:is>
      </x:c>
      <x:c r="D33" s="20" t="inlineStr">
        <x:is>
          <x:t xml:space="preserve">Master equation</x:t>
        </x:is>
      </x:c>
      <x:c r="E33" s="20" t="inlineStr">
        <x:is>
          <x:t xml:space="preserve">Master-Equation-COLAB-main</x:t>
        </x:is>
      </x:c>
      <x:c r="F33" s="20" t="inlineStr">
        <x:is>
          <x:t xml:space="preserve">Master-Equation-COLAB-main\Master-Equation-COLAB-main\COLAB_MASTER_EQUATION\wolfram_gauntlet_sympy.ipynb</x:t>
        </x:is>
      </x:c>
      <x:c r="G33" s="20" t="inlineStr">
        <x:is>
          <x:t xml:space="preserve">Phase 1</x:t>
        </x:is>
      </x:c>
      <x:c r="H33" s="20" t="inlineStr">
        <x:is>
          <x:t xml:space="preserve">T1_FAST_LOCAL_CHECK</x:t>
        </x:is>
      </x:c>
      <x:c r="I33" s="20" t="inlineStr">
        <x:is>
          <x:t xml:space="preserve">empirical_or_fit</x:t>
        </x:is>
      </x:c>
      <x:c r="J33" s="23" t="inlineStr">
        <x:is>
          <x:t xml:space="preserve">mixed_verified_and_open</x:t>
        </x:is>
      </x:c>
      <x:c r="K33" s="23" t="inlineStr">
        <x:is>
          <x:t xml:space="preserve">PARTIAL_MIXED_OPEN</x:t>
        </x:is>
      </x:c>
      <x:c r="L33" s="20" t="inlineStr">
        <x:is>
          <x:t xml:space="preserve">OK</x:t>
        </x:is>
      </x:c>
      <x:c r="M33" s="20" t="inlineStr">
        <x:is>
          <x:t xml:space="preserve">False</x:t>
        </x:is>
      </x:c>
      <x:c r="N33" s="20" t="inlineStr">
        <x:is>
          <x:t xml:space="preserve">True</x:t>
        </x:is>
      </x:c>
      <x:c r="O33" s="20" t="inlineStr">
        <x:is>
          <x:t xml:space="preserve">False</x:t>
        </x:is>
      </x:c>
      <x:c r="P33" s="20" t="inlineStr">
        <x:is>
          <x:t xml:space="preserve">False</x:t>
        </x:is>
      </x:c>
      <x:c r="Q33" s="20" t="inlineStr">
        <x:is>
          <x:t xml:space="preserve">False</x:t>
        </x:is>
      </x:c>
      <x:c r="R33" s="20" t="inlineStr">
        <x:is>
          <x:t xml:space="preserve">run minimal equation path | turn off each law/coupling term one at a time | run side-by-side against a null equation | record which claims are formal, simulated, or empirical</x:t>
        </x:is>
      </x:c>
      <x:c r="S33" s="20" t="inlineStr">
        <x:is>
          <x:t xml:space="preserve">Notebook parses but has no saved outputs in the file; result not executed in this audit. Mixed verified/open language; split proven result from unresolved notes before citing.</x:t>
        </x:is>
      </x:c>
      <x:c r="T33" s="20" t="inlineStr">
        <x:is>
          <x:t xml:space="preserve">saved notebook outputs; split verified vs open claims; seed/control declaration</x:t>
        </x:is>
      </x:c>
      <x:c r="U33" s="20" t="n"/>
      <x:c r="V33" s="20" t="inlineStr">
        <x:is>
          <x:t xml:space="preserve">H:\Desktop 2\LEAN 4\Google CoLab Python\_EXTRACTED_REPOS\Master-Equation-COLAB-main\Master-Equation-COLAB-main\COLAB_MASTER_EQUATION\wolfram_gauntlet_sympy.ipynb</x:t>
        </x:is>
      </x:c>
      <x:c r="W33" s="20" t="inlineStr">
        <x:is>
          <x:t xml:space="preserve">This artifact contains both positive and unresolved language; cite only after separation.</x:t>
        </x:is>
      </x:c>
    </x:row>
    <x:row r="34" ht="30" customHeight="1">
      <x:c r="A34" s="20" t="inlineStr">
        <x:is>
          <x:t xml:space="preserve">PYCOLAB-024</x:t>
        </x:is>
      </x:c>
      <x:c r="B34" s="20" t="inlineStr">
        <x:is>
          <x:t xml:space="preserve">python</x:t>
        </x:is>
      </x:c>
      <x:c r="C34" s="20" t="inlineStr">
        <x:is>
          <x:t xml:space="preserve">PYTHON_SCRIPT</x:t>
        </x:is>
      </x:c>
      <x:c r="D34" s="20" t="inlineStr">
        <x:is>
          <x:t xml:space="preserve">Lagrangian side-by-side</x:t>
        </x:is>
      </x:c>
      <x:c r="E34" s="20" t="inlineStr">
        <x:is>
          <x:t xml:space="preserve">theophysics-prediction-lab-main</x:t>
        </x:is>
      </x:c>
      <x:c r="F34" s="20" t="inlineStr">
        <x:is>
          <x:t xml:space="preserve">theophysics-prediction-lab-main\theophysics-prediction-lab-main\lagrangian_side_by_side.py</x:t>
        </x:is>
      </x:c>
      <x:c r="G34" s="20" t="inlineStr">
        <x:is>
          <x:t xml:space="preserve">Phase 1</x:t>
        </x:is>
      </x:c>
      <x:c r="H34" s="20" t="inlineStr">
        <x:is>
          <x:t xml:space="preserve">T1_FAST_LOCAL_CHECK</x:t>
        </x:is>
      </x:c>
      <x:c r="I34" s="20" t="inlineStr">
        <x:is>
          <x:t xml:space="preserve">empirical_or_fit</x:t>
        </x:is>
      </x:c>
      <x:c r="J34" s="23" t="inlineStr">
        <x:is>
          <x:t xml:space="preserve">mixed_verified_and_open</x:t>
        </x:is>
      </x:c>
      <x:c r="K34" s="65" t="inlineStr">
        <x:is>
          <x:t xml:space="preserve">SUPPORTED_LOCAL_RUN</x:t>
        </x:is>
      </x:c>
      <x:c r="L34" s="20" t="inlineStr">
        <x:is>
          <x:t xml:space="preserve">OK</x:t>
        </x:is>
      </x:c>
      <x:c r="M34" s="20" t="n"/>
      <x:c r="N34" s="20" t="inlineStr">
        <x:is>
          <x:t xml:space="preserve">True</x:t>
        </x:is>
      </x:c>
      <x:c r="O34" s="20" t="inlineStr">
        <x:is>
          <x:t xml:space="preserve">True</x:t>
        </x:is>
      </x:c>
      <x:c r="P34" s="20" t="inlineStr">
        <x:is>
          <x:t xml:space="preserve">False</x:t>
        </x:is>
      </x:c>
      <x:c r="Q34" s="20" t="inlineStr">
        <x:is>
          <x:t xml:space="preserve">False</x:t>
        </x:is>
      </x:c>
      <x:c r="R34" s="20" t="inlineStr">
        <x:is>
          <x:t xml:space="preserve">Symbolic side-by-side Lagrangian comparison: resistance penalty, source/sink asymmetry, spirit/anti contrast, wrong-control rejection, algebraic invariants.</x:t>
        </x:is>
      </x:c>
      <x:c r="S34" s="20" t="inlineStr">
        <x:is>
          <x:t xml:space="preserve">Script reran and wrote reports; canonical LLC v2 balanced=14.48, resistance_drag=-4.72, source_rich=17.48, sink_heavy=9.48; wrong controls rejected in report. Lagrangian report: 7/7 predictions pass; rejected controls=gamma9_added, chi10_subtracted, resistance_ignored, source_sink_swapped.</x:t>
        </x:is>
      </x:c>
      <x:c r="T34" s="20" t="inlineStr">
        <x:is>
          <x:t xml:space="preserve">split verified vs open claims; seed/control declaration</x:t>
        </x:is>
      </x:c>
      <x:c r="U34" s="20" t="n"/>
      <x:c r="V34" s="20" t="inlineStr">
        <x:is>
          <x:t xml:space="preserve">H:\Desktop 2\LEAN 4\Google CoLab Python\_EXTRACTED_REPOS\theophysics-prediction-lab-main\theophysics-prediction-lab-main\lagrangian_side_by_side.py</x:t>
        </x:is>
      </x:c>
      <x:c r="W34" s="20" t="inlineStr">
        <x:is>
          <x:t xml:space="preserve">This artifact contains both positive and unresolved language; cite only after separation.</x:t>
        </x:is>
      </x:c>
    </x:row>
    <x:row r="35" ht="30" customHeight="1">
      <x:c r="A35" s="20" t="inlineStr">
        <x:is>
          <x:t xml:space="preserve">PYCOLAB-025</x:t>
        </x:is>
      </x:c>
      <x:c r="B35" s="20" t="inlineStr">
        <x:is>
          <x:t xml:space="preserve">python</x:t>
        </x:is>
      </x:c>
      <x:c r="C35" s="20" t="inlineStr">
        <x:is>
          <x:t xml:space="preserve">PYTHON_SCRIPT</x:t>
        </x:is>
      </x:c>
      <x:c r="D35" s="20" t="inlineStr">
        <x:is>
          <x:t xml:space="preserve">Unmapped support</x:t>
        </x:is>
      </x:c>
      <x:c r="E35" s="20" t="inlineStr">
        <x:is>
          <x:t xml:space="preserve">theophysics-prediction-lab-main</x:t>
        </x:is>
      </x:c>
      <x:c r="F35" s="20" t="inlineStr">
        <x:is>
          <x:t xml:space="preserve">theophysics-prediction-lab-main\theophysics-prediction-lab-main\notarize_prediction_bundle.py</x:t>
        </x:is>
      </x:c>
      <x:c r="G35" s="20" t="inlineStr">
        <x:is>
          <x:t xml:space="preserve">Phase 1</x:t>
        </x:is>
      </x:c>
      <x:c r="H35" s="20" t="inlineStr">
        <x:is>
          <x:t xml:space="preserve">T1_FAST_LOCAL_CHECK</x:t>
        </x:is>
      </x:c>
      <x:c r="I35" s="20" t="inlineStr">
        <x:is>
          <x:t xml:space="preserve">prediction_or_forecast</x:t>
        </x:is>
      </x:c>
      <x:c r="J35" s="64" t="inlineStr">
        <x:is>
          <x:t xml:space="preserve">not_declared</x:t>
        </x:is>
      </x:c>
      <x:c r="K35" s="64" t="inlineStr">
        <x:is>
          <x:t xml:space="preserve">SUPPORT_UTILITY_NOT_CLAIM_TEST</x:t>
        </x:is>
      </x:c>
      <x:c r="L35" s="20" t="inlineStr">
        <x:is>
          <x:t xml:space="preserve">OK</x:t>
        </x:is>
      </x:c>
      <x:c r="M35" s="20" t="n"/>
      <x:c r="N35" s="20" t="inlineStr">
        <x:is>
          <x:t xml:space="preserve">False</x:t>
        </x:is>
      </x:c>
      <x:c r="O35" s="20" t="inlineStr">
        <x:is>
          <x:t xml:space="preserve">True</x:t>
        </x:is>
      </x:c>
      <x:c r="P35" s="20" t="inlineStr">
        <x:is>
          <x:t xml:space="preserve">False</x:t>
        </x:is>
      </x:c>
      <x:c r="Q35" s="20" t="inlineStr">
        <x:is>
          <x:t xml:space="preserve">False</x:t>
        </x:is>
      </x:c>
      <x:c r="R35" s="20" t="inlineStr">
        <x:is>
          <x:t xml:space="preserve">Unmapped support: dimensional/static symbol audit over 1 symbols (lambda...).</x:t>
        </x:is>
      </x:c>
      <x:c r="S35" s="20" t="inlineStr">
        <x:is>
          <x:t xml:space="preserve">Support/notarization utility; not a claim test by itself.</x:t>
        </x:is>
      </x:c>
      <x:c r="T35" s="20" t="inlineStr">
        <x:is>
          <x:t xml:space="preserve">public evidence status; seed/control declaration</x:t>
        </x:is>
      </x:c>
      <x:c r="U35" s="20" t="n"/>
      <x:c r="V35" s="20" t="inlineStr">
        <x:is>
          <x:t xml:space="preserve">H:\Desktop 2\LEAN 4\Google CoLab Python\_EXTRACTED_REPOS\theophysics-prediction-lab-main\theophysics-prediction-lab-main\notarize_prediction_bundle.py</x:t>
        </x:is>
      </x:c>
      <x:c r="W35" s="20" t="inlineStr">
        <x:is>
          <x:t xml:space="preserve">This artifact has not yet declared a public evidence status.</x:t>
        </x:is>
      </x:c>
    </x:row>
    <x:row r="36" ht="30" customHeight="1">
      <x:c r="A36" s="20" t="inlineStr">
        <x:is>
          <x:t xml:space="preserve">PYCOLAB-026</x:t>
        </x:is>
      </x:c>
      <x:c r="B36" s="20" t="inlineStr">
        <x:is>
          <x:t xml:space="preserve">python/report</x:t>
        </x:is>
      </x:c>
      <x:c r="C36" s="20" t="inlineStr">
        <x:is>
          <x:t xml:space="preserve">PYTHON_SCRIPT_WITH_REPORT</x:t>
        </x:is>
      </x:c>
      <x:c r="D36" s="20" t="inlineStr">
        <x:is>
          <x:t xml:space="preserve">Evolution simulation / Haldane budget</x:t>
        </x:is>
      </x:c>
      <x:c r="E36" s="20" t="inlineStr">
        <x:is>
          <x:t xml:space="preserve">evolution_sim_outputs</x:t>
        </x:is>
      </x:c>
      <x:c r="F36" s="20" t="inlineStr">
        <x:is>
          <x:t xml:space="preserve">evolution_sim_outputs\evolution_sim_replicator.py + evolution_sim_outputs\REPORT.md</x:t>
        </x:is>
      </x:c>
      <x:c r="G36" s="20" t="inlineStr">
        <x:is>
          <x:t xml:space="preserve">Outside readiness packet</x:t>
        </x:is>
      </x:c>
      <x:c r="H36" s="20" t="inlineStr">
        <x:is>
          <x:t xml:space="preserve">LOCAL_REPORT_PRESENT_PATH_REPAIR_NEEDED</x:t>
        </x:is>
      </x:c>
      <x:c r="I36" s="20" t="inlineStr">
        <x:is>
          <x:t xml:space="preserve">simulation_or_stability</x:t>
        </x:is>
      </x:c>
      <x:c r="J36" s="23" t="inlineStr">
        <x:is>
          <x:t xml:space="preserve">mixed_verified_and_open</x:t>
        </x:is>
      </x:c>
      <x:c r="K36" s="24" t="inlineStr">
        <x:is>
          <x:t xml:space="preserve">PARTIAL_EXISTING_REPORT_RERUN_BLOCKED</x:t>
        </x:is>
      </x:c>
      <x:c r="L36" s="20" t="inlineStr">
        <x:is>
          <x:t xml:space="preserve">SCRIPT_RERUN_FAILED_PATH</x:t>
        </x:is>
      </x:c>
      <x:c r="M36" s="20" t="inlineStr">
        <x:is>
          <x:t xml:space="preserve">True</x:t>
        </x:is>
      </x:c>
      <x:c r="N36" s="20" t="inlineStr">
        <x:is>
          <x:t xml:space="preserve">True</x:t>
        </x:is>
      </x:c>
      <x:c r="O36" s="20" t="inlineStr">
        <x:is>
          <x:t xml:space="preserve">True</x:t>
        </x:is>
      </x:c>
      <x:c r="P36" s="20" t="inlineStr">
        <x:is>
          <x:t xml:space="preserve">False</x:t>
        </x:is>
      </x:c>
      <x:c r="Q36" s="20" t="inlineStr">
        <x:is>
          <x:t xml:space="preserve">False</x:t>
        </x:is>
      </x:c>
      <x:c r="R36" s="20" t="inlineStr">
        <x:is>
          <x:t xml:space="preserve">Evolution/capacity simulation replication: inverse-solver consistency, recomputed baselines, coherence multiplier, Haldane budget, Monte Carlo capacity sweep.</x:t>
        </x:is>
      </x:c>
      <x:c r="S36" s="20" t="inlineStr">
        <x:is>
          <x:t xml:space="preserve">the reported inverse-solver table is not internally single-target consistent. Reported Ne and the Haldane 705-innovation row imply ~705 events; reported mutation rate and selection coefficient imply ~7,050 events. | Recomputed Ne_required: 705 events=89015.2, 7050 events=890152 | Monte Carlo success: 705=0.5135, 7050=0.2721</x:t>
        </x:is>
      </x:c>
      <x:c r="T36" s="20" t="inlineStr">
        <x:is>
          <x:t xml:space="preserve">Repair output path for Windows/local rerun; separate internal consistency finding from public claim.</x:t>
        </x:is>
      </x:c>
      <x:c r="U36" s="20" t="inlineStr">
        <x:is>
          <x:t xml:space="preserve">Local rerun failed: FileNotFoundError for /mnt/data/evolution_sim_outputs.</x:t>
        </x:is>
      </x:c>
      <x:c r="V36" s="20" t="inlineStr">
        <x:is>
          <x:t xml:space="preserve">H:\Desktop 2\LEAN 4\evolution_sim_outputs\evolution_sim_outputs\REPORT.md</x:t>
        </x:is>
      </x:c>
      <x:c r="W36" s="20" t="inlineStr">
        <x:is>
          <x:t xml:space="preserve">Existing report is useful but should be rerun after path repair before citation.</x:t>
        </x:is>
      </x:c>
    </x:row>
  </x:sheetData>
  <x:mergeCells>
    <x:mergeCell ref="A1:W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12" customWidth="1"/>
    <x:col min="2" max="2" width="14" customWidth="1"/>
    <x:col min="3" max="3" width="16" customWidth="1"/>
    <x:col min="4" max="4" width="18" customWidth="1"/>
    <x:col min="5" max="5" width="20" customWidth="1"/>
    <x:col min="6" max="6" width="22" customWidth="1"/>
    <x:col min="7" max="7" width="24" customWidth="1"/>
  </x:cols>
  <x:sheetData>
    <x:row r="1">
      <x:c r="A1" t="inlineStr">
        <x:is>
          <x:t xml:space="preserve">path</x:t>
        </x:is>
      </x:c>
      <x:c r="B1" t="inlineStr">
        <x:is>
          <x:t xml:space="preserve">exists</x:t>
        </x:is>
      </x:c>
      <x:c r="C1" t="inlineStr">
        <x:is>
          <x:t xml:space="preserve">bytes</x:t>
        </x:is>
      </x:c>
      <x:c r="D1" t="inlineStr">
        <x:is>
          <x:t xml:space="preserve">modified</x:t>
        </x:is>
      </x:c>
      <x:c r="E1" t="inlineStr">
        <x:is>
          <x:t xml:space="preserve">sha256</x:t>
        </x:is>
      </x:c>
      <x:c r="F1" t="inlineStr">
        <x:is>
          <x:t xml:space="preserve">sheet_count</x:t>
        </x:is>
      </x:c>
      <x:c r="G1" t="inlineStr">
        <x:is>
          <x:t xml:space="preserve">sheet_names</x:t>
        </x:is>
      </x:c>
    </x:row>
    <x:row r="2">
      <x:c r="A2" t="inlineStr">
        <x:is>
          <x:t xml:space="preserve">\\192.168.2.50\h_hp\Desktop\Master EXCEL\Lean 4 - CANONICAL_LEDGER_V2.xlsx</x:t>
        </x:is>
      </x:c>
      <x:c r="B2" t="b">
        <x:v>1</x:v>
      </x:c>
      <x:c r="C2" t="n">
        <x:v>271318</x:v>
      </x:c>
      <x:c r="D2" t="inlineStr">
        <x:is>
          <x:t xml:space="preserve">2026-07-14T06:06:50-05:00</x:t>
        </x:is>
      </x:c>
      <x:c r="E2" t="inlineStr">
        <x:is>
          <x:t xml:space="preserve">280422f68a2b9e60f171ea0e69a7d07a1e1c68a91ffed3f8582db735f158059c</x:t>
        </x:is>
      </x:c>
      <x:c r="F2" t="n">
        <x:v>15</x:v>
      </x:c>
      <x:c r="G2" t="inlineStr">
        <x:is>
          <x:t xml:space="preserve">LEAN_CANONICAL_LEDGER_V2, V2_REPAIR_SUMMARY, START HERE, Structural Staging, Workbook Alignment, Missing From Workbook, Embedded Add List, False Positive Queue, Open Guards, Proof Strength Summary, Canonical Summary, LEAN_CANONICAL_LEDGER, Load Bearing Controls, Recovered Missing Names, Python Colab Audit</x:t>
        </x:is>
      </x:c>
    </x:row>
    <x:row r="3">
      <x:c r="A3" t="inlineStr">
        <x:is>
          <x:t xml:space="preserve">\\192.168.2.50\h_hp\Desktop\Master EXCEL\Lean 4 - CANONICAL_LEDGER_V2 - Python Colab Audit.xlsx</x:t>
        </x:is>
      </x:c>
      <x:c r="B3" t="b">
        <x:v>1</x:v>
      </x:c>
      <x:c r="C3" t="n">
        <x:v>271318</x:v>
      </x:c>
      <x:c r="D3" t="inlineStr">
        <x:is>
          <x:t xml:space="preserve">2026-07-14T06:06:50-05:00</x:t>
        </x:is>
      </x:c>
      <x:c r="E3" t="inlineStr">
        <x:is>
          <x:t xml:space="preserve">280422f68a2b9e60f171ea0e69a7d07a1e1c68a91ffed3f8582db735f158059c</x:t>
        </x:is>
      </x:c>
      <x:c r="F3" t="n">
        <x:v>15</x:v>
      </x:c>
      <x:c r="G3" t="inlineStr">
        <x:is>
          <x:t xml:space="preserve">LEAN_CANONICAL_LEDGER_V2, V2_REPAIR_SUMMARY, START HERE, Structural Staging, Workbook Alignment, Missing From Workbook, Embedded Add List, False Positive Queue, Open Guards, Proof Strength Summary, Canonical Summary, LEAN_CANONICAL_LEDGER, Load Bearing Controls, Recovered Missing Names, Python Colab Audit</x:t>
        </x:is>
      </x:c>
    </x:row>
    <x:row r="4">
      <x:c r="A4" t="inlineStr">
        <x:is>
          <x:t xml:space="preserve">\\192.168.2.50\h_hp\Desktop\Master EXCEL\Lean 4 - CANONICAL_LEDGER_V2.backup_before_python_colab_audit.xlsx</x:t>
        </x:is>
      </x:c>
      <x:c r="B4" t="b">
        <x:v>1</x:v>
      </x:c>
      <x:c r="C4" t="n">
        <x:v>262743</x:v>
      </x:c>
      <x:c r="D4" t="inlineStr">
        <x:is>
          <x:t xml:space="preserve">2026-07-13T23:33:37-05:00</x:t>
        </x:is>
      </x:c>
      <x:c r="E4" t="inlineStr">
        <x:is>
          <x:t xml:space="preserve">216590142b893d4d4c9ce5227f4ea1231afad87701e84ac28d80665255dc9871</x:t>
        </x:is>
      </x:c>
      <x:c r="F4" t="n">
        <x:v>14</x:v>
      </x:c>
      <x:c r="G4" t="inlineStr">
        <x:is>
          <x:t xml:space="preserve">LEAN_CANONICAL_LEDGER_V2, V2_REPAIR_SUMMARY, START HERE, Structural Staging, Workbook Alignment, Missing From Workbook, Embedded Add List, False Positive Queue, Open Guards, Proof Strength Summary, Canonical Summary, LEAN_CANONICAL_LEDGER, Load Bearing Controls, Recovered Missing Names</x:t>
        </x:is>
      </x:c>
    </x:row>
    <x:row r="5">
      <x:c r="A5" t="inlineStr">
        <x:is>
          <x:t xml:space="preserve">\\192.168.2.50\h_hp\Desktop\Master EXCEL\Lean 4 - CANONICAL_LEDGER_V2.pre_python_colab_replace.xlsx</x:t>
        </x:is>
      </x:c>
      <x:c r="B5" t="b">
        <x:v>1</x:v>
      </x:c>
      <x:c r="C5" t="n">
        <x:v>262743</x:v>
      </x:c>
      <x:c r="D5" t="inlineStr">
        <x:is>
          <x:t xml:space="preserve">2026-07-13T23:33:37-05:00</x:t>
        </x:is>
      </x:c>
      <x:c r="E5" t="inlineStr">
        <x:is>
          <x:t xml:space="preserve">216590142b893d4d4c9ce5227f4ea1231afad87701e84ac28d80665255dc9871</x:t>
        </x:is>
      </x:c>
      <x:c r="F5" t="n">
        <x:v>14</x:v>
      </x:c>
      <x:c r="G5" t="inlineStr">
        <x:is>
          <x:t xml:space="preserve">LEAN_CANONICAL_LEDGER_V2, V2_REPAIR_SUMMARY, START HERE, Structural Staging, Workbook Alignment, Missing From Workbook, Embedded Add List, False Positive Queue, Open Guards, Proof Strength Summary, Canonical Summary, LEAN_CANONICAL_LEDGER, Load Bearing Controls, Recovered Missing Names</x:t>
        </x:is>
      </x:c>
    </x:row>
    <x:row r="6">
      <x:c r="A6" t="inlineStr">
        <x:is>
          <x:t xml:space="preserve">\\192.168.2.50\h_hp\Desktop\Master EXCEL\Lean 4.backup_20260710_041459.xlsx</x:t>
        </x:is>
      </x:c>
      <x:c r="B6" t="b">
        <x:v>1</x:v>
      </x:c>
      <x:c r="C6" t="n">
        <x:v>213922</x:v>
      </x:c>
      <x:c r="D6" t="inlineStr">
        <x:is>
          <x:t xml:space="preserve">2026-07-09T18:52:33-05:00</x:t>
        </x:is>
      </x:c>
      <x:c r="E6" t="inlineStr">
        <x:is>
          <x:t xml:space="preserve">949cc676b61b644668ddf5b4d6042ba98d4372294a32a9c643e3fe4aab11aa13</x:t>
        </x:is>
      </x:c>
      <x:c r="F6" t="n">
        <x:v>12</x:v>
      </x:c>
      <x:c r="G6" t="inlineStr">
        <x:is>
          <x:t xml:space="preserve">START HERE, Structural Staging, Workbook Alignment, Missing From Workbook, Embedded Add List, False Positive Queue, Open Guards, Proof Strength Summary, Canonical Summary, LEAN_CANONICAL_LEDGER, Load Bearing Controls, Recovered Missing Names</x:t>
        </x:is>
      </x:c>
    </x:row>
    <x:row r="7">
      <x:c r="A7" t="inlineStr">
        <x:is>
          <x:t xml:space="preserve">\\192.168.2.50\h_hp\Desktop\Documents\LEAN 4 Master.xlsx</x:t>
        </x:is>
      </x:c>
      <x:c r="B7" t="b">
        <x:v>1</x:v>
      </x:c>
      <x:c r="C7" t="n">
        <x:v>320644</x:v>
      </x:c>
      <x:c r="D7" t="inlineStr">
        <x:is>
          <x:t xml:space="preserve">2026-07-25T10:15:46-05:00</x:t>
        </x:is>
      </x:c>
      <x:c r="E7" t="inlineStr">
        <x:is>
          <x:t xml:space="preserve">190a4c3bf3c6bac8acc7b7acd0ccd28e10806993f1c77e89249e412e8d4b306b</x:t>
        </x:is>
      </x:c>
      <x:c r="F7" t="n">
        <x:v>27</x:v>
      </x:c>
      <x:c r="G7" t="inlineStr">
        <x:is>
          <x:t xml:space="preserve">00_README, ★ THE STORY, 01_Source_Doc, 02_Claim_Ledger, 03_Objection_Ledger, 04_Taxonomy, 05_Claim_Strength, 06_Flags, 07_Dependency_Graph, 08_Lean_Layers, 09_Dominance_Standard, 10_Module_Backlog, START HERE, LEAN_CANONICAL_LEDGER, LEAN_CANONICAL_LEDGER_V2, Canonical Summary, Proof Strength Summary, V2_REPAIR_SUMMARY, Workbook Alignment, Structural Staging, Missing From Workbook, Recovered Missing Names, Embedded Add List, Open Guards, False Positive Queue, Load Bearing Controls, Python Colab Audit</x:t>
        </x:is>
      </x:c>
    </x:row>
    <x:row r="8">
      <x:c r="A8" t="inlineStr">
        <x:is>
          <x:t xml:space="preserve">\\192.168.2.50\h_hp\Desktop 2\Theophysics_Lean4_Addendum_Updated (1).xlsx</x:t>
        </x:is>
      </x:c>
      <x:c r="B8" t="b">
        <x:v>1</x:v>
      </x:c>
      <x:c r="C8" t="n">
        <x:v>96031</x:v>
      </x:c>
      <x:c r="D8" t="inlineStr">
        <x:is>
          <x:t xml:space="preserve">2026-06-17T17:15:53-05:00</x:t>
        </x:is>
      </x:c>
      <x:c r="E8" t="inlineStr">
        <x:is>
          <x:t xml:space="preserve">263642f0a6280588b7432b38c82f654f2ba424129d6b5da506496e3e2f557347</x:t>
        </x:is>
      </x:c>
      <x:c r="F8" t="n">
        <x:v>10</x:v>
      </x:c>
      <x:c r="G8" t="inlineStr">
        <x:is>
          <x:t xml:space="preserve">DASHBOARD, LEAN_DERIVATION_CHAIN, GAUNTLET_ARCHITECTURE, EXCEL_ADD_LIST, LANE4_DOSSIER, EMPIRICAL_TESTS, LOGIC_TANGENTS, INFRA_PUBLICATION, OPEN_PROBLEMS_GUARDS, FALSE_POSITIVE_QUEUE</x:t>
        </x:is>
      </x:c>
    </x:row>
  </x:sheetData>
  <x:pageMargins left="0.7" right="0.7" top="0.75" bottom="0.75" header="0.3" footer="0.3"/>
</x:worksheet>
</file>

<file path=xl/worksheets/sheet30.xml><?xml version="1.0" encoding="utf-8"?>
<x:worksheet xmlns:x="http://schemas.openxmlformats.org/spreadsheetml/2006/main">
  <x:sheetFormatPr baseColWidth="8" defaultRowHeight="15"/>
  <x:cols>
    <x:col min="1" max="1" width="12" customWidth="1"/>
    <x:col min="2" max="2" width="14" customWidth="1"/>
  </x:cols>
  <x:sheetData>
    <x:row r="1">
      <x:c r="A1" t="inlineStr">
        <x:is>
          <x:t xml:space="preserve">sha256</x:t>
        </x:is>
      </x:c>
      <x:c r="B1" t="inlineStr">
        <x:is>
          <x:t xml:space="preserve">duplicate_paths</x:t>
        </x:is>
      </x:c>
    </x:row>
    <x:row r="2">
      <x:c r="A2" t="inlineStr">
        <x:is>
          <x:t xml:space="preserve">280422f68a2b9e60f171ea0e69a7d07a1e1c68a91ffed3f8582db735f158059c</x:t>
        </x:is>
      </x:c>
      <x:c r="B2" t="inlineStr">
        <x:is>
          <x:t xml:space="preserve">\\192.168.2.50\h_hp\Desktop\Master EXCEL\Lean 4 - CANONICAL_LEDGER_V2.xlsx
\\192.168.2.50\h_hp\Desktop\Master EXCEL\Lean 4 - CANONICAL_LEDGER_V2 - Python Colab Audit.xlsx</x:t>
        </x:is>
      </x:c>
    </x:row>
    <x:row r="3">
      <x:c r="A3" t="inlineStr">
        <x:is>
          <x:t xml:space="preserve">216590142b893d4d4c9ce5227f4ea1231afad87701e84ac28d80665255dc9871</x:t>
        </x:is>
      </x:c>
      <x:c r="B3" t="inlineStr">
        <x:is>
          <x:t xml:space="preserve">\\192.168.2.50\h_hp\Desktop\Master EXCEL\Lean 4 - CANONICAL_LEDGER_V2.backup_before_python_colab_audit.xlsx
\\192.168.2.50\h_hp\Desktop\Master EXCEL\Lean 4 - CANONICAL_LEDGER_V2.pre_python_colab_replace.xlsx</x:t>
        </x:is>
      </x:c>
    </x:row>
  </x:sheetData>
  <x:pageMargins left="0.7" right="0.7" top="0.75" bottom="0.75" header="0.3" footer="0.3"/>
</x:worksheet>
</file>

<file path=xl/worksheets/sheet31.xml><?xml version="1.0" encoding="utf-8"?>
<x:worksheet xmlns:x="http://schemas.openxmlformats.org/spreadsheetml/2006/main">
  <x:sheetFormatPr baseColWidth="8" defaultRowHeight="15"/>
  <x:sheetData>
    <x:row r="2">
      <x:c r="A2" t="inlineStr">
        <x:is>
          <x:t xml:space="preserve">287 theorems  ·  0 axioms  ·  0 sorry  ·  0 admit  ·  16 Lean files  ·  Compiled clean</x:t>
        </x:is>
      </x:c>
    </x:row>
    <x:row r="4">
      <x:c r="A4" t="inlineStr">
        <x:is>
          <x:t xml:space="preserve">SUMMARY</x:t>
        </x:is>
      </x:c>
    </x:row>
    <x:row r="5">
      <x:c r="B5" t="inlineStr">
        <x:is>
          <x:t xml:space="preserve">Named theorems proved</x:t>
        </x:is>
      </x:c>
      <x:c r="C5" t="inlineStr">
        <x:is>
          <x:t xml:space="preserve">210+</x:t>
        </x:is>
      </x:c>
    </x:row>
    <x:row r="6">
      <x:c r="B6" t="inlineStr">
        <x:is>
          <x:t xml:space="preserve">Adversarial rejections proved</x:t>
        </x:is>
      </x:c>
      <x:c r="C6" t="inlineStr">
        <x:is>
          <x:t xml:space="preserve">70+</x:t>
        </x:is>
      </x:c>
    </x:row>
    <x:row r="7">
      <x:c r="B7" t="inlineStr">
        <x:is>
          <x:t xml:space="preserve">Structural isomorphisms proved</x:t>
        </x:is>
      </x:c>
      <x:c r="C7" t="n">
        <x:v>3</x:v>
      </x:c>
      <x:c r="D7" t="inlineStr">
        <x:is>
          <x:t xml:space="preserve">StrongForce↔Love · Maxwell↔Trinity · Physics↔Theology</x:t>
        </x:is>
      </x:c>
    </x:row>
    <x:row r="8">
      <x:c r="B8" t="inlineStr">
        <x:is>
          <x:t xml:space="preserve">Uniqueness results</x:t>
        </x:is>
      </x:c>
      <x:c r="C8" t="n">
        <x:v>1</x:v>
      </x:c>
      <x:c r="D8" t="inlineStr">
        <x:is>
          <x:t xml:space="preserve">Cross is the unique convergence configuration</x:t>
        </x:is>
      </x:c>
    </x:row>
    <x:row r="9">
      <x:c r="B9" t="inlineStr">
        <x:is>
          <x:t xml:space="preserve">Laws with formal collapse proofs</x:t>
        </x:is>
      </x:c>
      <x:c r="C9" s="94" t="n">
        <x:v>46122</x:v>
      </x:c>
      <x:c r="D9" t="inlineStr">
        <x:is>
          <x:t xml:space="preserve">Laws 3, 6, 7, 8</x:t>
        </x:is>
      </x:c>
    </x:row>
    <x:row r="10">
      <x:c r="B10" t="inlineStr">
        <x:is>
          <x:t xml:space="preserve">Laws with independent formal structure</x:t>
        </x:is>
      </x:c>
      <x:c r="C10" t="inlineStr">
        <x:is>
          <x:t xml:space="preserve">2 more</x:t>
        </x:is>
      </x:c>
      <x:c r="D10" t="inlineStr">
        <x:is>
          <x:t xml:space="preserve">Law 4 isomorphism, Law 5 uniqueness</x:t>
        </x:is>
      </x:c>
    </x:row>
    <x:row r="11">
      <x:c r="B11" t="inlineStr">
        <x:is>
          <x:t xml:space="preserve">Dependency lattice edges</x:t>
        </x:is>
      </x:c>
      <x:c r="C11" t="n">
        <x:v>44</x:v>
      </x:c>
      <x:c r="D11" t="inlineStr">
        <x:is>
          <x:t xml:space="preserve">20 theology + 24 physics</x:t>
        </x:is>
      </x:c>
    </x:row>
    <x:row r="12">
      <x:c r="B12" t="inlineStr">
        <x:is>
          <x:t xml:space="preserve">Boundary conditions found</x:t>
        </x:is>
      </x:c>
      <x:c r="C12" t="n">
        <x:v>4</x:v>
      </x:c>
      <x:c r="D12" t="inlineStr">
        <x:is>
          <x:t xml:space="preserve">Label honesty · Non-injective projection · Product-only blindness · Coin false positive</x:t>
        </x:is>
      </x:c>
    </x:row>
    <x:row r="13">
      <x:c r="B13" t="inlineStr">
        <x:is>
          <x:t xml:space="preserve">Hit rate (closed denominator)</x:t>
        </x:is>
      </x:c>
      <x:c r="C13" t="n">
        <x:v>0.8</x:v>
      </x:c>
      <x:c r="D13" t="inlineStr">
        <x:is>
          <x:t xml:space="preserve">8/10 bridges compiled — formally audited, no cherry-picking</x:t>
        </x:is>
      </x:c>
    </x:row>
    <x:row r="15">
      <x:c r="A15" t="inlineStr">
        <x:is>
          <x:t xml:space="preserve">FLAGSHIP RESULT  —  MAXWELL / TRINITY ISOMORPHISM</x:t>
        </x:is>
      </x:c>
    </x:row>
    <x:row r="18">
      <x:c r="B18" t="inlineStr">
        <x:is>
          <x:t xml:space="preserve">PASSED</x:t>
        </x:is>
      </x:c>
      <x:c r="C18" t="inlineStr">
        <x:is>
          <x:t xml:space="preserve">Theorem</x:t>
        </x:is>
      </x:c>
      <x:c r="D18" t="inlineStr">
        <x:is>
          <x:t xml:space="preserve">What It Proves</x:t>
        </x:is>
      </x:c>
    </x:row>
    <x:row r="19">
      <x:c r="B19" t="inlineStr">
        <x:is>
          <x:t xml:space="preserve">✅ PROVED</x:t>
        </x:is>
      </x:c>
      <x:c r="C19" t="inlineStr">
        <x:is>
          <x:t xml:space="preserve">quaternionEM_valid</x:t>
        </x:is>
      </x:c>
      <x:c r="D19" t="inlineStr">
        <x:is>
          <x:t xml:space="preserve">Quaternion EM model passes all 5 ValidTriadic conditions</x:t>
        </x:is>
      </x:c>
    </x:row>
    <x:row r="20">
      <x:c r="B20" t="inlineStr">
        <x:is>
          <x:t xml:space="preserve">✅ PROVED</x:t>
        </x:is>
      </x:c>
      <x:c r="C20" t="inlineStr">
        <x:is>
          <x:t xml:space="preserve">trinityRelational_valid</x:t>
        </x:is>
      </x:c>
      <x:c r="D20" t="inlineStr">
        <x:is>
          <x:t xml:space="preserve">Trinity relational model passes all 5 ValidTriadic conditions</x:t>
        </x:is>
      </x:c>
    </x:row>
    <x:row r="21">
      <x:c r="B21" t="inlineStr">
        <x:is>
          <x:t xml:space="preserve">✅ PROVED</x:t>
        </x:is>
      </x:c>
      <x:c r="C21" t="inlineStr">
        <x:is>
          <x:t xml:space="preserve">quaternionTrinityIso</x:t>
        </x:is>
      </x:c>
      <x:c r="D21" t="inlineStr">
        <x:is>
          <x:t xml:space="preserve">Full structural isomorphism: Quaternion EM ≅ Relational Trinity (TriadicIso)</x:t>
        </x:is>
      </x:c>
    </x:row>
    <x:row r="22">
      <x:c r="B22" t="inlineStr">
        <x:is>
          <x:t xml:space="preserve">✅ PROVED</x:t>
        </x:is>
      </x:c>
      <x:c r="C22" t="inlineStr">
        <x:is>
          <x:t xml:space="preserve">coupling_invariant</x:t>
        </x:is>
      </x:c>
      <x:c r="D22" t="inlineStr">
        <x:is>
          <x:t xml:space="preserve">Quaternion product has scalar-vector coupling that vector-only lacks</x:t>
        </x:is>
      </x:c>
    </x:row>
    <x:row r="23">
      <x:c r="B23" t="inlineStr">
        <x:is>
          <x:t xml:space="preserve">✅ PROVED</x:t>
        </x:is>
      </x:c>
      <x:c r="C23" t="inlineStr">
        <x:is>
          <x:t xml:space="preserve">5 guard audits</x:t>
        </x:is>
      </x:c>
      <x:c r="D23" t="inlineStr">
        <x:is>
          <x:t xml:space="preserve">Each guard is load-bearing — removing any single one admits the corresponding false positive</x:t>
        </x:is>
      </x:c>
    </x:row>
    <x:row r="25">
      <x:c r="B25" t="inlineStr">
        <x:is>
          <x:t xml:space="preserve">REJECTED CONTROLS (all passed by design)</x:t>
        </x:is>
      </x:c>
      <x:c r="C25" t="inlineStr">
        <x:is>
          <x:t xml:space="preserve">Wrong Model</x:t>
        </x:is>
      </x:c>
      <x:c r="D25" t="inlineStr">
        <x:is>
          <x:t xml:space="preserve">Why It Correctly Fails</x:t>
        </x:is>
      </x:c>
    </x:row>
    <x:row r="26">
      <x:c r="B26" t="inlineStr">
        <x:is>
          <x:t xml:space="preserve">✅ REJECTION</x:t>
        </x:is>
      </x:c>
      <x:c r="C26" t="inlineStr">
        <x:is>
          <x:t xml:space="preserve">Heaviside vector-only EM</x:t>
        </x:is>
      </x:c>
      <x:c r="D26" t="inlineStr">
        <x:is>
          <x:t xml:space="preserve">No coupling invariant — scalar-vector coupling stripped out</x:t>
        </x:is>
      </x:c>
    </x:row>
    <x:row r="27">
      <x:c r="B27" t="inlineStr">
        <x:is>
          <x:t xml:space="preserve">✅ REJECTION</x:t>
        </x:is>
      </x:c>
      <x:c r="C27" t="inlineStr">
        <x:is>
          <x:t xml:space="preserve">Modalism</x:t>
        </x:is>
      </x:c>
      <x:c r="D27" t="inlineStr">
        <x:is>
          <x:t xml:space="preserve">No relational distinctness — persons collapse into modes</x:t>
        </x:is>
      </x:c>
    </x:row>
    <x:row r="28">
      <x:c r="B28" t="inlineStr">
        <x:is>
          <x:t xml:space="preserve">✅ REJECTION</x:t>
        </x:is>
      </x:c>
      <x:c r="C28" t="inlineStr">
        <x:is>
          <x:t xml:space="preserve">Static single-field EM</x:t>
        </x:is>
      </x:c>
      <x:c r="D28" t="inlineStr">
        <x:is>
          <x:t xml:space="preserve">Not full dynamic — lacks triadic interaction structure</x:t>
        </x:is>
      </x:c>
    </x:row>
    <x:row r="29">
      <x:c r="B29" t="inlineStr">
        <x:is>
          <x:t xml:space="preserve">✅ REJECTION</x:t>
        </x:is>
      </x:c>
      <x:c r="C29" t="inlineStr">
        <x:is>
          <x:t xml:space="preserve">Arbitrary 3-part system</x:t>
        </x:is>
      </x:c>
      <x:c r="D29" t="inlineStr">
        <x:is>
          <x:t xml:space="preserve">Wrong role profiles — generic triple ≠ structured triad</x:t>
        </x:is>
      </x:c>
    </x:row>
    <x:row r="30">
      <x:c r="B30" t="inlineStr">
        <x:is>
          <x:t xml:space="preserve">✅ REJECTION</x:t>
        </x:is>
      </x:c>
      <x:c r="C30" t="inlineStr">
        <x:is>
          <x:t xml:space="preserve">Relabeled role system</x:t>
        </x:is>
      </x:c>
      <x:c r="D30" t="inlineStr">
        <x:is>
          <x:t xml:space="preserve">Labels ≠ profiles — renaming doesn't create structure</x:t>
        </x:is>
      </x:c>
    </x:row>
    <x:row r="32">
      <x:c r="B32" t="inlineStr">
        <x:is>
          <x:t xml:space="preserve">SAFE PUBLIC WORDING</x:t>
        </x:is>
      </x:c>
    </x:row>
    <x:row r="33">
      <x:c r="B33" t="inlineStr">
        <x:is>
          <x:t xml:space="preserve">The Trinity bridge passes only under the relational triadic specification. Modalist, static, arbitrary, vector-only, and relabeled alternatives fail. Lean does not prove Nicene theology from physics; it proves that the intended relational triadic structure satisfies the formal gate while nearby false positives do not.</x:t>
        </x:is>
      </x:c>
    </x:row>
    <x:row r="35">
      <x:c r="B35" t="inlineStr">
        <x:is>
          <x:t xml:space="preserve">OPEN SPEC QUESTION</x:t>
        </x:is>
      </x:c>
    </x:row>
    <x:row r="36">
      <x:c r="B36" t="inlineStr">
        <x:is>
          <x:t xml:space="preserve">Does quaternionEM faithfully represent historical Maxwell quaternion EM? Does the relational model faithfully represent Nicene Trinitarian doctrine? These are domain judgment calls, not formal proof targets.</x:t>
        </x:is>
      </x:c>
    </x:row>
    <x:row r="38">
      <x:c r="A38" t="inlineStr">
        <x:is>
          <x:t xml:space="preserve">LAYER-BY-LAYER SCORECARD</x:t>
        </x:is>
      </x:c>
    </x:row>
    <x:row r="39">
      <x:c r="B39" t="inlineStr">
        <x:is>
          <x:t xml:space="preserve">Layer</x:t>
        </x:is>
      </x:c>
      <x:c r="C39" t="inlineStr">
        <x:is>
          <x:t xml:space="preserve">Lean File</x:t>
        </x:is>
      </x:c>
      <x:c r="D39" t="inlineStr">
        <x:is>
          <x:t xml:space="preserve">What It Proves</x:t>
        </x:is>
      </x:c>
      <x:c r="E39" t="inlineStr">
        <x:is>
          <x:t xml:space="preserve">Status</x:t>
        </x:is>
      </x:c>
      <x:c r="F39" t="inlineStr">
        <x:is>
          <x:t xml:space="preserve">Key Theorems</x:t>
        </x:is>
      </x:c>
      <x:c r="G39" t="inlineStr">
        <x:is>
          <x:t xml:space="preserve">Overclaim Guard</x:t>
        </x:is>
      </x:c>
    </x:row>
    <x:row r="40">
      <x:c r="A40" t="inlineStr">
        <x:is>
          <x:t xml:space="preserve">L0</x:t>
        </x:is>
      </x:c>
      <x:c r="B40" t="inlineStr">
        <x:is>
          <x:t xml:space="preserve">Foundational Definitions</x:t>
        </x:is>
      </x:c>
      <x:c r="C40" t="inlineStr">
        <x:is>
          <x:t xml:space="preserve">Core.lean</x:t>
        </x:is>
      </x:c>
      <x:c r="D40" t="inlineStr">
        <x:is>
          <x:t xml:space="preserve">Dual-substrate, coupling states, irreversibility gate, χ product</x:t>
        </x:is>
      </x:c>
      <x:c r="E40" t="inlineStr">
        <x:is>
          <x:t xml:space="preserve">✅ PROVED</x:t>
        </x:is>
      </x:c>
      <x:c r="F40" t="n">
        <x:v>5</x:v>
      </x:c>
      <x:c r="G40" t="inlineStr">
        <x:is>
          <x:t xml:space="preserve">Internal consistency only</x:t>
        </x:is>
      </x:c>
    </x:row>
    <x:row r="41">
      <x:c r="A41" t="inlineStr">
        <x:is>
          <x:t xml:space="preserve">L1</x:t>
        </x:is>
      </x:c>
      <x:c r="B41" t="inlineStr">
        <x:is>
          <x:t xml:space="preserve">Stage Ordering</x:t>
        </x:is>
      </x:c>
      <x:c r="C41" t="inlineStr">
        <x:is>
          <x:t xml:space="preserve">StageMachine.lean</x:t>
        </x:is>
      </x:c>
      <x:c r="D41" t="inlineStr">
        <x:is>
          <x:t xml:space="preserve">Strictly ordered, irreversible operation sequence</x:t>
        </x:is>
      </x:c>
      <x:c r="E41" t="inlineStr">
        <x:is>
          <x:t xml:space="preserve">⚠️ DEMOTED</x:t>
        </x:is>
      </x:c>
      <x:c r="F41" t="n">
        <x:v>5</x:v>
      </x:c>
      <x:c r="G41" t="inlineStr">
        <x:is>
          <x:t xml:space="preserve">Teaching layer — lattice supersedes</x:t>
        </x:is>
      </x:c>
    </x:row>
    <x:row r="42">
      <x:c r="A42" t="inlineStr">
        <x:is>
          <x:t xml:space="preserve">L2</x:t>
        </x:is>
      </x:c>
      <x:c r="B42" t="inlineStr">
        <x:is>
          <x:t xml:space="preserve">Physics↔Theology Sequence Map</x:t>
        </x:is>
      </x:c>
      <x:c r="C42" t="inlineStr">
        <x:is>
          <x:t xml:space="preserve">Mapping.lean</x:t>
        </x:is>
      </x:c>
      <x:c r="D42" t="inlineStr">
        <x:is>
          <x:t xml:space="preserve">1-to-1 order-preserving map</x:t>
        </x:is>
      </x:c>
      <x:c r="E42" t="inlineStr">
        <x:is>
          <x:t xml:space="preserve">⚠️ DEMOTED</x:t>
        </x:is>
      </x:c>
      <x:c r="F42" t="n">
        <x:v>3</x:v>
      </x:c>
      <x:c r="G42" t="inlineStr">
        <x:is>
          <x:t xml:space="preserve">Toy correspondence — lattice supersedes</x:t>
        </x:is>
      </x:c>
    </x:row>
    <x:row r="43">
      <x:c r="A43" t="inlineStr">
        <x:is>
          <x:t xml:space="preserve">L3</x:t>
        </x:is>
      </x:c>
      <x:c r="B43" t="inlineStr">
        <x:is>
          <x:t xml:space="preserve">Bridge Matrix — 10-Factor Signature</x:t>
        </x:is>
      </x:c>
      <x:c r="C43" t="inlineStr">
        <x:is>
          <x:t xml:space="preserve">BridgeMatrix.lean</x:t>
        </x:is>
      </x:c>
      <x:c r="D43" t="inlineStr">
        <x:is>
          <x:t xml:space="preserve">10 factors typed; canonical rows valid; wrong pairings rejected</x:t>
        </x:is>
      </x:c>
      <x:c r="E43" t="inlineStr">
        <x:is>
          <x:t xml:space="preserve">✅ PROVED</x:t>
        </x:is>
      </x:c>
      <x:c r="F43" t="n">
        <x:v>21</x:v>
      </x:c>
      <x:c r="G43" t="inlineStr">
        <x:is>
          <x:t xml:space="preserve">Does not prove these 10 factors are correct/complete</x:t>
        </x:is>
      </x:c>
    </x:row>
    <x:row r="44">
      <x:c r="A44" t="inlineStr">
        <x:is>
          <x:t xml:space="preserve">L4</x:t>
        </x:is>
      </x:c>
      <x:c r="B44" t="inlineStr">
        <x:is>
          <x:t xml:space="preserve">Master Equation Invariance</x:t>
        </x:is>
      </x:c>
      <x:c r="C44" t="inlineStr">
        <x:is>
          <x:t xml:space="preserve">MasterEquationInvariance.lean</x:t>
        </x:is>
      </x:c>
      <x:c r="D44" t="inlineStr">
        <x:is>
          <x:t xml:space="preserve">Canonical substitution preserves signatures AND product</x:t>
        </x:is>
      </x:c>
      <x:c r="E44" t="inlineStr">
        <x:is>
          <x:t xml:space="preserve">✅ PROVED</x:t>
        </x:is>
      </x:c>
      <x:c r="F44" t="n">
        <x:v>8</x:v>
      </x:c>
      <x:c r="G44" t="inlineStr">
        <x:is>
          <x:t xml:space="preserve">Product alone too weak — signature discipline load-bearing</x:t>
        </x:is>
      </x:c>
    </x:row>
    <x:row r="45">
      <x:c r="A45" t="inlineStr">
        <x:is>
          <x:t xml:space="preserve">L5</x:t>
        </x:is>
      </x:c>
      <x:c r="B45" t="inlineStr">
        <x:is>
          <x:t xml:space="preserve">Field Bridge Controls (Laws 3,6,7,8)</x:t>
        </x:is>
      </x:c>
      <x:c r="C45" t="inlineStr">
        <x:is>
          <x:t xml:space="preserve">FieldBridgeControls.lean</x:t>
        </x:is>
      </x:c>
      <x:c r="D45" t="inlineStr">
        <x:is>
          <x:t xml:space="preserve">Per-law collapse proofs; each bypass zeroes χ globally</x:t>
        </x:is>
      </x:c>
      <x:c r="E45" t="inlineStr">
        <x:is>
          <x:t xml:space="preserve">✅ PROVED</x:t>
        </x:is>
      </x:c>
      <x:c r="F45" t="n">
        <x:v>22</x:v>
      </x:c>
      <x:c r="G45" t="inlineStr">
        <x:is>
          <x:t xml:space="preserve">Laws 1,2,9,10 still lack domain-specific controls</x:t>
        </x:is>
      </x:c>
    </x:row>
    <x:row r="46">
      <x:c r="A46" t="inlineStr">
        <x:is>
          <x:t xml:space="preserve">L6</x:t>
        </x:is>
      </x:c>
      <x:c r="B46" t="inlineStr">
        <x:is>
          <x:t xml:space="preserve">Bridge Score Discipline</x:t>
        </x:is>
      </x:c>
      <x:c r="C46" t="inlineStr">
        <x:is>
          <x:t xml:space="preserve">BridgeScoreDiscipline.lean</x:t>
        </x:is>
      </x:c>
      <x:c r="D46" t="inlineStr">
        <x:is>
          <x:t xml:space="preserve">Graded scores gated before entering ME; binary output enforced</x:t>
        </x:is>
      </x:c>
      <x:c r="E46" t="inlineStr">
        <x:is>
          <x:t xml:space="preserve">✅ PROVED</x:t>
        </x:is>
      </x:c>
      <x:c r="F46" t="n">
        <x:v>10</x:v>
      </x:c>
      <x:c r="G46" t="inlineStr">
        <x:is>
          <x:t xml:space="preserve">Blocks silent conflation of graded with binary</x:t>
        </x:is>
      </x:c>
    </x:row>
    <x:row r="47">
      <x:c r="A47" t="inlineStr">
        <x:is>
          <x:t xml:space="preserve">L7</x:t>
        </x:is>
      </x:c>
      <x:c r="B47" t="inlineStr">
        <x:is>
          <x:t xml:space="preserve">Law 4 Iso — Strong Force / Love</x:t>
        </x:is>
      </x:c>
      <x:c r="C47" t="inlineStr">
        <x:is>
          <x:t xml:space="preserve">IsomorphismTest.lean</x:t>
        </x:is>
      </x:c>
      <x:c r="D47" t="inlineStr">
        <x:is>
          <x:t xml:space="preserve">Two-level isomorphism with adversarial false-positive testing</x:t>
        </x:is>
      </x:c>
      <x:c r="E47" t="inlineStr">
        <x:is>
          <x:t xml:space="preserve">✅ PROVED</x:t>
        </x:is>
      </x:c>
      <x:c r="F47" t="n">
        <x:v>10</x:v>
      </x:c>
      <x:c r="G47" t="inlineStr">
        <x:is>
          <x:t xml:space="preserve">Coin model boundary: basic iso too weak, RichLawIso needed</x:t>
        </x:is>
      </x:c>
    </x:row>
    <x:row r="48">
      <x:c r="A48" t="inlineStr">
        <x:is>
          <x:t xml:space="preserve">⭐ L8</x:t>
        </x:is>
      </x:c>
      <x:c r="B48" t="inlineStr">
        <x:is>
          <x:t xml:space="preserve">Maxwell / Trinity Isomorphism</x:t>
        </x:is>
      </x:c>
      <x:c r="C48" t="inlineStr">
        <x:is>
          <x:t xml:space="preserve">MaxwellTrinity.lean</x:t>
        </x:is>
      </x:c>
      <x:c r="D48" t="inlineStr">
        <x:is>
          <x:t xml:space="preserve">5-condition structural spec; 5 false positives rejected; every guard load-bearing</x:t>
        </x:is>
      </x:c>
      <x:c r="E48" t="inlineStr">
        <x:is>
          <x:t xml:space="preserve">✅ PROVED</x:t>
        </x:is>
      </x:c>
      <x:c r="F48" t="n">
        <x:v>24</x:v>
      </x:c>
      <x:c r="G48" t="inlineStr">
        <x:is>
          <x:t xml:space="preserve">SPEC-01: faithful abstraction is domain judgment</x:t>
        </x:is>
      </x:c>
    </x:row>
    <x:row r="49">
      <x:c r="A49" t="inlineStr">
        <x:is>
          <x:t xml:space="preserve">⭐ L9</x:t>
        </x:is>
      </x:c>
      <x:c r="B49" t="inlineStr">
        <x:is>
          <x:t xml:space="preserve">Justice/Mercy — Cross Uniqueness</x:t>
        </x:is>
      </x:c>
      <x:c r="C49" t="inlineStr">
        <x:is>
          <x:t xml:space="preserve">JusticeMercyOperator.lean</x:t>
        </x:is>
      </x:c>
      <x:c r="D49" t="inlineStr">
        <x:is>
          <x:t xml:space="preserve">Cross is THE unique convergence config; every alternative eliminated</x:t>
        </x:is>
      </x:c>
      <x:c r="E49" t="inlineStr">
        <x:is>
          <x:t xml:space="preserve">✅ PROVED</x:t>
        </x:is>
      </x:c>
      <x:c r="F49" t="n">
        <x:v>14</x:v>
      </x:c>
      <x:c r="G49" t="inlineStr">
        <x:is>
          <x:t xml:space="preserve">Uniqueness within model; history tested separately</x:t>
        </x:is>
      </x:c>
    </x:row>
    <x:row r="50">
      <x:c r="A50" t="inlineStr">
        <x:is>
          <x:t xml:space="preserve">L10</x:t>
        </x:is>
      </x:c>
      <x:c r="B50" t="inlineStr">
        <x:is>
          <x:t xml:space="preserve">Polarity Discipline</x:t>
        </x:is>
      </x:c>
      <x:c r="C50" t="inlineStr">
        <x:is>
          <x:t xml:space="preserve">PolarityDiscipline.lean</x:t>
        </x:is>
      </x:c>
      <x:c r="D50" t="inlineStr">
        <x:is>
          <x:t xml:space="preserve">Two wrongs don't make a right — formally</x:t>
        </x:is>
      </x:c>
      <x:c r="E50" t="inlineStr">
        <x:is>
          <x:t xml:space="preserve">✅ PROVED</x:t>
        </x:is>
      </x:c>
      <x:c r="F50" t="n">
        <x:v>7</x:v>
      </x:c>
      <x:c r="G50" t="inlineStr">
        <x:is>
          <x:t xml:space="preserve">Sign polarity is diagnostic, not redemptive</x:t>
        </x:is>
      </x:c>
    </x:row>
    <x:row r="51">
      <x:c r="A51" t="inlineStr">
        <x:is>
          <x:t xml:space="preserve">L11</x:t>
        </x:is>
      </x:c>
      <x:c r="B51" t="inlineStr">
        <x:is>
          <x:t xml:space="preserve">Sign Conversion Discipline</x:t>
        </x:is>
      </x:c>
      <x:c r="C51" t="inlineStr">
        <x:is>
          <x:t xml:space="preserve">SignConversionDiscipline.lean</x:t>
        </x:is>
      </x:c>
      <x:c r="D51" t="inlineStr">
        <x:is>
          <x:t xml:space="preserve">External conversion required; self-repair impossible</x:t>
        </x:is>
      </x:c>
      <x:c r="E51" t="inlineStr">
        <x:is>
          <x:t xml:space="preserve">✅ PROVED</x:t>
        </x:is>
      </x:c>
      <x:c r="F51" t="n">
        <x:v>9</x:v>
      </x:c>
      <x:c r="G51" t="inlineStr">
        <x:is>
          <x:t xml:space="preserve">Proves the model arithmetic, not metaphysics</x:t>
        </x:is>
      </x:c>
    </x:row>
    <x:row r="52">
      <x:c r="A52" t="inlineStr">
        <x:is>
          <x:t xml:space="preserve">L12</x:t>
        </x:is>
      </x:c>
      <x:c r="B52" t="inlineStr">
        <x:is>
          <x:t xml:space="preserve">Christ Operator Discipline</x:t>
        </x:is>
      </x:c>
      <x:c r="C52" t="inlineStr">
        <x:is>
          <x:t xml:space="preserve">ChristOperatorDiscipline.lean</x:t>
        </x:is>
      </x:c>
      <x:c r="D52" t="inlineStr">
        <x:is>
          <x:t xml:space="preserve">C_op: external integration, not scalar; restoration ≠ erasure</x:t>
        </x:is>
      </x:c>
      <x:c r="E52" t="inlineStr">
        <x:is>
          <x:t xml:space="preserve">✅ PROVED</x:t>
        </x:is>
      </x:c>
      <x:c r="F52" t="n">
        <x:v>11</x:v>
      </x:c>
      <x:c r="G52" t="inlineStr">
        <x:is>
          <x:t xml:space="preserve">Operator works in model ≠ proof of Incarnation</x:t>
        </x:is>
      </x:c>
    </x:row>
    <x:row r="53">
      <x:c r="A53" t="inlineStr">
        <x:is>
          <x:t xml:space="preserve">L13</x:t>
        </x:is>
      </x:c>
      <x:c r="B53" t="inlineStr">
        <x:is>
          <x:t xml:space="preserve">Mission Return Operator</x:t>
        </x:is>
      </x:c>
      <x:c r="C53" t="inlineStr">
        <x:is>
          <x:t xml:space="preserve">MissionReturnOperator.lean</x:t>
        </x:is>
      </x:c>
      <x:c r="D53" t="inlineStr">
        <x:is>
          <x:t xml:space="preserve">Resurrection = mission return; identity preserved, record carried</x:t>
        </x:is>
      </x:c>
      <x:c r="E53" t="inlineStr">
        <x:is>
          <x:t xml:space="preserve">✅ PROVED</x:t>
        </x:is>
      </x:c>
      <x:c r="F53" t="n">
        <x:v>13</x:v>
      </x:c>
      <x:c r="G53" t="inlineStr">
        <x:is>
          <x:t xml:space="preserve">Architecture consistent ≠ proof Resurrection happened</x:t>
        </x:is>
      </x:c>
    </x:row>
    <x:row r="54">
      <x:c r="A54" t="inlineStr">
        <x:is>
          <x:t xml:space="preserve">L14</x:t>
        </x:is>
      </x:c>
      <x:c r="B54" t="inlineStr">
        <x:is>
          <x:t xml:space="preserve">Memory Persistence Discipline</x:t>
        </x:is>
      </x:c>
      <x:c r="C54" t="inlineStr">
        <x:is>
          <x:t xml:space="preserve">MemoryPersistenceDiscipline.lean</x:t>
        </x:is>
      </x:c>
      <x:c r="D54" t="inlineStr">
        <x:is>
          <x:t xml:space="preserve">Three-layer memory; reorientation restores retention; heaven = coherent+eternal</x:t>
        </x:is>
      </x:c>
      <x:c r="E54" t="inlineStr">
        <x:is>
          <x:t xml:space="preserve">✅ PROVED</x:t>
        </x:is>
      </x:c>
      <x:c r="F54" t="n">
        <x:v>22</x:v>
      </x:c>
      <x:c r="G54" t="inlineStr">
        <x:is>
          <x:t xml:space="preserve">Model rules, not metaphysical proof</x:t>
        </x:is>
      </x:c>
    </x:row>
    <x:row r="55">
      <x:c r="A55" t="inlineStr">
        <x:is>
          <x:t xml:space="preserve">L15</x:t>
        </x:is>
      </x:c>
      <x:c r="B55" t="inlineStr">
        <x:is>
          <x:t xml:space="preserve">Dependency Lattice</x:t>
        </x:is>
      </x:c>
      <x:c r="C55" t="inlineStr">
        <x:is>
          <x:t xml:space="preserve">DependencyLattice.lean</x:t>
        </x:is>
      </x:c>
      <x:c r="D55" t="inlineStr">
        <x:is>
          <x:t xml:space="preserve">3 lattices (theo 21, phys 32, ordo 6); wrong orderings rejected</x:t>
        </x:is>
      </x:c>
      <x:c r="E55" t="inlineStr">
        <x:is>
          <x:t xml:space="preserve">✅ PROVED</x:t>
        </x:is>
      </x:c>
      <x:c r="F55" t="n">
        <x:v>15</x:v>
      </x:c>
      <x:c r="G55" t="inlineStr">
        <x:is>
          <x:t xml:space="preserve">Only 3/20 theology edges have cross-domain witnesses</x:t>
        </x:is>
      </x:c>
    </x:row>
    <x:row r="56">
      <x:c r="A56" t="inlineStr">
        <x:is>
          <x:t xml:space="preserve">L16</x:t>
        </x:is>
      </x:c>
      <x:c r="B56" t="inlineStr">
        <x:is>
          <x:t xml:space="preserve">Hit Rate Discipline</x:t>
        </x:is>
      </x:c>
      <x:c r="C56" t="inlineStr">
        <x:is>
          <x:t xml:space="preserve">HitRateDiscipline.lean</x:t>
        </x:is>
      </x:c>
      <x:c r="D56" t="inlineStr">
        <x:is>
          <x:t xml:space="preserve">Closed denominator; 8/10 = 80%; no cherry-picking</x:t>
        </x:is>
      </x:c>
      <x:c r="E56" t="inlineStr">
        <x:is>
          <x:t xml:space="preserve">✅ PROVED</x:t>
        </x:is>
      </x:c>
      <x:c r="F56" t="n">
        <x:v>8</x:v>
      </x:c>
      <x:c r="G56" t="inlineStr">
        <x:is>
          <x:t xml:space="preserve">Cannot claim 90% — can't claim what you haven't earned</x:t>
        </x:is>
      </x:c>
    </x:row>
    <x:row r="58">
      <x:c r="A58" t="inlineStr">
        <x:is>
          <x:t xml:space="preserve">FORMAL GAPS  —  COULD BE ADDRESSED WITH MORE LEAN</x:t>
        </x:is>
      </x:c>
    </x:row>
    <x:row r="59">
      <x:c r="B59" t="inlineStr">
        <x:is>
          <x:t xml:space="preserve">Every gap here is an honest admission. The system does not claim what it has not proven.</x:t>
        </x:is>
      </x:c>
    </x:row>
    <x:row r="61">
      <x:c r="B61" t="inlineStr">
        <x:is>
          <x:t xml:space="preserve">GAP-01</x:t>
        </x:is>
      </x:c>
      <x:c r="C61" t="inlineStr">
        <x:is>
          <x:t xml:space="preserve">Laws 1, 2, 9, 10 — no domain-specific collapse conditions</x:t>
        </x:is>
      </x:c>
      <x:c r="D61" t="inlineStr">
        <x:is>
          <x:t xml:space="preserve">Generic zero-collapse proved but physical mechanism NOT encoded</x:t>
        </x:is>
      </x:c>
    </x:row>
    <x:row r="62">
      <x:c r="B62" t="inlineStr">
        <x:is>
          <x:t xml:space="preserve">GAP-02</x:t>
        </x:is>
      </x:c>
      <x:c r="C62" t="inlineStr">
        <x:is>
          <x:t xml:space="preserve">Law 4 factor-level bridge wiring</x:t>
        </x:is>
      </x:c>
      <x:c r="D62" t="inlineStr">
        <x:is>
          <x:t xml:space="preserve">StrongForce ≅ Love proved at model level, but no gate wiring into χ product</x:t>
        </x:is>
      </x:c>
    </x:row>
    <x:row r="63">
      <x:c r="B63" t="inlineStr">
        <x:is>
          <x:t xml:space="preserve">GAP-03</x:t>
        </x:is>
      </x:c>
      <x:c r="C63" t="inlineStr">
        <x:is>
          <x:t xml:space="preserve">Law 5 factor-level bridge wiring</x:t>
        </x:is>
      </x:c>
      <x:c r="D63" t="inlineStr">
        <x:is>
          <x:t xml:space="preserve">Justice/Mercy operator independent but no formal wiring to Factor.S slot</x:t>
        </x:is>
      </x:c>
    </x:row>
    <x:row r="64">
      <x:c r="B64" t="inlineStr">
        <x:is>
          <x:t xml:space="preserve">GAP-04</x:t>
        </x:is>
      </x:c>
      <x:c r="C64" t="inlineStr">
        <x:is>
          <x:t xml:space="preserve">Category-theoretic upgrade of Mapping.lean</x:t>
        </x:is>
      </x:c>
      <x:c r="D64" t="inlineStr">
        <x:is>
          <x:t xml:space="preserve">Currently a list-map equality; proper functor would be stronger</x:t>
        </x:is>
      </x:c>
    </x:row>
    <x:row r="65">
      <x:c r="B65" t="inlineStr">
        <x:is>
          <x:t xml:space="preserve">GAP-05</x:t>
        </x:is>
      </x:c>
      <x:c r="C65" t="inlineStr">
        <x:is>
          <x:t xml:space="preserve">Cross-domain lattice coverage</x:t>
        </x:is>
      </x:c>
      <x:c r="D65" t="inlineStr">
        <x:is>
          <x:t xml:space="preserve">Only 3 of ~20 theology edges have physics witnesses</x:t>
        </x:is>
      </x:c>
    </x:row>
    <x:row r="67">
      <x:c r="A67" t="inlineStr">
        <x:is>
          <x:t xml:space="preserve">SPEC GAPS  —  OUTSIDE LEAN’S SCOPE</x:t>
        </x:is>
      </x:c>
    </x:row>
    <x:row r="68">
      <x:c r="B68" t="inlineStr">
        <x:is>
          <x:t xml:space="preserve">These gaps cannot be closed by more Lean. They require domain judgment, empirical data, or philosophical argument.</x:t>
        </x:is>
      </x:c>
    </x:row>
    <x:row r="70">
      <x:c r="B70" t="inlineStr">
        <x:is>
          <x:t xml:space="preserve">SPEC-01  Faithful abstraction</x:t>
        </x:is>
      </x:c>
      <x:c r="D70" t="inlineStr">
        <x:is>
          <x:t xml:space="preserve">Do the models faithfully represent the real physics/theology? Domain judgment.</x:t>
        </x:is>
      </x:c>
    </x:row>
    <x:row r="71">
      <x:c r="B71" t="inlineStr">
        <x:is>
          <x:t xml:space="preserve">SPEC-02  Label honesty</x:t>
        </x:is>
      </x:c>
      <x:c r="D71" t="inlineStr">
        <x:is>
          <x:t xml:space="preserve">Lean CAN be gamed by relabeling. Guard is domain review, not formal proof.</x:t>
        </x:is>
      </x:c>
    </x:row>
    <x:row r="72">
      <x:c r="B72" t="inlineStr">
        <x:is>
          <x:t xml:space="preserve">SPEC-03  Empirical validation</x:t>
        </x:is>
      </x:c>
      <x:c r="D72" t="inlineStr">
        <x:is>
          <x:t xml:space="preserve">5.7–6.35σ correlations NOT formalized in Lean. External data.</x:t>
        </x:is>
      </x:c>
    </x:row>
    <x:row r="73">
      <x:c r="B73" t="inlineStr">
        <x:is>
          <x:t xml:space="preserve">SPEC-04  Continuous mathematics</x:t>
        </x:is>
      </x:c>
      <x:c r="D73" t="inlineStr">
        <x:is>
          <x:t xml:space="preserve">All models use Nat/Int/Bool. Real-valued fields would require Mathlib.</x:t>
        </x:is>
      </x:c>
    </x:row>
    <x:row r="74">
      <x:c r="B74" t="inlineStr">
        <x:is>
          <x:t xml:space="preserve">SPEC-05  Historical claims</x:t>
        </x:is>
      </x:c>
      <x:c r="D74" t="inlineStr">
        <x:is>
          <x:t xml:space="preserve">Lean proves repair STRUCTURE is unique. Whether Jesus is that structure = history.</x:t>
        </x:is>
      </x:c>
    </x:row>
    <x:row r="76">
      <x:c r="A76" t="inlineStr">
        <x:is>
          <x:t xml:space="preserve">IMPORT DEPENDENCY GRAPH</x:t>
        </x:is>
      </x:c>
    </x:row>
    <x:row r="78">
      <x:c r="B78" t="inlineStr">
        <x:is>
          <x:t xml:space="preserve">TRUNK (depth 8)</x:t>
        </x:is>
      </x:c>
      <x:c r="C78" t="inlineStr">
        <x:is>
          <x:t xml:space="preserve">Core → BridgeMatrix → FieldBridgeControls → BridgeScoreDiscipline → PolarityDiscipline → MemoryPersistence → SignConversion → ChristOperator</x:t>
        </x:is>
      </x:c>
    </x:row>
    <x:row r="79">
      <x:c r="B79" t="inlineStr">
        <x:is>
          <x:t xml:space="preserve">BRANCH 1</x:t>
        </x:is>
      </x:c>
      <x:c r="C79" t="inlineStr">
        <x:is>
          <x:t xml:space="preserve">ChristOperator → HitRateDiscipline</x:t>
        </x:is>
      </x:c>
      <x:c r="D79" t="inlineStr">
        <x:is>
          <x:t xml:space="preserve">Statistical integrity on top of operator</x:t>
        </x:is>
      </x:c>
    </x:row>
    <x:row r="80">
      <x:c r="B80" t="inlineStr">
        <x:is>
          <x:t xml:space="preserve">BRANCH 2</x:t>
        </x:is>
      </x:c>
      <x:c r="C80" t="inlineStr">
        <x:is>
          <x:t xml:space="preserve">ChristOperator → MissionReturnOperator</x:t>
        </x:is>
      </x:c>
      <x:c r="D80" t="inlineStr">
        <x:is>
          <x:t xml:space="preserve">Resurrection architecture on conversion operator</x:t>
        </x:is>
      </x:c>
    </x:row>
    <x:row r="81">
      <x:c r="B81" t="inlineStr">
        <x:is>
          <x:t xml:space="preserve">BRANCH 3</x:t>
        </x:is>
      </x:c>
      <x:c r="C81" t="inlineStr">
        <x:is>
          <x:t xml:space="preserve">BridgeMatrix → MasterEquationInvariance</x:t>
        </x:is>
      </x:c>
      <x:c r="D81" t="inlineStr">
        <x:is>
          <x:t xml:space="preserve">Product + signature invariance</x:t>
        </x:is>
      </x:c>
    </x:row>
    <x:row r="83">
      <x:c r="B83" t="inlineStr">
        <x:is>
          <x:t xml:space="preserve">STANDALONE (no imports)</x:t>
        </x:is>
      </x:c>
      <x:c r="C83" t="inlineStr">
        <x:is>
          <x:t xml:space="preserve">StageMachine · Mapping · IsomorphismTest · DependencyLattice · MaxwellTrinity · JusticeMercyOperator</x:t>
        </x:is>
      </x:c>
    </x:row>
    <x:row r="84">
      <x:c r="C84" t="inlineStr">
        <x:is>
          <x:t xml:space="preserve">MaxwellTrinity + JusticeMercyOperator are the strongest standalone results.</x:t>
        </x:is>
      </x:c>
    </x:row>
  </x:sheetData>
  <x:pageMargins left="0.7" right="0.7" top="0.75" bottom="0.75" header="0.3" footer="0.3"/>
</x:worksheet>
</file>

<file path=xl/worksheets/sheet32.xml><?xml version="1.0" encoding="utf-8"?>
<x:worksheet xmlns:x="http://schemas.openxmlformats.org/spreadsheetml/2006/main">
  <x:sheetFormatPr baseColWidth="8" defaultRowHeight="15"/>
  <x:sheetData>
    <x:row r="1">
      <x:c r="A1" t="inlineStr">
        <x:is>
          <x:t xml:space="preserve">Thm#</x:t>
        </x:is>
      </x:c>
      <x:c r="B1" t="inlineStr">
        <x:is>
          <x:t xml:space="preserve">Layer</x:t>
        </x:is>
      </x:c>
      <x:c r="C1" t="inlineStr">
        <x:is>
          <x:t xml:space="preserve">Lean_File</x:t>
        </x:is>
      </x:c>
      <x:c r="D1" t="inlineStr">
        <x:is>
          <x:t xml:space="preserve">Theorem_Name</x:t>
        </x:is>
      </x:c>
      <x:c r="E1" t="inlineStr">
        <x:is>
          <x:t xml:space="preserve">What_It_Says</x:t>
        </x:is>
      </x:c>
      <x:c r="F1" t="inlineStr">
        <x:is>
          <x:t xml:space="preserve">Proof_Method</x:t>
        </x:is>
      </x:c>
      <x:c r="G1" t="inlineStr">
        <x:is>
          <x:t xml:space="preserve">Type</x:t>
        </x:is>
      </x:c>
      <x:c r="H1" t="inlineStr">
        <x:is>
          <x:t xml:space="preserve">Gauntlet_Ref</x:t>
        </x:is>
      </x:c>
    </x:row>
    <x:row r="2">
      <x:c r="A2" t="inlineStr">
        <x:is>
          <x:t xml:space="preserve">LAYER 0</x:t>
        </x:is>
      </x:c>
      <x:c r="B2" t="inlineStr">
        <x:is>
          <x:t xml:space="preserve">FOUNDATIONAL DEFINITIONS</x:t>
        </x:is>
      </x:c>
      <x:c r="C2" t="inlineStr">
        <x:is>
          <x:t xml:space="preserve">Core.lean (no imports — foundational)</x:t>
        </x:is>
      </x:c>
      <x:c r="E2" t="inlineStr">
        <x:is>
          <x:t xml:space="preserve">Dual-substrate architecture, coupling states, irreversibility gate, chi product.</x:t>
        </x:is>
      </x:c>
    </x:row>
    <x:row r="3">
      <x:c r="A3" t="n">
        <x:v>1</x:v>
      </x:c>
      <x:c r="B3" t="inlineStr">
        <x:is>
          <x:t xml:space="preserve">0 — Core</x:t>
        </x:is>
      </x:c>
      <x:c r="C3" t="inlineStr">
        <x:is>
          <x:t xml:space="preserve">Core.lean</x:t>
        </x:is>
      </x:c>
      <x:c r="D3" t="inlineStr">
        <x:is>
          <x:t xml:space="preserve">C0_ne_C1</x:t>
        </x:is>
      </x:c>
      <x:c r="E3" t="inlineStr">
        <x:is>
          <x:t xml:space="preserve">C0 ≠ C1 — the two coupling states are structurally distinct</x:t>
        </x:is>
      </x:c>
      <x:c r="F3" t="inlineStr">
        <x:is>
          <x:t xml:space="preserve">decide</x:t>
        </x:is>
      </x:c>
      <x:c r="G3" t="inlineStr">
        <x:is>
          <x:t xml:space="preserve">PROVED</x:t>
        </x:is>
      </x:c>
      <x:c r="H3" t="inlineStr">
        <x:is>
          <x:t xml:space="preserve">L3-Q5, L6-Q1</x:t>
        </x:is>
      </x:c>
    </x:row>
    <x:row r="4">
      <x:c r="A4" t="n">
        <x:v>2</x:v>
      </x:c>
      <x:c r="B4" t="inlineStr">
        <x:is>
          <x:t xml:space="preserve">0 — Core</x:t>
        </x:is>
      </x:c>
      <x:c r="C4" t="inlineStr">
        <x:is>
          <x:t xml:space="preserve">Core.lean</x:t>
        </x:is>
      </x:c>
      <x:c r="D4" t="inlineStr">
        <x:is>
          <x:t xml:space="preserve">C1_ne_C0</x:t>
        </x:is>
      </x:c>
      <x:c r="E4" t="inlineStr">
        <x:is>
          <x:t xml:space="preserve">C1 ≠ C0 (symmetric direction)</x:t>
        </x:is>
      </x:c>
      <x:c r="F4" t="inlineStr">
        <x:is>
          <x:t xml:space="preserve">decide</x:t>
        </x:is>
      </x:c>
      <x:c r="G4" t="inlineStr">
        <x:is>
          <x:t xml:space="preserve">PROVED</x:t>
        </x:is>
      </x:c>
      <x:c r="H4" t="inlineStr">
        <x:is>
          <x:t xml:space="preserve">L3-Q5</x:t>
        </x:is>
      </x:c>
    </x:row>
    <x:row r="5">
      <x:c r="A5" t="n">
        <x:v>3</x:v>
      </x:c>
      <x:c r="B5" t="inlineStr">
        <x:is>
          <x:t xml:space="preserve">0 — Core</x:t>
        </x:is>
      </x:c>
      <x:c r="C5" t="inlineStr">
        <x:is>
          <x:t xml:space="preserve">Core.lean</x:t>
        </x:is>
      </x:c>
      <x:c r="D5" t="inlineStr">
        <x:is>
          <x:t xml:space="preserve">coupling_modification_irreversible</x:t>
        </x:is>
      </x:c>
      <x:c r="E5" t="inlineStr">
        <x:is>
          <x:t xml:space="preserve">C0 → C1 is one-way; C1 → C0 has no constructor. The transition cannot be undone.</x:t>
        </x:is>
      </x:c>
      <x:c r="F5" t="inlineStr">
        <x:is>
          <x:t xml:space="preserve">structural case</x:t>
        </x:is>
      </x:c>
      <x:c r="G5" t="inlineStr">
        <x:is>
          <x:t xml:space="preserve">PROVED</x:t>
        </x:is>
      </x:c>
      <x:c r="H5" t="inlineStr">
        <x:is>
          <x:t xml:space="preserve">L3-Q5, L6-Q5</x:t>
        </x:is>
      </x:c>
    </x:row>
    <x:row r="6">
      <x:c r="A6" t="n">
        <x:v>4</x:v>
      </x:c>
      <x:c r="B6" t="inlineStr">
        <x:is>
          <x:t xml:space="preserve">0 — Core</x:t>
        </x:is>
      </x:c>
      <x:c r="C6" t="inlineStr">
        <x:is>
          <x:t xml:space="preserve">Core.lean</x:t>
        </x:is>
      </x:c>
      <x:c r="D6" t="inlineStr">
        <x:is>
          <x:t xml:space="preserve">Q_zero_collapses_chi</x:t>
        </x:is>
      </x:c>
      <x:c r="E6" t="inlineStr">
        <x:is>
          <x:t xml:space="preserve">If Q = 0, then χ = 0 regardless of all other factors. Any single zero kills the product.</x:t>
        </x:is>
      </x:c>
      <x:c r="F6" t="inlineStr">
        <x:is>
          <x:t xml:space="preserve">simp</x:t>
        </x:is>
      </x:c>
      <x:c r="G6" t="inlineStr">
        <x:is>
          <x:t xml:space="preserve">PROVED</x:t>
        </x:is>
      </x:c>
      <x:c r="H6" t="inlineStr">
        <x:is>
          <x:t xml:space="preserve">L1-Q2, L7-Q4</x:t>
        </x:is>
      </x:c>
    </x:row>
    <x:row r="7">
      <x:c r="A7" t="n">
        <x:v>5</x:v>
      </x:c>
      <x:c r="B7" t="inlineStr">
        <x:is>
          <x:t xml:space="preserve">0 — Core</x:t>
        </x:is>
      </x:c>
      <x:c r="C7" t="inlineStr">
        <x:is>
          <x:t xml:space="preserve">Core.lean</x:t>
        </x:is>
      </x:c>
      <x:c r="D7" t="inlineStr">
        <x:is>
          <x:t xml:space="preserve">Q_nonzero_not_sufficient_for_positive_chi</x:t>
        </x:is>
      </x:c>
      <x:c r="E7" t="inlineStr">
        <x:is>
          <x:t xml:space="preserve">Q &gt; 0 does NOT guarantee χ &gt; 0 (G = 0 still kills it). No single factor saves you.</x:t>
        </x:is>
      </x:c>
      <x:c r="F7" t="inlineStr">
        <x:is>
          <x:t xml:space="preserve">simp</x:t>
        </x:is>
      </x:c>
      <x:c r="G7" t="inlineStr">
        <x:is>
          <x:t xml:space="preserve">REJECTION</x:t>
        </x:is>
      </x:c>
      <x:c r="H7" t="inlineStr">
        <x:is>
          <x:t xml:space="preserve">L1-Q4, L7-Q4</x:t>
        </x:is>
      </x:c>
    </x:row>
    <x:row r="8">
      <x:c r="A8" t="inlineStr">
        <x:is>
          <x:t xml:space="preserve">LAYER 1</x:t>
        </x:is>
      </x:c>
      <x:c r="B8" t="inlineStr">
        <x:is>
          <x:t xml:space="preserve">STAGE ORDERING</x:t>
        </x:is>
      </x:c>
      <x:c r="C8" t="inlineStr">
        <x:is>
          <x:t xml:space="preserve">StageMachine.lean (standalone)</x:t>
        </x:is>
      </x:c>
      <x:c r="E8" t="inlineStr">
        <x:is>
          <x:t xml:space="preserve">Strictly ordered, irreversible operation sequence. DEMOTED to teaching layer — lattice supersedes.</x:t>
        </x:is>
      </x:c>
      <x:c r="G8" t="inlineStr">
        <x:is>
          <x:t xml:space="preserve">DEMOTED</x:t>
        </x:is>
      </x:c>
    </x:row>
    <x:row r="9">
      <x:c r="A9" t="n">
        <x:v>6</x:v>
      </x:c>
      <x:c r="B9" t="inlineStr">
        <x:is>
          <x:t xml:space="preserve">1 — Stage</x:t>
        </x:is>
      </x:c>
      <x:c r="C9" t="inlineStr">
        <x:is>
          <x:t xml:space="preserve">StageMachine.lean</x:t>
        </x:is>
      </x:c>
      <x:c r="D9" t="inlineStr">
        <x:is>
          <x:t xml:space="preserve">reaches_localization_from_pre</x:t>
        </x:is>
      </x:c>
      <x:c r="E9" t="inlineStr">
        <x:is>
          <x:t xml:space="preserve">preLocalization can reach localization</x:t>
        </x:is>
      </x:c>
      <x:c r="F9" t="inlineStr">
        <x:is>
          <x:t xml:space="preserve">constructor</x:t>
        </x:is>
      </x:c>
      <x:c r="G9" t="inlineStr">
        <x:is>
          <x:t xml:space="preserve">PROVED</x:t>
        </x:is>
      </x:c>
      <x:c r="H9" t="inlineStr">
        <x:is>
          <x:t xml:space="preserve">S3-LOGIC</x:t>
        </x:is>
      </x:c>
    </x:row>
    <x:row r="10">
      <x:c r="A10" t="n">
        <x:v>7</x:v>
      </x:c>
      <x:c r="B10" t="inlineStr">
        <x:is>
          <x:t xml:space="preserve">1 — Stage</x:t>
        </x:is>
      </x:c>
      <x:c r="C10" t="inlineStr">
        <x:is>
          <x:t xml:space="preserve">StageMachine.lean</x:t>
        </x:is>
      </x:c>
      <x:c r="D10" t="inlineStr">
        <x:is>
          <x:t xml:space="preserve">reaches_redistribution_from_pre</x:t>
        </x:is>
      </x:c>
      <x:c r="E10" t="inlineStr">
        <x:is>
          <x:t xml:space="preserve">Full 5-step sequence is reachable from preLocalization to redistribution</x:t>
        </x:is>
      </x:c>
      <x:c r="F10" t="inlineStr">
        <x:is>
          <x:t xml:space="preserve">transitive</x:t>
        </x:is>
      </x:c>
      <x:c r="G10" t="inlineStr">
        <x:is>
          <x:t xml:space="preserve">PROVED</x:t>
        </x:is>
      </x:c>
      <x:c r="H10" t="inlineStr">
        <x:is>
          <x:t xml:space="preserve">S3-LOGIC</x:t>
        </x:is>
      </x:c>
    </x:row>
    <x:row r="11">
      <x:c r="A11" t="n">
        <x:v>8</x:v>
      </x:c>
      <x:c r="B11" t="inlineStr">
        <x:is>
          <x:t xml:space="preserve">1 — Stage</x:t>
        </x:is>
      </x:c>
      <x:c r="C11" t="inlineStr">
        <x:is>
          <x:t xml:space="preserve">StageMachine.lean</x:t>
        </x:is>
      </x:c>
      <x:c r="D11" t="inlineStr">
        <x:is>
          <x:t xml:space="preserve">no_stage_step_back_to_pre_from_localization</x:t>
        </x:is>
      </x:c>
      <x:c r="E11" t="inlineStr">
        <x:is>
          <x:t xml:space="preserve">No backward step from localization to pre. Irreversible.</x:t>
        </x:is>
      </x:c>
      <x:c r="F11" t="inlineStr">
        <x:is>
          <x:t xml:space="preserve">cases</x:t>
        </x:is>
      </x:c>
      <x:c r="G11" t="inlineStr">
        <x:is>
          <x:t xml:space="preserve">REJECTION</x:t>
        </x:is>
      </x:c>
      <x:c r="H11" t="inlineStr">
        <x:is>
          <x:t xml:space="preserve">L6-Q5</x:t>
        </x:is>
      </x:c>
    </x:row>
    <x:row r="12">
      <x:c r="A12" t="n">
        <x:v>9</x:v>
      </x:c>
      <x:c r="B12" t="inlineStr">
        <x:is>
          <x:t xml:space="preserve">1 — Stage</x:t>
        </x:is>
      </x:c>
      <x:c r="C12" t="inlineStr">
        <x:is>
          <x:t xml:space="preserve">StageMachine.lean</x:t>
        </x:is>
      </x:c>
      <x:c r="D12" t="inlineStr">
        <x:is>
          <x:t xml:space="preserve">no_stage_step_back_to_release_from_confirmation</x:t>
        </x:is>
      </x:c>
      <x:c r="E12" t="inlineStr">
        <x:is>
          <x:t xml:space="preserve">No backward step from confirmation to release</x:t>
        </x:is>
      </x:c>
      <x:c r="F12" t="inlineStr">
        <x:is>
          <x:t xml:space="preserve">cases</x:t>
        </x:is>
      </x:c>
      <x:c r="G12" t="inlineStr">
        <x:is>
          <x:t xml:space="preserve">REJECTION</x:t>
        </x:is>
      </x:c>
      <x:c r="H12" t="inlineStr">
        <x:is>
          <x:t xml:space="preserve">L6-Q5</x:t>
        </x:is>
      </x:c>
    </x:row>
    <x:row r="13">
      <x:c r="A13" t="n">
        <x:v>10</x:v>
      </x:c>
      <x:c r="B13" t="inlineStr">
        <x:is>
          <x:t xml:space="preserve">1 — Stage</x:t>
        </x:is>
      </x:c>
      <x:c r="C13" t="inlineStr">
        <x:is>
          <x:t xml:space="preserve">StageMachine.lean</x:t>
        </x:is>
      </x:c>
      <x:c r="D13" t="inlineStr">
        <x:is>
          <x:t xml:space="preserve">no_stage_step_back_to_confirmation_from_redistribution</x:t>
        </x:is>
      </x:c>
      <x:c r="E13" t="inlineStr">
        <x:is>
          <x:t xml:space="preserve">No backward step from redistribution to confirmation</x:t>
        </x:is>
      </x:c>
      <x:c r="F13" t="inlineStr">
        <x:is>
          <x:t xml:space="preserve">cases</x:t>
        </x:is>
      </x:c>
      <x:c r="G13" t="inlineStr">
        <x:is>
          <x:t xml:space="preserve">REJECTION</x:t>
        </x:is>
      </x:c>
      <x:c r="H13" t="inlineStr">
        <x:is>
          <x:t xml:space="preserve">L6-Q5</x:t>
        </x:is>
      </x:c>
    </x:row>
    <x:row r="14">
      <x:c r="A14" t="inlineStr">
        <x:is>
          <x:t xml:space="preserve">LAYER 2</x:t>
        </x:is>
      </x:c>
      <x:c r="B14" t="inlineStr">
        <x:is>
          <x:t xml:space="preserve">PHYSICS↔THEOLOGY SEQUENCE MAP</x:t>
        </x:is>
      </x:c>
      <x:c r="C14" t="inlineStr">
        <x:is>
          <x:t xml:space="preserve">Mapping.lean (standalone)</x:t>
        </x:is>
      </x:c>
      <x:c r="E14" t="inlineStr">
        <x:is>
          <x:t xml:space="preserve">1-to-1 order-preserving map. DEMOTED — toy correspondence, internally consistent but not proof of correct mapping.</x:t>
        </x:is>
      </x:c>
      <x:c r="G14" t="inlineStr">
        <x:is>
          <x:t xml:space="preserve">DEMOTED</x:t>
        </x:is>
      </x:c>
    </x:row>
    <x:row r="15">
      <x:c r="A15" t="n">
        <x:v>11</x:v>
      </x:c>
      <x:c r="B15" t="inlineStr">
        <x:is>
          <x:t xml:space="preserve">2 — Mapping</x:t>
        </x:is>
      </x:c>
      <x:c r="C15" t="inlineStr">
        <x:is>
          <x:t xml:space="preserve">Mapping.lean</x:t>
        </x:is>
      </x:c>
      <x:c r="D15" t="inlineStr">
        <x:is>
          <x:t xml:space="preserve">map_physics_sequence_is_theology_sequence</x:t>
        </x:is>
      </x:c>
      <x:c r="E15" t="inlineStr">
        <x:is>
          <x:t xml:space="preserve">Mapping the full physics list produces the full theology list — order-preserving. Proved by rfl (definitional equality).</x:t>
        </x:is>
      </x:c>
      <x:c r="F15" t="inlineStr">
        <x:is>
          <x:t xml:space="preserve">rfl</x:t>
        </x:is>
      </x:c>
      <x:c r="G15" t="inlineStr">
        <x:is>
          <x:t xml:space="preserve">PROVED</x:t>
        </x:is>
      </x:c>
      <x:c r="H15" t="inlineStr">
        <x:is>
          <x:t xml:space="preserve">S3-LOGIC</x:t>
        </x:is>
      </x:c>
    </x:row>
    <x:row r="16">
      <x:c r="A16" t="n">
        <x:v>12</x:v>
      </x:c>
      <x:c r="B16" t="inlineStr">
        <x:is>
          <x:t xml:space="preserve">2 — Mapping</x:t>
        </x:is>
      </x:c>
      <x:c r="C16" t="inlineStr">
        <x:is>
          <x:t xml:space="preserve">Mapping.lean</x:t>
        </x:is>
      </x:c>
      <x:c r="D16" t="inlineStr">
        <x:is>
          <x:t xml:space="preserve">localization_maps_to_incarnation</x:t>
        </x:is>
      </x:c>
      <x:c r="E16" t="inlineStr">
        <x:is>
          <x:t xml:space="preserve">Specific: localization → incarnation</x:t>
        </x:is>
      </x:c>
      <x:c r="F16" t="inlineStr">
        <x:is>
          <x:t xml:space="preserve">rfl</x:t>
        </x:is>
      </x:c>
      <x:c r="G16" t="inlineStr">
        <x:is>
          <x:t xml:space="preserve">PROVED</x:t>
        </x:is>
      </x:c>
      <x:c r="H16" t="inlineStr">
        <x:is>
          <x:t xml:space="preserve">L6-Q4</x:t>
        </x:is>
      </x:c>
    </x:row>
    <x:row r="17">
      <x:c r="A17" t="n">
        <x:v>13</x:v>
      </x:c>
      <x:c r="B17" t="inlineStr">
        <x:is>
          <x:t xml:space="preserve">2 — Mapping</x:t>
        </x:is>
      </x:c>
      <x:c r="C17" t="inlineStr">
        <x:is>
          <x:t xml:space="preserve">Mapping.lean</x:t>
        </x:is>
      </x:c>
      <x:c r="D17" t="inlineStr">
        <x:is>
          <x:t xml:space="preserve">confirmation_maps_to_resurrection</x:t>
        </x:is>
      </x:c>
      <x:c r="E17" t="inlineStr">
        <x:is>
          <x:t xml:space="preserve">Specific: confirmation → resurrection</x:t>
        </x:is>
      </x:c>
      <x:c r="F17" t="inlineStr">
        <x:is>
          <x:t xml:space="preserve">rfl</x:t>
        </x:is>
      </x:c>
      <x:c r="G17" t="inlineStr">
        <x:is>
          <x:t xml:space="preserve">PROVED</x:t>
        </x:is>
      </x:c>
      <x:c r="H17" t="inlineStr">
        <x:is>
          <x:t xml:space="preserve">L6-Q7</x:t>
        </x:is>
      </x:c>
    </x:row>
    <x:row r="18">
      <x:c r="A18" t="inlineStr">
        <x:is>
          <x:t xml:space="preserve">LAYER 3</x:t>
        </x:is>
      </x:c>
      <x:c r="B18" t="inlineStr">
        <x:is>
          <x:t xml:space="preserve">BRIDGE MATRIX — 10-FACTOR SIGNATURE</x:t>
        </x:is>
      </x:c>
      <x:c r="C18" t="inlineStr">
        <x:is>
          <x:t xml:space="preserve">BridgeMatrix.lean (imports Core)</x:t>
        </x:is>
      </x:c>
      <x:c r="E18" t="inlineStr">
        <x:is>
          <x:t xml:space="preserve">10 factors typed; canonical rows validated; wrong pairings rejected; zero-collapse for all 10.</x:t>
        </x:is>
      </x:c>
    </x:row>
    <x:row r="19">
      <x:c r="A19" t="n">
        <x:v>14</x:v>
      </x:c>
      <x:c r="B19" t="inlineStr">
        <x:is>
          <x:t xml:space="preserve">3 — Bridge</x:t>
        </x:is>
      </x:c>
      <x:c r="C19" t="inlineStr">
        <x:is>
          <x:t xml:space="preserve">BridgeMatrix.lean</x:t>
        </x:is>
      </x:c>
      <x:c r="D19" t="inlineStr">
        <x:is>
          <x:t xml:space="preserve">canonicalRows_all_valid</x:t>
        </x:is>
      </x:c>
      <x:c r="E19" t="inlineStr">
        <x:is>
          <x:t xml:space="preserve">All 10 canonical bridge rows pass signature validation</x:t>
        </x:is>
      </x:c>
      <x:c r="F19" t="inlineStr">
        <x:is>
          <x:t xml:space="preserve">rfl</x:t>
        </x:is>
      </x:c>
      <x:c r="G19" t="inlineStr">
        <x:is>
          <x:t xml:space="preserve">PROVED</x:t>
        </x:is>
      </x:c>
      <x:c r="H19" t="inlineStr">
        <x:is>
          <x:t xml:space="preserve">L1-Q4, L7-Q4</x:t>
        </x:is>
      </x:c>
    </x:row>
    <x:row r="20">
      <x:c r="A20" t="n">
        <x:v>15</x:v>
      </x:c>
      <x:c r="B20" t="inlineStr">
        <x:is>
          <x:t xml:space="preserve">3 — Bridge</x:t>
        </x:is>
      </x:c>
      <x:c r="C20" t="inlineStr">
        <x:is>
          <x:t xml:space="preserve">BridgeMatrix.lean</x:t>
        </x:is>
      </x:c>
      <x:c r="D20" t="inlineStr">
        <x:is>
          <x:t xml:space="preserve">grace_swapped_with_faith_invalid</x:t>
        </x:is>
      </x:c>
      <x:c r="E20" t="inlineStr">
        <x:is>
          <x:t xml:space="preserve">REJECTION: Swapping grace↔faith breaks the signature</x:t>
        </x:is>
      </x:c>
      <x:c r="F20" t="inlineStr">
        <x:is>
          <x:t xml:space="preserve">decide</x:t>
        </x:is>
      </x:c>
      <x:c r="G20" t="inlineStr">
        <x:is>
          <x:t xml:space="preserve">REJECTION</x:t>
        </x:is>
      </x:c>
      <x:c r="H20" t="inlineStr">
        <x:is>
          <x:t xml:space="preserve">L1-Q4</x:t>
        </x:is>
      </x:c>
    </x:row>
    <x:row r="21">
      <x:c r="A21" t="n">
        <x:v>16</x:v>
      </x:c>
      <x:c r="B21" t="inlineStr">
        <x:is>
          <x:t xml:space="preserve">3 — Bridge</x:t>
        </x:is>
      </x:c>
      <x:c r="C21" t="inlineStr">
        <x:is>
          <x:t xml:space="preserve">BridgeMatrix.lean</x:t>
        </x:is>
      </x:c>
      <x:c r="D21" t="inlineStr">
        <x:is>
          <x:t xml:space="preserve">entropy_swapped_with_grace_invalid</x:t>
        </x:is>
      </x:c>
      <x:c r="E21" t="inlineStr">
        <x:is>
          <x:t xml:space="preserve">REJECTION: Swapping entropy↔grace breaks the signature</x:t>
        </x:is>
      </x:c>
      <x:c r="F21" t="inlineStr">
        <x:is>
          <x:t xml:space="preserve">decide</x:t>
        </x:is>
      </x:c>
      <x:c r="G21" t="inlineStr">
        <x:is>
          <x:t xml:space="preserve">REJECTION</x:t>
        </x:is>
      </x:c>
      <x:c r="H21" t="inlineStr">
        <x:is>
          <x:t xml:space="preserve">L2-Q5</x:t>
        </x:is>
      </x:c>
    </x:row>
    <x:row r="22">
      <x:c r="A22" t="n">
        <x:v>17</x:v>
      </x:c>
      <x:c r="B22" t="inlineStr">
        <x:is>
          <x:t xml:space="preserve">3 — Bridge</x:t>
        </x:is>
      </x:c>
      <x:c r="C22" t="inlineStr">
        <x:is>
          <x:t xml:space="preserve">BridgeMatrix.lean</x:t>
        </x:is>
      </x:c>
      <x:c r="D22" t="inlineStr">
        <x:is>
          <x:t xml:space="preserve">compression_swapped_with_communion_invalid</x:t>
        </x:is>
      </x:c>
      <x:c r="E22" t="inlineStr">
        <x:is>
          <x:t xml:space="preserve">REJECTION: K↔F swap rejected</x:t>
        </x:is>
      </x:c>
      <x:c r="F22" t="inlineStr">
        <x:is>
          <x:t xml:space="preserve">decide</x:t>
        </x:is>
      </x:c>
      <x:c r="G22" t="inlineStr">
        <x:is>
          <x:t xml:space="preserve">REJECTION</x:t>
        </x:is>
      </x:c>
      <x:c r="H22" t="inlineStr">
        <x:is>
          <x:t xml:space="preserve">L1-Q4</x:t>
        </x:is>
      </x:c>
    </x:row>
    <x:row r="23">
      <x:c r="A23" t="n">
        <x:v>18</x:v>
      </x:c>
      <x:c r="B23" t="inlineStr">
        <x:is>
          <x:t xml:space="preserve">3 — Bridge</x:t>
        </x:is>
      </x:c>
      <x:c r="C23" t="inlineStr">
        <x:is>
          <x:t xml:space="preserve">BridgeMatrix.lean</x:t>
        </x:is>
      </x:c>
      <x:c r="D23" t="inlineStr">
        <x:is>
          <x:t xml:space="preserve">coherence_swapped_with_consequence_lock_invalid</x:t>
        </x:is>
      </x:c>
      <x:c r="E23" t="inlineStr">
        <x:is>
          <x:t xml:space="preserve">REJECTION: C↔R swap rejected</x:t>
        </x:is>
      </x:c>
      <x:c r="F23" t="inlineStr">
        <x:is>
          <x:t xml:space="preserve">decide</x:t>
        </x:is>
      </x:c>
      <x:c r="G23" t="inlineStr">
        <x:is>
          <x:t xml:space="preserve">REJECTION</x:t>
        </x:is>
      </x:c>
      <x:c r="H23" t="inlineStr">
        <x:is>
          <x:t xml:space="preserve">L1-Q4</x:t>
        </x:is>
      </x:c>
    </x:row>
    <x:row r="24">
      <x:c r="A24" t="n">
        <x:v>19</x:v>
      </x:c>
      <x:c r="B24" t="inlineStr">
        <x:is>
          <x:t xml:space="preserve">3 — Bridge</x:t>
        </x:is>
      </x:c>
      <x:c r="C24" t="inlineStr">
        <x:is>
          <x:t xml:space="preserve">BridgeMatrix.lean</x:t>
        </x:is>
      </x:c>
      <x:c r="D24" t="inlineStr">
        <x:is>
          <x:t xml:space="preserve">wrong_physical_for_grace_invalid</x:t>
        </x:is>
      </x:c>
      <x:c r="E24" t="inlineStr">
        <x:is>
          <x:t xml:space="preserve">REJECTION: Assigning entanglement to G rejected</x:t>
        </x:is>
      </x:c>
      <x:c r="F24" t="inlineStr">
        <x:is>
          <x:t xml:space="preserve">decide</x:t>
        </x:is>
      </x:c>
      <x:c r="G24" t="inlineStr">
        <x:is>
          <x:t xml:space="preserve">REJECTION</x:t>
        </x:is>
      </x:c>
      <x:c r="H24" t="inlineStr">
        <x:is>
          <x:t xml:space="preserve">L1-Q4</x:t>
        </x:is>
      </x:c>
    </x:row>
    <x:row r="25">
      <x:c r="A25" t="n">
        <x:v>20</x:v>
      </x:c>
      <x:c r="B25" t="inlineStr">
        <x:is>
          <x:t xml:space="preserve">3 — Bridge</x:t>
        </x:is>
      </x:c>
      <x:c r="C25" t="inlineStr">
        <x:is>
          <x:t xml:space="preserve">BridgeMatrix.lean</x:t>
        </x:is>
      </x:c>
      <x:c r="D25" t="inlineStr">
        <x:is>
          <x:t xml:space="preserve">arbitrary_grace_clone_matches_G</x:t>
        </x:is>
      </x:c>
      <x:c r="E25" t="inlineStr">
        <x:is>
          <x:t xml:space="preserve">A new term with G's signature passes structurally — adversarial boundary: label honesty cannot be verified</x:t>
        </x:is>
      </x:c>
      <x:c r="F25" t="inlineStr">
        <x:is>
          <x:t xml:space="preserve">decide</x:t>
        </x:is>
      </x:c>
      <x:c r="G25" t="inlineStr">
        <x:is>
          <x:t xml:space="preserve">BOUNDARY</x:t>
        </x:is>
      </x:c>
      <x:c r="H25" t="inlineStr">
        <x:is>
          <x:t xml:space="preserve">COMPRESS-4</x:t>
        </x:is>
      </x:c>
    </x:row>
    <x:row r="26">
      <x:c r="A26" t="n">
        <x:v>21</x:v>
      </x:c>
      <x:c r="B26" t="inlineStr">
        <x:is>
          <x:t xml:space="preserve">3 — Bridge</x:t>
        </x:is>
      </x:c>
      <x:c r="C26" t="inlineStr">
        <x:is>
          <x:t xml:space="preserve">BridgeMatrix.lean</x:t>
        </x:is>
      </x:c>
      <x:c r="D26" t="inlineStr">
        <x:is>
          <x:t xml:space="preserve">arbitrary_faith_clone_does_not_match_G</x:t>
        </x:is>
      </x:c>
      <x:c r="E26" t="inlineStr">
        <x:is>
          <x:t xml:space="preserve">REJECTION: A term with Q's signature fails the G slot</x:t>
        </x:is>
      </x:c>
      <x:c r="F26" t="inlineStr">
        <x:is>
          <x:t xml:space="preserve">decide</x:t>
        </x:is>
      </x:c>
      <x:c r="G26" t="inlineStr">
        <x:is>
          <x:t xml:space="preserve">REJECTION</x:t>
        </x:is>
      </x:c>
      <x:c r="H26" t="inlineStr">
        <x:is>
          <x:t xml:space="preserve">L1-Q4</x:t>
        </x:is>
      </x:c>
    </x:row>
    <x:row r="27">
      <x:c r="A27" t="n">
        <x:v>22</x:v>
      </x:c>
      <x:c r="B27" t="inlineStr">
        <x:is>
          <x:t xml:space="preserve">3 — Bridge</x:t>
        </x:is>
      </x:c>
      <x:c r="C27" t="inlineStr">
        <x:is>
          <x:t xml:space="preserve">BridgeMatrix.lean</x:t>
        </x:is>
      </x:c>
      <x:c r="D27" t="inlineStr">
        <x:is>
          <x:t xml:space="preserve">full_G_zero_collapses</x:t>
        </x:is>
      </x:c>
      <x:c r="E27" t="inlineStr">
        <x:is>
          <x:t xml:space="preserve">G=0 → χ=0</x:t>
        </x:is>
      </x:c>
      <x:c r="F27" t="inlineStr">
        <x:is>
          <x:t xml:space="preserve">simp</x:t>
        </x:is>
      </x:c>
      <x:c r="G27" t="inlineStr">
        <x:is>
          <x:t xml:space="preserve">PROVED</x:t>
        </x:is>
      </x:c>
      <x:c r="H27" t="inlineStr">
        <x:is>
          <x:t xml:space="preserve">L1-Q2</x:t>
        </x:is>
      </x:c>
    </x:row>
    <x:row r="28">
      <x:c r="A28" t="n">
        <x:v>23</x:v>
      </x:c>
      <x:c r="B28" t="inlineStr">
        <x:is>
          <x:t xml:space="preserve">3 — Bridge</x:t>
        </x:is>
      </x:c>
      <x:c r="C28" t="inlineStr">
        <x:is>
          <x:t xml:space="preserve">BridgeMatrix.lean</x:t>
        </x:is>
      </x:c>
      <x:c r="D28" t="inlineStr">
        <x:is>
          <x:t xml:space="preserve">full_M_zero_collapses</x:t>
        </x:is>
      </x:c>
      <x:c r="E28" t="inlineStr">
        <x:is>
          <x:t xml:space="preserve">M=0 → χ=0</x:t>
        </x:is>
      </x:c>
      <x:c r="F28" t="inlineStr">
        <x:is>
          <x:t xml:space="preserve">simp</x:t>
        </x:is>
      </x:c>
      <x:c r="G28" t="inlineStr">
        <x:is>
          <x:t xml:space="preserve">PROVED</x:t>
        </x:is>
      </x:c>
      <x:c r="H28" t="inlineStr">
        <x:is>
          <x:t xml:space="preserve">L1-Q2</x:t>
        </x:is>
      </x:c>
    </x:row>
    <x:row r="29">
      <x:c r="A29" t="n">
        <x:v>24</x:v>
      </x:c>
      <x:c r="B29" t="inlineStr">
        <x:is>
          <x:t xml:space="preserve">3 — Bridge</x:t>
        </x:is>
      </x:c>
      <x:c r="C29" t="inlineStr">
        <x:is>
          <x:t xml:space="preserve">BridgeMatrix.lean</x:t>
        </x:is>
      </x:c>
      <x:c r="D29" t="inlineStr">
        <x:is>
          <x:t xml:space="preserve">full_E_zero_collapses</x:t>
        </x:is>
      </x:c>
      <x:c r="E29" t="inlineStr">
        <x:is>
          <x:t xml:space="preserve">E=0 → χ=0</x:t>
        </x:is>
      </x:c>
      <x:c r="F29" t="inlineStr">
        <x:is>
          <x:t xml:space="preserve">simp</x:t>
        </x:is>
      </x:c>
      <x:c r="G29" t="inlineStr">
        <x:is>
          <x:t xml:space="preserve">PROVED</x:t>
        </x:is>
      </x:c>
      <x:c r="H29" t="inlineStr">
        <x:is>
          <x:t xml:space="preserve">L1-Q2</x:t>
        </x:is>
      </x:c>
    </x:row>
    <x:row r="30">
      <x:c r="A30" t="n">
        <x:v>25</x:v>
      </x:c>
      <x:c r="B30" t="inlineStr">
        <x:is>
          <x:t xml:space="preserve">3 — Bridge</x:t>
        </x:is>
      </x:c>
      <x:c r="C30" t="inlineStr">
        <x:is>
          <x:t xml:space="preserve">BridgeMatrix.lean</x:t>
        </x:is>
      </x:c>
      <x:c r="D30" t="inlineStr">
        <x:is>
          <x:t xml:space="preserve">full_S_zero_collapses</x:t>
        </x:is>
      </x:c>
      <x:c r="E30" t="inlineStr">
        <x:is>
          <x:t xml:space="preserve">S=0 → χ=0</x:t>
        </x:is>
      </x:c>
      <x:c r="F30" t="inlineStr">
        <x:is>
          <x:t xml:space="preserve">simp</x:t>
        </x:is>
      </x:c>
      <x:c r="G30" t="inlineStr">
        <x:is>
          <x:t xml:space="preserve">PROVED</x:t>
        </x:is>
      </x:c>
      <x:c r="H30" t="inlineStr">
        <x:is>
          <x:t xml:space="preserve">L1-Q2</x:t>
        </x:is>
      </x:c>
    </x:row>
    <x:row r="31">
      <x:c r="A31" t="n">
        <x:v>26</x:v>
      </x:c>
      <x:c r="B31" t="inlineStr">
        <x:is>
          <x:t xml:space="preserve">3 — Bridge</x:t>
        </x:is>
      </x:c>
      <x:c r="C31" t="inlineStr">
        <x:is>
          <x:t xml:space="preserve">BridgeMatrix.lean</x:t>
        </x:is>
      </x:c>
      <x:c r="D31" t="inlineStr">
        <x:is>
          <x:t xml:space="preserve">full_T_zero_collapses</x:t>
        </x:is>
      </x:c>
      <x:c r="E31" t="inlineStr">
        <x:is>
          <x:t xml:space="preserve">T=0 → χ=0</x:t>
        </x:is>
      </x:c>
      <x:c r="F31" t="inlineStr">
        <x:is>
          <x:t xml:space="preserve">simp</x:t>
        </x:is>
      </x:c>
      <x:c r="G31" t="inlineStr">
        <x:is>
          <x:t xml:space="preserve">PROVED</x:t>
        </x:is>
      </x:c>
      <x:c r="H31" t="inlineStr">
        <x:is>
          <x:t xml:space="preserve">L1-Q2</x:t>
        </x:is>
      </x:c>
    </x:row>
    <x:row r="32">
      <x:c r="A32" t="n">
        <x:v>27</x:v>
      </x:c>
      <x:c r="B32" t="inlineStr">
        <x:is>
          <x:t xml:space="preserve">3 — Bridge</x:t>
        </x:is>
      </x:c>
      <x:c r="C32" t="inlineStr">
        <x:is>
          <x:t xml:space="preserve">BridgeMatrix.lean</x:t>
        </x:is>
      </x:c>
      <x:c r="D32" t="inlineStr">
        <x:is>
          <x:t xml:space="preserve">full_K_zero_collapses</x:t>
        </x:is>
      </x:c>
      <x:c r="E32" t="inlineStr">
        <x:is>
          <x:t xml:space="preserve">K=0 → χ=0</x:t>
        </x:is>
      </x:c>
      <x:c r="F32" t="inlineStr">
        <x:is>
          <x:t xml:space="preserve">simp</x:t>
        </x:is>
      </x:c>
      <x:c r="G32" t="inlineStr">
        <x:is>
          <x:t xml:space="preserve">PROVED</x:t>
        </x:is>
      </x:c>
      <x:c r="H32" t="inlineStr">
        <x:is>
          <x:t xml:space="preserve">L1-Q2</x:t>
        </x:is>
      </x:c>
    </x:row>
    <x:row r="33">
      <x:c r="A33" t="n">
        <x:v>28</x:v>
      </x:c>
      <x:c r="B33" t="inlineStr">
        <x:is>
          <x:t xml:space="preserve">3 — Bridge</x:t>
        </x:is>
      </x:c>
      <x:c r="C33" t="inlineStr">
        <x:is>
          <x:t xml:space="preserve">BridgeMatrix.lean</x:t>
        </x:is>
      </x:c>
      <x:c r="D33" t="inlineStr">
        <x:is>
          <x:t xml:space="preserve">full_R_zero_collapses</x:t>
        </x:is>
      </x:c>
      <x:c r="E33" t="inlineStr">
        <x:is>
          <x:t xml:space="preserve">R=0 → χ=0</x:t>
        </x:is>
      </x:c>
      <x:c r="F33" t="inlineStr">
        <x:is>
          <x:t xml:space="preserve">simp</x:t>
        </x:is>
      </x:c>
      <x:c r="G33" t="inlineStr">
        <x:is>
          <x:t xml:space="preserve">PROVED</x:t>
        </x:is>
      </x:c>
      <x:c r="H33" t="inlineStr">
        <x:is>
          <x:t xml:space="preserve">L1-Q2</x:t>
        </x:is>
      </x:c>
    </x:row>
    <x:row r="34">
      <x:c r="A34" t="n">
        <x:v>29</x:v>
      </x:c>
      <x:c r="B34" t="inlineStr">
        <x:is>
          <x:t xml:space="preserve">3 — Bridge</x:t>
        </x:is>
      </x:c>
      <x:c r="C34" t="inlineStr">
        <x:is>
          <x:t xml:space="preserve">BridgeMatrix.lean</x:t>
        </x:is>
      </x:c>
      <x:c r="D34" t="inlineStr">
        <x:is>
          <x:t xml:space="preserve">full_Q_zero_collapses</x:t>
        </x:is>
      </x:c>
      <x:c r="E34" t="inlineStr">
        <x:is>
          <x:t xml:space="preserve">Q=0 → χ=0</x:t>
        </x:is>
      </x:c>
      <x:c r="F34" t="inlineStr">
        <x:is>
          <x:t xml:space="preserve">simp</x:t>
        </x:is>
      </x:c>
      <x:c r="G34" t="inlineStr">
        <x:is>
          <x:t xml:space="preserve">PROVED</x:t>
        </x:is>
      </x:c>
      <x:c r="H34" t="inlineStr">
        <x:is>
          <x:t xml:space="preserve">L1-Q2</x:t>
        </x:is>
      </x:c>
    </x:row>
    <x:row r="35">
      <x:c r="A35" t="n">
        <x:v>30</x:v>
      </x:c>
      <x:c r="B35" t="inlineStr">
        <x:is>
          <x:t xml:space="preserve">3 — Bridge</x:t>
        </x:is>
      </x:c>
      <x:c r="C35" t="inlineStr">
        <x:is>
          <x:t xml:space="preserve">BridgeMatrix.lean</x:t>
        </x:is>
      </x:c>
      <x:c r="D35" t="inlineStr">
        <x:is>
          <x:t xml:space="preserve">full_F_zero_collapses</x:t>
        </x:is>
      </x:c>
      <x:c r="E35" t="inlineStr">
        <x:is>
          <x:t xml:space="preserve">F=0 → χ=0</x:t>
        </x:is>
      </x:c>
      <x:c r="F35" t="inlineStr">
        <x:is>
          <x:t xml:space="preserve">simp</x:t>
        </x:is>
      </x:c>
      <x:c r="G35" t="inlineStr">
        <x:is>
          <x:t xml:space="preserve">PROVED</x:t>
        </x:is>
      </x:c>
      <x:c r="H35" t="inlineStr">
        <x:is>
          <x:t xml:space="preserve">L1-Q2</x:t>
        </x:is>
      </x:c>
    </x:row>
    <x:row r="36">
      <x:c r="A36" t="n">
        <x:v>31</x:v>
      </x:c>
      <x:c r="B36" t="inlineStr">
        <x:is>
          <x:t xml:space="preserve">3 — Bridge</x:t>
        </x:is>
      </x:c>
      <x:c r="C36" t="inlineStr">
        <x:is>
          <x:t xml:space="preserve">BridgeMatrix.lean</x:t>
        </x:is>
      </x:c>
      <x:c r="D36" t="inlineStr">
        <x:is>
          <x:t xml:space="preserve">full_C_zero_collapses</x:t>
        </x:is>
      </x:c>
      <x:c r="E36" t="inlineStr">
        <x:is>
          <x:t xml:space="preserve">C=0 → χ=0</x:t>
        </x:is>
      </x:c>
      <x:c r="F36" t="inlineStr">
        <x:is>
          <x:t xml:space="preserve">simp</x:t>
        </x:is>
      </x:c>
      <x:c r="G36" t="inlineStr">
        <x:is>
          <x:t xml:space="preserve">PROVED</x:t>
        </x:is>
      </x:c>
      <x:c r="H36" t="inlineStr">
        <x:is>
          <x:t xml:space="preserve">L1-Q2</x:t>
        </x:is>
      </x:c>
    </x:row>
    <x:row r="37">
      <x:c r="A37" t="n">
        <x:v>32</x:v>
      </x:c>
      <x:c r="B37" t="inlineStr">
        <x:is>
          <x:t xml:space="preserve">3 — Bridge</x:t>
        </x:is>
      </x:c>
      <x:c r="C37" t="inlineStr">
        <x:is>
          <x:t xml:space="preserve">BridgeMatrix.lean</x:t>
        </x:is>
      </x:c>
      <x:c r="D37" t="inlineStr">
        <x:is>
          <x:t xml:space="preserve">full_Q_nonzero_not_sufficient</x:t>
        </x:is>
      </x:c>
      <x:c r="E37" t="inlineStr">
        <x:is>
          <x:t xml:space="preserve">REJECTION: Q &gt; 0 doesn't save you if G = 0. No single factor is sufficient.</x:t>
        </x:is>
      </x:c>
      <x:c r="F37" t="inlineStr">
        <x:is>
          <x:t xml:space="preserve">simp</x:t>
        </x:is>
      </x:c>
      <x:c r="G37" t="inlineStr">
        <x:is>
          <x:t xml:space="preserve">REJECTION</x:t>
        </x:is>
      </x:c>
      <x:c r="H37" t="inlineStr">
        <x:is>
          <x:t xml:space="preserve">L7-Q4</x:t>
        </x:is>
      </x:c>
    </x:row>
    <x:row r="38">
      <x:c r="A38" t="n">
        <x:v>33</x:v>
      </x:c>
      <x:c r="B38" t="inlineStr">
        <x:is>
          <x:t xml:space="preserve">3 — Bridge</x:t>
        </x:is>
      </x:c>
      <x:c r="C38" t="inlineStr">
        <x:is>
          <x:t xml:space="preserve">BridgeMatrix.lean</x:t>
        </x:is>
      </x:c>
      <x:c r="D38" t="inlineStr">
        <x:is>
          <x:t xml:space="preserve">full_R_gate_required</x:t>
        </x:is>
      </x:c>
      <x:c r="E38" t="inlineStr">
        <x:is>
          <x:t xml:space="preserve">REJECTION: R=0 kills χ even if everything else is 1. Gate is non-negotiable.</x:t>
        </x:is>
      </x:c>
      <x:c r="F38" t="inlineStr">
        <x:is>
          <x:t xml:space="preserve">simp</x:t>
        </x:is>
      </x:c>
      <x:c r="G38" t="inlineStr">
        <x:is>
          <x:t xml:space="preserve">REJECTION</x:t>
        </x:is>
      </x:c>
      <x:c r="H38" t="inlineStr">
        <x:is>
          <x:t xml:space="preserve">L1-Q4</x:t>
        </x:is>
      </x:c>
    </x:row>
    <x:row r="39">
      <x:c r="A39" t="n">
        <x:v>34</x:v>
      </x:c>
      <x:c r="B39" t="inlineStr">
        <x:is>
          <x:t xml:space="preserve">3 — Bridge</x:t>
        </x:is>
      </x:c>
      <x:c r="C39" t="inlineStr">
        <x:is>
          <x:t xml:space="preserve">BridgeMatrix.lean</x:t>
        </x:is>
      </x:c>
      <x:c r="D39" t="inlineStr">
        <x:is>
          <x:t xml:space="preserve">all_ones_live</x:t>
        </x:is>
      </x:c>
      <x:c r="E39" t="inlineStr">
        <x:is>
          <x:t xml:space="preserve">All factors at 1 → χ = 1 (life). The only surviving state when all gates pass.</x:t>
        </x:is>
      </x:c>
      <x:c r="F39" t="inlineStr">
        <x:is>
          <x:t xml:space="preserve">simp</x:t>
        </x:is>
      </x:c>
      <x:c r="G39" t="inlineStr">
        <x:is>
          <x:t xml:space="preserve">PROVED</x:t>
        </x:is>
      </x:c>
      <x:c r="H39" t="inlineStr">
        <x:is>
          <x:t xml:space="preserve">L7-Q6</x:t>
        </x:is>
      </x:c>
    </x:row>
    <x:row r="40">
      <x:c r="A40" t="inlineStr">
        <x:is>
          <x:t xml:space="preserve">LAYER 4</x:t>
        </x:is>
      </x:c>
      <x:c r="B40" t="inlineStr">
        <x:is>
          <x:t xml:space="preserve">MASTER EQUATION INVARIANCE</x:t>
        </x:is>
      </x:c>
      <x:c r="C40" t="inlineStr">
        <x:is>
          <x:t xml:space="preserve">MasterEquationInvariance.lean (imports BridgeMatrix)</x:t>
        </x:is>
      </x:c>
      <x:c r="E40" t="inlineStr">
        <x:is>
          <x:t xml:space="preserve">Canonical substitution preserves signatures AND product. Product alone is too weak — signature discipline is load-bearing.</x:t>
        </x:is>
      </x:c>
    </x:row>
    <x:row r="41">
      <x:c r="A41" t="n">
        <x:v>35</x:v>
      </x:c>
      <x:c r="B41" t="inlineStr">
        <x:is>
          <x:t xml:space="preserve">4 — Invariance</x:t>
        </x:is>
      </x:c>
      <x:c r="C41" t="inlineStr">
        <x:is>
          <x:t xml:space="preserve">MasterEquationInvariance.lean</x:t>
        </x:is>
      </x:c>
      <x:c r="D41" t="inlineStr">
        <x:is>
          <x:t xml:space="preserve">canonical_substitution_row_valid</x:t>
        </x:is>
      </x:c>
      <x:c r="E41" t="inlineStr">
        <x:is>
          <x:t xml:space="preserve">Every factor's canonical substitution row passes</x:t>
        </x:is>
      </x:c>
      <x:c r="F41" t="inlineStr">
        <x:is>
          <x:t xml:space="preserve">decide</x:t>
        </x:is>
      </x:c>
      <x:c r="G41" t="inlineStr">
        <x:is>
          <x:t xml:space="preserve">PROVED</x:t>
        </x:is>
      </x:c>
      <x:c r="H41" t="inlineStr">
        <x:is>
          <x:t xml:space="preserve">L7-Q3</x:t>
        </x:is>
      </x:c>
    </x:row>
    <x:row r="42">
      <x:c r="A42" t="n">
        <x:v>36</x:v>
      </x:c>
      <x:c r="B42" t="inlineStr">
        <x:is>
          <x:t xml:space="preserve">4 — Invariance</x:t>
        </x:is>
      </x:c>
      <x:c r="C42" t="inlineStr">
        <x:is>
          <x:t xml:space="preserve">MasterEquationInvariance.lean</x:t>
        </x:is>
      </x:c>
      <x:c r="D42" t="inlineStr">
        <x:is>
          <x:t xml:space="preserve">canonical_substitution_preserves_signature</x:t>
        </x:is>
      </x:c>
      <x:c r="E42" t="inlineStr">
        <x:is>
          <x:t xml:space="preserve">Physical→spiritual substitution preserves signatures for all 10 factors</x:t>
        </x:is>
      </x:c>
      <x:c r="F42" t="inlineStr">
        <x:is>
          <x:t xml:space="preserve">decide</x:t>
        </x:is>
      </x:c>
      <x:c r="G42" t="inlineStr">
        <x:is>
          <x:t xml:space="preserve">PROVED</x:t>
        </x:is>
      </x:c>
      <x:c r="H42" t="inlineStr">
        <x:is>
          <x:t xml:space="preserve">L7-Q3</x:t>
        </x:is>
      </x:c>
    </x:row>
    <x:row r="43">
      <x:c r="A43" t="n">
        <x:v>37</x:v>
      </x:c>
      <x:c r="B43" t="inlineStr">
        <x:is>
          <x:t xml:space="preserve">4 — Invariance</x:t>
        </x:is>
      </x:c>
      <x:c r="C43" t="inlineStr">
        <x:is>
          <x:t xml:space="preserve">MasterEquationInvariance.lean</x:t>
        </x:is>
      </x:c>
      <x:c r="D43" t="inlineStr">
        <x:is>
          <x:t xml:space="preserve">master_equation_invariant_under_canonical_substitution</x:t>
        </x:is>
      </x:c>
      <x:c r="E43" t="inlineStr">
        <x:is>
          <x:t xml:space="preserve">χ(physical) = χ(spiritual) under canonical map. The equation is the same in both registers.</x:t>
        </x:is>
      </x:c>
      <x:c r="F43" t="inlineStr">
        <x:is>
          <x:t xml:space="preserve">simp</x:t>
        </x:is>
      </x:c>
      <x:c r="G43" t="inlineStr">
        <x:is>
          <x:t xml:space="preserve">PROVED</x:t>
        </x:is>
      </x:c>
      <x:c r="H43" t="inlineStr">
        <x:is>
          <x:t xml:space="preserve">L7-Q4, COMPRESS-1</x:t>
        </x:is>
      </x:c>
    </x:row>
    <x:row r="44">
      <x:c r="A44" t="n">
        <x:v>38</x:v>
      </x:c>
      <x:c r="B44" t="inlineStr">
        <x:is>
          <x:t xml:space="preserve">4 — Invariance</x:t>
        </x:is>
      </x:c>
      <x:c r="C44" t="inlineStr">
        <x:is>
          <x:t xml:space="preserve">MasterEquationInvariance.lean</x:t>
        </x:is>
      </x:c>
      <x:c r="D44" t="inlineStr">
        <x:is>
          <x:t xml:space="preserve">G_zero_still_collapses_after_substitution</x:t>
        </x:is>
      </x:c>
      <x:c r="E44" t="inlineStr">
        <x:is>
          <x:t xml:space="preserve">G=0 collapse survives substitution</x:t>
        </x:is>
      </x:c>
      <x:c r="F44" t="inlineStr">
        <x:is>
          <x:t xml:space="preserve">simp</x:t>
        </x:is>
      </x:c>
      <x:c r="G44" t="inlineStr">
        <x:is>
          <x:t xml:space="preserve">PROVED</x:t>
        </x:is>
      </x:c>
      <x:c r="H44" t="inlineStr">
        <x:is>
          <x:t xml:space="preserve">L7-Q4</x:t>
        </x:is>
      </x:c>
    </x:row>
    <x:row r="45">
      <x:c r="A45" t="n">
        <x:v>39</x:v>
      </x:c>
      <x:c r="B45" t="inlineStr">
        <x:is>
          <x:t xml:space="preserve">4 — Invariance</x:t>
        </x:is>
      </x:c>
      <x:c r="C45" t="inlineStr">
        <x:is>
          <x:t xml:space="preserve">MasterEquationInvariance.lean</x:t>
        </x:is>
      </x:c>
      <x:c r="D45" t="inlineStr">
        <x:is>
          <x:t xml:space="preserve">Q_zero_still_collapses_after_substitution</x:t>
        </x:is>
      </x:c>
      <x:c r="E45" t="inlineStr">
        <x:is>
          <x:t xml:space="preserve">Q=0 collapse survives substitution</x:t>
        </x:is>
      </x:c>
      <x:c r="F45" t="inlineStr">
        <x:is>
          <x:t xml:space="preserve">simp</x:t>
        </x:is>
      </x:c>
      <x:c r="G45" t="inlineStr">
        <x:is>
          <x:t xml:space="preserve">PROVED</x:t>
        </x:is>
      </x:c>
      <x:c r="H45" t="inlineStr">
        <x:is>
          <x:t xml:space="preserve">L7-Q4</x:t>
        </x:is>
      </x:c>
    </x:row>
    <x:row r="46">
      <x:c r="A46" t="n">
        <x:v>40</x:v>
      </x:c>
      <x:c r="B46" t="inlineStr">
        <x:is>
          <x:t xml:space="preserve">4 — Invariance</x:t>
        </x:is>
      </x:c>
      <x:c r="C46" t="inlineStr">
        <x:is>
          <x:t xml:space="preserve">MasterEquationInvariance.lean</x:t>
        </x:is>
      </x:c>
      <x:c r="D46" t="inlineStr">
        <x:is>
          <x:t xml:space="preserve">product_only_does_not_detect_grace_faith_swap</x:t>
        </x:is>
      </x:c>
      <x:c r="E46" t="inlineStr">
        <x:is>
          <x:t xml:space="preserve">REJECTION FAILURE: Product alone is BLIND to semantic swaps. Grace↔Faith swap passes product check.</x:t>
        </x:is>
      </x:c>
      <x:c r="F46" t="inlineStr">
        <x:is>
          <x:t xml:space="preserve">decide</x:t>
        </x:is>
      </x:c>
      <x:c r="G46" t="inlineStr">
        <x:is>
          <x:t xml:space="preserve">BOUNDARY</x:t>
        </x:is>
      </x:c>
      <x:c r="H46" t="inlineStr">
        <x:is>
          <x:t xml:space="preserve">COMPRESS-4</x:t>
        </x:is>
      </x:c>
    </x:row>
    <x:row r="47">
      <x:c r="A47" t="n">
        <x:v>41</x:v>
      </x:c>
      <x:c r="B47" t="inlineStr">
        <x:is>
          <x:t xml:space="preserve">4 — Invariance</x:t>
        </x:is>
      </x:c>
      <x:c r="C47" t="inlineStr">
        <x:is>
          <x:t xml:space="preserve">MasterEquationInvariance.lean</x:t>
        </x:is>
      </x:c>
      <x:c r="D47" t="inlineStr">
        <x:is>
          <x:t xml:space="preserve">signature_layer_rejects_grace_faith_swap</x:t>
        </x:is>
      </x:c>
      <x:c r="E47" t="inlineStr">
        <x:is>
          <x:t xml:space="preserve">REJECTION: But the signature layer catches Grace↔Faith swap that product missed</x:t>
        </x:is>
      </x:c>
      <x:c r="F47" t="inlineStr">
        <x:is>
          <x:t xml:space="preserve">decide</x:t>
        </x:is>
      </x:c>
      <x:c r="G47" t="inlineStr">
        <x:is>
          <x:t xml:space="preserve">REJECTION</x:t>
        </x:is>
      </x:c>
      <x:c r="H47" t="inlineStr">
        <x:is>
          <x:t xml:space="preserve">L1-Q4</x:t>
        </x:is>
      </x:c>
    </x:row>
    <x:row r="48">
      <x:c r="A48" t="n">
        <x:v>42</x:v>
      </x:c>
      <x:c r="B48" t="inlineStr">
        <x:is>
          <x:t xml:space="preserve">4 — Invariance</x:t>
        </x:is>
      </x:c>
      <x:c r="C48" t="inlineStr">
        <x:is>
          <x:t xml:space="preserve">MasterEquationInvariance.lean</x:t>
        </x:is>
      </x:c>
      <x:c r="D48" t="inlineStr">
        <x:is>
          <x:t xml:space="preserve">master_invariance_requires_signature_discipline</x:t>
        </x:is>
      </x:c>
      <x:c r="E48" t="inlineStr">
        <x:is>
          <x:t xml:space="preserve">BOTH product AND signature needed — neither alone suffices. This is why the bridge is two-layer.</x:t>
        </x:is>
      </x:c>
      <x:c r="F48" t="inlineStr">
        <x:is>
          <x:t xml:space="preserve">conjunction</x:t>
        </x:is>
      </x:c>
      <x:c r="G48" t="inlineStr">
        <x:is>
          <x:t xml:space="preserve">PROVED</x:t>
        </x:is>
      </x:c>
      <x:c r="H48" t="inlineStr">
        <x:is>
          <x:t xml:space="preserve">L7-Q4, COMPRESS-4</x:t>
        </x:is>
      </x:c>
    </x:row>
    <x:row r="49">
      <x:c r="A49" t="inlineStr">
        <x:is>
          <x:t xml:space="preserve">LAYER 5</x:t>
        </x:is>
      </x:c>
      <x:c r="B49" t="inlineStr">
        <x:is>
          <x:t xml:space="preserve">FIELD BRIDGE CONTROLS — Laws 3,6,7,8</x:t>
        </x:is>
      </x:c>
      <x:c r="C49" t="inlineStr">
        <x:is>
          <x:t xml:space="preserve">FieldBridgeControls.lean (imports BridgeMatrix)</x:t>
        </x:is>
      </x:c>
      <x:c r="E49" t="inlineStr">
        <x:is>
          <x:t xml:space="preserve">Per-law collapse proofs. Each bypass zeroes the relevant factor, which zeroes χ globally.</x:t>
        </x:is>
      </x:c>
    </x:row>
    <x:row r="50">
      <x:c r="A50" t="n">
        <x:v>43</x:v>
      </x:c>
      <x:c r="B50" t="inlineStr">
        <x:is>
          <x:t xml:space="preserve">5 — Law 3 (EM/Truth)</x:t>
        </x:is>
      </x:c>
      <x:c r="C50" t="inlineStr">
        <x:is>
          <x:t xml:space="preserve">FieldBridgeControls.lean</x:t>
        </x:is>
      </x:c>
      <x:c r="D50" t="inlineStr">
        <x:is>
          <x:t xml:space="preserve">law3_truth_limit_E_one</x:t>
        </x:is>
      </x:c>
      <x:c r="E50" t="inlineStr">
        <x:is>
          <x:t xml:space="preserve">Full slots + source-backed + phase-aligned → E = 1</x:t>
        </x:is>
      </x:c>
      <x:c r="F50" t="inlineStr">
        <x:is>
          <x:t xml:space="preserve">simp</x:t>
        </x:is>
      </x:c>
      <x:c r="G50" t="inlineStr">
        <x:is>
          <x:t xml:space="preserve">PROVED</x:t>
        </x:is>
      </x:c>
      <x:c r="H50" t="inlineStr">
        <x:is>
          <x:t xml:space="preserve">L1-Q2</x:t>
        </x:is>
      </x:c>
    </x:row>
    <x:row r="51">
      <x:c r="A51" t="n">
        <x:v>44</x:v>
      </x:c>
      <x:c r="B51" t="inlineStr">
        <x:is>
          <x:t xml:space="preserve">5 — Law 3 (EM/Truth)</x:t>
        </x:is>
      </x:c>
      <x:c r="C51" t="inlineStr">
        <x:is>
          <x:t xml:space="preserve">FieldBridgeControls.lean</x:t>
        </x:is>
      </x:c>
      <x:c r="D51" t="inlineStr">
        <x:is>
          <x:t xml:space="preserve">law3_command_bypass_forces_E_zero</x:t>
        </x:is>
      </x:c>
      <x:c r="E51" t="inlineStr">
        <x:is>
          <x:t xml:space="preserve">REJECTION: Command bypass → E = 0 (∀ states). Bypassing command kills truth-fidelity.</x:t>
        </x:is>
      </x:c>
      <x:c r="F51" t="inlineStr">
        <x:is>
          <x:t xml:space="preserve">simp</x:t>
        </x:is>
      </x:c>
      <x:c r="G51" t="inlineStr">
        <x:is>
          <x:t xml:space="preserve">REJECTION</x:t>
        </x:is>
      </x:c>
      <x:c r="H51" t="inlineStr">
        <x:is>
          <x:t xml:space="preserve">L6-P2</x:t>
        </x:is>
      </x:c>
    </x:row>
    <x:row r="52">
      <x:c r="A52" t="n">
        <x:v>45</x:v>
      </x:c>
      <x:c r="B52" t="inlineStr">
        <x:is>
          <x:t xml:space="preserve">5 — Law 3 (EM/Truth)</x:t>
        </x:is>
      </x:c>
      <x:c r="C52" t="inlineStr">
        <x:is>
          <x:t xml:space="preserve">FieldBridgeControls.lean</x:t>
        </x:is>
      </x:c>
      <x:c r="D52" t="inlineStr">
        <x:is>
          <x:t xml:space="preserve">law3_phase_inversion_forces_E_zero</x:t>
        </x:is>
      </x:c>
      <x:c r="E52" t="inlineStr">
        <x:is>
          <x:t xml:space="preserve">REJECTION: Phase inversion → E = 0 (∀ states). Inverted alignment kills truth.</x:t>
        </x:is>
      </x:c>
      <x:c r="F52" t="inlineStr">
        <x:is>
          <x:t xml:space="preserve">simp</x:t>
        </x:is>
      </x:c>
      <x:c r="G52" t="inlineStr">
        <x:is>
          <x:t xml:space="preserve">REJECTION</x:t>
        </x:is>
      </x:c>
      <x:c r="H52" t="inlineStr">
        <x:is>
          <x:t xml:space="preserve">L2-Q3</x:t>
        </x:is>
      </x:c>
    </x:row>
    <x:row r="53">
      <x:c r="A53" t="n">
        <x:v>46</x:v>
      </x:c>
      <x:c r="B53" t="inlineStr">
        <x:is>
          <x:t xml:space="preserve">5 — Law 3 (EM/Truth)</x:t>
        </x:is>
      </x:c>
      <x:c r="C53" t="inlineStr">
        <x:is>
          <x:t xml:space="preserve">FieldBridgeControls.lean</x:t>
        </x:is>
      </x:c>
      <x:c r="D53" t="inlineStr">
        <x:is>
          <x:t xml:space="preserve">law3_command_bypass_collapses_chi</x:t>
        </x:is>
      </x:c>
      <x:c r="E53" t="inlineStr">
        <x:is>
          <x:t xml:space="preserve">Command bypass → χ = 0. Truth bypass kills the whole system.</x:t>
        </x:is>
      </x:c>
      <x:c r="F53" t="inlineStr">
        <x:is>
          <x:t xml:space="preserve">simp</x:t>
        </x:is>
      </x:c>
      <x:c r="G53" t="inlineStr">
        <x:is>
          <x:t xml:space="preserve">PROVED</x:t>
        </x:is>
      </x:c>
      <x:c r="H53" t="inlineStr">
        <x:is>
          <x:t xml:space="preserve">L6-P2</x:t>
        </x:is>
      </x:c>
    </x:row>
    <x:row r="54">
      <x:c r="A54" t="n">
        <x:v>47</x:v>
      </x:c>
      <x:c r="B54" t="inlineStr">
        <x:is>
          <x:t xml:space="preserve">5 — Law 3 (EM/Truth)</x:t>
        </x:is>
      </x:c>
      <x:c r="C54" t="inlineStr">
        <x:is>
          <x:t xml:space="preserve">FieldBridgeControls.lean</x:t>
        </x:is>
      </x:c>
      <x:c r="D54" t="inlineStr">
        <x:is>
          <x:t xml:space="preserve">law3_phase_inversion_collapses_chi</x:t>
        </x:is>
      </x:c>
      <x:c r="E54" t="inlineStr">
        <x:is>
          <x:t xml:space="preserve">Phase inversion → χ = 0</x:t>
        </x:is>
      </x:c>
      <x:c r="F54" t="inlineStr">
        <x:is>
          <x:t xml:space="preserve">simp</x:t>
        </x:is>
      </x:c>
      <x:c r="G54" t="inlineStr">
        <x:is>
          <x:t xml:space="preserve">PROVED</x:t>
        </x:is>
      </x:c>
      <x:c r="H54" t="inlineStr">
        <x:is>
          <x:t xml:space="preserve">L2-Q3</x:t>
        </x:is>
      </x:c>
    </x:row>
    <x:row r="55">
      <x:c r="A55" t="n">
        <x:v>48</x:v>
      </x:c>
      <x:c r="B55" t="inlineStr">
        <x:is>
          <x:t xml:space="preserve">5 — Law 6 (Info/Logos)</x:t>
        </x:is>
      </x:c>
      <x:c r="C55" t="inlineStr">
        <x:is>
          <x:t xml:space="preserve">FieldBridgeControls.lean</x:t>
        </x:is>
      </x:c>
      <x:c r="D55" t="inlineStr">
        <x:is>
          <x:t xml:space="preserve">law6_logos_limit_K_one</x:t>
        </x:is>
      </x:c>
      <x:c r="E55" t="inlineStr">
        <x:is>
          <x:t xml:space="preserve">Full conditions → K = 1</x:t>
        </x:is>
      </x:c>
      <x:c r="F55" t="inlineStr">
        <x:is>
          <x:t xml:space="preserve">simp</x:t>
        </x:is>
      </x:c>
      <x:c r="G55" t="inlineStr">
        <x:is>
          <x:t xml:space="preserve">PROVED</x:t>
        </x:is>
      </x:c>
      <x:c r="H55" t="inlineStr">
        <x:is>
          <x:t xml:space="preserve">L3-Q4</x:t>
        </x:is>
      </x:c>
    </x:row>
    <x:row r="56">
      <x:c r="A56" t="n">
        <x:v>49</x:v>
      </x:c>
      <x:c r="B56" t="inlineStr">
        <x:is>
          <x:t xml:space="preserve">5 — Law 6 (Info/Logos)</x:t>
        </x:is>
      </x:c>
      <x:c r="C56" t="inlineStr">
        <x:is>
          <x:t xml:space="preserve">FieldBridgeControls.lean</x:t>
        </x:is>
      </x:c>
      <x:c r="D56" t="inlineStr">
        <x:is>
          <x:t xml:space="preserve">law6_relation_bypass_forces_K_zero</x:t>
        </x:is>
      </x:c>
      <x:c r="E56" t="inlineStr">
        <x:is>
          <x:t xml:space="preserve">REJECTION: Relation bypass → K = 0. No relation, no Logos.</x:t>
        </x:is>
      </x:c>
      <x:c r="F56" t="inlineStr">
        <x:is>
          <x:t xml:space="preserve">simp</x:t>
        </x:is>
      </x:c>
      <x:c r="G56" t="inlineStr">
        <x:is>
          <x:t xml:space="preserve">REJECTION</x:t>
        </x:is>
      </x:c>
      <x:c r="H56" t="inlineStr">
        <x:is>
          <x:t xml:space="preserve">L6-P1</x:t>
        </x:is>
      </x:c>
    </x:row>
    <x:row r="57">
      <x:c r="A57" t="n">
        <x:v>50</x:v>
      </x:c>
      <x:c r="B57" t="inlineStr">
        <x:is>
          <x:t xml:space="preserve">5 — Law 6 (Info/Logos)</x:t>
        </x:is>
      </x:c>
      <x:c r="C57" t="inlineStr">
        <x:is>
          <x:t xml:space="preserve">FieldBridgeControls.lean</x:t>
        </x:is>
      </x:c>
      <x:c r="D57" t="inlineStr">
        <x:is>
          <x:t xml:space="preserve">law6_bandwidth_closed_forces_K_zero</x:t>
        </x:is>
      </x:c>
      <x:c r="E57" t="inlineStr">
        <x:is>
          <x:t xml:space="preserve">REJECTION: Bandwidth closed → K = 0. Channel closed, Logos blocked.</x:t>
        </x:is>
      </x:c>
      <x:c r="F57" t="inlineStr">
        <x:is>
          <x:t xml:space="preserve">simp</x:t>
        </x:is>
      </x:c>
      <x:c r="G57" t="inlineStr">
        <x:is>
          <x:t xml:space="preserve">REJECTION</x:t>
        </x:is>
      </x:c>
      <x:c r="H57" t="inlineStr">
        <x:is>
          <x:t xml:space="preserve">L3-Q4</x:t>
        </x:is>
      </x:c>
    </x:row>
    <x:row r="58">
      <x:c r="A58" t="n">
        <x:v>51</x:v>
      </x:c>
      <x:c r="B58" t="inlineStr">
        <x:is>
          <x:t xml:space="preserve">5 — Law 6 (Info/Logos)</x:t>
        </x:is>
      </x:c>
      <x:c r="C58" t="inlineStr">
        <x:is>
          <x:t xml:space="preserve">FieldBridgeControls.lean</x:t>
        </x:is>
      </x:c>
      <x:c r="D58" t="inlineStr">
        <x:is>
          <x:t xml:space="preserve">law6_distortion_dominates_forces_K_zero</x:t>
        </x:is>
      </x:c>
      <x:c r="E58" t="inlineStr">
        <x:is>
          <x:t xml:space="preserve">REJECTION: Distortion dominates → K = 0</x:t>
        </x:is>
      </x:c>
      <x:c r="F58" t="inlineStr">
        <x:is>
          <x:t xml:space="preserve">simp</x:t>
        </x:is>
      </x:c>
      <x:c r="G58" t="inlineStr">
        <x:is>
          <x:t xml:space="preserve">REJECTION</x:t>
        </x:is>
      </x:c>
      <x:c r="H58" t="inlineStr">
        <x:is>
          <x:t xml:space="preserve">L3-Q4</x:t>
        </x:is>
      </x:c>
    </x:row>
    <x:row r="59">
      <x:c r="A59" t="n">
        <x:v>52</x:v>
      </x:c>
      <x:c r="B59" t="inlineStr">
        <x:is>
          <x:t xml:space="preserve">5 — Law 6 (Info/Logos)</x:t>
        </x:is>
      </x:c>
      <x:c r="C59" t="inlineStr">
        <x:is>
          <x:t xml:space="preserve">FieldBridgeControls.lean</x:t>
        </x:is>
      </x:c>
      <x:c r="D59" t="inlineStr">
        <x:is>
          <x:t xml:space="preserve">law6_bandwidth_collapse_collapses_chi</x:t>
        </x:is>
      </x:c>
      <x:c r="E59" t="inlineStr">
        <x:is>
          <x:t xml:space="preserve">Bandwidth collapse → χ = 0</x:t>
        </x:is>
      </x:c>
      <x:c r="F59" t="inlineStr">
        <x:is>
          <x:t xml:space="preserve">simp</x:t>
        </x:is>
      </x:c>
      <x:c r="G59" t="inlineStr">
        <x:is>
          <x:t xml:space="preserve">PROVED</x:t>
        </x:is>
      </x:c>
      <x:c r="H59" t="inlineStr">
        <x:is>
          <x:t xml:space="preserve">L3-Q4</x:t>
        </x:is>
      </x:c>
    </x:row>
    <x:row r="60">
      <x:c r="A60" t="n">
        <x:v>53</x:v>
      </x:c>
      <x:c r="B60" t="inlineStr">
        <x:is>
          <x:t xml:space="preserve">5 — Law 7 (Rel/Frame)</x:t>
        </x:is>
      </x:c>
      <x:c r="C60" t="inlineStr">
        <x:is>
          <x:t xml:space="preserve">FieldBridgeControls.lean</x:t>
        </x:is>
      </x:c>
      <x:c r="D60" t="inlineStr">
        <x:is>
          <x:t xml:space="preserve">law7_righteous_limit_R_one</x:t>
        </x:is>
      </x:c>
      <x:c r="E60" t="inlineStr">
        <x:is>
          <x:t xml:space="preserve">Full conditions → R = 1</x:t>
        </x:is>
      </x:c>
      <x:c r="F60" t="inlineStr">
        <x:is>
          <x:t xml:space="preserve">simp</x:t>
        </x:is>
      </x:c>
      <x:c r="G60" t="inlineStr">
        <x:is>
          <x:t xml:space="preserve">PROVED</x:t>
        </x:is>
      </x:c>
      <x:c r="H60" t="inlineStr">
        <x:is>
          <x:t xml:space="preserve">L1-Q6</x:t>
        </x:is>
      </x:c>
    </x:row>
    <x:row r="61">
      <x:c r="A61" t="n">
        <x:v>54</x:v>
      </x:c>
      <x:c r="B61" t="inlineStr">
        <x:is>
          <x:t xml:space="preserve">5 — Law 7 (Rel/Frame)</x:t>
        </x:is>
      </x:c>
      <x:c r="C61" t="inlineStr">
        <x:is>
          <x:t xml:space="preserve">FieldBridgeControls.lean</x:t>
        </x:is>
      </x:c>
      <x:c r="D61" t="inlineStr">
        <x:is>
          <x:t xml:space="preserve">law7_relation_bypass_forces_R_zero</x:t>
        </x:is>
      </x:c>
      <x:c r="E61" t="inlineStr">
        <x:is>
          <x:t xml:space="preserve">REJECTION: Relation bypass → R = 0. No relation, no frame translation.</x:t>
        </x:is>
      </x:c>
      <x:c r="F61" t="inlineStr">
        <x:is>
          <x:t xml:space="preserve">simp</x:t>
        </x:is>
      </x:c>
      <x:c r="G61" t="inlineStr">
        <x:is>
          <x:t xml:space="preserve">REJECTION</x:t>
        </x:is>
      </x:c>
      <x:c r="H61" t="inlineStr">
        <x:is>
          <x:t xml:space="preserve">L6-P1</x:t>
        </x:is>
      </x:c>
    </x:row>
    <x:row r="62">
      <x:c r="A62" t="n">
        <x:v>55</x:v>
      </x:c>
      <x:c r="B62" t="inlineStr">
        <x:is>
          <x:t xml:space="preserve">5 — Law 7 (Rel/Frame)</x:t>
        </x:is>
      </x:c>
      <x:c r="C62" t="inlineStr">
        <x:is>
          <x:t xml:space="preserve">FieldBridgeControls.lean</x:t>
        </x:is>
      </x:c>
      <x:c r="D62" t="inlineStr">
        <x:is>
          <x:t xml:space="preserve">law7_metric_absent_forces_R_zero</x:t>
        </x:is>
      </x:c>
      <x:c r="E62" t="inlineStr">
        <x:is>
          <x:t xml:space="preserve">REJECTION: No shared metric → R = 0</x:t>
        </x:is>
      </x:c>
      <x:c r="F62" t="inlineStr">
        <x:is>
          <x:t xml:space="preserve">simp</x:t>
        </x:is>
      </x:c>
      <x:c r="G62" t="inlineStr">
        <x:is>
          <x:t xml:space="preserve">REJECTION</x:t>
        </x:is>
      </x:c>
      <x:c r="H62" t="inlineStr">
        <x:is>
          <x:t xml:space="preserve">L1-Q4</x:t>
        </x:is>
      </x:c>
    </x:row>
    <x:row r="63">
      <x:c r="A63" t="n">
        <x:v>56</x:v>
      </x:c>
      <x:c r="B63" t="inlineStr">
        <x:is>
          <x:t xml:space="preserve">5 — Law 7 (Rel/Frame)</x:t>
        </x:is>
      </x:c>
      <x:c r="C63" t="inlineStr">
        <x:is>
          <x:t xml:space="preserve">FieldBridgeControls.lean</x:t>
        </x:is>
      </x:c>
      <x:c r="D63" t="inlineStr">
        <x:is>
          <x:t xml:space="preserve">law7_frame_lock_forces_R_zero</x:t>
        </x:is>
      </x:c>
      <x:c r="E63" t="inlineStr">
        <x:is>
          <x:t xml:space="preserve">REJECTION: Frame lock → R = 0</x:t>
        </x:is>
      </x:c>
      <x:c r="F63" t="inlineStr">
        <x:is>
          <x:t xml:space="preserve">simp</x:t>
        </x:is>
      </x:c>
      <x:c r="G63" t="inlineStr">
        <x:is>
          <x:t xml:space="preserve">REJECTION</x:t>
        </x:is>
      </x:c>
      <x:c r="H63" t="inlineStr">
        <x:is>
          <x:t xml:space="preserve">L1-Q4</x:t>
        </x:is>
      </x:c>
    </x:row>
    <x:row r="64">
      <x:c r="A64" t="n">
        <x:v>57</x:v>
      </x:c>
      <x:c r="B64" t="inlineStr">
        <x:is>
          <x:t xml:space="preserve">5 — Law 7 (Rel/Frame)</x:t>
        </x:is>
      </x:c>
      <x:c r="C64" t="inlineStr">
        <x:is>
          <x:t xml:space="preserve">FieldBridgeControls.lean</x:t>
        </x:is>
      </x:c>
      <x:c r="D64" t="inlineStr">
        <x:is>
          <x:t xml:space="preserve">law7_relation_bypass_collapses_chi</x:t>
        </x:is>
      </x:c>
      <x:c r="E64" t="inlineStr">
        <x:is>
          <x:t xml:space="preserve">Relation bypass → χ = 0</x:t>
        </x:is>
      </x:c>
      <x:c r="F64" t="inlineStr">
        <x:is>
          <x:t xml:space="preserve">simp</x:t>
        </x:is>
      </x:c>
      <x:c r="G64" t="inlineStr">
        <x:is>
          <x:t xml:space="preserve">PROVED</x:t>
        </x:is>
      </x:c>
      <x:c r="H64" t="inlineStr">
        <x:is>
          <x:t xml:space="preserve">L6-P1</x:t>
        </x:is>
      </x:c>
    </x:row>
    <x:row r="65">
      <x:c r="A65" t="n">
        <x:v>58</x:v>
      </x:c>
      <x:c r="B65" t="inlineStr">
        <x:is>
          <x:t xml:space="preserve">5 — Law 7 (Rel/Frame)</x:t>
        </x:is>
      </x:c>
      <x:c r="C65" t="inlineStr">
        <x:is>
          <x:t xml:space="preserve">FieldBridgeControls.lean</x:t>
        </x:is>
      </x:c>
      <x:c r="D65" t="inlineStr">
        <x:is>
          <x:t xml:space="preserve">law7_frame_lock_collapses_chi</x:t>
        </x:is>
      </x:c>
      <x:c r="E65" t="inlineStr">
        <x:is>
          <x:t xml:space="preserve">Frame lock → χ = 0</x:t>
        </x:is>
      </x:c>
      <x:c r="F65" t="inlineStr">
        <x:is>
          <x:t xml:space="preserve">simp</x:t>
        </x:is>
      </x:c>
      <x:c r="G65" t="inlineStr">
        <x:is>
          <x:t xml:space="preserve">PROVED</x:t>
        </x:is>
      </x:c>
      <x:c r="H65" t="inlineStr">
        <x:is>
          <x:t xml:space="preserve">L1-Q4</x:t>
        </x:is>
      </x:c>
    </x:row>
    <x:row r="66">
      <x:c r="A66" t="n">
        <x:v>59</x:v>
      </x:c>
      <x:c r="B66" t="inlineStr">
        <x:is>
          <x:t xml:space="preserve">5 — Law 8 (QM/Faith)</x:t>
        </x:is>
      </x:c>
      <x:c r="C66" t="inlineStr">
        <x:is>
          <x:t xml:space="preserve">FieldBridgeControls.lean</x:t>
        </x:is>
      </x:c>
      <x:c r="D66" t="inlineStr">
        <x:is>
          <x:t xml:space="preserve">law8_faith_limit_Q_one</x:t>
        </x:is>
      </x:c>
      <x:c r="E66" t="inlineStr">
        <x:is>
          <x:t xml:space="preserve">Full conditions → Q = 1</x:t>
        </x:is>
      </x:c>
      <x:c r="F66" t="inlineStr">
        <x:is>
          <x:t xml:space="preserve">simp</x:t>
        </x:is>
      </x:c>
      <x:c r="G66" t="inlineStr">
        <x:is>
          <x:t xml:space="preserve">PROVED</x:t>
        </x:is>
      </x:c>
      <x:c r="H66" t="inlineStr">
        <x:is>
          <x:t xml:space="preserve">L4-Q4</x:t>
        </x:is>
      </x:c>
    </x:row>
    <x:row r="67">
      <x:c r="A67" t="n">
        <x:v>60</x:v>
      </x:c>
      <x:c r="B67" t="inlineStr">
        <x:is>
          <x:t xml:space="preserve">5 — Law 8 (QM/Faith)</x:t>
        </x:is>
      </x:c>
      <x:c r="C67" t="inlineStr">
        <x:is>
          <x:t xml:space="preserve">FieldBridgeControls.lean</x:t>
        </x:is>
      </x:c>
      <x:c r="D67" t="inlineStr">
        <x:is>
          <x:t xml:space="preserve">law8_command_bypass_forces_Q_zero</x:t>
        </x:is>
      </x:c>
      <x:c r="E67" t="inlineStr">
        <x:is>
          <x:t xml:space="preserve">REJECTION: Command bypass → Q = 0</x:t>
        </x:is>
      </x:c>
      <x:c r="F67" t="inlineStr">
        <x:is>
          <x:t xml:space="preserve">simp</x:t>
        </x:is>
      </x:c>
      <x:c r="G67" t="inlineStr">
        <x:is>
          <x:t xml:space="preserve">REJECTION</x:t>
        </x:is>
      </x:c>
      <x:c r="H67" t="inlineStr">
        <x:is>
          <x:t xml:space="preserve">L6-P2</x:t>
        </x:is>
      </x:c>
    </x:row>
    <x:row r="68">
      <x:c r="A68" t="n">
        <x:v>61</x:v>
      </x:c>
      <x:c r="B68" t="inlineStr">
        <x:is>
          <x:t xml:space="preserve">5 — Law 8 (QM/Faith)</x:t>
        </x:is>
      </x:c>
      <x:c r="C68" t="inlineStr">
        <x:is>
          <x:t xml:space="preserve">FieldBridgeControls.lean</x:t>
        </x:is>
      </x:c>
      <x:c r="D68" t="inlineStr">
        <x:is>
          <x:t xml:space="preserve">law8_missing_eigenbasis_forces_Q_zero</x:t>
        </x:is>
      </x:c>
      <x:c r="E68" t="inlineStr">
        <x:is>
          <x:t xml:space="preserve">REJECTION: Missing eigenbasis → Q = 0. No basis to collapse into.</x:t>
        </x:is>
      </x:c>
      <x:c r="F68" t="inlineStr">
        <x:is>
          <x:t xml:space="preserve">simp</x:t>
        </x:is>
      </x:c>
      <x:c r="G68" t="inlineStr">
        <x:is>
          <x:t xml:space="preserve">REJECTION</x:t>
        </x:is>
      </x:c>
      <x:c r="H68" t="inlineStr">
        <x:is>
          <x:t xml:space="preserve">L4-Q6</x:t>
        </x:is>
      </x:c>
    </x:row>
    <x:row r="69">
      <x:c r="A69" t="n">
        <x:v>62</x:v>
      </x:c>
      <x:c r="B69" t="inlineStr">
        <x:is>
          <x:t xml:space="preserve">5 — Law 8 (QM/Faith)</x:t>
        </x:is>
      </x:c>
      <x:c r="C69" t="inlineStr">
        <x:is>
          <x:t xml:space="preserve">FieldBridgeControls.lean</x:t>
        </x:is>
      </x:c>
      <x:c r="D69" t="inlineStr">
        <x:is>
          <x:t xml:space="preserve">law8_control_refusal_forces_Q_zero</x:t>
        </x:is>
      </x:c>
      <x:c r="E69" t="inlineStr">
        <x:is>
          <x:t xml:space="preserve">REJECTION: Will refuses to measure → Q = 0. Free will preserved but no collapse.</x:t>
        </x:is>
      </x:c>
      <x:c r="F69" t="inlineStr">
        <x:is>
          <x:t xml:space="preserve">simp</x:t>
        </x:is>
      </x:c>
      <x:c r="G69" t="inlineStr">
        <x:is>
          <x:t xml:space="preserve">REJECTION</x:t>
        </x:is>
      </x:c>
      <x:c r="H69" t="inlineStr">
        <x:is>
          <x:t xml:space="preserve">L6-P3</x:t>
        </x:is>
      </x:c>
    </x:row>
    <x:row r="70">
      <x:c r="A70" t="n">
        <x:v>63</x:v>
      </x:c>
      <x:c r="B70" t="inlineStr">
        <x:is>
          <x:t xml:space="preserve">5 — Law 8 (QM/Faith)</x:t>
        </x:is>
      </x:c>
      <x:c r="C70" t="inlineStr">
        <x:is>
          <x:t xml:space="preserve">FieldBridgeControls.lean</x:t>
        </x:is>
      </x:c>
      <x:c r="D70" t="inlineStr">
        <x:is>
          <x:t xml:space="preserve">law8_command_bypass_collapses_chi</x:t>
        </x:is>
      </x:c>
      <x:c r="E70" t="inlineStr">
        <x:is>
          <x:t xml:space="preserve">Command bypass → χ = 0</x:t>
        </x:is>
      </x:c>
      <x:c r="F70" t="inlineStr">
        <x:is>
          <x:t xml:space="preserve">simp</x:t>
        </x:is>
      </x:c>
      <x:c r="G70" t="inlineStr">
        <x:is>
          <x:t xml:space="preserve">PROVED</x:t>
        </x:is>
      </x:c>
      <x:c r="H70" t="inlineStr">
        <x:is>
          <x:t xml:space="preserve">L6-P2</x:t>
        </x:is>
      </x:c>
    </x:row>
    <x:row r="71">
      <x:c r="A71" t="n">
        <x:v>64</x:v>
      </x:c>
      <x:c r="B71" t="inlineStr">
        <x:is>
          <x:t xml:space="preserve">5 — Law 8 (QM/Faith)</x:t>
        </x:is>
      </x:c>
      <x:c r="C71" t="inlineStr">
        <x:is>
          <x:t xml:space="preserve">FieldBridgeControls.lean</x:t>
        </x:is>
      </x:c>
      <x:c r="D71" t="inlineStr">
        <x:is>
          <x:t xml:space="preserve">law8_control_refusal_collapses_chi</x:t>
        </x:is>
      </x:c>
      <x:c r="E71" t="inlineStr">
        <x:is>
          <x:t xml:space="preserve">Control refusal → χ = 0</x:t>
        </x:is>
      </x:c>
      <x:c r="F71" t="inlineStr">
        <x:is>
          <x:t xml:space="preserve">simp</x:t>
        </x:is>
      </x:c>
      <x:c r="G71" t="inlineStr">
        <x:is>
          <x:t xml:space="preserve">PROVED</x:t>
        </x:is>
      </x:c>
      <x:c r="H71" t="inlineStr">
        <x:is>
          <x:t xml:space="preserve">L6-P3</x:t>
        </x:is>
      </x:c>
    </x:row>
    <x:row r="72">
      <x:c r="A72" t="inlineStr">
        <x:is>
          <x:t xml:space="preserve">LAYER 6</x:t>
        </x:is>
      </x:c>
      <x:c r="B72" t="inlineStr">
        <x:is>
          <x:t xml:space="preserve">BRIDGE SCORE DISCIPLINE</x:t>
        </x:is>
      </x:c>
      <x:c r="C72" t="inlineStr">
        <x:is>
          <x:t xml:space="preserve">BridgeScoreDiscipline.lean (imports FieldBridgeControls)</x:t>
        </x:is>
      </x:c>
      <x:c r="E72" t="inlineStr">
        <x:is>
          <x:t xml:space="preserve">Graded scores must pass binary gate before entering ME. Blocks silent conflation of graded with binary.</x:t>
        </x:is>
      </x:c>
    </x:row>
    <x:row r="73">
      <x:c r="A73" t="n">
        <x:v>65</x:v>
      </x:c>
      <x:c r="B73" t="inlineStr">
        <x:is>
          <x:t xml:space="preserve">6 — Score</x:t>
        </x:is>
      </x:c>
      <x:c r="C73" t="inlineStr">
        <x:is>
          <x:t xml:space="preserve">BridgeScoreDiscipline.lean</x:t>
        </x:is>
      </x:c>
      <x:c r="D73" t="inlineStr">
        <x:is>
          <x:t xml:space="preserve">binaryGate_zero</x:t>
        </x:is>
      </x:c>
      <x:c r="E73" t="inlineStr">
        <x:is>
          <x:t xml:space="preserve">Score 0 → gate 0</x:t>
        </x:is>
      </x:c>
      <x:c r="F73" t="inlineStr">
        <x:is>
          <x:t xml:space="preserve">rfl</x:t>
        </x:is>
      </x:c>
      <x:c r="G73" t="inlineStr">
        <x:is>
          <x:t xml:space="preserve">PROVED</x:t>
        </x:is>
      </x:c>
      <x:c r="H73" t="inlineStr">
        <x:is>
          <x:t xml:space="preserve">L1-Q4</x:t>
        </x:is>
      </x:c>
    </x:row>
    <x:row r="74">
      <x:c r="A74" t="n">
        <x:v>66</x:v>
      </x:c>
      <x:c r="B74" t="inlineStr">
        <x:is>
          <x:t xml:space="preserve">6 — Score</x:t>
        </x:is>
      </x:c>
      <x:c r="C74" t="inlineStr">
        <x:is>
          <x:t xml:space="preserve">BridgeScoreDiscipline.lean</x:t>
        </x:is>
      </x:c>
      <x:c r="D74" t="inlineStr">
        <x:is>
          <x:t xml:space="preserve">binaryGate_positive</x:t>
        </x:is>
      </x:c>
      <x:c r="E74" t="inlineStr">
        <x:is>
          <x:t xml:space="preserve">Score ≥ 1 → gate 1</x:t>
        </x:is>
      </x:c>
      <x:c r="F74" t="inlineStr">
        <x:is>
          <x:t xml:space="preserve">decide</x:t>
        </x:is>
      </x:c>
      <x:c r="G74" t="inlineStr">
        <x:is>
          <x:t xml:space="preserve">PROVED</x:t>
        </x:is>
      </x:c>
      <x:c r="H74" t="inlineStr">
        <x:is>
          <x:t xml:space="preserve">L1-Q4</x:t>
        </x:is>
      </x:c>
    </x:row>
    <x:row r="75">
      <x:c r="A75" t="n">
        <x:v>67</x:v>
      </x:c>
      <x:c r="B75" t="inlineStr">
        <x:is>
          <x:t xml:space="preserve">6 — Score</x:t>
        </x:is>
      </x:c>
      <x:c r="C75" t="inlineStr">
        <x:is>
          <x:t xml:space="preserve">BridgeScoreDiscipline.lean</x:t>
        </x:is>
      </x:c>
      <x:c r="D75" t="inlineStr">
        <x:is>
          <x:t xml:space="preserve">binaryGate_zero_or_one</x:t>
        </x:is>
      </x:c>
      <x:c r="E75" t="inlineStr">
        <x:is>
          <x:t xml:space="preserve">Gate output is always exactly 0 or 1. No intermediate states.</x:t>
        </x:is>
      </x:c>
      <x:c r="F75" t="inlineStr">
        <x:is>
          <x:t xml:space="preserve">cases</x:t>
        </x:is>
      </x:c>
      <x:c r="G75" t="inlineStr">
        <x:is>
          <x:t xml:space="preserve">PROVED</x:t>
        </x:is>
      </x:c>
      <x:c r="H75" t="inlineStr">
        <x:is>
          <x:t xml:space="preserve">L1-Q4</x:t>
        </x:is>
      </x:c>
    </x:row>
    <x:row r="76">
      <x:c r="A76" t="n">
        <x:v>68</x:v>
      </x:c>
      <x:c r="B76" t="inlineStr">
        <x:is>
          <x:t xml:space="preserve">6 — Score</x:t>
        </x:is>
      </x:c>
      <x:c r="C76" t="inlineStr">
        <x:is>
          <x:t xml:space="preserve">BridgeScoreDiscipline.lean</x:t>
        </x:is>
      </x:c>
      <x:c r="D76" t="inlineStr">
        <x:is>
          <x:t xml:space="preserve">law3_unbacked_amplitude_still_has_zero_truth_fidelity</x:t>
        </x:is>
      </x:c>
      <x:c r="E76" t="inlineStr">
        <x:is>
          <x:t xml:space="preserve">REJECTION: Raw amplitude can be 5 but truth fidelity is 0 without source backing. High signal ≠ truth.</x:t>
        </x:is>
      </x:c>
      <x:c r="F76" t="inlineStr">
        <x:is>
          <x:t xml:space="preserve">simp</x:t>
        </x:is>
      </x:c>
      <x:c r="G76" t="inlineStr">
        <x:is>
          <x:t xml:space="preserve">REJECTION</x:t>
        </x:is>
      </x:c>
      <x:c r="H76" t="inlineStr">
        <x:is>
          <x:t xml:space="preserve">L1-Q5</x:t>
        </x:is>
      </x:c>
    </x:row>
    <x:row r="77">
      <x:c r="A77" t="n">
        <x:v>69</x:v>
      </x:c>
      <x:c r="B77" t="inlineStr">
        <x:is>
          <x:t xml:space="preserve">6 — Score</x:t>
        </x:is>
      </x:c>
      <x:c r="C77" t="inlineStr">
        <x:is>
          <x:t xml:space="preserve">BridgeScoreDiscipline.lean</x:t>
        </x:is>
      </x:c>
      <x:c r="D77" t="inlineStr">
        <x:is>
          <x:t xml:space="preserve">law3_command_bypass_zeroes_source_backed_fidelity</x:t>
        </x:is>
      </x:c>
      <x:c r="E77" t="inlineStr">
        <x:is>
          <x:t xml:space="preserve">REJECTION: Command bypass → truth fidelity 0 (∀ states)</x:t>
        </x:is>
      </x:c>
      <x:c r="F77" t="inlineStr">
        <x:is>
          <x:t xml:space="preserve">simp</x:t>
        </x:is>
      </x:c>
      <x:c r="G77" t="inlineStr">
        <x:is>
          <x:t xml:space="preserve">REJECTION</x:t>
        </x:is>
      </x:c>
      <x:c r="H77" t="inlineStr">
        <x:is>
          <x:t xml:space="preserve">L6-P2</x:t>
        </x:is>
      </x:c>
    </x:row>
    <x:row r="78">
      <x:c r="A78" t="n">
        <x:v>70</x:v>
      </x:c>
      <x:c r="B78" t="inlineStr">
        <x:is>
          <x:t xml:space="preserve">6 — Score</x:t>
        </x:is>
      </x:c>
      <x:c r="C78" t="inlineStr">
        <x:is>
          <x:t xml:space="preserve">BridgeScoreDiscipline.lean</x:t>
        </x:is>
      </x:c>
      <x:c r="D78" t="inlineStr">
        <x:is>
          <x:t xml:space="preserve">law7_healthy_score_passes_R_gate</x:t>
        </x:is>
      </x:c>
      <x:c r="E78" t="inlineStr">
        <x:is>
          <x:t xml:space="preserve">Healthy frame score → R gate = 1</x:t>
        </x:is>
      </x:c>
      <x:c r="F78" t="inlineStr">
        <x:is>
          <x:t xml:space="preserve">rfl</x:t>
        </x:is>
      </x:c>
      <x:c r="G78" t="inlineStr">
        <x:is>
          <x:t xml:space="preserve">PROVED</x:t>
        </x:is>
      </x:c>
      <x:c r="H78" t="inlineStr">
        <x:is>
          <x:t xml:space="preserve">L1-Q6</x:t>
        </x:is>
      </x:c>
    </x:row>
    <x:row r="79">
      <x:c r="A79" t="n">
        <x:v>71</x:v>
      </x:c>
      <x:c r="B79" t="inlineStr">
        <x:is>
          <x:t xml:space="preserve">6 — Score</x:t>
        </x:is>
      </x:c>
      <x:c r="C79" t="inlineStr">
        <x:is>
          <x:t xml:space="preserve">BridgeScoreDiscipline.lean</x:t>
        </x:is>
      </x:c>
      <x:c r="D79" t="inlineStr">
        <x:is>
          <x:t xml:space="preserve">law7_frame_locked_score_fails_R_gate</x:t>
        </x:is>
      </x:c>
      <x:c r="E79" t="inlineStr">
        <x:is>
          <x:t xml:space="preserve">REJECTION: Frame locked → R gate = 0</x:t>
        </x:is>
      </x:c>
      <x:c r="F79" t="inlineStr">
        <x:is>
          <x:t xml:space="preserve">rfl</x:t>
        </x:is>
      </x:c>
      <x:c r="G79" t="inlineStr">
        <x:is>
          <x:t xml:space="preserve">REJECTION</x:t>
        </x:is>
      </x:c>
      <x:c r="H79" t="inlineStr">
        <x:is>
          <x:t xml:space="preserve">L1-Q4</x:t>
        </x:is>
      </x:c>
    </x:row>
    <x:row r="80">
      <x:c r="A80" t="n">
        <x:v>72</x:v>
      </x:c>
      <x:c r="B80" t="inlineStr">
        <x:is>
          <x:t xml:space="preserve">6 — Score</x:t>
        </x:is>
      </x:c>
      <x:c r="C80" t="inlineStr">
        <x:is>
          <x:t xml:space="preserve">BridgeScoreDiscipline.lean</x:t>
        </x:is>
      </x:c>
      <x:c r="D80" t="inlineStr">
        <x:is>
          <x:t xml:space="preserve">law7_relation_bypass_score_fails_R_gate</x:t>
        </x:is>
      </x:c>
      <x:c r="E80" t="inlineStr">
        <x:is>
          <x:t xml:space="preserve">REJECTION: No relation → R gate = 0</x:t>
        </x:is>
      </x:c>
      <x:c r="F80" t="inlineStr">
        <x:is>
          <x:t xml:space="preserve">rfl</x:t>
        </x:is>
      </x:c>
      <x:c r="G80" t="inlineStr">
        <x:is>
          <x:t xml:space="preserve">REJECTION</x:t>
        </x:is>
      </x:c>
      <x:c r="H80" t="inlineStr">
        <x:is>
          <x:t xml:space="preserve">L6-P1</x:t>
        </x:is>
      </x:c>
    </x:row>
    <x:row r="81">
      <x:c r="A81" t="n">
        <x:v>73</x:v>
      </x:c>
      <x:c r="B81" t="inlineStr">
        <x:is>
          <x:t xml:space="preserve">6 — Score</x:t>
        </x:is>
      </x:c>
      <x:c r="C81" t="inlineStr">
        <x:is>
          <x:t xml:space="preserve">BridgeScoreDiscipline.lean</x:t>
        </x:is>
      </x:c>
      <x:c r="D81" t="inlineStr">
        <x:is>
          <x:t xml:space="preserve">law7_final_R_is_binary</x:t>
        </x:is>
      </x:c>
      <x:c r="E81" t="inlineStr">
        <x:is>
          <x:t xml:space="preserve">R gate is always 0 or 1. No drift.</x:t>
        </x:is>
      </x:c>
      <x:c r="F81" t="inlineStr">
        <x:is>
          <x:t xml:space="preserve">cases</x:t>
        </x:is>
      </x:c>
      <x:c r="G81" t="inlineStr">
        <x:is>
          <x:t xml:space="preserve">PROVED</x:t>
        </x:is>
      </x:c>
      <x:c r="H81" t="inlineStr">
        <x:is>
          <x:t xml:space="preserve">L1-Q4</x:t>
        </x:is>
      </x:c>
    </x:row>
    <x:row r="82">
      <x:c r="A82" t="inlineStr">
        <x:is>
          <x:t xml:space="preserve">74–77</x:t>
        </x:is>
      </x:c>
      <x:c r="B82" t="inlineStr">
        <x:is>
          <x:t xml:space="preserve">6 — Score</x:t>
        </x:is>
      </x:c>
      <x:c r="C82" t="inlineStr">
        <x:is>
          <x:t xml:space="preserve">BridgeScoreDiscipline.lean</x:t>
        </x:is>
      </x:c>
      <x:c r="D82" t="inlineStr">
        <x:is>
          <x:t xml:space="preserve">Four chi-collapse through score discipline</x:t>
        </x:is>
      </x:c>
      <x:c r="E82" t="inlineStr">
        <x:is>
          <x:t xml:space="preserve">Various bypass/lock conditions → χ = 0 through the score gate layer</x:t>
        </x:is>
      </x:c>
      <x:c r="F82" t="inlineStr">
        <x:is>
          <x:t xml:space="preserve">simp</x:t>
        </x:is>
      </x:c>
      <x:c r="G82" t="inlineStr">
        <x:is>
          <x:t xml:space="preserve">PROVED</x:t>
        </x:is>
      </x:c>
      <x:c r="H82" t="inlineStr">
        <x:is>
          <x:t xml:space="preserve">L1-Q2</x:t>
        </x:is>
      </x:c>
    </x:row>
    <x:row r="83">
      <x:c r="A83" t="inlineStr">
        <x:is>
          <x:t xml:space="preserve">LAYER 7</x:t>
        </x:is>
      </x:c>
      <x:c r="B83" t="inlineStr">
        <x:is>
          <x:t xml:space="preserve">LAW 4 ISOMORPHISM — Strong Force / Love</x:t>
        </x:is>
      </x:c>
      <x:c r="C83" t="inlineStr">
        <x:is>
          <x:t xml:space="preserve">IsomorphismTest.lean (standalone)</x:t>
        </x:is>
      </x:c>
      <x:c r="E83" t="inlineStr">
        <x:is>
          <x:t xml:space="preserve">Two-level isomorphism with adversarial false-positive testing.</x:t>
        </x:is>
      </x:c>
    </x:row>
    <x:row r="84">
      <x:c r="A84" t="n">
        <x:v>78</x:v>
      </x:c>
      <x:c r="B84" t="inlineStr">
        <x:is>
          <x:t xml:space="preserve">7 — Iso</x:t>
        </x:is>
      </x:c>
      <x:c r="C84" t="inlineStr">
        <x:is>
          <x:t xml:space="preserve">IsomorphismTest.lean</x:t>
        </x:is>
      </x:c>
      <x:c r="D84" t="inlineStr">
        <x:is>
          <x:t xml:space="preserve">law4Iso</x:t>
        </x:is>
      </x:c>
      <x:c r="E84" t="inlineStr">
        <x:is>
          <x:t xml:space="preserve">StrongForce ≅ Love (LawIso — value + collapse preserving bijection)</x:t>
        </x:is>
      </x:c>
      <x:c r="F84" t="inlineStr">
        <x:is>
          <x:t xml:space="preserve">constructor</x:t>
        </x:is>
      </x:c>
      <x:c r="G84" t="inlineStr">
        <x:is>
          <x:t xml:space="preserve">PROVED</x:t>
        </x:is>
      </x:c>
      <x:c r="H84" t="inlineStr">
        <x:is>
          <x:t xml:space="preserve">L7-Q3</x:t>
        </x:is>
      </x:c>
    </x:row>
    <x:row r="85">
      <x:c r="A85" t="n">
        <x:v>79</x:v>
      </x:c>
      <x:c r="B85" t="inlineStr">
        <x:is>
          <x:t xml:space="preserve">7 — Iso</x:t>
        </x:is>
      </x:c>
      <x:c r="C85" t="inlineStr">
        <x:is>
          <x:t xml:space="preserve">IsomorphismTest.lean</x:t>
        </x:is>
      </x:c>
      <x:c r="D85" t="inlineStr">
        <x:is>
          <x:t xml:space="preserve">strongForceCoinIso</x:t>
        </x:is>
      </x:c>
      <x:c r="E85" t="inlineStr">
        <x:is>
          <x:t xml:space="preserve">BOUNDARY: Coin model ALSO passes LawIso. This is the adversarial boundary — basic isomorphism is too weak.</x:t>
        </x:is>
      </x:c>
      <x:c r="F85" t="inlineStr">
        <x:is>
          <x:t xml:space="preserve">constructor</x:t>
        </x:is>
      </x:c>
      <x:c r="G85" t="inlineStr">
        <x:is>
          <x:t xml:space="preserve">BOUNDARY</x:t>
        </x:is>
      </x:c>
      <x:c r="H85" t="inlineStr">
        <x:is>
          <x:t xml:space="preserve">COMPRESS-4</x:t>
        </x:is>
      </x:c>
    </x:row>
    <x:row r="86">
      <x:c r="A86" t="n">
        <x:v>80</x:v>
      </x:c>
      <x:c r="B86" t="inlineStr">
        <x:is>
          <x:t xml:space="preserve">7 — Iso</x:t>
        </x:is>
      </x:c>
      <x:c r="C86" t="inlineStr">
        <x:is>
          <x:t xml:space="preserve">IsomorphismTest.lean</x:t>
        </x:is>
      </x:c>
      <x:c r="D86" t="inlineStr">
        <x:is>
          <x:t xml:space="preserve">richLaw4Iso</x:t>
        </x:is>
      </x:c>
      <x:c r="E86" t="inlineStr">
        <x:is>
          <x:t xml:space="preserve">StrongForce ≅ Love under RichLawIso (roles + transitions preserved). Stronger level.</x:t>
        </x:is>
      </x:c>
      <x:c r="F86" t="inlineStr">
        <x:is>
          <x:t xml:space="preserve">constructor</x:t>
        </x:is>
      </x:c>
      <x:c r="G86" t="inlineStr">
        <x:is>
          <x:t xml:space="preserve">PROVED</x:t>
        </x:is>
      </x:c>
      <x:c r="H86" t="inlineStr">
        <x:is>
          <x:t xml:space="preserve">L7-Q3</x:t>
        </x:is>
      </x:c>
    </x:row>
    <x:row r="87">
      <x:c r="A87" t="n">
        <x:v>81</x:v>
      </x:c>
      <x:c r="B87" t="inlineStr">
        <x:is>
          <x:t xml:space="preserve">7 — Iso</x:t>
        </x:is>
      </x:c>
      <x:c r="C87" t="inlineStr">
        <x:is>
          <x:t xml:space="preserve">IsomorphismTest.lean</x:t>
        </x:is>
      </x:c>
      <x:c r="D87" t="inlineStr">
        <x:is>
          <x:t xml:space="preserve">no_rich_iso_to_natural_coin</x:t>
        </x:is>
      </x:c>
      <x:c r="E87" t="inlineStr">
        <x:is>
          <x:t xml:space="preserve">REJECTION: Natural coin model FAILS RichLawIso — role mismatch blocks it</x:t>
        </x:is>
      </x:c>
      <x:c r="F87" t="inlineStr">
        <x:is>
          <x:t xml:space="preserve">decide</x:t>
        </x:is>
      </x:c>
      <x:c r="G87" t="inlineStr">
        <x:is>
          <x:t xml:space="preserve">REJECTION</x:t>
        </x:is>
      </x:c>
      <x:c r="H87" t="inlineStr">
        <x:is>
          <x:t xml:space="preserve">L7-Q6</x:t>
        </x:is>
      </x:c>
    </x:row>
    <x:row r="88">
      <x:c r="A88" t="n">
        <x:v>82</x:v>
      </x:c>
      <x:c r="B88" t="inlineStr">
        <x:is>
          <x:t xml:space="preserve">7 — Iso</x:t>
        </x:is>
      </x:c>
      <x:c r="C88" t="inlineStr">
        <x:is>
          <x:t xml:space="preserve">IsomorphismTest.lean</x:t>
        </x:is>
      </x:c>
      <x:c r="D88" t="inlineStr">
        <x:is>
          <x:t xml:space="preserve">richRelabeledCoinIso</x:t>
        </x:is>
      </x:c>
      <x:c r="E88" t="inlineStr">
        <x:is>
          <x:t xml:space="preserve">BOUNDARY: Relabeled coin PASSES — deliberately adversarial. Lean cannot verify label honesty.</x:t>
        </x:is>
      </x:c>
      <x:c r="F88" t="inlineStr">
        <x:is>
          <x:t xml:space="preserve">constructor</x:t>
        </x:is>
      </x:c>
      <x:c r="G88" t="inlineStr">
        <x:is>
          <x:t xml:space="preserve">BOUNDARY</x:t>
        </x:is>
      </x:c>
      <x:c r="H88" t="inlineStr">
        <x:is>
          <x:t xml:space="preserve">COMPRESS-4</x:t>
        </x:is>
      </x:c>
    </x:row>
    <x:row r="89">
      <x:c r="A89" t="n">
        <x:v>83</x:v>
      </x:c>
      <x:c r="B89" t="inlineStr">
        <x:is>
          <x:t xml:space="preserve">7 — Iso</x:t>
        </x:is>
      </x:c>
      <x:c r="C89" t="inlineStr">
        <x:is>
          <x:t xml:space="preserve">IsomorphismTest.lean</x:t>
        </x:is>
      </x:c>
      <x:c r="D89" t="inlineStr">
        <x:is>
          <x:t xml:space="preserve">faith_candidate_not_right_inverse</x:t>
        </x:is>
      </x:c>
      <x:c r="E89" t="inlineStr">
        <x:is>
          <x:t xml:space="preserve">REJECTION: 3-state Faith model fails bijection with 2-state StrongForce</x:t>
        </x:is>
      </x:c>
      <x:c r="F89" t="inlineStr">
        <x:is>
          <x:t xml:space="preserve">decide</x:t>
        </x:is>
      </x:c>
      <x:c r="G89" t="inlineStr">
        <x:is>
          <x:t xml:space="preserve">REJECTION</x:t>
        </x:is>
      </x:c>
      <x:c r="H89" t="inlineStr">
        <x:is>
          <x:t xml:space="preserve">L7-Q6</x:t>
        </x:is>
      </x:c>
    </x:row>
    <x:row r="90">
      <x:c r="A90" t="n">
        <x:v>84</x:v>
      </x:c>
      <x:c r="B90" t="inlineStr">
        <x:is>
          <x:t xml:space="preserve">7 — Iso</x:t>
        </x:is>
      </x:c>
      <x:c r="C90" t="inlineStr">
        <x:is>
          <x:t xml:space="preserve">IsomorphismTest.lean</x:t>
        </x:is>
      </x:c>
      <x:c r="D90" t="inlineStr">
        <x:is>
          <x:t xml:space="preserve">em_candidate_not_right_inverse</x:t>
        </x:is>
      </x:c>
      <x:c r="E90" t="inlineStr">
        <x:is>
          <x:t xml:space="preserve">REJECTION: 3-state EM model fails bijection with 2-state StrongForce</x:t>
        </x:is>
      </x:c>
      <x:c r="F90" t="inlineStr">
        <x:is>
          <x:t xml:space="preserve">decide</x:t>
        </x:is>
      </x:c>
      <x:c r="G90" t="inlineStr">
        <x:is>
          <x:t xml:space="preserve">REJECTION</x:t>
        </x:is>
      </x:c>
      <x:c r="H90" t="inlineStr">
        <x:is>
          <x:t xml:space="preserve">L7-Q6</x:t>
        </x:is>
      </x:c>
    </x:row>
    <x:row r="91">
      <x:c r="A91" t="n">
        <x:v>85</x:v>
      </x:c>
      <x:c r="B91" t="inlineStr">
        <x:is>
          <x:t xml:space="preserve">7 — Iso</x:t>
        </x:is>
      </x:c>
      <x:c r="C91" t="inlineStr">
        <x:is>
          <x:t xml:space="preserve">IsomorphismTest.lean</x:t>
        </x:is>
      </x:c>
      <x:c r="D91" t="inlineStr">
        <x:is>
          <x:t xml:space="preserve">inverted_mapping_does_not_preserve_value</x:t>
        </x:is>
      </x:c>
      <x:c r="E91" t="inlineStr">
        <x:is>
          <x:t xml:space="preserve">REJECTION: bound→liberation fails value preservation</x:t>
        </x:is>
      </x:c>
      <x:c r="F91" t="inlineStr">
        <x:is>
          <x:t xml:space="preserve">decide</x:t>
        </x:is>
      </x:c>
      <x:c r="G91" t="inlineStr">
        <x:is>
          <x:t xml:space="preserve">REJECTION</x:t>
        </x:is>
      </x:c>
      <x:c r="H91" t="inlineStr">
        <x:is>
          <x:t xml:space="preserve">L7-Q6</x:t>
        </x:is>
      </x:c>
    </x:row>
    <x:row r="92">
      <x:c r="A92" t="n">
        <x:v>86</x:v>
      </x:c>
      <x:c r="B92" t="inlineStr">
        <x:is>
          <x:t xml:space="preserve">7 — Iso</x:t>
        </x:is>
      </x:c>
      <x:c r="C92" t="inlineStr">
        <x:is>
          <x:t xml:space="preserve">IsomorphismTest.lean</x:t>
        </x:is>
      </x:c>
      <x:c r="D92" t="inlineStr">
        <x:is>
          <x:t xml:space="preserve">no_law4_iso_uses_inverted_mapping</x:t>
        </x:is>
      </x:c>
      <x:c r="E92" t="inlineStr">
        <x:is>
          <x:t xml:space="preserve">REJECTION: No valid Law4 iso uses the inverted map</x:t>
        </x:is>
      </x:c>
      <x:c r="F92" t="inlineStr">
        <x:is>
          <x:t xml:space="preserve">contradiction</x:t>
        </x:is>
      </x:c>
      <x:c r="G92" t="inlineStr">
        <x:is>
          <x:t xml:space="preserve">REJECTION</x:t>
        </x:is>
      </x:c>
      <x:c r="H92" t="inlineStr">
        <x:is>
          <x:t xml:space="preserve">L7-Q6</x:t>
        </x:is>
      </x:c>
    </x:row>
    <x:row r="93">
      <x:c r="A93" t="n">
        <x:v>87</x:v>
      </x:c>
      <x:c r="B93" t="inlineStr">
        <x:is>
          <x:t xml:space="preserve">7 — Iso</x:t>
        </x:is>
      </x:c>
      <x:c r="C93" t="inlineStr">
        <x:is>
          <x:t xml:space="preserve">IsomorphismTest.lean</x:t>
        </x:is>
      </x:c>
      <x:c r="D93" t="inlineStr">
        <x:is>
          <x:t xml:space="preserve">misaligned_collapse_rule_invalid</x:t>
        </x:is>
      </x:c>
      <x:c r="E93" t="inlineStr">
        <x:is>
          <x:t xml:space="preserve">REJECTION: Collapse at stateB (value=one) contradicts axiom</x:t>
        </x:is>
      </x:c>
      <x:c r="F93" t="inlineStr">
        <x:is>
          <x:t xml:space="preserve">decide</x:t>
        </x:is>
      </x:c>
      <x:c r="G93" t="inlineStr">
        <x:is>
          <x:t xml:space="preserve">REJECTION</x:t>
        </x:is>
      </x:c>
      <x:c r="H93" t="inlineStr">
        <x:is>
          <x:t xml:space="preserve">L7-Q6</x:t>
        </x:is>
      </x:c>
    </x:row>
    <x:row r="94">
      <x:c r="A94" t="inlineStr">
        <x:is>
          <x:t xml:space="preserve">LAYER 8</x:t>
        </x:is>
      </x:c>
      <x:c r="B94" t="inlineStr">
        <x:is>
          <x:t xml:space="preserve">MAXWELL/TRINITY ISOMORPHISM</x:t>
        </x:is>
      </x:c>
      <x:c r="C94" t="inlineStr">
        <x:is>
          <x:t xml:space="preserve">MaxwellTrinity.lean (standalone)</x:t>
        </x:is>
      </x:c>
      <x:c r="E94" t="inlineStr">
        <x:is>
          <x:t xml:space="preserve">5-condition structural spec. 5 false positives rejected. Each guard load-bearing.</x:t>
        </x:is>
      </x:c>
    </x:row>
    <x:row r="95">
      <x:c r="A95" t="n">
        <x:v>88</x:v>
      </x:c>
      <x:c r="B95" t="inlineStr">
        <x:is>
          <x:t xml:space="preserve">8 — Maxwell</x:t>
        </x:is>
      </x:c>
      <x:c r="C95" t="inlineStr">
        <x:is>
          <x:t xml:space="preserve">MaxwellTrinity.lean</x:t>
        </x:is>
      </x:c>
      <x:c r="D95" t="inlineStr">
        <x:is>
          <x:t xml:space="preserve">full_quaternion_product_has_coupling_invariant</x:t>
        </x:is>
      </x:c>
      <x:c r="E95" t="inlineStr">
        <x:is>
          <x:t xml:space="preserve">Quaternion multiplication has scalar-vector coupling that vector-only product lacks</x:t>
        </x:is>
      </x:c>
      <x:c r="F95" t="inlineStr">
        <x:is>
          <x:t xml:space="preserve">decide</x:t>
        </x:is>
      </x:c>
      <x:c r="G95" t="inlineStr">
        <x:is>
          <x:t xml:space="preserve">PROVED</x:t>
        </x:is>
      </x:c>
      <x:c r="H95" t="inlineStr">
        <x:is>
          <x:t xml:space="preserve">L7-Q3</x:t>
        </x:is>
      </x:c>
    </x:row>
    <x:row r="96">
      <x:c r="A96" t="n">
        <x:v>89</x:v>
      </x:c>
      <x:c r="B96" t="inlineStr">
        <x:is>
          <x:t xml:space="preserve">8 — Maxwell</x:t>
        </x:is>
      </x:c>
      <x:c r="C96" t="inlineStr">
        <x:is>
          <x:t xml:space="preserve">MaxwellTrinity.lean</x:t>
        </x:is>
      </x:c>
      <x:c r="D96" t="inlineStr">
        <x:is>
          <x:t xml:space="preserve">vector_only_product_lacks_coupling_invariant</x:t>
        </x:is>
      </x:c>
      <x:c r="E96" t="inlineStr">
        <x:is>
          <x:t xml:space="preserve">REJECTION: Heaviside vector-only product lacks coupling invariant</x:t>
        </x:is>
      </x:c>
      <x:c r="F96" t="inlineStr">
        <x:is>
          <x:t xml:space="preserve">decide</x:t>
        </x:is>
      </x:c>
      <x:c r="G96" t="inlineStr">
        <x:is>
          <x:t xml:space="preserve">REJECTION</x:t>
        </x:is>
      </x:c>
      <x:c r="H96" t="inlineStr">
        <x:is>
          <x:t xml:space="preserve">L7-Q6</x:t>
        </x:is>
      </x:c>
    </x:row>
    <x:row r="97">
      <x:c r="A97" t="n">
        <x:v>90</x:v>
      </x:c>
      <x:c r="B97" t="inlineStr">
        <x:is>
          <x:t xml:space="preserve">8 — Maxwell</x:t>
        </x:is>
      </x:c>
      <x:c r="C97" t="inlineStr">
        <x:is>
          <x:t xml:space="preserve">MaxwellTrinity.lean</x:t>
        </x:is>
      </x:c>
      <x:c r="D97" t="inlineStr">
        <x:is>
          <x:t xml:space="preserve">full_scalar_vector_split_reconstructs_quaternion_product</x:t>
        </x:is>
      </x:c>
      <x:c r="E97" t="inlineStr">
        <x:is>
          <x:t xml:space="preserve">Split product reconstructs full quaternion product</x:t>
        </x:is>
      </x:c>
      <x:c r="F97" t="inlineStr">
        <x:is>
          <x:t xml:space="preserve">rfl</x:t>
        </x:is>
      </x:c>
      <x:c r="G97" t="inlineStr">
        <x:is>
          <x:t xml:space="preserve">PROVED</x:t>
        </x:is>
      </x:c>
      <x:c r="H97" t="inlineStr">
        <x:is>
          <x:t xml:space="preserve">L7-Q3</x:t>
        </x:is>
      </x:c>
    </x:row>
    <x:row r="98">
      <x:c r="A98" t="n">
        <x:v>91</x:v>
      </x:c>
      <x:c r="B98" t="inlineStr">
        <x:is>
          <x:t xml:space="preserve">8 — Maxwell</x:t>
        </x:is>
      </x:c>
      <x:c r="C98" t="inlineStr">
        <x:is>
          <x:t xml:space="preserve">MaxwellTrinity.lean</x:t>
        </x:is>
      </x:c>
      <x:c r="D98" t="inlineStr">
        <x:is>
          <x:t xml:space="preserve">same_dot_cross_but_different_quaternion_product</x:t>
        </x:is>
      </x:c>
      <x:c r="E98" t="inlineStr">
        <x:is>
          <x:t xml:space="preserve">REJECTION: Same dot+cross ≠ same quaternion product. Scalar coupling matters.</x:t>
        </x:is>
      </x:c>
      <x:c r="F98" t="inlineStr">
        <x:is>
          <x:t xml:space="preserve">decide</x:t>
        </x:is>
      </x:c>
      <x:c r="G98" t="inlineStr">
        <x:is>
          <x:t xml:space="preserve">REJECTION</x:t>
        </x:is>
      </x:c>
      <x:c r="H98" t="inlineStr">
        <x:is>
          <x:t xml:space="preserve">L7-Q6</x:t>
        </x:is>
      </x:c>
    </x:row>
    <x:row r="99">
      <x:c r="A99" t="n">
        <x:v>92</x:v>
      </x:c>
      <x:c r="B99" t="inlineStr">
        <x:is>
          <x:t xml:space="preserve">8 — Maxwell</x:t>
        </x:is>
      </x:c>
      <x:c r="C99" t="inlineStr">
        <x:is>
          <x:t xml:space="preserve">MaxwellTrinity.lean</x:t>
        </x:is>
      </x:c>
      <x:c r="D99" t="inlineStr">
        <x:is>
          <x:t xml:space="preserve">quaternionEM_valid</x:t>
        </x:is>
      </x:c>
      <x:c r="E99" t="inlineStr">
        <x:is>
          <x:t xml:space="preserve">Quaternion EM model passes all 5 ValidTriadic conditions</x:t>
        </x:is>
      </x:c>
      <x:c r="F99" t="inlineStr">
        <x:is>
          <x:t xml:space="preserve">decide</x:t>
        </x:is>
      </x:c>
      <x:c r="G99" t="inlineStr">
        <x:is>
          <x:t xml:space="preserve">PROVED</x:t>
        </x:is>
      </x:c>
      <x:c r="H99" t="inlineStr">
        <x:is>
          <x:t xml:space="preserve">L7-Q4</x:t>
        </x:is>
      </x:c>
    </x:row>
    <x:row r="100">
      <x:c r="A100" t="n">
        <x:v>93</x:v>
      </x:c>
      <x:c r="B100" t="inlineStr">
        <x:is>
          <x:t xml:space="preserve">8 — Maxwell</x:t>
        </x:is>
      </x:c>
      <x:c r="C100" t="inlineStr">
        <x:is>
          <x:t xml:space="preserve">MaxwellTrinity.lean</x:t>
        </x:is>
      </x:c>
      <x:c r="D100" t="inlineStr">
        <x:is>
          <x:t xml:space="preserve">trinityRelational_valid</x:t>
        </x:is>
      </x:c>
      <x:c r="E100" t="inlineStr">
        <x:is>
          <x:t xml:space="preserve">Trinity relational model passes all 5 ValidTriadic conditions</x:t>
        </x:is>
      </x:c>
      <x:c r="F100" t="inlineStr">
        <x:is>
          <x:t xml:space="preserve">decide</x:t>
        </x:is>
      </x:c>
      <x:c r="G100" t="inlineStr">
        <x:is>
          <x:t xml:space="preserve">PROVED</x:t>
        </x:is>
      </x:c>
      <x:c r="H100" t="inlineStr">
        <x:is>
          <x:t xml:space="preserve">L7-Q4</x:t>
        </x:is>
      </x:c>
    </x:row>
    <x:row r="101">
      <x:c r="A101" t="n">
        <x:v>94</x:v>
      </x:c>
      <x:c r="B101" t="inlineStr">
        <x:is>
          <x:t xml:space="preserve">8 — Maxwell</x:t>
        </x:is>
      </x:c>
      <x:c r="C101" t="inlineStr">
        <x:is>
          <x:t xml:space="preserve">MaxwellTrinity.lean</x:t>
        </x:is>
      </x:c>
      <x:c r="D101" t="inlineStr">
        <x:is>
          <x:t xml:space="preserve">quaternionTrinityIso</x:t>
        </x:is>
      </x:c>
      <x:c r="E101" t="inlineStr">
        <x:is>
          <x:t xml:space="preserve">Quaternion EM ≅ Trinity (TriadicIso — full structural isomorphism)</x:t>
        </x:is>
      </x:c>
      <x:c r="F101" t="inlineStr">
        <x:is>
          <x:t xml:space="preserve">constructor</x:t>
        </x:is>
      </x:c>
      <x:c r="G101" t="inlineStr">
        <x:is>
          <x:t xml:space="preserve">PROVED</x:t>
        </x:is>
      </x:c>
      <x:c r="H101" t="inlineStr">
        <x:is>
          <x:t xml:space="preserve">L7-Q4</x:t>
        </x:is>
      </x:c>
    </x:row>
    <x:row r="102">
      <x:c r="A102" t="n">
        <x:v>95</x:v>
      </x:c>
      <x:c r="B102" t="inlineStr">
        <x:is>
          <x:t xml:space="preserve">8 — Maxwell</x:t>
        </x:is>
      </x:c>
      <x:c r="C102" t="inlineStr">
        <x:is>
          <x:t xml:space="preserve">MaxwellTrinity.lean</x:t>
        </x:is>
      </x:c>
      <x:c r="D102" t="inlineStr">
        <x:is>
          <x:t xml:space="preserve">heavisideVectorEM_invalid</x:t>
        </x:is>
      </x:c>
      <x:c r="E102" t="inlineStr">
        <x:is>
          <x:t xml:space="preserve">REJECTION: Heaviside EM fails — no coupling invariant</x:t>
        </x:is>
      </x:c>
      <x:c r="F102" t="inlineStr">
        <x:is>
          <x:t xml:space="preserve">decide</x:t>
        </x:is>
      </x:c>
      <x:c r="G102" t="inlineStr">
        <x:is>
          <x:t xml:space="preserve">REJECTION</x:t>
        </x:is>
      </x:c>
      <x:c r="H102" t="inlineStr">
        <x:is>
          <x:t xml:space="preserve">L7-Q6</x:t>
        </x:is>
      </x:c>
    </x:row>
    <x:row r="103">
      <x:c r="A103" t="n">
        <x:v>96</x:v>
      </x:c>
      <x:c r="B103" t="inlineStr">
        <x:is>
          <x:t xml:space="preserve">8 — Maxwell</x:t>
        </x:is>
      </x:c>
      <x:c r="C103" t="inlineStr">
        <x:is>
          <x:t xml:space="preserve">MaxwellTrinity.lean</x:t>
        </x:is>
      </x:c>
      <x:c r="D103" t="inlineStr">
        <x:is>
          <x:t xml:space="preserve">modalism_invalid</x:t>
        </x:is>
      </x:c>
      <x:c r="E103" t="inlineStr">
        <x:is>
          <x:t xml:space="preserve">REJECTION: Modalism fails — no relational distinctness</x:t>
        </x:is>
      </x:c>
      <x:c r="F103" t="inlineStr">
        <x:is>
          <x:t xml:space="preserve">decide</x:t>
        </x:is>
      </x:c>
      <x:c r="G103" t="inlineStr">
        <x:is>
          <x:t xml:space="preserve">REJECTION</x:t>
        </x:is>
      </x:c>
      <x:c r="H103" t="inlineStr">
        <x:is>
          <x:t xml:space="preserve">L7-Q6</x:t>
        </x:is>
      </x:c>
    </x:row>
    <x:row r="104">
      <x:c r="A104" t="n">
        <x:v>97</x:v>
      </x:c>
      <x:c r="B104" t="inlineStr">
        <x:is>
          <x:t xml:space="preserve">8 — Maxwell</x:t>
        </x:is>
      </x:c>
      <x:c r="C104" t="inlineStr">
        <x:is>
          <x:t xml:space="preserve">MaxwellTrinity.lean</x:t>
        </x:is>
      </x:c>
      <x:c r="D104" t="inlineStr">
        <x:is>
          <x:t xml:space="preserve">staticSingleFieldEM_invalid</x:t>
        </x:is>
      </x:c>
      <x:c r="E104" t="inlineStr">
        <x:is>
          <x:t xml:space="preserve">REJECTION: Static single-field EM fails — not full dynamic</x:t>
        </x:is>
      </x:c>
      <x:c r="F104" t="inlineStr">
        <x:is>
          <x:t xml:space="preserve">decide</x:t>
        </x:is>
      </x:c>
      <x:c r="G104" t="inlineStr">
        <x:is>
          <x:t xml:space="preserve">REJECTION</x:t>
        </x:is>
      </x:c>
      <x:c r="H104" t="inlineStr">
        <x:is>
          <x:t xml:space="preserve">L7-Q6</x:t>
        </x:is>
      </x:c>
    </x:row>
    <x:row r="105">
      <x:c r="A105" t="n">
        <x:v>98</x:v>
      </x:c>
      <x:c r="B105" t="inlineStr">
        <x:is>
          <x:t xml:space="preserve">8 — Maxwell</x:t>
        </x:is>
      </x:c>
      <x:c r="C105" t="inlineStr">
        <x:is>
          <x:t xml:space="preserve">MaxwellTrinity.lean</x:t>
        </x:is>
      </x:c>
      <x:c r="D105" t="inlineStr">
        <x:is>
          <x:t xml:space="preserve">arbitraryThreePartSystem_invalid</x:t>
        </x:is>
      </x:c>
      <x:c r="E105" t="inlineStr">
        <x:is>
          <x:t xml:space="preserve">REJECTION: Generic 3-part system fails — wrong role profiles</x:t>
        </x:is>
      </x:c>
      <x:c r="F105" t="inlineStr">
        <x:is>
          <x:t xml:space="preserve">decide</x:t>
        </x:is>
      </x:c>
      <x:c r="G105" t="inlineStr">
        <x:is>
          <x:t xml:space="preserve">REJECTION</x:t>
        </x:is>
      </x:c>
      <x:c r="H105" t="inlineStr">
        <x:is>
          <x:t xml:space="preserve">L7-Q6</x:t>
        </x:is>
      </x:c>
    </x:row>
    <x:row r="106">
      <x:c r="A106" t="n">
        <x:v>99</x:v>
      </x:c>
      <x:c r="B106" t="inlineStr">
        <x:is>
          <x:t xml:space="preserve">8 — Maxwell</x:t>
        </x:is>
      </x:c>
      <x:c r="C106" t="inlineStr">
        <x:is>
          <x:t xml:space="preserve">MaxwellTrinity.lean</x:t>
        </x:is>
      </x:c>
      <x:c r="D106" t="inlineStr">
        <x:is>
          <x:t xml:space="preserve">relabeledRoleSystem_invalid</x:t>
        </x:is>
      </x:c>
      <x:c r="E106" t="inlineStr">
        <x:is>
          <x:t xml:space="preserve">REJECTION: Relabeled roles fail — labels ≠ profiles</x:t>
        </x:is>
      </x:c>
      <x:c r="F106" t="inlineStr">
        <x:is>
          <x:t xml:space="preserve">decide</x:t>
        </x:is>
      </x:c>
      <x:c r="G106" t="inlineStr">
        <x:is>
          <x:t xml:space="preserve">REJECTION</x:t>
        </x:is>
      </x:c>
      <x:c r="H106" t="inlineStr">
        <x:is>
          <x:t xml:space="preserve">L7-Q6</x:t>
        </x:is>
      </x:c>
    </x:row>
    <x:row r="107">
      <x:c r="A107" t="inlineStr">
        <x:is>
          <x:t xml:space="preserve">100–104</x:t>
        </x:is>
      </x:c>
      <x:c r="B107" t="inlineStr">
        <x:is>
          <x:t xml:space="preserve">8 — Maxwell</x:t>
        </x:is>
      </x:c>
      <x:c r="C107" t="inlineStr">
        <x:is>
          <x:t xml:space="preserve">MaxwellTrinity.lean</x:t>
        </x:is>
      </x:c>
      <x:c r="D107" t="inlineStr">
        <x:is>
          <x:t xml:space="preserve">no_iso_from_* (5 theorems)</x:t>
        </x:is>
      </x:c>
      <x:c r="E107" t="inlineStr">
        <x:is>
          <x:t xml:space="preserve">REJECTION: No TriadicIso to Heaviside, Modalism, static EM, arbitrary 3-part, or relabeled system</x:t>
        </x:is>
      </x:c>
      <x:c r="F107" t="inlineStr">
        <x:is>
          <x:t xml:space="preserve">decide</x:t>
        </x:is>
      </x:c>
      <x:c r="G107" t="inlineStr">
        <x:is>
          <x:t xml:space="preserve">REJECTION</x:t>
        </x:is>
      </x:c>
      <x:c r="H107" t="inlineStr">
        <x:is>
          <x:t xml:space="preserve">L7-Q6</x:t>
        </x:is>
      </x:c>
    </x:row>
    <x:row r="108">
      <x:c r="A108" t="inlineStr">
        <x:is>
          <x:t xml:space="preserve">105–106</x:t>
        </x:is>
      </x:c>
      <x:c r="B108" t="inlineStr">
        <x:is>
          <x:t xml:space="preserve">8 — Maxwell</x:t>
        </x:is>
      </x:c>
      <x:c r="C108" t="inlineStr">
        <x:is>
          <x:t xml:space="preserve">MaxwellTrinity.lean</x:t>
        </x:is>
      </x:c>
      <x:c r="D108" t="inlineStr">
        <x:is>
          <x:t xml:space="preserve">cyclicRoleMap_not_source/profile_preserving</x:t>
        </x:is>
      </x:c>
      <x:c r="E108" t="inlineStr">
        <x:is>
          <x:t xml:space="preserve">REJECTION: Cyclic role swap fails source preservation AND profile preservation</x:t>
        </x:is>
      </x:c>
      <x:c r="F108" t="inlineStr">
        <x:is>
          <x:t xml:space="preserve">decide</x:t>
        </x:is>
      </x:c>
      <x:c r="G108" t="inlineStr">
        <x:is>
          <x:t xml:space="preserve">REJECTION</x:t>
        </x:is>
      </x:c>
      <x:c r="H108" t="inlineStr">
        <x:is>
          <x:t xml:space="preserve">L7-Q6</x:t>
        </x:is>
      </x:c>
    </x:row>
    <x:row r="109">
      <x:c r="A109" t="inlineStr">
        <x:is>
          <x:t xml:space="preserve">107–111</x:t>
        </x:is>
      </x:c>
      <x:c r="B109" t="inlineStr">
        <x:is>
          <x:t xml:space="preserve">8 — Maxwell</x:t>
        </x:is>
      </x:c>
      <x:c r="C109" t="inlineStr">
        <x:is>
          <x:t xml:space="preserve">MaxwellTrinity.lean</x:t>
        </x:is>
      </x:c>
      <x:c r="D109" t="inlineStr">
        <x:is>
          <x:t xml:space="preserve">Load-bearing constraint audits (5)</x:t>
        </x:is>
      </x:c>
      <x:c r="E109" t="inlineStr">
        <x:is>
          <x:t xml:space="preserve">Each guard does real work: removing ANY single guard admits the corresponding false positive</x:t>
        </x:is>
      </x:c>
      <x:c r="F109" t="inlineStr">
        <x:is>
          <x:t xml:space="preserve">decide</x:t>
        </x:is>
      </x:c>
      <x:c r="G109" t="inlineStr">
        <x:is>
          <x:t xml:space="preserve">PROVED</x:t>
        </x:is>
      </x:c>
      <x:c r="H109" t="inlineStr">
        <x:is>
          <x:t xml:space="preserve">L7-Q6</x:t>
        </x:is>
      </x:c>
    </x:row>
    <x:row r="110">
      <x:c r="A110" t="inlineStr">
        <x:is>
          <x:t xml:space="preserve">LAYER 9</x:t>
        </x:is>
      </x:c>
      <x:c r="B110" t="inlineStr">
        <x:is>
          <x:t xml:space="preserve">JUSTICE/MERCY OPERATOR — Law 5</x:t>
        </x:is>
      </x:c>
      <x:c r="C110" t="inlineStr">
        <x:is>
          <x:t xml:space="preserve">JusticeMercyOperator.lean (standalone)</x:t>
        </x:is>
      </x:c>
      <x:c r="E110" t="inlineStr">
        <x:is>
          <x:t xml:space="preserve">THE CROSS UNIQUENESS THEOREM. Cross is the unique convergence configuration. Every alternative formally eliminated.</x:t>
        </x:is>
      </x:c>
    </x:row>
    <x:row r="111">
      <x:c r="A111" t="n">
        <x:v>112</x:v>
      </x:c>
      <x:c r="B111" t="inlineStr">
        <x:is>
          <x:t xml:space="preserve">9 — J/M</x:t>
        </x:is>
      </x:c>
      <x:c r="C111" t="inlineStr">
        <x:is>
          <x:t xml:space="preserve">JusticeMercyOperator.lean</x:t>
        </x:is>
      </x:c>
      <x:c r="D111" t="inlineStr">
        <x:is>
          <x:t xml:space="preserve">justice_and_mercy_share_common_components</x:t>
        </x:is>
      </x:c>
      <x:c r="E111" t="inlineStr">
        <x:is>
          <x:t xml:space="preserve">Same 4 restoration components shared</x:t>
        </x:is>
      </x:c>
      <x:c r="F111" t="inlineStr">
        <x:is>
          <x:t xml:space="preserve">rfl</x:t>
        </x:is>
      </x:c>
      <x:c r="G111" t="inlineStr">
        <x:is>
          <x:t xml:space="preserve">PROVED</x:t>
        </x:is>
      </x:c>
      <x:c r="H111" t="inlineStr">
        <x:is>
          <x:t xml:space="preserve">L6-Q6</x:t>
        </x:is>
      </x:c>
    </x:row>
    <x:row r="112">
      <x:c r="A112" t="n">
        <x:v>113</x:v>
      </x:c>
      <x:c r="B112" t="inlineStr">
        <x:is>
          <x:t xml:space="preserve">9 — J/M</x:t>
        </x:is>
      </x:c>
      <x:c r="C112" t="inlineStr">
        <x:is>
          <x:t xml:space="preserve">JusticeMercyOperator.lean</x:t>
        </x:is>
      </x:c>
      <x:c r="D112" t="inlineStr">
        <x:is>
          <x:t xml:space="preserve">justice_and_mercy_differ_by_cost_bearer</x:t>
        </x:is>
      </x:c>
      <x:c r="E112" t="inlineStr">
        <x:is>
          <x:t xml:space="preserve">Differ in exactly one coordinate: who pays the cost</x:t>
        </x:is>
      </x:c>
      <x:c r="F112" t="inlineStr">
        <x:is>
          <x:t xml:space="preserve">decide</x:t>
        </x:is>
      </x:c>
      <x:c r="G112" t="inlineStr">
        <x:is>
          <x:t xml:space="preserve">PROVED</x:t>
        </x:is>
      </x:c>
      <x:c r="H112" t="inlineStr">
        <x:is>
          <x:t xml:space="preserve">L6-Q6, P4.3</x:t>
        </x:is>
      </x:c>
    </x:row>
    <x:row r="113">
      <x:c r="A113" t="inlineStr">
        <x:is>
          <x:t xml:space="preserve">114–117</x:t>
        </x:is>
      </x:c>
      <x:c r="B113" t="inlineStr">
        <x:is>
          <x:t xml:space="preserve">9 — J/M</x:t>
        </x:is>
      </x:c>
      <x:c r="C113" t="inlineStr">
        <x:is>
          <x:t xml:space="preserve">JusticeMercyOperator.lean</x:t>
        </x:is>
      </x:c>
      <x:c r="D113" t="inlineStr">
        <x:is>
          <x:t xml:space="preserve">Four missing-component rejections</x:t>
        </x:is>
      </x:c>
      <x:c r="E113" t="inlineStr">
        <x:is>
          <x:t xml:space="preserve">REJECTION: Missing ANY of proportionality/impartiality/truthNaming/victimRestoration breaks perfectCommon</x:t>
        </x:is>
      </x:c>
      <x:c r="F113" t="inlineStr">
        <x:is>
          <x:t xml:space="preserve">decide</x:t>
        </x:is>
      </x:c>
      <x:c r="G113" t="inlineStr">
        <x:is>
          <x:t xml:space="preserve">REJECTION</x:t>
        </x:is>
      </x:c>
      <x:c r="H113" t="inlineStr">
        <x:is>
          <x:t xml:space="preserve">L6-Q6</x:t>
        </x:is>
      </x:c>
    </x:row>
    <x:row r="114">
      <x:c r="A114" t="n">
        <x:v>118</x:v>
      </x:c>
      <x:c r="B114" t="inlineStr">
        <x:is>
          <x:t xml:space="preserve">9 — J/M</x:t>
        </x:is>
      </x:c>
      <x:c r="C114" t="inlineStr">
        <x:is>
          <x:t xml:space="preserve">JusticeMercyOperator.lean</x:t>
        </x:is>
      </x:c>
      <x:c r="D114" t="inlineStr">
        <x:is>
          <x:t xml:space="preserve">cross_satisfies_convergence</x:t>
        </x:is>
      </x:c>
      <x:c r="E114" t="inlineStr">
        <x:is>
          <x:t xml:space="preserve">The Cross config meets all 5 convergence conditions simultaneously</x:t>
        </x:is>
      </x:c>
      <x:c r="F114" t="inlineStr">
        <x:is>
          <x:t xml:space="preserve">decide</x:t>
        </x:is>
      </x:c>
      <x:c r="G114" t="inlineStr">
        <x:is>
          <x:t xml:space="preserve">PROVED</x:t>
        </x:is>
      </x:c>
      <x:c r="H114" t="inlineStr">
        <x:is>
          <x:t xml:space="preserve">L6-Q6, L6-CONCL</x:t>
        </x:is>
      </x:c>
    </x:row>
    <x:row r="115">
      <x:c r="A115" t="n">
        <x:v>119</x:v>
      </x:c>
      <x:c r="B115" t="inlineStr">
        <x:is>
          <x:t xml:space="preserve">9 — J/M</x:t>
        </x:is>
      </x:c>
      <x:c r="C115" t="inlineStr">
        <x:is>
          <x:t xml:space="preserve">JusticeMercyOperator.lean</x:t>
        </x:is>
      </x:c>
      <x:c r="D115" t="inlineStr">
        <x:is>
          <x:t xml:space="preserve">offender_payment_fails_mercy_condition</x:t>
        </x:is>
      </x:c>
      <x:c r="E115" t="inlineStr">
        <x:is>
          <x:t xml:space="preserve">REJECTION: Offender-pays fails the mercy axis. Self-payment is not mercy.</x:t>
        </x:is>
      </x:c>
      <x:c r="F115" t="inlineStr">
        <x:is>
          <x:t xml:space="preserve">decide</x:t>
        </x:is>
      </x:c>
      <x:c r="G115" t="inlineStr">
        <x:is>
          <x:t xml:space="preserve">REJECTION</x:t>
        </x:is>
      </x:c>
      <x:c r="H115" t="inlineStr">
        <x:is>
          <x:t xml:space="preserve">L6-R1</x:t>
        </x:is>
      </x:c>
    </x:row>
    <x:row r="116">
      <x:c r="A116" t="n">
        <x:v>120</x:v>
      </x:c>
      <x:c r="B116" t="inlineStr">
        <x:is>
          <x:t xml:space="preserve">9 — J/M</x:t>
        </x:is>
      </x:c>
      <x:c r="C116" t="inlineStr">
        <x:is>
          <x:t xml:space="preserve">JusticeMercyOperator.lean</x:t>
        </x:is>
      </x:c>
      <x:c r="D116" t="inlineStr">
        <x:is>
          <x:t xml:space="preserve">human_third_party_fails_authority_and_capacity</x:t>
        </x:is>
      </x:c>
      <x:c r="E116" t="inlineStr">
        <x:is>
          <x:t xml:space="preserve">REJECTION: Human third party fails authority + universality</x:t>
        </x:is>
      </x:c>
      <x:c r="F116" t="inlineStr">
        <x:is>
          <x:t xml:space="preserve">decide</x:t>
        </x:is>
      </x:c>
      <x:c r="G116" t="inlineStr">
        <x:is>
          <x:t xml:space="preserve">REJECTION</x:t>
        </x:is>
      </x:c>
      <x:c r="H116" t="inlineStr">
        <x:is>
          <x:t xml:space="preserve">L6-R1</x:t>
        </x:is>
      </x:c>
    </x:row>
    <x:row r="117">
      <x:c r="A117" t="n">
        <x:v>121</x:v>
      </x:c>
      <x:c r="B117" t="inlineStr">
        <x:is>
          <x:t xml:space="preserve">9 — J/M</x:t>
        </x:is>
      </x:c>
      <x:c r="C117" t="inlineStr">
        <x:is>
          <x:t xml:space="preserve">JusticeMercyOperator.lean</x:t>
        </x:is>
      </x:c>
      <x:c r="D117" t="inlineStr">
        <x:is>
          <x:t xml:space="preserve">coerced_third_party_fails_voluntariness</x:t>
        </x:is>
      </x:c>
      <x:c r="E117" t="inlineStr">
        <x:is>
          <x:t xml:space="preserve">REJECTION: Coercion fails voluntariness. Forced repair is not love.</x:t>
        </x:is>
      </x:c>
      <x:c r="F117" t="inlineStr">
        <x:is>
          <x:t xml:space="preserve">decide</x:t>
        </x:is>
      </x:c>
      <x:c r="G117" t="inlineStr">
        <x:is>
          <x:t xml:space="preserve">REJECTION</x:t>
        </x:is>
      </x:c>
      <x:c r="H117" t="inlineStr">
        <x:is>
          <x:t xml:space="preserve">L6-R5, L6-P3</x:t>
        </x:is>
      </x:c>
    </x:row>
    <x:row r="118">
      <x:c r="A118" t="n">
        <x:v>122</x:v>
      </x:c>
      <x:c r="B118" t="inlineStr">
        <x:is>
          <x:t xml:space="preserve">9 — J/M</x:t>
        </x:is>
      </x:c>
      <x:c r="C118" t="inlineStr">
        <x:is>
          <x:t xml:space="preserve">JusticeMercyOperator.lean</x:t>
        </x:is>
      </x:c>
      <x:c r="D118" t="inlineStr">
        <x:is>
          <x:t xml:space="preserve">waived_debt_fails_justice_condition</x:t>
        </x:is>
      </x:c>
      <x:c r="E118" t="inlineStr">
        <x:is>
          <x:t xml:space="preserve">REJECTION: Waived debt fails justice (debt not paid). Cheap grace.</x:t>
        </x:is>
      </x:c>
      <x:c r="F118" t="inlineStr">
        <x:is>
          <x:t xml:space="preserve">decide</x:t>
        </x:is>
      </x:c>
      <x:c r="G118" t="inlineStr">
        <x:is>
          <x:t xml:space="preserve">REJECTION</x:t>
        </x:is>
      </x:c>
      <x:c r="H118" t="inlineStr">
        <x:is>
          <x:t xml:space="preserve">L6-R4, L6-P2</x:t>
        </x:is>
      </x:c>
    </x:row>
    <x:row r="119">
      <x:c r="A119" t="n">
        <x:v>123</x:v>
      </x:c>
      <x:c r="B119" t="inlineStr">
        <x:is>
          <x:t xml:space="preserve">9 — J/M</x:t>
        </x:is>
      </x:c>
      <x:c r="C119" t="inlineStr">
        <x:is>
          <x:t xml:space="preserve">JusticeMercyOperator.lean</x:t>
        </x:is>
      </x:c>
      <x:c r="D119" t="inlineStr">
        <x:is>
          <x:t xml:space="preserve">shared_cost_fails_mercy_condition</x:t>
        </x:is>
      </x:c>
      <x:c r="E119" t="inlineStr">
        <x:is>
          <x:t xml:space="preserve">REJECTION: Shared cost fails mercy (offender still pays)</x:t>
        </x:is>
      </x:c>
      <x:c r="F119" t="inlineStr">
        <x:is>
          <x:t xml:space="preserve">decide</x:t>
        </x:is>
      </x:c>
      <x:c r="G119" t="inlineStr">
        <x:is>
          <x:t xml:space="preserve">REJECTION</x:t>
        </x:is>
      </x:c>
      <x:c r="H119" t="inlineStr">
        <x:is>
          <x:t xml:space="preserve">L6-R1</x:t>
        </x:is>
      </x:c>
    </x:row>
    <x:row r="120">
      <x:c r="A120" t="n">
        <x:v>124</x:v>
      </x:c>
      <x:c r="B120" t="inlineStr">
        <x:is>
          <x:t xml:space="preserve">9 — J/M</x:t>
        </x:is>
      </x:c>
      <x:c r="C120" t="inlineStr">
        <x:is>
          <x:t xml:space="preserve">JusticeMercyOperator.lean</x:t>
        </x:is>
      </x:c>
      <x:c r="D120" t="inlineStr">
        <x:is>
          <x:t xml:space="preserve">cross_unique_convergence_configuration</x:t>
        </x:is>
      </x:c>
      <x:c r="E120" t="inlineStr">
        <x:is>
          <x:t xml:space="preserve">∀ c, CrossConvergence(c) → c = cross. Any config satisfying all 5 conditions IS the Cross.</x:t>
        </x:is>
      </x:c>
      <x:c r="F120" t="inlineStr">
        <x:is>
          <x:t xml:space="preserve">exhaustive cases</x:t>
        </x:is>
      </x:c>
      <x:c r="G120" t="inlineStr">
        <x:is>
          <x:t xml:space="preserve">PROVED</x:t>
        </x:is>
      </x:c>
      <x:c r="H120" t="inlineStr">
        <x:is>
          <x:t xml:space="preserve">L6-CONCL</x:t>
        </x:is>
      </x:c>
    </x:row>
    <x:row r="121">
      <x:c r="A121" t="n">
        <x:v>125</x:v>
      </x:c>
      <x:c r="B121" t="inlineStr">
        <x:is>
          <x:t xml:space="preserve">9 — J/M</x:t>
        </x:is>
      </x:c>
      <x:c r="C121" t="inlineStr">
        <x:is>
          <x:t xml:space="preserve">JusticeMercyOperator.lean</x:t>
        </x:is>
      </x:c>
      <x:c r="D121" t="inlineStr">
        <x:is>
          <x:t xml:space="preserve">cross_is_unique_solution</x:t>
        </x:is>
      </x:c>
      <x:c r="E121" t="inlineStr">
        <x:is>
          <x:t xml:space="preserve">THE CROSS IS THE UNIQUE SOLUTION — existence AND uniqueness. Strongest single result in the package.</x:t>
        </x:is>
      </x:c>
      <x:c r="F121" t="inlineStr">
        <x:is>
          <x:t xml:space="preserve">exhaustive cases</x:t>
        </x:is>
      </x:c>
      <x:c r="G121" t="inlineStr">
        <x:is>
          <x:t xml:space="preserve">PROVED</x:t>
        </x:is>
      </x:c>
      <x:c r="H121" t="inlineStr">
        <x:is>
          <x:t xml:space="preserve">L6-CONCL, P4.3</x:t>
        </x:is>
      </x:c>
    </x:row>
    <x:row r="122">
      <x:c r="A122" t="inlineStr">
        <x:is>
          <x:t xml:space="preserve">LAYER 10</x:t>
        </x:is>
      </x:c>
      <x:c r="B122" t="inlineStr">
        <x:is>
          <x:t xml:space="preserve">POLARITY DISCIPLINE</x:t>
        </x:is>
      </x:c>
      <x:c r="C122" t="inlineStr">
        <x:is>
          <x:t xml:space="preserve">PolarityDiscipline.lean (imports BridgeScoreDiscipline)</x:t>
        </x:is>
      </x:c>
      <x:c r="E122" t="inlineStr">
        <x:is>
          <x:t xml:space="preserve">Two wrongs don't make a right — formally. Sign polarity is diagnostic, not redemptive.</x:t>
        </x:is>
      </x:c>
    </x:row>
    <x:row r="123">
      <x:c r="A123" t="n">
        <x:v>126</x:v>
      </x:c>
      <x:c r="B123" t="inlineStr">
        <x:is>
          <x:t xml:space="preserve">10 — Polarity</x:t>
        </x:is>
      </x:c>
      <x:c r="C123" t="inlineStr">
        <x:is>
          <x:t xml:space="preserve">PolarityDiscipline.lean</x:t>
        </x:is>
      </x:c>
      <x:c r="D123" t="inlineStr">
        <x:is>
          <x:t xml:space="preserve">two_destructive_signs_have_positive_raw_product</x:t>
        </x:is>
      </x:c>
      <x:c r="E123" t="inlineStr">
        <x:is>
          <x:t xml:space="preserve">(-1)×(-1) = +1 in raw arithmetic</x:t>
        </x:is>
      </x:c>
      <x:c r="F123" t="inlineStr">
        <x:is>
          <x:t xml:space="preserve">simp</x:t>
        </x:is>
      </x:c>
      <x:c r="G123" t="inlineStr">
        <x:is>
          <x:t xml:space="preserve">PROVED</x:t>
        </x:is>
      </x:c>
      <x:c r="H123" t="inlineStr">
        <x:is>
          <x:t xml:space="preserve">L2-Q5</x:t>
        </x:is>
      </x:c>
    </x:row>
    <x:row r="124">
      <x:c r="A124" t="n">
        <x:v>127</x:v>
      </x:c>
      <x:c r="B124" t="inlineStr">
        <x:is>
          <x:t xml:space="preserve">10 — Polarity</x:t>
        </x:is>
      </x:c>
      <x:c r="C124" t="inlineStr">
        <x:is>
          <x:t xml:space="preserve">PolarityDiscipline.lean</x:t>
        </x:is>
      </x:c>
      <x:c r="D124" t="inlineStr">
        <x:is>
          <x:t xml:space="preserve">two_destructive_signs_do_not_pass_coherence_gate</x:t>
        </x:is>
      </x:c>
      <x:c r="E124" t="inlineStr">
        <x:is>
          <x:t xml:space="preserve">REJECTION: But the coherence gate rejects them. Arithmetic sign ≠ moral sign.</x:t>
        </x:is>
      </x:c>
      <x:c r="F124" t="inlineStr">
        <x:is>
          <x:t xml:space="preserve">decide</x:t>
        </x:is>
      </x:c>
      <x:c r="G124" t="inlineStr">
        <x:is>
          <x:t xml:space="preserve">REJECTION</x:t>
        </x:is>
      </x:c>
      <x:c r="H124" t="inlineStr">
        <x:is>
          <x:t xml:space="preserve">L2-Q5, L6-Q1</x:t>
        </x:is>
      </x:c>
    </x:row>
    <x:row r="125">
      <x:c r="A125" t="n">
        <x:v>128</x:v>
      </x:c>
      <x:c r="B125" t="inlineStr">
        <x:is>
          <x:t xml:space="preserve">10 — Polarity</x:t>
        </x:is>
      </x:c>
      <x:c r="C125" t="inlineStr">
        <x:is>
          <x:t xml:space="preserve">PolarityDiscipline.lean</x:t>
        </x:is>
      </x:c>
      <x:c r="D125" t="inlineStr">
        <x:is>
          <x:t xml:space="preserve">below_accountability_maps_to_neutral_even_with_bad_signal</x:t>
        </x:is>
      </x:c>
      <x:c r="E125" t="inlineStr">
        <x:is>
          <x:t xml:space="preserve">Below age of accountability → neutral regardless of observed behavior</x:t>
        </x:is>
      </x:c>
      <x:c r="F125" t="inlineStr">
        <x:is>
          <x:t xml:space="preserve">simp</x:t>
        </x:is>
      </x:c>
      <x:c r="G125" t="inlineStr">
        <x:is>
          <x:t xml:space="preserve">PROVED</x:t>
        </x:is>
      </x:c>
      <x:c r="H125" t="inlineStr">
        <x:is>
          <x:t xml:space="preserve">L4-Q5</x:t>
        </x:is>
      </x:c>
    </x:row>
    <x:row r="126">
      <x:c r="A126" t="n">
        <x:v>129</x:v>
      </x:c>
      <x:c r="B126" t="inlineStr">
        <x:is>
          <x:t xml:space="preserve">10 — Polarity</x:t>
        </x:is>
      </x:c>
      <x:c r="C126" t="inlineStr">
        <x:is>
          <x:t xml:space="preserve">PolarityDiscipline.lean</x:t>
        </x:is>
      </x:c>
      <x:c r="D126" t="inlineStr">
        <x:is>
          <x:t xml:space="preserve">below_accountability_has_zero_culpability</x:t>
        </x:is>
      </x:c>
      <x:c r="E126" t="inlineStr">
        <x:is>
          <x:t xml:space="preserve">Below threshold → 0 culpability</x:t>
        </x:is>
      </x:c>
      <x:c r="F126" t="inlineStr">
        <x:is>
          <x:t xml:space="preserve">simp</x:t>
        </x:is>
      </x:c>
      <x:c r="G126" t="inlineStr">
        <x:is>
          <x:t xml:space="preserve">PROVED</x:t>
        </x:is>
      </x:c>
      <x:c r="H126" t="inlineStr">
        <x:is>
          <x:t xml:space="preserve">L4-Q5</x:t>
        </x:is>
      </x:c>
    </x:row>
    <x:row r="127">
      <x:c r="A127" t="n">
        <x:v>130</x:v>
      </x:c>
      <x:c r="B127" t="inlineStr">
        <x:is>
          <x:t xml:space="preserve">10 — Polarity</x:t>
        </x:is>
      </x:c>
      <x:c r="C127" t="inlineStr">
        <x:is>
          <x:t xml:space="preserve">PolarityDiscipline.lean</x:t>
        </x:is>
      </x:c>
      <x:c r="D127" t="inlineStr">
        <x:is>
          <x:t xml:space="preserve">destructive_strict_M_collapses_chi</x:t>
        </x:is>
      </x:c>
      <x:c r="E127" t="inlineStr">
        <x:is>
          <x:t xml:space="preserve">Destructive polarity → M gate = 0 → χ = 0</x:t>
        </x:is>
      </x:c>
      <x:c r="F127" t="inlineStr">
        <x:is>
          <x:t xml:space="preserve">simp</x:t>
        </x:is>
      </x:c>
      <x:c r="G127" t="inlineStr">
        <x:is>
          <x:t xml:space="preserve">PROVED</x:t>
        </x:is>
      </x:c>
      <x:c r="H127" t="inlineStr">
        <x:is>
          <x:t xml:space="preserve">L2-Q3</x:t>
        </x:is>
      </x:c>
    </x:row>
    <x:row r="128">
      <x:c r="A128" t="n">
        <x:v>131</x:v>
      </x:c>
      <x:c r="B128" t="inlineStr">
        <x:is>
          <x:t xml:space="preserve">10 — Polarity</x:t>
        </x:is>
      </x:c>
      <x:c r="C128" t="inlineStr">
        <x:is>
          <x:t xml:space="preserve">PolarityDiscipline.lean</x:t>
        </x:is>
      </x:c>
      <x:c r="D128" t="inlineStr">
        <x:is>
          <x:t xml:space="preserve">neutral_accountability_aware_M_does_not_zero_M</x:t>
        </x:is>
      </x:c>
      <x:c r="E128" t="inlineStr">
        <x:is>
          <x:t xml:space="preserve">Neutral polarity → M = 1 under accountability-aware gate</x:t>
        </x:is>
      </x:c>
      <x:c r="F128" t="inlineStr">
        <x:is>
          <x:t xml:space="preserve">simp</x:t>
        </x:is>
      </x:c>
      <x:c r="G128" t="inlineStr">
        <x:is>
          <x:t xml:space="preserve">PROVED</x:t>
        </x:is>
      </x:c>
      <x:c r="H128" t="inlineStr">
        <x:is>
          <x:t xml:space="preserve">L4-Q5</x:t>
        </x:is>
      </x:c>
    </x:row>
    <x:row r="129">
      <x:c r="A129" t="n">
        <x:v>132</x:v>
      </x:c>
      <x:c r="B129" t="inlineStr">
        <x:is>
          <x:t xml:space="preserve">10 — Polarity</x:t>
        </x:is>
      </x:c>
      <x:c r="C129" t="inlineStr">
        <x:is>
          <x:t xml:space="preserve">PolarityDiscipline.lean</x:t>
        </x:is>
      </x:c>
      <x:c r="D129" t="inlineStr">
        <x:is>
          <x:t xml:space="preserve">destructive_accountability_aware_M_collapses_chi</x:t>
        </x:is>
      </x:c>
      <x:c r="E129" t="inlineStr">
        <x:is>
          <x:t xml:space="preserve">Destructive polarity still kills χ under accountability-aware gate</x:t>
        </x:is>
      </x:c>
      <x:c r="F129" t="inlineStr">
        <x:is>
          <x:t xml:space="preserve">simp</x:t>
        </x:is>
      </x:c>
      <x:c r="G129" t="inlineStr">
        <x:is>
          <x:t xml:space="preserve">PROVED</x:t>
        </x:is>
      </x:c>
      <x:c r="H129" t="inlineStr">
        <x:is>
          <x:t xml:space="preserve">L2-Q3</x:t>
        </x:is>
      </x:c>
    </x:row>
    <x:row r="130">
      <x:c r="A130" t="inlineStr">
        <x:is>
          <x:t xml:space="preserve">LAYER 11</x:t>
        </x:is>
      </x:c>
      <x:c r="B130" t="inlineStr">
        <x:is>
          <x:t xml:space="preserve">SIGN CONVERSION DISCIPLINE</x:t>
        </x:is>
      </x:c>
      <x:c r="C130" t="inlineStr">
        <x:is>
          <x:t xml:space="preserve">SignConversionDiscipline.lean (imports MemoryPersistence)</x:t>
        </x:is>
      </x:c>
      <x:c r="E130" t="inlineStr">
        <x:is>
          <x:t xml:space="preserve">Moral burdens do not self-redeem. Only external conversion restores positive coherence.</x:t>
        </x:is>
      </x:c>
    </x:row>
    <x:row r="131">
      <x:c r="A131" t="n">
        <x:v>133</x:v>
      </x:c>
      <x:c r="B131" t="inlineStr">
        <x:is>
          <x:t xml:space="preserve">11 — Sign</x:t>
        </x:is>
      </x:c>
      <x:c r="C131" t="inlineStr">
        <x:is>
          <x:t xml:space="preserve">SignConversionDiscipline.lean</x:t>
        </x:is>
      </x:c>
      <x:c r="D131" t="inlineStr">
        <x:is>
          <x:t xml:space="preserve">raw_two_negatives_multiply_positive</x:t>
        </x:is>
      </x:c>
      <x:c r="E131" t="inlineStr">
        <x:is>
          <x:t xml:space="preserve">Arithmetic: (-1)×(-1) = 1. Raw math says yes.</x:t>
        </x:is>
      </x:c>
      <x:c r="F131" t="inlineStr">
        <x:is>
          <x:t xml:space="preserve">simp</x:t>
        </x:is>
      </x:c>
      <x:c r="G131" t="inlineStr">
        <x:is>
          <x:t xml:space="preserve">PROVED</x:t>
        </x:is>
      </x:c>
      <x:c r="H131" t="inlineStr">
        <x:is>
          <x:t xml:space="preserve">L2-Q5</x:t>
        </x:is>
      </x:c>
    </x:row>
    <x:row r="132">
      <x:c r="A132" t="n">
        <x:v>134</x:v>
      </x:c>
      <x:c r="B132" t="inlineStr">
        <x:is>
          <x:t xml:space="preserve">11 — Sign</x:t>
        </x:is>
      </x:c>
      <x:c r="C132" t="inlineStr">
        <x:is>
          <x:t xml:space="preserve">SignConversionDiscipline.lean</x:t>
        </x:is>
      </x:c>
      <x:c r="D132" t="inlineStr">
        <x:is>
          <x:t xml:space="preserve">burden_two_negatives_stay_negative</x:t>
        </x:is>
      </x:c>
      <x:c r="E132" t="inlineStr">
        <x:is>
          <x:t xml:space="preserve">REJECTION: Burden coupling: negative + negative = negative. Accumulation does not redeem.</x:t>
        </x:is>
      </x:c>
      <x:c r="F132" t="inlineStr">
        <x:is>
          <x:t xml:space="preserve">rfl</x:t>
        </x:is>
      </x:c>
      <x:c r="G132" t="inlineStr">
        <x:is>
          <x:t xml:space="preserve">REJECTION</x:t>
        </x:is>
      </x:c>
      <x:c r="H132" t="inlineStr">
        <x:is>
          <x:t xml:space="preserve">L6-Q1, L6-R1</x:t>
        </x:is>
      </x:c>
    </x:row>
    <x:row r="133">
      <x:c r="A133" t="n">
        <x:v>135</x:v>
      </x:c>
      <x:c r="B133" t="inlineStr">
        <x:is>
          <x:t xml:space="preserve">11 — Sign</x:t>
        </x:is>
      </x:c>
      <x:c r="C133" t="inlineStr">
        <x:is>
          <x:t xml:space="preserve">SignConversionDiscipline.lean</x:t>
        </x:is>
      </x:c>
      <x:c r="D133" t="inlineStr">
        <x:is>
          <x:t xml:space="preserve">burden_negative_positive_stays_negative</x:t>
        </x:is>
      </x:c>
      <x:c r="E133" t="inlineStr">
        <x:is>
          <x:t xml:space="preserve">REJECTION: Any negative in the burden keeps it negative</x:t>
        </x:is>
      </x:c>
      <x:c r="F133" t="inlineStr">
        <x:is>
          <x:t xml:space="preserve">rfl</x:t>
        </x:is>
      </x:c>
      <x:c r="G133" t="inlineStr">
        <x:is>
          <x:t xml:space="preserve">REJECTION</x:t>
        </x:is>
      </x:c>
      <x:c r="H133" t="inlineStr">
        <x:is>
          <x:t xml:space="preserve">L6-Q1</x:t>
        </x:is>
      </x:c>
    </x:row>
    <x:row r="134">
      <x:c r="A134" t="n">
        <x:v>136</x:v>
      </x:c>
      <x:c r="B134" t="inlineStr">
        <x:is>
          <x:t xml:space="preserve">11 — Sign</x:t>
        </x:is>
      </x:c>
      <x:c r="C134" t="inlineStr">
        <x:is>
          <x:t xml:space="preserve">SignConversionDiscipline.lean</x:t>
        </x:is>
      </x:c>
      <x:c r="D134" t="inlineStr">
        <x:is>
          <x:t xml:space="preserve">christic_conversion_turns_negative_burden_positive</x:t>
        </x:is>
      </x:c>
      <x:c r="E134" t="inlineStr">
        <x:is>
          <x:t xml:space="preserve">External Christic conversion: negative → positive</x:t>
        </x:is>
      </x:c>
      <x:c r="F134" t="inlineStr">
        <x:is>
          <x:t xml:space="preserve">rfl</x:t>
        </x:is>
      </x:c>
      <x:c r="G134" t="inlineStr">
        <x:is>
          <x:t xml:space="preserve">PROVED</x:t>
        </x:is>
      </x:c>
      <x:c r="H134" t="inlineStr">
        <x:is>
          <x:t xml:space="preserve">L6-Q4, L6-P4</x:t>
        </x:is>
      </x:c>
    </x:row>
    <x:row r="135">
      <x:c r="A135" t="n">
        <x:v>137</x:v>
      </x:c>
      <x:c r="B135" t="inlineStr">
        <x:is>
          <x:t xml:space="preserve">11 — Sign</x:t>
        </x:is>
      </x:c>
      <x:c r="C135" t="inlineStr">
        <x:is>
          <x:t xml:space="preserve">SignConversionDiscipline.lean</x:t>
        </x:is>
      </x:c>
      <x:c r="D135" t="inlineStr">
        <x:is>
          <x:t xml:space="preserve">christic_conversion_turns_neutral_burden_positive</x:t>
        </x:is>
      </x:c>
      <x:c r="E135" t="inlineStr">
        <x:is>
          <x:t xml:space="preserve">Christic conversion: neutral → positive</x:t>
        </x:is>
      </x:c>
      <x:c r="F135" t="inlineStr">
        <x:is>
          <x:t xml:space="preserve">rfl</x:t>
        </x:is>
      </x:c>
      <x:c r="G135" t="inlineStr">
        <x:is>
          <x:t xml:space="preserve">PROVED</x:t>
        </x:is>
      </x:c>
      <x:c r="H135" t="inlineStr">
        <x:is>
          <x:t xml:space="preserve">L6-Q4</x:t>
        </x:is>
      </x:c>
    </x:row>
    <x:row r="136">
      <x:c r="A136" t="n">
        <x:v>138</x:v>
      </x:c>
      <x:c r="B136" t="inlineStr">
        <x:is>
          <x:t xml:space="preserve">11 — Sign</x:t>
        </x:is>
      </x:c>
      <x:c r="C136" t="inlineStr">
        <x:is>
          <x:t xml:space="preserve">SignConversionDiscipline.lean</x:t>
        </x:is>
      </x:c>
      <x:c r="D136" t="inlineStr">
        <x:is>
          <x:t xml:space="preserve">two_negative_burdens_require_conversion_for_positive</x:t>
        </x:is>
      </x:c>
      <x:c r="E136" t="inlineStr">
        <x:is>
          <x:t xml:space="preserve">REJECTION: Accumulated negative burdens need conversion, not more burdens</x:t>
        </x:is>
      </x:c>
      <x:c r="F136" t="inlineStr">
        <x:is>
          <x:t xml:space="preserve">rfl</x:t>
        </x:is>
      </x:c>
      <x:c r="G136" t="inlineStr">
        <x:is>
          <x:t xml:space="preserve">REJECTION</x:t>
        </x:is>
      </x:c>
      <x:c r="H136" t="inlineStr">
        <x:is>
          <x:t xml:space="preserve">L6-Q1, L6-R1</x:t>
        </x:is>
      </x:c>
    </x:row>
    <x:row r="137">
      <x:c r="A137" t="n">
        <x:v>139</x:v>
      </x:c>
      <x:c r="B137" t="inlineStr">
        <x:is>
          <x:t xml:space="preserve">11 — Sign</x:t>
        </x:is>
      </x:c>
      <x:c r="C137" t="inlineStr">
        <x:is>
          <x:t xml:space="preserve">SignConversionDiscipline.lean</x:t>
        </x:is>
      </x:c>
      <x:c r="D137" t="inlineStr">
        <x:is>
          <x:t xml:space="preserve">two_negative_burdens_without_conversion_not_positive</x:t>
        </x:is>
      </x:c>
      <x:c r="E137" t="inlineStr">
        <x:is>
          <x:t xml:space="preserve">REJECTION: Without conversion, burdens stay negative</x:t>
        </x:is>
      </x:c>
      <x:c r="F137" t="inlineStr">
        <x:is>
          <x:t xml:space="preserve">rfl</x:t>
        </x:is>
      </x:c>
      <x:c r="G137" t="inlineStr">
        <x:is>
          <x:t xml:space="preserve">REJECTION</x:t>
        </x:is>
      </x:c>
      <x:c r="H137" t="inlineStr">
        <x:is>
          <x:t xml:space="preserve">L6-Q1</x:t>
        </x:is>
      </x:c>
    </x:row>
    <x:row r="138">
      <x:c r="A138" t="n">
        <x:v>140</x:v>
      </x:c>
      <x:c r="B138" t="inlineStr">
        <x:is>
          <x:t xml:space="preserve">11 — Sign</x:t>
        </x:is>
      </x:c>
      <x:c r="C138" t="inlineStr">
        <x:is>
          <x:t xml:space="preserve">SignConversionDiscipline.lean</x:t>
        </x:is>
      </x:c>
      <x:c r="D138" t="inlineStr">
        <x:is>
          <x:t xml:space="preserve">negative_burden_gate_zero</x:t>
        </x:is>
      </x:c>
      <x:c r="E138" t="inlineStr">
        <x:is>
          <x:t xml:space="preserve">Negative burden → coherence gate = 0</x:t>
        </x:is>
      </x:c>
      <x:c r="F138" t="inlineStr">
        <x:is>
          <x:t xml:space="preserve">rfl</x:t>
        </x:is>
      </x:c>
      <x:c r="G138" t="inlineStr">
        <x:is>
          <x:t xml:space="preserve">PROVED</x:t>
        </x:is>
      </x:c>
      <x:c r="H138" t="inlineStr">
        <x:is>
          <x:t xml:space="preserve">L6-Q1</x:t>
        </x:is>
      </x:c>
    </x:row>
    <x:row r="139">
      <x:c r="A139" t="n">
        <x:v>141</x:v>
      </x:c>
      <x:c r="B139" t="inlineStr">
        <x:is>
          <x:t xml:space="preserve">11 — Sign</x:t>
        </x:is>
      </x:c>
      <x:c r="C139" t="inlineStr">
        <x:is>
          <x:t xml:space="preserve">SignConversionDiscipline.lean</x:t>
        </x:is>
      </x:c>
      <x:c r="D139" t="inlineStr">
        <x:is>
          <x:t xml:space="preserve">converted_negative_burden_gate_one</x:t>
        </x:is>
      </x:c>
      <x:c r="E139" t="inlineStr">
        <x:is>
          <x:t xml:space="preserve">Converted burden → coherence gate = 1</x:t>
        </x:is>
      </x:c>
      <x:c r="F139" t="inlineStr">
        <x:is>
          <x:t xml:space="preserve">rfl</x:t>
        </x:is>
      </x:c>
      <x:c r="G139" t="inlineStr">
        <x:is>
          <x:t xml:space="preserve">PROVED</x:t>
        </x:is>
      </x:c>
      <x:c r="H139" t="inlineStr">
        <x:is>
          <x:t xml:space="preserve">L6-Q4</x:t>
        </x:is>
      </x:c>
    </x:row>
    <x:row r="140">
      <x:c r="A140" t="inlineStr">
        <x:is>
          <x:t xml:space="preserve">LAYER 12</x:t>
        </x:is>
      </x:c>
      <x:c r="B140" t="inlineStr">
        <x:is>
          <x:t xml:space="preserve">CHRIST OPERATOR DISCIPLINE</x:t>
        </x:is>
      </x:c>
      <x:c r="C140" t="inlineStr">
        <x:is>
          <x:t xml:space="preserve">ChristOperatorDiscipline.lean (imports SignConversion)</x:t>
        </x:is>
      </x:c>
      <x:c r="E140" t="inlineStr">
        <x:is>
          <x:t xml:space="preserve">C_op is external integration, not scalar factor. Restoration ≠ erasure. Record preserved.</x:t>
        </x:is>
      </x:c>
    </x:row>
    <x:row r="141">
      <x:c r="A141" t="n">
        <x:v>142</x:v>
      </x:c>
      <x:c r="B141" t="inlineStr">
        <x:is>
          <x:t xml:space="preserve">12 — C_op</x:t>
        </x:is>
      </x:c>
      <x:c r="C141" t="inlineStr">
        <x:is>
          <x:t xml:space="preserve">ChristOperatorDiscipline.lean</x:t>
        </x:is>
      </x:c>
      <x:c r="D141" t="inlineStr">
        <x:is>
          <x:t xml:space="preserve">C_op_converts_negative_to_positive</x:t>
        </x:is>
      </x:c>
      <x:c r="E141" t="inlineStr">
        <x:is>
          <x:t xml:space="preserve">C_op takes negative → positive (visible sign)</x:t>
        </x:is>
      </x:c>
      <x:c r="F141" t="inlineStr">
        <x:is>
          <x:t xml:space="preserve">rfl</x:t>
        </x:is>
      </x:c>
      <x:c r="G141" t="inlineStr">
        <x:is>
          <x:t xml:space="preserve">PROVED</x:t>
        </x:is>
      </x:c>
      <x:c r="H141" t="inlineStr">
        <x:is>
          <x:t xml:space="preserve">L6-Q4</x:t>
        </x:is>
      </x:c>
    </x:row>
    <x:row r="142">
      <x:c r="A142" t="n">
        <x:v>143</x:v>
      </x:c>
      <x:c r="B142" t="inlineStr">
        <x:is>
          <x:t xml:space="preserve">12 — C_op</x:t>
        </x:is>
      </x:c>
      <x:c r="C142" t="inlineStr">
        <x:is>
          <x:t xml:space="preserve">ChristOperatorDiscipline.lean</x:t>
        </x:is>
      </x:c>
      <x:c r="D142" t="inlineStr">
        <x:is>
          <x:t xml:space="preserve">C_op_converts_neutral_to_positive</x:t>
        </x:is>
      </x:c>
      <x:c r="E142" t="inlineStr">
        <x:is>
          <x:t xml:space="preserve">C_op takes neutral → positive</x:t>
        </x:is>
      </x:c>
      <x:c r="F142" t="inlineStr">
        <x:is>
          <x:t xml:space="preserve">rfl</x:t>
        </x:is>
      </x:c>
      <x:c r="G142" t="inlineStr">
        <x:is>
          <x:t xml:space="preserve">PROVED</x:t>
        </x:is>
      </x:c>
      <x:c r="H142" t="inlineStr">
        <x:is>
          <x:t xml:space="preserve">L6-Q4</x:t>
        </x:is>
      </x:c>
    </x:row>
    <x:row r="143">
      <x:c r="A143" t="n">
        <x:v>144</x:v>
      </x:c>
      <x:c r="B143" t="inlineStr">
        <x:is>
          <x:t xml:space="preserve">12 — C_op</x:t>
        </x:is>
      </x:c>
      <x:c r="C143" t="inlineStr">
        <x:is>
          <x:t xml:space="preserve">ChristOperatorDiscipline.lean</x:t>
        </x:is>
      </x:c>
      <x:c r="D143" t="inlineStr">
        <x:is>
          <x:t xml:space="preserve">C_op_keeps_positive_positive</x:t>
        </x:is>
      </x:c>
      <x:c r="E143" t="inlineStr">
        <x:is>
          <x:t xml:space="preserve">Already positive stays positive</x:t>
        </x:is>
      </x:c>
      <x:c r="F143" t="inlineStr">
        <x:is>
          <x:t xml:space="preserve">rfl</x:t>
        </x:is>
      </x:c>
      <x:c r="G143" t="inlineStr">
        <x:is>
          <x:t xml:space="preserve">PROVED</x:t>
        </x:is>
      </x:c>
      <x:c r="H143" t="inlineStr">
        <x:is>
          <x:t xml:space="preserve">L6-Q4</x:t>
        </x:is>
      </x:c>
    </x:row>
    <x:row r="144">
      <x:c r="A144" t="n">
        <x:v>145</x:v>
      </x:c>
      <x:c r="B144" t="inlineStr">
        <x:is>
          <x:t xml:space="preserve">12 — C_op</x:t>
        </x:is>
      </x:c>
      <x:c r="C144" t="inlineStr">
        <x:is>
          <x:t xml:space="preserve">ChristOperatorDiscipline.lean</x:t>
        </x:is>
      </x:c>
      <x:c r="D144" t="inlineStr">
        <x:is>
          <x:t xml:space="preserve">C_op_preserves_record_mark</x:t>
        </x:is>
      </x:c>
      <x:c r="E144" t="inlineStr">
        <x:is>
          <x:t xml:space="preserve">The record of what happened is NOT erased. History survives grace.</x:t>
        </x:is>
      </x:c>
      <x:c r="F144" t="inlineStr">
        <x:is>
          <x:t xml:space="preserve">rfl</x:t>
        </x:is>
      </x:c>
      <x:c r="G144" t="inlineStr">
        <x:is>
          <x:t xml:space="preserve">PROVED</x:t>
        </x:is>
      </x:c>
      <x:c r="H144" t="inlineStr">
        <x:is>
          <x:t xml:space="preserve">L6-P4</x:t>
        </x:is>
      </x:c>
    </x:row>
    <x:row r="145">
      <x:c r="A145" t="n">
        <x:v>146</x:v>
      </x:c>
      <x:c r="B145" t="inlineStr">
        <x:is>
          <x:t xml:space="preserve">12 — C_op</x:t>
        </x:is>
      </x:c>
      <x:c r="C145" t="inlineStr">
        <x:is>
          <x:t xml:space="preserve">ChristOperatorDiscipline.lean</x:t>
        </x:is>
      </x:c>
      <x:c r="D145" t="inlineStr">
        <x:is>
          <x:t xml:space="preserve">C_op_preserves_source_state</x:t>
        </x:is>
      </x:c>
      <x:c r="E145" t="inlineStr">
        <x:is>
          <x:t xml:space="preserve">Entire source state carried forward. Nothing lost.</x:t>
        </x:is>
      </x:c>
      <x:c r="F145" t="inlineStr">
        <x:is>
          <x:t xml:space="preserve">rfl</x:t>
        </x:is>
      </x:c>
      <x:c r="G145" t="inlineStr">
        <x:is>
          <x:t xml:space="preserve">PROVED</x:t>
        </x:is>
      </x:c>
      <x:c r="H145" t="inlineStr">
        <x:is>
          <x:t xml:space="preserve">L6-P1, L6-P4</x:t>
        </x:is>
      </x:c>
    </x:row>
    <x:row r="146">
      <x:c r="A146" t="n">
        <x:v>147</x:v>
      </x:c>
      <x:c r="B146" t="inlineStr">
        <x:is>
          <x:t xml:space="preserve">12 — C_op</x:t>
        </x:is>
      </x:c>
      <x:c r="C146" t="inlineStr">
        <x:is>
          <x:t xml:space="preserve">ChristOperatorDiscipline.lean</x:t>
        </x:is>
      </x:c>
      <x:c r="D146" t="inlineStr">
        <x:is>
          <x:t xml:space="preserve">C_op_preserves_negative_history_even_after_positive_output</x:t>
        </x:is>
      </x:c>
      <x:c r="E146" t="inlineStr">
        <x:is>
          <x:t xml:space="preserve">Source = negative, output = positive — simultaneously. Grace does not pretend the past didn't happen.</x:t>
        </x:is>
      </x:c>
      <x:c r="F146" t="inlineStr">
        <x:is>
          <x:t xml:space="preserve">decide</x:t>
        </x:is>
      </x:c>
      <x:c r="G146" t="inlineStr">
        <x:is>
          <x:t xml:space="preserve">PROVED</x:t>
        </x:is>
      </x:c>
      <x:c r="H146" t="inlineStr">
        <x:is>
          <x:t xml:space="preserve">L6-P4, P4.3</x:t>
        </x:is>
      </x:c>
    </x:row>
    <x:row r="147">
      <x:c r="A147" t="n">
        <x:v>148</x:v>
      </x:c>
      <x:c r="B147" t="inlineStr">
        <x:is>
          <x:t xml:space="preserve">12 — C_op</x:t>
        </x:is>
      </x:c>
      <x:c r="C147" t="inlineStr">
        <x:is>
          <x:t xml:space="preserve">ChristOperatorDiscipline.lean</x:t>
        </x:is>
      </x:c>
      <x:c r="D147" t="inlineStr">
        <x:is>
          <x:t xml:space="preserve">visible_projection_conflates_negative_and_neutral_conversion</x:t>
        </x:is>
      </x:c>
      <x:c r="E147" t="inlineStr">
        <x:is>
          <x:t xml:space="preserve">BOUNDARY: Visible output same for both — non-injective. You can't tell FROM THE OUTSIDE which path someone took.</x:t>
        </x:is>
      </x:c>
      <x:c r="F147" t="inlineStr">
        <x:is>
          <x:t xml:space="preserve">decide</x:t>
        </x:is>
      </x:c>
      <x:c r="G147" t="inlineStr">
        <x:is>
          <x:t xml:space="preserve">BOUNDARY</x:t>
        </x:is>
      </x:c>
      <x:c r="H147" t="inlineStr">
        <x:is>
          <x:t xml:space="preserve">L6-Q7</x:t>
        </x:is>
      </x:c>
    </x:row>
    <x:row r="148">
      <x:c r="A148" t="n">
        <x:v>149</x:v>
      </x:c>
      <x:c r="B148" t="inlineStr">
        <x:is>
          <x:t xml:space="preserve">12 — C_op</x:t>
        </x:is>
      </x:c>
      <x:c r="C148" t="inlineStr">
        <x:is>
          <x:t xml:space="preserve">ChristOperatorDiscipline.lean</x:t>
        </x:is>
      </x:c>
      <x:c r="D148" t="inlineStr">
        <x:is>
          <x:t xml:space="preserve">lifted_outputs_preserve_distinct_source_signs</x:t>
        </x:is>
      </x:c>
      <x:c r="E148" t="inlineStr">
        <x:is>
          <x:t xml:space="preserve">But lifted output preserves the distinction. God sees the full record.</x:t>
        </x:is>
      </x:c>
      <x:c r="F148" t="inlineStr">
        <x:is>
          <x:t xml:space="preserve">decide</x:t>
        </x:is>
      </x:c>
      <x:c r="G148" t="inlineStr">
        <x:is>
          <x:t xml:space="preserve">PROVED</x:t>
        </x:is>
      </x:c>
      <x:c r="H148" t="inlineStr">
        <x:is>
          <x:t xml:space="preserve">L6-P4</x:t>
        </x:is>
      </x:c>
    </x:row>
    <x:row r="149">
      <x:c r="A149" t="n">
        <x:v>150</x:v>
      </x:c>
      <x:c r="B149" t="inlineStr">
        <x:is>
          <x:t xml:space="preserve">12 — C_op</x:t>
        </x:is>
      </x:c>
      <x:c r="C149" t="inlineStr">
        <x:is>
          <x:t xml:space="preserve">ChristOperatorDiscipline.lean</x:t>
        </x:is>
      </x:c>
      <x:c r="D149" t="inlineStr">
        <x:is>
          <x:t xml:space="preserve">visible_restoration_does_not_imply_erasure</x:t>
        </x:is>
      </x:c>
      <x:c r="E149" t="inlineStr">
        <x:is>
          <x:t xml:space="preserve">REJECTION: Restoration ≠ erasure — formally. Looking forgiven ≠ past erased.</x:t>
        </x:is>
      </x:c>
      <x:c r="F149" t="inlineStr">
        <x:is>
          <x:t xml:space="preserve">decide</x:t>
        </x:is>
      </x:c>
      <x:c r="G149" t="inlineStr">
        <x:is>
          <x:t xml:space="preserve">REJECTION</x:t>
        </x:is>
      </x:c>
      <x:c r="H149" t="inlineStr">
        <x:is>
          <x:t xml:space="preserve">L6-P4, L6-R4</x:t>
        </x:is>
      </x:c>
    </x:row>
    <x:row r="150">
      <x:c r="A150" t="n">
        <x:v>151</x:v>
      </x:c>
      <x:c r="B150" t="inlineStr">
        <x:is>
          <x:t xml:space="preserve">12 — C_op</x:t>
        </x:is>
      </x:c>
      <x:c r="C150" t="inlineStr">
        <x:is>
          <x:t xml:space="preserve">ChristOperatorDiscipline.lean</x:t>
        </x:is>
      </x:c>
      <x:c r="D150" t="inlineStr">
        <x:is>
          <x:t xml:space="preserve">chi_via_COp_converts_two_negative_burdens</x:t>
        </x:is>
      </x:c>
      <x:c r="E150" t="inlineStr">
        <x:is>
          <x:t xml:space="preserve">C_op converts accumulated negative burdens into positive coherence</x:t>
        </x:is>
      </x:c>
      <x:c r="F150" t="inlineStr">
        <x:is>
          <x:t xml:space="preserve">simp</x:t>
        </x:is>
      </x:c>
      <x:c r="G150" t="inlineStr">
        <x:is>
          <x:t xml:space="preserve">PROVED</x:t>
        </x:is>
      </x:c>
      <x:c r="H150" t="inlineStr">
        <x:is>
          <x:t xml:space="preserve">L6-Q4</x:t>
        </x:is>
      </x:c>
    </x:row>
    <x:row r="151">
      <x:c r="A151" t="n">
        <x:v>152</x:v>
      </x:c>
      <x:c r="B151" t="inlineStr">
        <x:is>
          <x:t xml:space="preserve">12 — C_op</x:t>
        </x:is>
      </x:c>
      <x:c r="C151" t="inlineStr">
        <x:is>
          <x:t xml:space="preserve">ChristOperatorDiscipline.lean</x:t>
        </x:is>
      </x:c>
      <x:c r="D151" t="inlineStr">
        <x:is>
          <x:t xml:space="preserve">chi_via_COp_is_not_plain_scalar_self_multiplication</x:t>
        </x:is>
      </x:c>
      <x:c r="E151" t="inlineStr">
        <x:is>
          <x:t xml:space="preserve">REJECTION: C is NOT just another factor in the product. External integration, not scalar.</x:t>
        </x:is>
      </x:c>
      <x:c r="F151" t="inlineStr">
        <x:is>
          <x:t xml:space="preserve">decide</x:t>
        </x:is>
      </x:c>
      <x:c r="G151" t="inlineStr">
        <x:is>
          <x:t xml:space="preserve">REJECTION</x:t>
        </x:is>
      </x:c>
      <x:c r="H151" t="inlineStr">
        <x:is>
          <x:t xml:space="preserve">L6-Q4</x:t>
        </x:is>
      </x:c>
    </x:row>
    <x:row r="152">
      <x:c r="A152" t="inlineStr">
        <x:is>
          <x:t xml:space="preserve">LAYER 13</x:t>
        </x:is>
      </x:c>
      <x:c r="B152" t="inlineStr">
        <x:is>
          <x:t xml:space="preserve">MISSION RETURN OPERATOR</x:t>
        </x:is>
      </x:c>
      <x:c r="C152" t="inlineStr">
        <x:is>
          <x:t xml:space="preserve">MissionReturnOperator.lean (imports ChristOperator)</x:t>
        </x:is>
      </x:c>
      <x:c r="E152" t="inlineStr">
        <x:is>
          <x:t xml:space="preserve">Resurrection is not repair — it is mission return. Identity preserved, resolution returned, record carried.</x:t>
        </x:is>
      </x:c>
    </x:row>
    <x:row r="153">
      <x:c r="A153" t="n">
        <x:v>153</x:v>
      </x:c>
      <x:c r="B153" t="inlineStr">
        <x:is>
          <x:t xml:space="preserve">13 — Mission</x:t>
        </x:is>
      </x:c>
      <x:c r="C153" t="inlineStr">
        <x:is>
          <x:t xml:space="preserve">MissionReturnOperator.lean</x:t>
        </x:is>
      </x:c>
      <x:c r="D153" t="inlineStr">
        <x:is>
          <x:t xml:space="preserve">incarnation_preserves_substrate_identity</x:t>
        </x:is>
      </x:c>
      <x:c r="E153" t="inlineStr">
        <x:is>
          <x:t xml:space="preserve">Substrate ID unchanged through incarnation</x:t>
        </x:is>
      </x:c>
      <x:c r="F153" t="inlineStr">
        <x:is>
          <x:t xml:space="preserve">rfl</x:t>
        </x:is>
      </x:c>
      <x:c r="G153" t="inlineStr">
        <x:is>
          <x:t xml:space="preserve">PROVED</x:t>
        </x:is>
      </x:c>
      <x:c r="H153" t="inlineStr">
        <x:is>
          <x:t xml:space="preserve">L6-Q5</x:t>
        </x:is>
      </x:c>
    </x:row>
    <x:row r="154">
      <x:c r="A154" t="n">
        <x:v>154</x:v>
      </x:c>
      <x:c r="B154" t="inlineStr">
        <x:is>
          <x:t xml:space="preserve">13 — Mission</x:t>
        </x:is>
      </x:c>
      <x:c r="C154" t="inlineStr">
        <x:is>
          <x:t xml:space="preserve">MissionReturnOperator.lean</x:t>
        </x:is>
      </x:c>
      <x:c r="D154" t="inlineStr">
        <x:is>
          <x:t xml:space="preserve">cross_preserves_substrate_identity</x:t>
        </x:is>
      </x:c>
      <x:c r="E154" t="inlineStr">
        <x:is>
          <x:t xml:space="preserve">Substrate ID unchanged through crucifixion</x:t>
        </x:is>
      </x:c>
      <x:c r="F154" t="inlineStr">
        <x:is>
          <x:t xml:space="preserve">rfl</x:t>
        </x:is>
      </x:c>
      <x:c r="G154" t="inlineStr">
        <x:is>
          <x:t xml:space="preserve">PROVED</x:t>
        </x:is>
      </x:c>
      <x:c r="H154" t="inlineStr">
        <x:is>
          <x:t xml:space="preserve">L6-Q5</x:t>
        </x:is>
      </x:c>
    </x:row>
    <x:row r="155">
      <x:c r="A155" t="n">
        <x:v>155</x:v>
      </x:c>
      <x:c r="B155" t="inlineStr">
        <x:is>
          <x:t xml:space="preserve">13 — Mission</x:t>
        </x:is>
      </x:c>
      <x:c r="C155" t="inlineStr">
        <x:is>
          <x:t xml:space="preserve">MissionReturnOperator.lean</x:t>
        </x:is>
      </x:c>
      <x:c r="D155" t="inlineStr">
        <x:is>
          <x:t xml:space="preserve">resurrection_preserves_substrate_identity</x:t>
        </x:is>
      </x:c>
      <x:c r="E155" t="inlineStr">
        <x:is>
          <x:t xml:space="preserve">Substrate ID unchanged through resurrection</x:t>
        </x:is>
      </x:c>
      <x:c r="F155" t="inlineStr">
        <x:is>
          <x:t xml:space="preserve">rfl</x:t>
        </x:is>
      </x:c>
      <x:c r="G155" t="inlineStr">
        <x:is>
          <x:t xml:space="preserve">PROVED</x:t>
        </x:is>
      </x:c>
      <x:c r="H155" t="inlineStr">
        <x:is>
          <x:t xml:space="preserve">L6-Q5</x:t>
        </x:is>
      </x:c>
    </x:row>
    <x:row r="156">
      <x:c r="A156" t="n">
        <x:v>156</x:v>
      </x:c>
      <x:c r="B156" t="inlineStr">
        <x:is>
          <x:t xml:space="preserve">13 — Mission</x:t>
        </x:is>
      </x:c>
      <x:c r="C156" t="inlineStr">
        <x:is>
          <x:t xml:space="preserve">MissionReturnOperator.lean</x:t>
        </x:is>
      </x:c>
      <x:c r="D156" t="inlineStr">
        <x:is>
          <x:t xml:space="preserve">incarnation_is_finite_compression</x:t>
        </x:is>
      </x:c>
      <x:c r="E156" t="inlineStr">
        <x:is>
          <x:t xml:space="preserve">Incarnation = resolution drops from infinite to finite</x:t>
        </x:is>
      </x:c>
      <x:c r="F156" t="inlineStr">
        <x:is>
          <x:t xml:space="preserve">rfl</x:t>
        </x:is>
      </x:c>
      <x:c r="G156" t="inlineStr">
        <x:is>
          <x:t xml:space="preserve">PROVED</x:t>
        </x:is>
      </x:c>
      <x:c r="H156" t="inlineStr">
        <x:is>
          <x:t xml:space="preserve">L6-Q5</x:t>
        </x:is>
      </x:c>
    </x:row>
    <x:row r="157">
      <x:c r="A157" t="n">
        <x:v>157</x:v>
      </x:c>
      <x:c r="B157" t="inlineStr">
        <x:is>
          <x:t xml:space="preserve">13 — Mission</x:t>
        </x:is>
      </x:c>
      <x:c r="C157" t="inlineStr">
        <x:is>
          <x:t xml:space="preserve">MissionReturnOperator.lean</x:t>
        </x:is>
      </x:c>
      <x:c r="D157" t="inlineStr">
        <x:is>
          <x:t xml:space="preserve">resurrection_returns_to_infinite_resolution</x:t>
        </x:is>
      </x:c>
      <x:c r="E157" t="inlineStr">
        <x:is>
          <x:t xml:space="preserve">Resurrection = resolution returns to infinite</x:t>
        </x:is>
      </x:c>
      <x:c r="F157" t="inlineStr">
        <x:is>
          <x:t xml:space="preserve">rfl</x:t>
        </x:is>
      </x:c>
      <x:c r="G157" t="inlineStr">
        <x:is>
          <x:t xml:space="preserve">PROVED</x:t>
        </x:is>
      </x:c>
      <x:c r="H157" t="inlineStr">
        <x:is>
          <x:t xml:space="preserve">L6-Q5, P4.7</x:t>
        </x:is>
      </x:c>
    </x:row>
    <x:row r="158">
      <x:c r="A158" t="n">
        <x:v>158</x:v>
      </x:c>
      <x:c r="B158" t="inlineStr">
        <x:is>
          <x:t xml:space="preserve">13 — Mission</x:t>
        </x:is>
      </x:c>
      <x:c r="C158" t="inlineStr">
        <x:is>
          <x:t xml:space="preserve">MissionReturnOperator.lean</x:t>
        </x:is>
      </x:c>
      <x:c r="D158" t="inlineStr">
        <x:is>
          <x:t xml:space="preserve">cross_has_entropy_and_death_contact</x:t>
        </x:is>
      </x:c>
      <x:c r="E158" t="inlineStr">
        <x:is>
          <x:t xml:space="preserve">Cross records entropy contact AND death contact</x:t>
        </x:is>
      </x:c>
      <x:c r="F158" t="inlineStr">
        <x:is>
          <x:t xml:space="preserve">rfl</x:t>
        </x:is>
      </x:c>
      <x:c r="G158" t="inlineStr">
        <x:is>
          <x:t xml:space="preserve">PROVED</x:t>
        </x:is>
      </x:c>
      <x:c r="H158" t="inlineStr">
        <x:is>
          <x:t xml:space="preserve">L6-Q5, P4.4</x:t>
        </x:is>
      </x:c>
    </x:row>
    <x:row r="159">
      <x:c r="A159" t="inlineStr">
        <x:is>
          <x:t xml:space="preserve">159–160</x:t>
        </x:is>
      </x:c>
      <x:c r="B159" t="inlineStr">
        <x:is>
          <x:t xml:space="preserve">13 — Mission</x:t>
        </x:is>
      </x:c>
      <x:c r="C159" t="inlineStr">
        <x:is>
          <x:t xml:space="preserve">MissionReturnOperator.lean</x:t>
        </x:is>
      </x:c>
      <x:c r="D159" t="inlineStr">
        <x:is>
          <x:t xml:space="preserve">resurrection_carries_entropy/death_contact_record</x:t>
        </x:is>
      </x:c>
      <x:c r="E159" t="inlineStr">
        <x:is>
          <x:t xml:space="preserve">Resurrection preserves entropy AND death contact records</x:t>
        </x:is>
      </x:c>
      <x:c r="F159" t="inlineStr">
        <x:is>
          <x:t xml:space="preserve">rfl</x:t>
        </x:is>
      </x:c>
      <x:c r="G159" t="inlineStr">
        <x:is>
          <x:t xml:space="preserve">PROVED</x:t>
        </x:is>
      </x:c>
      <x:c r="H159" t="inlineStr">
        <x:is>
          <x:t xml:space="preserve">L6-Q5, P4.7</x:t>
        </x:is>
      </x:c>
    </x:row>
    <x:row r="160">
      <x:c r="A160" t="n">
        <x:v>161</x:v>
      </x:c>
      <x:c r="B160" t="inlineStr">
        <x:is>
          <x:t xml:space="preserve">13 — Mission</x:t>
        </x:is>
      </x:c>
      <x:c r="C160" t="inlineStr">
        <x:is>
          <x:t xml:space="preserve">MissionReturnOperator.lean</x:t>
        </x:is>
      </x:c>
      <x:c r="D160" t="inlineStr">
        <x:is>
          <x:t xml:space="preserve">resurrection_is_not_identical_to_preincarnate_visible_record</x:t>
        </x:is>
      </x:c>
      <x:c r="E160" t="inlineStr">
        <x:is>
          <x:t xml:space="preserve">REJECTION: Post-resurrection ≠ pre-incarnate. It is RICHER — not a reset.</x:t>
        </x:is>
      </x:c>
      <x:c r="F160" t="inlineStr">
        <x:is>
          <x:t xml:space="preserve">decide</x:t>
        </x:is>
      </x:c>
      <x:c r="G160" t="inlineStr">
        <x:is>
          <x:t xml:space="preserve">REJECTION</x:t>
        </x:is>
      </x:c>
      <x:c r="H160" t="inlineStr">
        <x:is>
          <x:t xml:space="preserve">P4.7</x:t>
        </x:is>
      </x:c>
    </x:row>
    <x:row r="161">
      <x:c r="A161" t="n">
        <x:v>162</x:v>
      </x:c>
      <x:c r="B161" t="inlineStr">
        <x:is>
          <x:t xml:space="preserve">13 — Mission</x:t>
        </x:is>
      </x:c>
      <x:c r="C161" t="inlineStr">
        <x:is>
          <x:t xml:space="preserve">MissionReturnOperator.lean</x:t>
        </x:is>
      </x:c>
      <x:c r="D161" t="inlineStr">
        <x:is>
          <x:t xml:space="preserve">resurrection_same_substrate_richer_expression</x:t>
        </x:is>
      </x:c>
      <x:c r="E161" t="inlineStr">
        <x:is>
          <x:t xml:space="preserve">Same substrate + finite record carried = richer than before</x:t>
        </x:is>
      </x:c>
      <x:c r="F161" t="inlineStr">
        <x:is>
          <x:t xml:space="preserve">decide</x:t>
        </x:is>
      </x:c>
      <x:c r="G161" t="inlineStr">
        <x:is>
          <x:t xml:space="preserve">PROVED</x:t>
        </x:is>
      </x:c>
      <x:c r="H161" t="inlineStr">
        <x:is>
          <x:t xml:space="preserve">P4.7</x:t>
        </x:is>
      </x:c>
    </x:row>
    <x:row r="162">
      <x:c r="A162" t="inlineStr">
        <x:is>
          <x:t xml:space="preserve">163–164</x:t>
        </x:is>
      </x:c>
      <x:c r="B162" t="inlineStr">
        <x:is>
          <x:t xml:space="preserve">13 — Mission</x:t>
        </x:is>
      </x:c>
      <x:c r="C162" t="inlineStr">
        <x:is>
          <x:t xml:space="preserve">MissionReturnOperator.lean</x:t>
        </x:is>
      </x:c>
      <x:c r="D162" t="inlineStr">
        <x:is>
          <x:t xml:space="preserve">mission_COp_restores/preserves</x:t>
        </x:is>
      </x:c>
      <x:c r="E162" t="inlineStr">
        <x:is>
          <x:t xml:space="preserve">Combined mission+C_op restores negative burden AND preserves source history</x:t>
        </x:is>
      </x:c>
      <x:c r="F162" t="inlineStr">
        <x:is>
          <x:t xml:space="preserve">simp</x:t>
        </x:is>
      </x:c>
      <x:c r="G162" t="inlineStr">
        <x:is>
          <x:t xml:space="preserve">PROVED</x:t>
        </x:is>
      </x:c>
      <x:c r="H162" t="inlineStr">
        <x:is>
          <x:t xml:space="preserve">L6-Q4, L6-P4</x:t>
        </x:is>
      </x:c>
    </x:row>
    <x:row r="163">
      <x:c r="A163" t="n">
        <x:v>165</x:v>
      </x:c>
      <x:c r="B163" t="inlineStr">
        <x:is>
          <x:t xml:space="preserve">13 — Mission</x:t>
        </x:is>
      </x:c>
      <x:c r="C163" t="inlineStr">
        <x:is>
          <x:t xml:space="preserve">MissionReturnOperator.lean</x:t>
        </x:is>
      </x:c>
      <x:c r="D163" t="inlineStr">
        <x:is>
          <x:t xml:space="preserve">mission_COp_is_not_repair_only</x:t>
        </x:is>
      </x:c>
      <x:c r="E163" t="inlineStr">
        <x:is>
          <x:t xml:space="preserve">REJECTION: Phase = resurrection + source preserved. This is mission return, NOT repair-only.</x:t>
        </x:is>
      </x:c>
      <x:c r="F163" t="inlineStr">
        <x:is>
          <x:t xml:space="preserve">decide</x:t>
        </x:is>
      </x:c>
      <x:c r="G163" t="inlineStr">
        <x:is>
          <x:t xml:space="preserve">REJECTION</x:t>
        </x:is>
      </x:c>
      <x:c r="H163" t="inlineStr">
        <x:is>
          <x:t xml:space="preserve">P4.7</x:t>
        </x:is>
      </x:c>
    </x:row>
    <x:row r="164">
      <x:c r="A164" t="inlineStr">
        <x:is>
          <x:t xml:space="preserve">LAYER 14</x:t>
        </x:is>
      </x:c>
      <x:c r="B164" t="inlineStr">
        <x:is>
          <x:t xml:space="preserve">MEMORY PERSISTENCE DISCIPLINE</x:t>
        </x:is>
      </x:c>
      <x:c r="C164" t="inlineStr">
        <x:is>
          <x:t xml:space="preserve">MemoryPersistenceDiscipline.lean (imports Polarity)</x:t>
        </x:is>
      </x:c>
      <x:c r="E164" t="inlineStr">
        <x:is>
          <x:t xml:space="preserve">Three-layer memory: record, compilation, persistence. Reorientation during life restores retention. Heaven = coherent+eternal.</x:t>
        </x:is>
      </x:c>
    </x:row>
    <x:row r="165">
      <x:c r="A165" t="n">
        <x:v>166</x:v>
      </x:c>
      <x:c r="B165" t="inlineStr">
        <x:is>
          <x:t xml:space="preserve">14 — Memory</x:t>
        </x:is>
      </x:c>
      <x:c r="C165" t="inlineStr">
        <x:is>
          <x:t xml:space="preserve">MemoryPersistenceDiscipline.lean</x:t>
        </x:is>
      </x:c>
      <x:c r="D165" t="inlineStr">
        <x:is>
          <x:t xml:space="preserve">christ_coherent_memory_retained</x:t>
        </x:is>
      </x:c>
      <x:c r="E165" t="inlineStr">
        <x:is>
          <x:t xml:space="preserve">Recorded + Christ-coherent → retention bit = 1</x:t>
        </x:is>
      </x:c>
      <x:c r="F165" t="inlineStr">
        <x:is>
          <x:t xml:space="preserve">simp</x:t>
        </x:is>
      </x:c>
      <x:c r="G165" t="inlineStr">
        <x:is>
          <x:t xml:space="preserve">PROVED</x:t>
        </x:is>
      </x:c>
      <x:c r="H165" t="inlineStr">
        <x:is>
          <x:t xml:space="preserve">L6-P4</x:t>
        </x:is>
      </x:c>
    </x:row>
    <x:row r="166">
      <x:c r="A166" t="n">
        <x:v>167</x:v>
      </x:c>
      <x:c r="B166" t="inlineStr">
        <x:is>
          <x:t xml:space="preserve">14 — Memory</x:t>
        </x:is>
      </x:c>
      <x:c r="C166" t="inlineStr">
        <x:is>
          <x:t xml:space="preserve">MemoryPersistenceDiscipline.lean</x:t>
        </x:is>
      </x:c>
      <x:c r="D166" t="inlineStr">
        <x:is>
          <x:t xml:space="preserve">incoherent_recorded_memory_not_retained</x:t>
        </x:is>
      </x:c>
      <x:c r="E166" t="inlineStr">
        <x:is>
          <x:t xml:space="preserve">REJECTION: Recorded but incoherent → retention bit = 0. Record alone is insufficient.</x:t>
        </x:is>
      </x:c>
      <x:c r="F166" t="inlineStr">
        <x:is>
          <x:t xml:space="preserve">simp</x:t>
        </x:is>
      </x:c>
      <x:c r="G166" t="inlineStr">
        <x:is>
          <x:t xml:space="preserve">REJECTION</x:t>
        </x:is>
      </x:c>
      <x:c r="H166" t="inlineStr">
        <x:is>
          <x:t xml:space="preserve">L6-P4</x:t>
        </x:is>
      </x:c>
    </x:row>
    <x:row r="167">
      <x:c r="A167" t="inlineStr">
        <x:is>
          <x:t xml:space="preserve">168–169</x:t>
        </x:is>
      </x:c>
      <x:c r="B167" t="inlineStr">
        <x:is>
          <x:t xml:space="preserve">14 — Memory</x:t>
        </x:is>
      </x:c>
      <x:c r="C167" t="inlineStr">
        <x:is>
          <x:t xml:space="preserve">MemoryPersistenceDiscipline.lean</x:t>
        </x:is>
      </x:c>
      <x:c r="D167" t="inlineStr">
        <x:is>
          <x:t xml:space="preserve">unrecorded/incoherent_forces_no_retention</x:t>
        </x:is>
      </x:c>
      <x:c r="E167" t="inlineStr">
        <x:is>
          <x:t xml:space="preserve">REJECTION: ∀ m, unrecorded → retention = 0. ∀ m, incoherent → retention = 0.</x:t>
        </x:is>
      </x:c>
      <x:c r="F167" t="inlineStr">
        <x:is>
          <x:t xml:space="preserve">simp</x:t>
        </x:is>
      </x:c>
      <x:c r="G167" t="inlineStr">
        <x:is>
          <x:t xml:space="preserve">REJECTION</x:t>
        </x:is>
      </x:c>
      <x:c r="H167" t="inlineStr">
        <x:is>
          <x:t xml:space="preserve">L6-P4</x:t>
        </x:is>
      </x:c>
    </x:row>
    <x:row r="168">
      <x:c r="A168" t="n">
        <x:v>170</x:v>
      </x:c>
      <x:c r="B168" t="inlineStr">
        <x:is>
          <x:t xml:space="preserve">14 — Memory</x:t>
        </x:is>
      </x:c>
      <x:c r="C168" t="inlineStr">
        <x:is>
          <x:t xml:space="preserve">MemoryPersistenceDiscipline.lean</x:t>
        </x:is>
      </x:c>
      <x:c r="D168" t="inlineStr">
        <x:is>
          <x:t xml:space="preserve">recorded_and_christ_coherent_forces_retention</x:t>
        </x:is>
      </x:c>
      <x:c r="E168" t="inlineStr">
        <x:is>
          <x:t xml:space="preserve">∀ m, recorded ∧ coherent → retention = 1</x:t>
        </x:is>
      </x:c>
      <x:c r="F168" t="inlineStr">
        <x:is>
          <x:t xml:space="preserve">simp</x:t>
        </x:is>
      </x:c>
      <x:c r="G168" t="inlineStr">
        <x:is>
          <x:t xml:space="preserve">PROVED</x:t>
        </x:is>
      </x:c>
      <x:c r="H168" t="inlineStr">
        <x:is>
          <x:t xml:space="preserve">L6-P4</x:t>
        </x:is>
      </x:c>
    </x:row>
    <x:row r="169">
      <x:c r="A169" t="n">
        <x:v>171</x:v>
      </x:c>
      <x:c r="B169" t="inlineStr">
        <x:is>
          <x:t xml:space="preserve">14 — Memory</x:t>
        </x:is>
      </x:c>
      <x:c r="C169" t="inlineStr">
        <x:is>
          <x:t xml:space="preserve">MemoryPersistenceDiscipline.lean</x:t>
        </x:is>
      </x:c>
      <x:c r="D169" t="inlineStr">
        <x:is>
          <x:t xml:space="preserve">incoherent_recorded_memory_fails_only_final_retention</x:t>
        </x:is>
      </x:c>
      <x:c r="E169" t="inlineStr">
        <x:is>
          <x:t xml:space="preserve">Accessible during life but filtered at death. Living memory ≠ final identity.</x:t>
        </x:is>
      </x:c>
      <x:c r="F169" t="inlineStr">
        <x:is>
          <x:t xml:space="preserve">decide</x:t>
        </x:is>
      </x:c>
      <x:c r="G169" t="inlineStr">
        <x:is>
          <x:t xml:space="preserve">PROVED</x:t>
        </x:is>
      </x:c>
      <x:c r="H169" t="inlineStr">
        <x:is>
          <x:t xml:space="preserve">L6-P4</x:t>
        </x:is>
      </x:c>
    </x:row>
    <x:row r="170">
      <x:c r="A170" t="n">
        <x:v>172</x:v>
      </x:c>
      <x:c r="B170" t="inlineStr">
        <x:is>
          <x:t xml:space="preserve">14 — Memory</x:t>
        </x:is>
      </x:c>
      <x:c r="C170" t="inlineStr">
        <x:is>
          <x:t xml:space="preserve">MemoryPersistenceDiscipline.lean</x:t>
        </x:is>
      </x:c>
      <x:c r="D170" t="inlineStr">
        <x:is>
          <x:t xml:space="preserve">living_memory_is_not_final_identity_memory</x:t>
        </x:is>
      </x:c>
      <x:c r="E170" t="inlineStr">
        <x:is>
          <x:t xml:space="preserve">REJECTION: Life memory ≠ final identity memory. What you carry ≠ who you become.</x:t>
        </x:is>
      </x:c>
      <x:c r="F170" t="inlineStr">
        <x:is>
          <x:t xml:space="preserve">decide</x:t>
        </x:is>
      </x:c>
      <x:c r="G170" t="inlineStr">
        <x:is>
          <x:t xml:space="preserve">REJECTION</x:t>
        </x:is>
      </x:c>
      <x:c r="H170" t="inlineStr">
        <x:is>
          <x:t xml:space="preserve">L6-P4</x:t>
        </x:is>
      </x:c>
    </x:row>
    <x:row r="171">
      <x:c r="A171" t="n">
        <x:v>173</x:v>
      </x:c>
      <x:c r="B171" t="inlineStr">
        <x:is>
          <x:t xml:space="preserve">14 — Memory</x:t>
        </x:is>
      </x:c>
      <x:c r="C171" t="inlineStr">
        <x:is>
          <x:t xml:space="preserve">MemoryPersistenceDiscipline.lean</x:t>
        </x:is>
      </x:c>
      <x:c r="D171" t="inlineStr">
        <x:is>
          <x:t xml:space="preserve">reoriented_incoherent_memory_becomes_retained</x:t>
        </x:is>
      </x:c>
      <x:c r="E171" t="inlineStr">
        <x:is>
          <x:t xml:space="preserve">Reorientation to Christ → retention restored. Conversion works.</x:t>
        </x:is>
      </x:c>
      <x:c r="F171" t="inlineStr">
        <x:is>
          <x:t xml:space="preserve">simp</x:t>
        </x:is>
      </x:c>
      <x:c r="G171" t="inlineStr">
        <x:is>
          <x:t xml:space="preserve">PROVED</x:t>
        </x:is>
      </x:c>
      <x:c r="H171" t="inlineStr">
        <x:is>
          <x:t xml:space="preserve">L6-Q4</x:t>
        </x:is>
      </x:c>
    </x:row>
    <x:row r="172">
      <x:c r="A172" t="inlineStr">
        <x:is>
          <x:t xml:space="preserve">174–176</x:t>
        </x:is>
      </x:c>
      <x:c r="B172" t="inlineStr">
        <x:is>
          <x:t xml:space="preserve">14 — Memory</x:t>
        </x:is>
      </x:c>
      <x:c r="C172" t="inlineStr">
        <x:is>
          <x:t xml:space="preserve">MemoryPersistenceDiscipline.lean</x:t>
        </x:is>
      </x:c>
      <x:c r="D172" t="inlineStr">
        <x:is>
          <x:t xml:space="preserve">final_identity conditions (3 theorems)</x:t>
        </x:is>
      </x:c>
      <x:c r="E172" t="inlineStr">
        <x:is>
          <x:t xml:space="preserve">Coherent + integrated = final identity. Discoherent = no final identity. Coherent but not integrated = no final identity.</x:t>
        </x:is>
      </x:c>
      <x:c r="F172" t="inlineStr">
        <x:is>
          <x:t xml:space="preserve">simp/decide</x:t>
        </x:is>
      </x:c>
      <x:c r="G172" t="inlineStr">
        <x:is>
          <x:t xml:space="preserve">PROVED</x:t>
        </x:is>
      </x:c>
      <x:c r="H172" t="inlineStr">
        <x:is>
          <x:t xml:space="preserve">L6-P4</x:t>
        </x:is>
      </x:c>
    </x:row>
    <x:row r="173">
      <x:c r="A173" t="n">
        <x:v>177</x:v>
      </x:c>
      <x:c r="B173" t="inlineStr">
        <x:is>
          <x:t xml:space="preserve">14 — Memory</x:t>
        </x:is>
      </x:c>
      <x:c r="C173" t="inlineStr">
        <x:is>
          <x:t xml:space="preserve">MemoryPersistenceDiscipline.lean</x:t>
        </x:is>
      </x:c>
      <x:c r="D173" t="inlineStr">
        <x:is>
          <x:t xml:space="preserve">heaven_is_coherent_and_eternal</x:t>
        </x:is>
      </x:c>
      <x:c r="E173" t="inlineStr">
        <x:is>
          <x:t xml:space="preserve">Heaven = coherent + eternal domain. Unique characterization.</x:t>
        </x:is>
      </x:c>
      <x:c r="F173" t="inlineStr">
        <x:is>
          <x:t xml:space="preserve">rfl</x:t>
        </x:is>
      </x:c>
      <x:c r="G173" t="inlineStr">
        <x:is>
          <x:t xml:space="preserve">PROVED</x:t>
        </x:is>
      </x:c>
      <x:c r="H173" t="inlineStr">
        <x:is>
          <x:t xml:space="preserve">L6-P1</x:t>
        </x:is>
      </x:c>
    </x:row>
    <x:row r="174">
      <x:c r="A174" t="inlineStr">
        <x:is>
          <x:t xml:space="preserve">178–179</x:t>
        </x:is>
      </x:c>
      <x:c r="B174" t="inlineStr">
        <x:is>
          <x:t xml:space="preserve">14 — Memory</x:t>
        </x:is>
      </x:c>
      <x:c r="C174" t="inlineStr">
        <x:is>
          <x:t xml:space="preserve">MemoryPersistenceDiscipline.lean</x:t>
        </x:is>
      </x:c>
      <x:c r="D174" t="inlineStr">
        <x:is>
          <x:t xml:space="preserve">merely_temporal/eternal_insufficient</x:t>
        </x:is>
      </x:c>
      <x:c r="E174" t="inlineStr">
        <x:is>
          <x:t xml:space="preserve">REJECTION: Temporal coherence insufficient. Eternal instability insufficient. Both needed.</x:t>
        </x:is>
      </x:c>
      <x:c r="F174" t="inlineStr">
        <x:is>
          <x:t xml:space="preserve">decide</x:t>
        </x:is>
      </x:c>
      <x:c r="G174" t="inlineStr">
        <x:is>
          <x:t xml:space="preserve">REJECTION</x:t>
        </x:is>
      </x:c>
      <x:c r="H174" t="inlineStr">
        <x:is>
          <x:t xml:space="preserve">L6-P1</x:t>
        </x:is>
      </x:c>
    </x:row>
    <x:row r="175">
      <x:c r="A175" t="n">
        <x:v>180</x:v>
      </x:c>
      <x:c r="B175" t="inlineStr">
        <x:is>
          <x:t xml:space="preserve">14 — Memory</x:t>
        </x:is>
      </x:c>
      <x:c r="C175" t="inlineStr">
        <x:is>
          <x:t xml:space="preserve">MemoryPersistenceDiscipline.lean</x:t>
        </x:is>
      </x:c>
      <x:c r="D175" t="inlineStr">
        <x:is>
          <x:t xml:space="preserve">direct_discoherent_christ_entry_into_heaven_fails</x:t>
        </x:is>
      </x:c>
      <x:c r="E175" t="inlineStr">
        <x:is>
          <x:t xml:space="preserve">REJECTION: Discoherent memory cannot directly enter heaven</x:t>
        </x:is>
      </x:c>
      <x:c r="F175" t="inlineStr">
        <x:is>
          <x:t xml:space="preserve">decide</x:t>
        </x:is>
      </x:c>
      <x:c r="G175" t="inlineStr">
        <x:is>
          <x:t xml:space="preserve">REJECTION</x:t>
        </x:is>
      </x:c>
      <x:c r="H175" t="inlineStr">
        <x:is>
          <x:t xml:space="preserve">L6-P4</x:t>
        </x:is>
      </x:c>
    </x:row>
    <x:row r="176">
      <x:c r="A176" t="n">
        <x:v>181</x:v>
      </x:c>
      <x:c r="B176" t="inlineStr">
        <x:is>
          <x:t xml:space="preserve">14 — Memory</x:t>
        </x:is>
      </x:c>
      <x:c r="C176" t="inlineStr">
        <x:is>
          <x:t xml:space="preserve">MemoryPersistenceDiscipline.lean</x:t>
        </x:is>
      </x:c>
      <x:c r="D176" t="inlineStr">
        <x:is>
          <x:t xml:space="preserve">transformed_discoherent_christ_entry_into_heaven_passes</x:t>
        </x:is>
      </x:c>
      <x:c r="E176" t="inlineStr">
        <x:is>
          <x:t xml:space="preserve">Reintegrated memory CAN enter heaven. Conversion opens the gate.</x:t>
        </x:is>
      </x:c>
      <x:c r="F176" t="inlineStr">
        <x:is>
          <x:t xml:space="preserve">decide</x:t>
        </x:is>
      </x:c>
      <x:c r="G176" t="inlineStr">
        <x:is>
          <x:t xml:space="preserve">PROVED</x:t>
        </x:is>
      </x:c>
      <x:c r="H176" t="inlineStr">
        <x:is>
          <x:t xml:space="preserve">L6-Q4</x:t>
        </x:is>
      </x:c>
    </x:row>
    <x:row r="177">
      <x:c r="A177" t="n">
        <x:v>182</x:v>
      </x:c>
      <x:c r="B177" t="inlineStr">
        <x:is>
          <x:t xml:space="preserve">14 — Memory</x:t>
        </x:is>
      </x:c>
      <x:c r="C177" t="inlineStr">
        <x:is>
          <x:t xml:space="preserve">MemoryPersistenceDiscipline.lean</x:t>
        </x:is>
      </x:c>
      <x:c r="D177" t="inlineStr">
        <x:is>
          <x:t xml:space="preserve">transformed_unrecorded_discoherent_entry_still_fails</x:t>
        </x:is>
      </x:c>
      <x:c r="E177" t="inlineStr">
        <x:is>
          <x:t xml:space="preserve">REJECTION: But unrecorded events cannot be rescued. You cannot convert what was never recorded.</x:t>
        </x:is>
      </x:c>
      <x:c r="F177" t="inlineStr">
        <x:is>
          <x:t xml:space="preserve">decide</x:t>
        </x:is>
      </x:c>
      <x:c r="G177" t="inlineStr">
        <x:is>
          <x:t xml:space="preserve">REJECTION</x:t>
        </x:is>
      </x:c>
      <x:c r="H177" t="inlineStr">
        <x:is>
          <x:t xml:space="preserve">L6-P4</x:t>
        </x:is>
      </x:c>
    </x:row>
    <x:row r="178">
      <x:c r="A178" t="n">
        <x:v>183</x:v>
      </x:c>
      <x:c r="B178" t="inlineStr">
        <x:is>
          <x:t xml:space="preserve">14 — Memory</x:t>
        </x:is>
      </x:c>
      <x:c r="C178" t="inlineStr">
        <x:is>
          <x:t xml:space="preserve">MemoryPersistenceDiscipline.lean</x:t>
        </x:is>
      </x:c>
      <x:c r="D178" t="inlineStr">
        <x:is>
          <x:t xml:space="preserve">valid_giving_life_to_christ</x:t>
        </x:is>
      </x:c>
      <x:c r="E178" t="inlineStr">
        <x:is>
          <x:t xml:space="preserve">Surrender + external grace = valid conversion</x:t>
        </x:is>
      </x:c>
      <x:c r="F178" t="inlineStr">
        <x:is>
          <x:t xml:space="preserve">simp</x:t>
        </x:is>
      </x:c>
      <x:c r="G178" t="inlineStr">
        <x:is>
          <x:t xml:space="preserve">PROVED</x:t>
        </x:is>
      </x:c>
      <x:c r="H178" t="inlineStr">
        <x:is>
          <x:t xml:space="preserve">L6-Q4, L6-P3</x:t>
        </x:is>
      </x:c>
    </x:row>
    <x:row r="179">
      <x:c r="A179" t="n">
        <x:v>184</x:v>
      </x:c>
      <x:c r="B179" t="inlineStr">
        <x:is>
          <x:t xml:space="preserve">14 — Memory</x:t>
        </x:is>
      </x:c>
      <x:c r="C179" t="inlineStr">
        <x:is>
          <x:t xml:space="preserve">MemoryPersistenceDiscipline.lean</x:t>
        </x:is>
      </x:c>
      <x:c r="D179" t="inlineStr">
        <x:is>
          <x:t xml:space="preserve">resisting_without_grace_not_valid_conversion</x:t>
        </x:is>
      </x:c>
      <x:c r="E179" t="inlineStr">
        <x:is>
          <x:t xml:space="preserve">REJECTION: Resisting without grace = invalid. Will alone is not enough.</x:t>
        </x:is>
      </x:c>
      <x:c r="F179" t="inlineStr">
        <x:is>
          <x:t xml:space="preserve">decide</x:t>
        </x:is>
      </x:c>
      <x:c r="G179" t="inlineStr">
        <x:is>
          <x:t xml:space="preserve">REJECTION</x:t>
        </x:is>
      </x:c>
      <x:c r="H179" t="inlineStr">
        <x:is>
          <x:t xml:space="preserve">L6-R1</x:t>
        </x:is>
      </x:c>
    </x:row>
    <x:row r="180">
      <x:c r="A180" t="inlineStr">
        <x:is>
          <x:t xml:space="preserve">185–186</x:t>
        </x:is>
      </x:c>
      <x:c r="B180" t="inlineStr">
        <x:is>
          <x:t xml:space="preserve">14 — Memory</x:t>
        </x:is>
      </x:c>
      <x:c r="C180" t="inlineStr">
        <x:is>
          <x:t xml:space="preserve">MemoryPersistenceDiscipline.lean</x:t>
        </x:is>
      </x:c>
      <x:c r="D180" t="inlineStr">
        <x:is>
          <x:t xml:space="preserve">accountable_conversion + record_preservation</x:t>
        </x:is>
      </x:c>
      <x:c r="E180" t="inlineStr">
        <x:is>
          <x:t xml:space="preserve">Conversion: negative → final identity. Record persists through conversion.</x:t>
        </x:is>
      </x:c>
      <x:c r="F180" t="inlineStr">
        <x:is>
          <x:t xml:space="preserve">simp</x:t>
        </x:is>
      </x:c>
      <x:c r="G180" t="inlineStr">
        <x:is>
          <x:t xml:space="preserve">PROVED</x:t>
        </x:is>
      </x:c>
      <x:c r="H180" t="inlineStr">
        <x:is>
          <x:t xml:space="preserve">L6-Q4, L6-P4</x:t>
        </x:is>
      </x:c>
    </x:row>
    <x:row r="181">
      <x:c r="A181" t="n">
        <x:v>187</x:v>
      </x:c>
      <x:c r="B181" t="inlineStr">
        <x:is>
          <x:t xml:space="preserve">14 — Memory</x:t>
        </x:is>
      </x:c>
      <x:c r="C181" t="inlineStr">
        <x:is>
          <x:t xml:space="preserve">MemoryPersistenceDiscipline.lean</x:t>
        </x:is>
      </x:c>
      <x:c r="D181" t="inlineStr">
        <x:is>
          <x:t xml:space="preserve">unrecorded_negative_conversion_still_has_no_identity_trace</x:t>
        </x:is>
      </x:c>
      <x:c r="E181" t="inlineStr">
        <x:is>
          <x:t xml:space="preserve">REJECTION: Cannot create record from nothing. Grace restores, but doesn't fabricate.</x:t>
        </x:is>
      </x:c>
      <x:c r="F181" t="inlineStr">
        <x:is>
          <x:t xml:space="preserve">decide</x:t>
        </x:is>
      </x:c>
      <x:c r="G181" t="inlineStr">
        <x:is>
          <x:t xml:space="preserve">REJECTION</x:t>
        </x:is>
      </x:c>
      <x:c r="H181" t="inlineStr">
        <x:is>
          <x:t xml:space="preserve">L6-P4</x:t>
        </x:is>
      </x:c>
    </x:row>
    <x:row r="182">
      <x:c r="A182" t="inlineStr">
        <x:is>
          <x:t xml:space="preserve">LAYER 15</x:t>
        </x:is>
      </x:c>
      <x:c r="B182" t="inlineStr">
        <x:is>
          <x:t xml:space="preserve">DEPENDENCY LATTICE</x:t>
        </x:is>
      </x:c>
      <x:c r="C182" t="inlineStr">
        <x:is>
          <x:t xml:space="preserve">DependencyLattice.lean (standalone)</x:t>
        </x:is>
      </x:c>
      <x:c r="E182" t="inlineStr">
        <x:is>
          <x:t xml:space="preserve">Three lattices (theology 21 nodes, physics 32 nodes, ordo 6 nodes). Wrong orderings rejected. Cross-domain witnesses.</x:t>
        </x:is>
      </x:c>
    </x:row>
    <x:row r="183">
      <x:c r="A183" t="n">
        <x:v>188</x:v>
      </x:c>
      <x:c r="B183" t="inlineStr">
        <x:is>
          <x:t xml:space="preserve">15 — Lattice</x:t>
        </x:is>
      </x:c>
      <x:c r="C183" t="inlineStr">
        <x:is>
          <x:t xml:space="preserve">DependencyLattice.lean</x:t>
        </x:is>
      </x:c>
      <x:c r="D183" t="inlineStr">
        <x:is>
          <x:t xml:space="preserve">fall_has_parallel_death_and_judgment</x:t>
        </x:is>
      </x:c>
      <x:c r="E183" t="inlineStr">
        <x:is>
          <x:t xml:space="preserve">Death and judgment are parallel consequences of the Fall</x:t>
        </x:is>
      </x:c>
      <x:c r="F183" t="inlineStr">
        <x:is>
          <x:t xml:space="preserve">constructor</x:t>
        </x:is>
      </x:c>
      <x:c r="G183" t="inlineStr">
        <x:is>
          <x:t xml:space="preserve">PROVED</x:t>
        </x:is>
      </x:c>
      <x:c r="H183" t="inlineStr">
        <x:is>
          <x:t xml:space="preserve">LAT-01</x:t>
        </x:is>
      </x:c>
    </x:row>
    <x:row r="184">
      <x:c r="A184" t="n">
        <x:v>189</x:v>
      </x:c>
      <x:c r="B184" t="inlineStr">
        <x:is>
          <x:t xml:space="preserve">15 — Lattice</x:t>
        </x:is>
      </x:c>
      <x:c r="C184" t="inlineStr">
        <x:is>
          <x:t xml:space="preserve">DependencyLattice.lean</x:t>
        </x:is>
      </x:c>
      <x:c r="D184" t="inlineStr">
        <x:is>
          <x:t xml:space="preserve">fall_has_parallel_promise_not_death_then_promise</x:t>
        </x:is>
      </x:c>
      <x:c r="E184" t="inlineStr">
        <x:is>
          <x:t xml:space="preserve">REJECTION: Promise is parallel from Fall, NOT sequential from Death</x:t>
        </x:is>
      </x:c>
      <x:c r="F184" t="inlineStr">
        <x:is>
          <x:t xml:space="preserve">constructor</x:t>
        </x:is>
      </x:c>
      <x:c r="G184" t="inlineStr">
        <x:is>
          <x:t xml:space="preserve">REJECTION</x:t>
        </x:is>
      </x:c>
      <x:c r="H184" t="inlineStr">
        <x:is>
          <x:t xml:space="preserve">LAT-02</x:t>
        </x:is>
      </x:c>
    </x:row>
    <x:row r="185">
      <x:c r="A185" t="n">
        <x:v>190</x:v>
      </x:c>
      <x:c r="B185" t="inlineStr">
        <x:is>
          <x:t xml:space="preserve">15 — Lattice</x:t>
        </x:is>
      </x:c>
      <x:c r="C185" t="inlineStr">
        <x:is>
          <x:t xml:space="preserve">DependencyLattice.lean</x:t>
        </x:is>
      </x:c>
      <x:c r="D185" t="inlineStr">
        <x:is>
          <x:t xml:space="preserve">no_death_strictly_before_judgment</x:t>
        </x:is>
      </x:c>
      <x:c r="E185" t="inlineStr">
        <x:is>
          <x:t xml:space="preserve">REJECTION: Death is NOT a prerequisite for judgment</x:t>
        </x:is>
      </x:c>
      <x:c r="F185" t="inlineStr">
        <x:is>
          <x:t xml:space="preserve">cases</x:t>
        </x:is>
      </x:c>
      <x:c r="G185" t="inlineStr">
        <x:is>
          <x:t xml:space="preserve">REJECTION</x:t>
        </x:is>
      </x:c>
      <x:c r="H185" t="inlineStr">
        <x:is>
          <x:t xml:space="preserve">LAT-01</x:t>
        </x:is>
      </x:c>
    </x:row>
    <x:row r="186">
      <x:c r="A186" t="n">
        <x:v>191</x:v>
      </x:c>
      <x:c r="B186" t="inlineStr">
        <x:is>
          <x:t xml:space="preserve">15 — Lattice</x:t>
        </x:is>
      </x:c>
      <x:c r="C186" t="inlineStr">
        <x:is>
          <x:t xml:space="preserve">DependencyLattice.lean</x:t>
        </x:is>
      </x:c>
      <x:c r="D186" t="inlineStr">
        <x:is>
          <x:t xml:space="preserve">fall_as_covenant_rupture_requires_image_and_covenant</x:t>
        </x:is>
      </x:c>
      <x:c r="E186" t="inlineStr">
        <x:is>
          <x:t xml:space="preserve">Fall requires BOTH Image and Covenant (multi-parent). Cannot fall from a covenant you never had.</x:t>
        </x:is>
      </x:c>
      <x:c r="F186" t="inlineStr">
        <x:is>
          <x:t xml:space="preserve">constructor</x:t>
        </x:is>
      </x:c>
      <x:c r="G186" t="inlineStr">
        <x:is>
          <x:t xml:space="preserve">PROVED</x:t>
        </x:is>
      </x:c>
      <x:c r="H186" t="inlineStr">
        <x:is>
          <x:t xml:space="preserve">LAT-03</x:t>
        </x:is>
      </x:c>
    </x:row>
    <x:row r="187">
      <x:c r="A187" t="n">
        <x:v>192</x:v>
      </x:c>
      <x:c r="B187" t="inlineStr">
        <x:is>
          <x:t xml:space="preserve">15 — Lattice</x:t>
        </x:is>
      </x:c>
      <x:c r="C187" t="inlineStr">
        <x:is>
          <x:t xml:space="preserve">DependencyLattice.lean</x:t>
        </x:is>
      </x:c>
      <x:c r="D187" t="inlineStr">
        <x:is>
          <x:t xml:space="preserve">energy_and_momentum_are_noether_siblings</x:t>
        </x:is>
      </x:c>
      <x:c r="E187" t="inlineStr">
        <x:is>
          <x:t xml:space="preserve">Energy and momentum are parallel from symmetry (Noether). Neither parents the other.</x:t>
        </x:is>
      </x:c>
      <x:c r="F187" t="inlineStr">
        <x:is>
          <x:t xml:space="preserve">constructor</x:t>
        </x:is>
      </x:c>
      <x:c r="G187" t="inlineStr">
        <x:is>
          <x:t xml:space="preserve">PROVED</x:t>
        </x:is>
      </x:c>
      <x:c r="H187" t="inlineStr">
        <x:is>
          <x:t xml:space="preserve">LAT-04</x:t>
        </x:is>
      </x:c>
    </x:row>
    <x:row r="188">
      <x:c r="A188" t="n">
        <x:v>193</x:v>
      </x:c>
      <x:c r="B188" t="inlineStr">
        <x:is>
          <x:t xml:space="preserve">15 — Lattice</x:t>
        </x:is>
      </x:c>
      <x:c r="C188" t="inlineStr">
        <x:is>
          <x:t xml:space="preserve">DependencyLattice.lean</x:t>
        </x:is>
      </x:c>
      <x:c r="D188" t="inlineStr">
        <x:is>
          <x:t xml:space="preserve">no_energy_parent_of_momentum</x:t>
        </x:is>
      </x:c>
      <x:c r="E188" t="inlineStr">
        <x:is>
          <x:t xml:space="preserve">REJECTION: Energy does NOT parent momentum</x:t>
        </x:is>
      </x:c>
      <x:c r="F188" t="inlineStr">
        <x:is>
          <x:t xml:space="preserve">cases</x:t>
        </x:is>
      </x:c>
      <x:c r="G188" t="inlineStr">
        <x:is>
          <x:t xml:space="preserve">REJECTION</x:t>
        </x:is>
      </x:c>
      <x:c r="H188" t="inlineStr">
        <x:is>
          <x:t xml:space="preserve">LAT-04</x:t>
        </x:is>
      </x:c>
    </x:row>
    <x:row r="189">
      <x:c r="A189" t="n">
        <x:v>194</x:v>
      </x:c>
      <x:c r="B189" t="inlineStr">
        <x:is>
          <x:t xml:space="preserve">15 — Lattice</x:t>
        </x:is>
      </x:c>
      <x:c r="C189" t="inlineStr">
        <x:is>
          <x:t xml:space="preserve">DependencyLattice.lean</x:t>
        </x:is>
      </x:c>
      <x:c r="D189" t="inlineStr">
        <x:is>
          <x:t xml:space="preserve">bound_state_requires_excitation_and_coupling</x:t>
        </x:is>
      </x:c>
      <x:c r="E189" t="inlineStr">
        <x:is>
          <x:t xml:space="preserve">Bound state requires both excitation AND coupling (multi-parent)</x:t>
        </x:is>
      </x:c>
      <x:c r="F189" t="inlineStr">
        <x:is>
          <x:t xml:space="preserve">constructor</x:t>
        </x:is>
      </x:c>
      <x:c r="G189" t="inlineStr">
        <x:is>
          <x:t xml:space="preserve">PROVED</x:t>
        </x:is>
      </x:c>
      <x:c r="H189" t="inlineStr">
        <x:is>
          <x:t xml:space="preserve">LAT-05</x:t>
        </x:is>
      </x:c>
    </x:row>
    <x:row r="190">
      <x:c r="A190" t="inlineStr">
        <x:is>
          <x:t xml:space="preserve">195–197</x:t>
        </x:is>
      </x:c>
      <x:c r="B190" t="inlineStr">
        <x:is>
          <x:t xml:space="preserve">15 — Lattice</x:t>
        </x:is>
      </x:c>
      <x:c r="C190" t="inlineStr">
        <x:is>
          <x:t xml:space="preserve">DependencyLattice.lean</x:t>
        </x:is>
      </x:c>
      <x:c r="D190" t="inlineStr">
        <x:is>
          <x:t xml:space="preserve">union_branches + no_before_union (3 theorems)</x:t>
        </x:is>
      </x:c>
      <x:c r="E190" t="inlineStr">
        <x:is>
          <x:t xml:space="preserve">Union → justification AND sanctification (parallel). REJECTION: Neither before Union.</x:t>
        </x:is>
      </x:c>
      <x:c r="F190" t="inlineStr">
        <x:is>
          <x:t xml:space="preserve">constructor/cases</x:t>
        </x:is>
      </x:c>
      <x:c r="G190" t="inlineStr">
        <x:is>
          <x:t xml:space="preserve">PROVED+REJ</x:t>
        </x:is>
      </x:c>
      <x:c r="H190" t="inlineStr">
        <x:is>
          <x:t xml:space="preserve">LAT-06</x:t>
        </x:is>
      </x:c>
    </x:row>
    <x:row r="191">
      <x:c r="A191" t="n">
        <x:v>198</x:v>
      </x:c>
      <x:c r="B191" t="inlineStr">
        <x:is>
          <x:t xml:space="preserve">15 — Lattice</x:t>
        </x:is>
      </x:c>
      <x:c r="C191" t="inlineStr">
        <x:is>
          <x:t xml:space="preserve">DependencyLattice.lean</x:t>
        </x:is>
      </x:c>
      <x:c r="D191" t="inlineStr">
        <x:is>
          <x:t xml:space="preserve">glorification_requires_both_for_this_lattice</x:t>
        </x:is>
      </x:c>
      <x:c r="E191" t="inlineStr">
        <x:is>
          <x:t xml:space="preserve">Glorification requires both justification and sanctification</x:t>
        </x:is>
      </x:c>
      <x:c r="F191" t="inlineStr">
        <x:is>
          <x:t xml:space="preserve">constructor</x:t>
        </x:is>
      </x:c>
      <x:c r="G191" t="inlineStr">
        <x:is>
          <x:t xml:space="preserve">PROVED</x:t>
        </x:is>
      </x:c>
      <x:c r="H191" t="inlineStr">
        <x:is>
          <x:t xml:space="preserve">LAT-07</x:t>
        </x:is>
      </x:c>
    </x:row>
    <x:row r="192">
      <x:c r="A192" t="n">
        <x:v>199</x:v>
      </x:c>
      <x:c r="B192" t="inlineStr">
        <x:is>
          <x:t xml:space="preserve">15 — Lattice</x:t>
        </x:is>
      </x:c>
      <x:c r="C192" t="inlineStr">
        <x:is>
          <x:t xml:space="preserve">DependencyLattice.lean</x:t>
        </x:is>
      </x:c>
      <x:c r="D192" t="inlineStr">
        <x:is>
          <x:t xml:space="preserve">narrative_and_dependency_orders_diverge_at_justification_union</x:t>
        </x:is>
      </x:c>
      <x:c r="E192" t="inlineStr">
        <x:is>
          <x:t xml:space="preserve">Teaching order and dependency order diverge at exactly this point. The line is not the lattice.</x:t>
        </x:is>
      </x:c>
      <x:c r="F192" t="inlineStr">
        <x:is>
          <x:t xml:space="preserve">decide</x:t>
        </x:is>
      </x:c>
      <x:c r="G192" t="inlineStr">
        <x:is>
          <x:t xml:space="preserve">PROVED</x:t>
        </x:is>
      </x:c>
      <x:c r="H192" t="inlineStr">
        <x:is>
          <x:t xml:space="preserve">LAT-07</x:t>
        </x:is>
      </x:c>
    </x:row>
    <x:row r="193">
      <x:c r="A193" t="inlineStr">
        <x:is>
          <x:t xml:space="preserve">200–202</x:t>
        </x:is>
      </x:c>
      <x:c r="B193" t="inlineStr">
        <x:is>
          <x:t xml:space="preserve">15 — Lattice</x:t>
        </x:is>
      </x:c>
      <x:c r="C193" t="inlineStr">
        <x:is>
          <x:t xml:space="preserve">DependencyLattice.lean</x:t>
        </x:is>
      </x:c>
      <x:c r="D193" t="inlineStr">
        <x:is>
          <x:t xml:space="preserve">Cross-domain edge witnesses (3 theorems)</x:t>
        </x:is>
      </x:c>
      <x:c r="E193" t="inlineStr">
        <x:is>
          <x:t xml:space="preserve">faith→union ↔ excitation+coupling→bound_state. union→justification ↔ bound_state→reclassification. union→sanctification ↔ bound_state+energy→annealing.</x:t>
        </x:is>
      </x:c>
      <x:c r="F193" t="inlineStr">
        <x:is>
          <x:t xml:space="preserve">constructor</x:t>
        </x:is>
      </x:c>
      <x:c r="G193" t="inlineStr">
        <x:is>
          <x:t xml:space="preserve">PROVED</x:t>
        </x:is>
      </x:c>
      <x:c r="H193" t="inlineStr">
        <x:is>
          <x:t xml:space="preserve">LAT-05, L7-Q3</x:t>
        </x:is>
      </x:c>
    </x:row>
    <x:row r="194">
      <x:c r="A194" t="inlineStr">
        <x:is>
          <x:t xml:space="preserve">LAYER 16</x:t>
        </x:is>
      </x:c>
      <x:c r="B194" t="inlineStr">
        <x:is>
          <x:t xml:space="preserve">HIT RATE DISCIPLINE</x:t>
        </x:is>
      </x:c>
      <x:c r="C194" t="inlineStr">
        <x:is>
          <x:t xml:space="preserve">HitRateDiscipline.lean (imports ChristOperator)</x:t>
        </x:is>
      </x:c>
      <x:c r="E194" t="inlineStr">
        <x:is>
          <x:t xml:space="preserve">Statistical integrity: closed denominator, every attempt/failure/partial counted. Current: 8/10 (80%).</x:t>
        </x:is>
      </x:c>
    </x:row>
    <x:row r="195">
      <x:c r="A195" t="n">
        <x:v>203</x:v>
      </x:c>
      <x:c r="B195" t="inlineStr">
        <x:is>
          <x:t xml:space="preserve">16 — HitRate</x:t>
        </x:is>
      </x:c>
      <x:c r="C195" t="inlineStr">
        <x:is>
          <x:t xml:space="preserve">HitRateDiscipline.lean</x:t>
        </x:is>
      </x:c>
      <x:c r="D195" t="inlineStr">
        <x:is>
          <x:t xml:space="preserve">closedEightOfTen_attempt_count</x:t>
        </x:is>
      </x:c>
      <x:c r="E195" t="inlineStr">
        <x:is>
          <x:t xml:space="preserve">10 attempts logged</x:t>
        </x:is>
      </x:c>
      <x:c r="F195" t="inlineStr">
        <x:is>
          <x:t xml:space="preserve">rfl</x:t>
        </x:is>
      </x:c>
      <x:c r="G195" t="inlineStr">
        <x:is>
          <x:t xml:space="preserve">PROVED</x:t>
        </x:is>
      </x:c>
      <x:c r="H195" t="inlineStr">
        <x:is>
          <x:t xml:space="preserve">L7-Q5</x:t>
        </x:is>
      </x:c>
    </x:row>
    <x:row r="196">
      <x:c r="A196" t="n">
        <x:v>204</x:v>
      </x:c>
      <x:c r="B196" t="inlineStr">
        <x:is>
          <x:t xml:space="preserve">16 — HitRate</x:t>
        </x:is>
      </x:c>
      <x:c r="C196" t="inlineStr">
        <x:is>
          <x:t xml:space="preserve">HitRateDiscipline.lean</x:t>
        </x:is>
      </x:c>
      <x:c r="D196" t="inlineStr">
        <x:is>
          <x:t xml:space="preserve">closedEightOfTen_hit_count</x:t>
        </x:is>
      </x:c>
      <x:c r="E196" t="inlineStr">
        <x:is>
          <x:t xml:space="preserve">8 hits (compiled bridges)</x:t>
        </x:is>
      </x:c>
      <x:c r="F196" t="inlineStr">
        <x:is>
          <x:t xml:space="preserve">rfl</x:t>
        </x:is>
      </x:c>
      <x:c r="G196" t="inlineStr">
        <x:is>
          <x:t xml:space="preserve">PROVED</x:t>
        </x:is>
      </x:c>
      <x:c r="H196" t="inlineStr">
        <x:is>
          <x:t xml:space="preserve">L7-Q5</x:t>
        </x:is>
      </x:c>
    </x:row>
    <x:row r="197">
      <x:c r="A197" t="n">
        <x:v>205</x:v>
      </x:c>
      <x:c r="B197" t="inlineStr">
        <x:is>
          <x:t xml:space="preserve">16 — HitRate</x:t>
        </x:is>
      </x:c>
      <x:c r="C197" t="inlineStr">
        <x:is>
          <x:t xml:space="preserve">HitRateDiscipline.lean</x:t>
        </x:is>
      </x:c>
      <x:c r="D197" t="inlineStr">
        <x:is>
          <x:t xml:space="preserve">closedEightOfTen_denominator_closed</x:t>
        </x:is>
      </x:c>
      <x:c r="E197" t="inlineStr">
        <x:is>
          <x:t xml:space="preserve">All attempts logged before publication. No hidden failures.</x:t>
        </x:is>
      </x:c>
      <x:c r="F197" t="inlineStr">
        <x:is>
          <x:t xml:space="preserve">rfl</x:t>
        </x:is>
      </x:c>
      <x:c r="G197" t="inlineStr">
        <x:is>
          <x:t xml:space="preserve">PROVED</x:t>
        </x:is>
      </x:c>
      <x:c r="H197" t="inlineStr">
        <x:is>
          <x:t xml:space="preserve">L7-Q5</x:t>
        </x:is>
      </x:c>
    </x:row>
    <x:row r="198">
      <x:c r="A198" t="n">
        <x:v>206</x:v>
      </x:c>
      <x:c r="B198" t="inlineStr">
        <x:is>
          <x:t xml:space="preserve">16 — HitRate</x:t>
        </x:is>
      </x:c>
      <x:c r="C198" t="inlineStr">
        <x:is>
          <x:t xml:space="preserve">HitRateDiscipline.lean</x:t>
        </x:is>
      </x:c>
      <x:c r="D198" t="inlineStr">
        <x:is>
          <x:t xml:space="preserve">closedEightOfTen_can_claim_80_percent</x:t>
        </x:is>
      </x:c>
      <x:c r="E198" t="inlineStr">
        <x:is>
          <x:t xml:space="preserve">80% hit rate claim is valid</x:t>
        </x:is>
      </x:c>
      <x:c r="F198" t="inlineStr">
        <x:is>
          <x:t xml:space="preserve">decide</x:t>
        </x:is>
      </x:c>
      <x:c r="G198" t="inlineStr">
        <x:is>
          <x:t xml:space="preserve">PROVED</x:t>
        </x:is>
      </x:c>
      <x:c r="H198" t="inlineStr">
        <x:is>
          <x:t xml:space="preserve">L7-Q5</x:t>
        </x:is>
      </x:c>
    </x:row>
    <x:row r="199">
      <x:c r="A199" t="n">
        <x:v>207</x:v>
      </x:c>
      <x:c r="B199" t="inlineStr">
        <x:is>
          <x:t xml:space="preserve">16 — HitRate</x:t>
        </x:is>
      </x:c>
      <x:c r="C199" t="inlineStr">
        <x:is>
          <x:t xml:space="preserve">HitRateDiscipline.lean</x:t>
        </x:is>
      </x:c>
      <x:c r="D199" t="inlineStr">
        <x:is>
          <x:t xml:space="preserve">closedEightOfTen_cannot_claim_90_percent</x:t>
        </x:is>
      </x:c>
      <x:c r="E199" t="inlineStr">
        <x:is>
          <x:t xml:space="preserve">REJECTION: 90% claim is blocked. Can't claim what you haven't earned.</x:t>
        </x:is>
      </x:c>
      <x:c r="F199" t="inlineStr">
        <x:is>
          <x:t xml:space="preserve">decide</x:t>
        </x:is>
      </x:c>
      <x:c r="G199" t="inlineStr">
        <x:is>
          <x:t xml:space="preserve">REJECTION</x:t>
        </x:is>
      </x:c>
      <x:c r="H199" t="inlineStr">
        <x:is>
          <x:t xml:space="preserve">L7-Q5</x:t>
        </x:is>
      </x:c>
    </x:row>
    <x:row r="200">
      <x:c r="A200" t="n">
        <x:v>208</x:v>
      </x:c>
      <x:c r="B200" t="inlineStr">
        <x:is>
          <x:t xml:space="preserve">16 — HitRate</x:t>
        </x:is>
      </x:c>
      <x:c r="C200" t="inlineStr">
        <x:is>
          <x:t xml:space="preserve">HitRateDiscipline.lean</x:t>
        </x:is>
      </x:c>
      <x:c r="D200" t="inlineStr">
        <x:is>
          <x:t xml:space="preserve">hiddenDenominator_blocks_anomaly_claim</x:t>
        </x:is>
      </x:c>
      <x:c r="E200" t="inlineStr">
        <x:is>
          <x:t xml:space="preserve">REJECTION: Hidden failures block ANY anomaly claim. Integrity is non-negotiable.</x:t>
        </x:is>
      </x:c>
      <x:c r="F200" t="inlineStr">
        <x:is>
          <x:t xml:space="preserve">decide</x:t>
        </x:is>
      </x:c>
      <x:c r="G200" t="inlineStr">
        <x:is>
          <x:t xml:space="preserve">REJECTION</x:t>
        </x:is>
      </x:c>
      <x:c r="H200" t="inlineStr">
        <x:is>
          <x:t xml:space="preserve">L7-Q5</x:t>
        </x:is>
      </x:c>
    </x:row>
    <x:row r="201">
      <x:c r="A201" t="n">
        <x:v>209</x:v>
      </x:c>
      <x:c r="B201" t="inlineStr">
        <x:is>
          <x:t xml:space="preserve">16 — HitRate</x:t>
        </x:is>
      </x:c>
      <x:c r="C201" t="inlineStr">
        <x:is>
          <x:t xml:space="preserve">HitRateDiscipline.lean</x:t>
        </x:is>
      </x:c>
      <x:c r="D201" t="inlineStr">
        <x:is>
          <x:t xml:space="preserve">failed_attempt_counts_in_denominator</x:t>
        </x:is>
      </x:c>
      <x:c r="E201" t="inlineStr">
        <x:is>
          <x:t xml:space="preserve">REJECTION: Failures count against you. No cherry-picking.</x:t>
        </x:is>
      </x:c>
      <x:c r="F201" t="inlineStr">
        <x:is>
          <x:t xml:space="preserve">decide</x:t>
        </x:is>
      </x:c>
      <x:c r="G201" t="inlineStr">
        <x:is>
          <x:t xml:space="preserve">REJECTION</x:t>
        </x:is>
      </x:c>
      <x:c r="H201" t="inlineStr">
        <x:is>
          <x:t xml:space="preserve">L7-Q5</x:t>
        </x:is>
      </x:c>
    </x:row>
    <x:row r="202">
      <x:c r="A202" t="n">
        <x:v>210</x:v>
      </x:c>
      <x:c r="B202" t="inlineStr">
        <x:is>
          <x:t xml:space="preserve">16 — HitRate</x:t>
        </x:is>
      </x:c>
      <x:c r="C202" t="inlineStr">
        <x:is>
          <x:t xml:space="preserve">HitRateDiscipline.lean</x:t>
        </x:is>
      </x:c>
      <x:c r="D202" t="inlineStr">
        <x:is>
          <x:t xml:space="preserve">partial_attempt_does_not_count_as_hit</x:t>
        </x:is>
      </x:c>
      <x:c r="E202" t="inlineStr">
        <x:is>
          <x:t xml:space="preserve">REJECTION: Partials are not hits. Close enough is not enough.</x:t>
        </x:is>
      </x:c>
      <x:c r="F202" t="inlineStr">
        <x:is>
          <x:t xml:space="preserve">decide</x:t>
        </x:is>
      </x:c>
      <x:c r="G202" t="inlineStr">
        <x:is>
          <x:t xml:space="preserve">REJECTION</x:t>
        </x:is>
      </x:c>
      <x:c r="H202" t="inlineStr">
        <x:is>
          <x:t xml:space="preserve">L7-Q5</x:t>
        </x:is>
      </x:c>
    </x:row>
    <x:row r="203">
      <x:c r="A203" t="inlineStr">
        <x:is>
          <x:t xml:space="preserve">GAPS</x:t>
        </x:is>
      </x:c>
      <x:c r="B203" t="inlineStr">
        <x:is>
          <x:t xml:space="preserve">FORMAL GAP INVENTORY — Could Be Addressed With More Lean</x:t>
        </x:is>
      </x:c>
      <x:c r="E203" t="inlineStr">
        <x:is>
          <x:t xml:space="preserve">Every gap here is an honest admission. The system does not claim what it has not proven.</x:t>
        </x:is>
      </x:c>
    </x:row>
    <x:row r="204">
      <x:c r="A204" t="inlineStr">
        <x:is>
          <x:t xml:space="preserve">GAP-01</x:t>
        </x:is>
      </x:c>
      <x:c r="B204" t="inlineStr">
        <x:is>
          <x:t xml:space="preserve">Formal Gap</x:t>
        </x:is>
      </x:c>
      <x:c r="C204" t="inlineStr">
        <x:is>
          <x:t xml:space="preserve">FieldBridgeControls.lean</x:t>
        </x:is>
      </x:c>
      <x:c r="D204" t="inlineStr">
        <x:is>
          <x:t xml:space="preserve">Laws 1, 2, 9, 10 — No domain-specific collapse conditions</x:t>
        </x:is>
      </x:c>
      <x:c r="E204" t="inlineStr">
        <x:is>
          <x:t xml:space="preserve">Law 1 (Gravity/Grace → G), Law 2 (Motion/Will → M as force), Law 9 (Weak/Moral Conservation), Law 10 (Coherence/Christ as factor). Generic zero-collapse is proven but physical mechanism that drives each to zero is NOT encoded.</x:t>
        </x:is>
      </x:c>
      <x:c r="F204" t="inlineStr">
        <x:is>
          <x:t xml:space="preserve">—</x:t>
        </x:is>
      </x:c>
      <x:c r="G204" t="inlineStr">
        <x:is>
          <x:t xml:space="preserve">GAP</x:t>
        </x:is>
      </x:c>
      <x:c r="H204" t="inlineStr">
        <x:is>
          <x:t xml:space="preserve">PRESS-1, PRESS-3</x:t>
        </x:is>
      </x:c>
    </x:row>
    <x:row r="205">
      <x:c r="A205" t="inlineStr">
        <x:is>
          <x:t xml:space="preserve">GAP-02</x:t>
        </x:is>
      </x:c>
      <x:c r="B205" t="inlineStr">
        <x:is>
          <x:t xml:space="preserve">Formal Gap</x:t>
        </x:is>
      </x:c>
      <x:c r="C205" t="inlineStr">
        <x:is>
          <x:t xml:space="preserve">FieldBridgeControls.lean</x:t>
        </x:is>
      </x:c>
      <x:c r="D205" t="inlineStr">
        <x:is>
          <x:t xml:space="preserve">Law 4 factor-level bridge wiring</x:t>
        </x:is>
      </x:c>
      <x:c r="E205" t="inlineStr">
        <x:is>
          <x:t xml:space="preserve">The isomorphism StrongForce ≅ Love is proven at the model level, but there is NO FieldBridgeControls-style gate wiring Factor.S into the χ product.</x:t>
        </x:is>
      </x:c>
      <x:c r="F205" t="inlineStr">
        <x:is>
          <x:t xml:space="preserve">—</x:t>
        </x:is>
      </x:c>
      <x:c r="G205" t="inlineStr">
        <x:is>
          <x:t xml:space="preserve">GAP</x:t>
        </x:is>
      </x:c>
      <x:c r="H205" t="inlineStr">
        <x:is>
          <x:t xml:space="preserve">LEAN-07</x:t>
        </x:is>
      </x:c>
    </x:row>
    <x:row r="206">
      <x:c r="A206" t="inlineStr">
        <x:is>
          <x:t xml:space="preserve">GAP-03</x:t>
        </x:is>
      </x:c>
      <x:c r="B206" t="inlineStr">
        <x:is>
          <x:t xml:space="preserve">Formal Gap</x:t>
        </x:is>
      </x:c>
      <x:c r="C206" t="inlineStr">
        <x:is>
          <x:t xml:space="preserve">FieldBridgeControls.lean</x:t>
        </x:is>
      </x:c>
      <x:c r="D206" t="inlineStr">
        <x:is>
          <x:t xml:space="preserve">Law 5 factor-level bridge wiring</x:t>
        </x:is>
      </x:c>
      <x:c r="E206" t="inlineStr">
        <x:is>
          <x:t xml:space="preserve">Justice/Mercy operator is proven independently, but no formal wiring shows how R(offense, α) maps into the Factor.S product slot.</x:t>
        </x:is>
      </x:c>
      <x:c r="F206" t="inlineStr">
        <x:is>
          <x:t xml:space="preserve">—</x:t>
        </x:is>
      </x:c>
      <x:c r="G206" t="inlineStr">
        <x:is>
          <x:t xml:space="preserve">GAP</x:t>
        </x:is>
      </x:c>
      <x:c r="H206" t="inlineStr">
        <x:is>
          <x:t xml:space="preserve">LEAN-13</x:t>
        </x:is>
      </x:c>
    </x:row>
    <x:row r="207">
      <x:c r="A207" t="inlineStr">
        <x:is>
          <x:t xml:space="preserve">GAP-04</x:t>
        </x:is>
      </x:c>
      <x:c r="B207" t="inlineStr">
        <x:is>
          <x:t xml:space="preserve">Formal Gap</x:t>
        </x:is>
      </x:c>
      <x:c r="C207" t="inlineStr">
        <x:is>
          <x:t xml:space="preserve">Mapping.lean</x:t>
        </x:is>
      </x:c>
      <x:c r="D207" t="inlineStr">
        <x:is>
          <x:t xml:space="preserve">Category-theoretic upgrade of Mapping.lean</x:t>
        </x:is>
      </x:c>
      <x:c r="E207" t="inlineStr">
        <x:is>
          <x:t xml:space="preserve">Currently a list-map equality. A proper functor between categories of operations would be stronger. Currently DEMOTED to teaching layer.</x:t>
        </x:is>
      </x:c>
      <x:c r="F207" t="inlineStr">
        <x:is>
          <x:t xml:space="preserve">—</x:t>
        </x:is>
      </x:c>
      <x:c r="G207" t="inlineStr">
        <x:is>
          <x:t xml:space="preserve">GAP</x:t>
        </x:is>
      </x:c>
      <x:c r="H207" t="inlineStr">
        <x:is>
          <x:t xml:space="preserve">LEAN-02</x:t>
        </x:is>
      </x:c>
    </x:row>
    <x:row r="208">
      <x:c r="A208" t="inlineStr">
        <x:is>
          <x:t xml:space="preserve">GAP-05</x:t>
        </x:is>
      </x:c>
      <x:c r="B208" t="inlineStr">
        <x:is>
          <x:t xml:space="preserve">Formal Gap</x:t>
        </x:is>
      </x:c>
      <x:c r="C208" t="inlineStr">
        <x:is>
          <x:t xml:space="preserve">DependencyLattice.lean</x:t>
        </x:is>
      </x:c>
      <x:c r="D208" t="inlineStr">
        <x:is>
          <x:t xml:space="preserve">Cross-domain lattice coverage</x:t>
        </x:is>
      </x:c>
      <x:c r="E208" t="inlineStr">
        <x:is>
          <x:t xml:space="preserve">Only 3 of ~20 theology edges have explicit physics edge witnesses. The rest are structurally provable but not yet formalized.</x:t>
        </x:is>
      </x:c>
      <x:c r="F208" t="inlineStr">
        <x:is>
          <x:t xml:space="preserve">—</x:t>
        </x:is>
      </x:c>
      <x:c r="G208" t="inlineStr">
        <x:is>
          <x:t xml:space="preserve">GAP</x:t>
        </x:is>
      </x:c>
      <x:c r="H208" t="inlineStr">
        <x:is>
          <x:t xml:space="preserve">LAT-05</x:t>
        </x:is>
      </x:c>
    </x:row>
    <x:row r="209">
      <x:c r="A209" t="inlineStr">
        <x:is>
          <x:t xml:space="preserve">SPEC</x:t>
        </x:is>
      </x:c>
      <x:c r="B209" t="inlineStr">
        <x:is>
          <x:t xml:space="preserve">SPECIFICATION-REVIEW GAPS — Outside Lean's Scope</x:t>
        </x:is>
      </x:c>
      <x:c r="E209" t="inlineStr">
        <x:is>
          <x:t xml:space="preserve">These gaps cannot be closed by more Lean. They require domain judgment, empirical data, or philosophical argument.</x:t>
        </x:is>
      </x:c>
    </x:row>
    <x:row r="210">
      <x:c r="A210" t="inlineStr">
        <x:is>
          <x:t xml:space="preserve">SPEC-01</x:t>
        </x:is>
      </x:c>
      <x:c r="B210" t="inlineStr">
        <x:is>
          <x:t xml:space="preserve">Spec Gap</x:t>
        </x:is>
      </x:c>
      <x:c r="C210" t="inlineStr">
        <x:is>
          <x:t xml:space="preserve">All isomorphism modules</x:t>
        </x:is>
      </x:c>
      <x:c r="D210" t="inlineStr">
        <x:is>
          <x:t xml:space="preserve">Faithful abstraction</x:t>
        </x:is>
      </x:c>
      <x:c r="E210" t="inlineStr">
        <x:is>
          <x:t xml:space="preserve">Does quaternionEM faithfully represent historical Maxwell quaternion EM? Does loveModel faithfully represent the theological concept of love? These are domain judgment calls, not formal proof targets.</x:t>
        </x:is>
      </x:c>
      <x:c r="F210" t="inlineStr">
        <x:is>
          <x:t xml:space="preserve">—</x:t>
        </x:is>
      </x:c>
      <x:c r="G210" t="inlineStr">
        <x:is>
          <x:t xml:space="preserve">SPEC GAP</x:t>
        </x:is>
      </x:c>
      <x:c r="H210" t="inlineStr">
        <x:is>
          <x:t xml:space="preserve">COMPRESS-4</x:t>
        </x:is>
      </x:c>
    </x:row>
    <x:row r="211">
      <x:c r="A211" t="inlineStr">
        <x:is>
          <x:t xml:space="preserve">SPEC-02</x:t>
        </x:is>
      </x:c>
      <x:c r="B211" t="inlineStr">
        <x:is>
          <x:t xml:space="preserve">Spec Gap</x:t>
        </x:is>
      </x:c>
      <x:c r="C211" t="inlineStr">
        <x:is>
          <x:t xml:space="preserve">BridgeMatrix, IsomorphismTest</x:t>
        </x:is>
      </x:c>
      <x:c r="D211" t="inlineStr">
        <x:is>
          <x:t xml:space="preserve">Label honesty</x:t>
        </x:is>
      </x:c>
      <x:c r="E211" t="inlineStr">
        <x:is>
          <x:t xml:space="preserve">The relabeled-coin adversarial result proves Lean CAN be gamed by relabeling. The guard is domain review, not formal proof. This is an inherent limit of any formal system.</x:t>
        </x:is>
      </x:c>
      <x:c r="F211" t="inlineStr">
        <x:is>
          <x:t xml:space="preserve">—</x:t>
        </x:is>
      </x:c>
      <x:c r="G211" t="inlineStr">
        <x:is>
          <x:t xml:space="preserve">SPEC GAP</x:t>
        </x:is>
      </x:c>
      <x:c r="H211" t="inlineStr">
        <x:is>
          <x:t xml:space="preserve">COMPRESS-4</x:t>
        </x:is>
      </x:c>
    </x:row>
    <x:row r="212">
      <x:c r="A212" t="inlineStr">
        <x:is>
          <x:t xml:space="preserve">SPEC-03</x:t>
        </x:is>
      </x:c>
      <x:c r="B212" t="inlineStr">
        <x:is>
          <x:t xml:space="preserve">Spec Gap</x:t>
        </x:is>
      </x:c>
      <x:c r="C212" t="inlineStr">
        <x:is>
          <x:t xml:space="preserve">—</x:t>
        </x:is>
      </x:c>
      <x:c r="D212" t="inlineStr">
        <x:is>
          <x:t xml:space="preserve">Empirical validation</x:t>
        </x:is>
      </x:c>
      <x:c r="E212" t="inlineStr">
        <x:is>
          <x:t xml:space="preserve">The 5.7–6.35σ experimental correlations are NOT formalized in Lean. Statistical claims reference external data not encoded in the proof system.</x:t>
        </x:is>
      </x:c>
      <x:c r="F212" t="inlineStr">
        <x:is>
          <x:t xml:space="preserve">—</x:t>
        </x:is>
      </x:c>
      <x:c r="G212" t="inlineStr">
        <x:is>
          <x:t xml:space="preserve">SPEC GAP</x:t>
        </x:is>
      </x:c>
      <x:c r="H212" t="inlineStr">
        <x:is>
          <x:t xml:space="preserve">L7-Q4</x:t>
        </x:is>
      </x:c>
    </x:row>
    <x:row r="213">
      <x:c r="A213" t="inlineStr">
        <x:is>
          <x:t xml:space="preserve">SPEC-04</x:t>
        </x:is>
      </x:c>
      <x:c r="B213" t="inlineStr">
        <x:is>
          <x:t xml:space="preserve">Spec Gap</x:t>
        </x:is>
      </x:c>
      <x:c r="C213" t="inlineStr">
        <x:is>
          <x:t xml:space="preserve">—</x:t>
        </x:is>
      </x:c>
      <x:c r="D213" t="inlineStr">
        <x:is>
          <x:t xml:space="preserve">Continuous mathematics</x:t>
        </x:is>
      </x:c>
      <x:c r="E213" t="inlineStr">
        <x:is>
          <x:t xml:space="preserve">All models use Nat/Int/Bool. Continuous-domain physics (real-valued fields, differential equations, Lagrangians) would require Mathlib. Not attempted.</x:t>
        </x:is>
      </x:c>
      <x:c r="F213" t="inlineStr">
        <x:is>
          <x:t xml:space="preserve">—</x:t>
        </x:is>
      </x:c>
      <x:c r="G213" t="inlineStr">
        <x:is>
          <x:t xml:space="preserve">SPEC GAP</x:t>
        </x:is>
      </x:c>
      <x:c r="H213" t="inlineStr">
        <x:is>
          <x:t xml:space="preserve">—</x:t>
        </x:is>
      </x:c>
    </x:row>
    <x:row r="214">
      <x:c r="A214" t="inlineStr">
        <x:is>
          <x:t xml:space="preserve">SPEC-05</x:t>
        </x:is>
      </x:c>
      <x:c r="B214" t="inlineStr">
        <x:is>
          <x:t xml:space="preserve">Spec Gap</x:t>
        </x:is>
      </x:c>
      <x:c r="C214" t="inlineStr">
        <x:is>
          <x:t xml:space="preserve">—</x:t>
        </x:is>
      </x:c>
      <x:c r="D214" t="inlineStr">
        <x:is>
          <x:t xml:space="preserve">Historical claims</x:t>
        </x:is>
      </x:c>
      <x:c r="E214" t="inlineStr">
        <x:is>
          <x:t xml:space="preserve">Lean proves the repair STRUCTURE is unique. Whether Jesus of Nazareth is that structure requires historical evidence, not formal proof. History must be tested separately.</x:t>
        </x:is>
      </x:c>
      <x:c r="F214" t="inlineStr">
        <x:is>
          <x:t xml:space="preserve">—</x:t>
        </x:is>
      </x:c>
      <x:c r="G214" t="inlineStr">
        <x:is>
          <x:t xml:space="preserve">SPEC GAP</x:t>
        </x:is>
      </x:c>
      <x:c r="H214" t="inlineStr">
        <x:is>
          <x:t xml:space="preserve">L6-Q7, COMPRESS-4</x:t>
        </x:is>
      </x:c>
    </x:row>
    <x:row r="215">
      <x:c r="A215" t="inlineStr">
        <x:is>
          <x:t xml:space="preserve">STATS</x:t>
        </x:is>
      </x:c>
      <x:c r="B215" t="inlineStr">
        <x:is>
          <x:t xml:space="preserve">SUMMARY STATISTICS</x:t>
        </x:is>
      </x:c>
    </x:row>
    <x:row r="216">
      <x:c r="A216" t="inlineStr">
        <x:is>
          <x:t xml:space="preserve">STAT-01</x:t>
        </x:is>
      </x:c>
      <x:c r="B216" t="inlineStr">
        <x:is>
          <x:t xml:space="preserve">Lean4 files</x:t>
        </x:is>
      </x:c>
      <x:c r="D216" t="inlineStr">
        <x:is>
          <x:t xml:space="preserve">16 files</x:t>
        </x:is>
      </x:c>
    </x:row>
    <x:row r="217">
      <x:c r="A217" t="inlineStr">
        <x:is>
          <x:t xml:space="preserve">STAT-02</x:t>
        </x:is>
      </x:c>
      <x:c r="B217" t="inlineStr">
        <x:is>
          <x:t xml:space="preserve">Total named theorems</x:t>
        </x:is>
      </x:c>
      <x:c r="D217" t="inlineStr">
        <x:is>
          <x:t xml:space="preserve">210+</x:t>
        </x:is>
      </x:c>
    </x:row>
    <x:row r="218">
      <x:c r="A218" t="inlineStr">
        <x:is>
          <x:t xml:space="preserve">STAT-03</x:t>
        </x:is>
      </x:c>
      <x:c r="B218" t="inlineStr">
        <x:is>
          <x:t xml:space="preserve">Laws with formal collapse proofs</x:t>
        </x:is>
      </x:c>
      <x:c r="C218" t="inlineStr">
        <x:is>
          <x:t xml:space="preserve">FieldBridgeControls</x:t>
        </x:is>
      </x:c>
      <x:c r="D218" t="inlineStr">
        <x:is>
          <x:t xml:space="preserve">4 of 10 (Laws 3, 6, 7, 8)</x:t>
        </x:is>
      </x:c>
    </x:row>
    <x:row r="219">
      <x:c r="A219" t="inlineStr">
        <x:is>
          <x:t xml:space="preserve">STAT-04</x:t>
        </x:is>
      </x:c>
      <x:c r="B219" t="inlineStr">
        <x:is>
          <x:t xml:space="preserve">Laws with independent formal structure</x:t>
        </x:is>
      </x:c>
      <x:c r="C219" t="inlineStr">
        <x:is>
          <x:t xml:space="preserve">IsomorphismTest, JusticeMercyOperator</x:t>
        </x:is>
      </x:c>
      <x:c r="D219" t="inlineStr">
        <x:is>
          <x:t xml:space="preserve">2 more (Law 4 iso, Law 5 uniqueness)</x:t>
        </x:is>
      </x:c>
    </x:row>
    <x:row r="220">
      <x:c r="A220" t="inlineStr">
        <x:is>
          <x:t xml:space="preserve">STAT-05</x:t>
        </x:is>
      </x:c>
      <x:c r="B220" t="inlineStr">
        <x:is>
          <x:t xml:space="preserve">Laws with NO formal Lean content</x:t>
        </x:is>
      </x:c>
      <x:c r="C220" t="inlineStr">
        <x:is>
          <x:t xml:space="preserve">—</x:t>
        </x:is>
      </x:c>
      <x:c r="D220" t="inlineStr">
        <x:is>
          <x:t xml:space="preserve">4 (Laws 1, 2, 9, 10)</x:t>
        </x:is>
      </x:c>
    </x:row>
    <x:row r="221">
      <x:c r="A221" t="inlineStr">
        <x:is>
          <x:t xml:space="preserve">STAT-06</x:t>
        </x:is>
      </x:c>
      <x:c r="B221" t="inlineStr">
        <x:is>
          <x:t xml:space="preserve">Structural isomorphisms proven</x:t>
        </x:is>
      </x:c>
      <x:c r="D221" t="inlineStr">
        <x:is>
          <x:t xml:space="preserve">3 (StrongForce↔Love, Maxwell↔Trinity, Physics↔Theology)</x:t>
        </x:is>
      </x:c>
    </x:row>
    <x:row r="222">
      <x:c r="A222" t="inlineStr">
        <x:is>
          <x:t xml:space="preserve">STAT-07</x:t>
        </x:is>
      </x:c>
      <x:c r="B222" t="inlineStr">
        <x:is>
          <x:t xml:space="preserve">Uniqueness results</x:t>
        </x:is>
      </x:c>
      <x:c r="C222" t="inlineStr">
        <x:is>
          <x:t xml:space="preserve">JusticeMercyOperator</x:t>
        </x:is>
      </x:c>
      <x:c r="D222" t="inlineStr">
        <x:is>
          <x:t xml:space="preserve">1 (Cross is the unique convergence configuration)</x:t>
        </x:is>
      </x:c>
    </x:row>
    <x:row r="223">
      <x:c r="A223" t="inlineStr">
        <x:is>
          <x:t xml:space="preserve">STAT-08</x:t>
        </x:is>
      </x:c>
      <x:c r="B223" t="inlineStr">
        <x:is>
          <x:t xml:space="preserve">Adversarial rejections proven</x:t>
        </x:is>
      </x:c>
      <x:c r="D223" t="inlineStr">
        <x:is>
          <x:t xml:space="preserve">70+ (wrong swaps, false positives, wrong orderings, boundary tests)</x:t>
        </x:is>
      </x:c>
    </x:row>
    <x:row r="224">
      <x:c r="A224" t="inlineStr">
        <x:is>
          <x:t xml:space="preserve">STAT-09</x:t>
        </x:is>
      </x:c>
      <x:c r="B224" t="inlineStr">
        <x:is>
          <x:t xml:space="preserve">Formal dependency lattice edges</x:t>
        </x:is>
      </x:c>
      <x:c r="C224" t="inlineStr">
        <x:is>
          <x:t xml:space="preserve">DependencyLattice</x:t>
        </x:is>
      </x:c>
      <x:c r="D224" t="inlineStr">
        <x:is>
          <x:t xml:space="preserve">44 (20 theology + 24 physics)</x:t>
        </x:is>
      </x:c>
    </x:row>
    <x:row r="225">
      <x:c r="A225" t="inlineStr">
        <x:is>
          <x:t xml:space="preserve">STAT-10</x:t>
        </x:is>
      </x:c>
      <x:c r="B225" t="inlineStr">
        <x:is>
          <x:t xml:space="preserve">Cross-domain edge witnesses</x:t>
        </x:is>
      </x:c>
      <x:c r="C225" t="inlineStr">
        <x:is>
          <x:t xml:space="preserve">DependencyLattice</x:t>
        </x:is>
      </x:c>
      <x:c r="D225" t="inlineStr">
        <x:is>
          <x:t xml:space="preserve">3 formally proven</x:t>
        </x:is>
      </x:c>
    </x:row>
    <x:row r="226">
      <x:c r="A226" t="inlineStr">
        <x:is>
          <x:t xml:space="preserve">STAT-11</x:t>
        </x:is>
      </x:c>
      <x:c r="B226" t="inlineStr">
        <x:is>
          <x:t xml:space="preserve">Boundary conditions found</x:t>
        </x:is>
      </x:c>
      <x:c r="D226" t="inlineStr">
        <x:is>
          <x:t xml:space="preserve">4 (label honesty, non-injective projection, product-only blindness, coin false positive)</x:t>
        </x:is>
      </x:c>
    </x:row>
    <x:row r="227">
      <x:c r="A227" t="inlineStr">
        <x:is>
          <x:t xml:space="preserve">DEPS</x:t>
        </x:is>
      </x:c>
      <x:c r="B227" t="inlineStr">
        <x:is>
          <x:t xml:space="preserve">IMPORT DEPENDENCY GRAPH</x:t>
        </x:is>
      </x:c>
    </x:row>
    <x:row r="228">
      <x:c r="A228" t="inlineStr">
        <x:is>
          <x:t xml:space="preserve">TRUNK</x:t>
        </x:is>
      </x:c>
      <x:c r="B228" t="inlineStr">
        <x:is>
          <x:t xml:space="preserve">Main chain (depth 8)</x:t>
        </x:is>
      </x:c>
      <x:c r="C228" t="inlineStr">
        <x:is>
          <x:t xml:space="preserve">Core → BridgeMatrix → FieldBridgeControls → BridgeScoreDiscipline → PolarityDiscipline → MemoryPersistenceDiscipline → SignConversionDiscipline → ChristOperatorDiscipline</x:t>
        </x:is>
      </x:c>
      <x:c r="E228" t="inlineStr">
        <x:is>
          <x:t xml:space="preserve">The trunk: each layer builds on the previous. Core foundations → Bridge typing → Field controls → Score gating → Polarity → Memory → Sign conversion → Christ operator.</x:t>
        </x:is>
      </x:c>
    </x:row>
    <x:row r="229">
      <x:c r="A229" t="inlineStr">
        <x:is>
          <x:t xml:space="preserve">BRANCH-1</x:t>
        </x:is>
      </x:c>
      <x:c r="B229" t="inlineStr">
        <x:is>
          <x:t xml:space="preserve">From ChristOperator</x:t>
        </x:is>
      </x:c>
      <x:c r="C229" t="inlineStr">
        <x:is>
          <x:t xml:space="preserve">ChristOperatorDiscipline → HitRateDiscipline</x:t>
        </x:is>
      </x:c>
      <x:c r="E229" t="inlineStr">
        <x:is>
          <x:t xml:space="preserve">HitRate imports ChristOperator. Statistical integrity sits on top of the operator.</x:t>
        </x:is>
      </x:c>
    </x:row>
    <x:row r="230">
      <x:c r="A230" t="inlineStr">
        <x:is>
          <x:t xml:space="preserve">BRANCH-2</x:t>
        </x:is>
      </x:c>
      <x:c r="B230" t="inlineStr">
        <x:is>
          <x:t xml:space="preserve">From ChristOperator</x:t>
        </x:is>
      </x:c>
      <x:c r="C230" t="inlineStr">
        <x:is>
          <x:t xml:space="preserve">ChristOperatorDiscipline → MissionReturnOperator</x:t>
        </x:is>
      </x:c>
      <x:c r="E230" t="inlineStr">
        <x:is>
          <x:t xml:space="preserve">MissionReturn imports ChristOperator. Resurrection architecture builds on the conversion operator.</x:t>
        </x:is>
      </x:c>
    </x:row>
    <x:row r="231">
      <x:c r="A231" t="inlineStr">
        <x:is>
          <x:t xml:space="preserve">BRANCH-3</x:t>
        </x:is>
      </x:c>
      <x:c r="B231" t="inlineStr">
        <x:is>
          <x:t xml:space="preserve">From BridgeMatrix</x:t>
        </x:is>
      </x:c>
      <x:c r="C231" t="inlineStr">
        <x:is>
          <x:t xml:space="preserve">BridgeMatrix → MasterEquationInvariance</x:t>
        </x:is>
      </x:c>
      <x:c r="E231" t="inlineStr">
        <x:is>
          <x:t xml:space="preserve">Invariance imports BridgeMatrix directly. Product + signature invariance.</x:t>
        </x:is>
      </x:c>
    </x:row>
    <x:row r="232">
      <x:c r="A232" t="inlineStr">
        <x:is>
          <x:t xml:space="preserve">STANDALONE</x:t>
        </x:is>
      </x:c>
      <x:c r="B232" t="inlineStr">
        <x:is>
          <x:t xml:space="preserve">Independent (no imports)</x:t>
        </x:is>
      </x:c>
      <x:c r="C232" t="inlineStr">
        <x:is>
          <x:t xml:space="preserve">StageMachine, Mapping, IsomorphismTest, DependencyLattice, MaxwellTrinity, JusticeMercyOperator</x:t>
        </x:is>
      </x:c>
      <x:c r="E232" t="inlineStr">
        <x:is>
          <x:t xml:space="preserve">Six standalone files. Each proves its claims without depending on the trunk. JusticeMercy + MaxwellTrinity are the strongest standalone results.</x:t>
        </x:is>
      </x:c>
    </x:row>
  </x:sheetData>
  <x:pageMargins left="0.7" right="0.7" top="0.75" bottom="0.75" header="0.3" footer="0.3"/>
</x:worksheet>
</file>

<file path=xl/worksheets/sheet33.xml><?xml version="1.0" encoding="utf-8"?>
<x:worksheet xmlns:x="http://schemas.openxmlformats.org/spreadsheetml/2006/main">
  <x:sheetFormatPr baseColWidth="8" defaultRowHeight="15"/>
  <x:sheetData>
    <x:row r="1">
      <x:c r="A1" t="inlineStr">
        <x:is>
          <x:t xml:space="preserve">Claim_ID</x:t>
        </x:is>
      </x:c>
      <x:c r="B1" t="inlineStr">
        <x:is>
          <x:t xml:space="preserve">Lane</x:t>
        </x:is>
      </x:c>
      <x:c r="C1" t="inlineStr">
        <x:is>
          <x:t xml:space="preserve">Position</x:t>
        </x:is>
      </x:c>
      <x:c r="D1" t="inlineStr">
        <x:is>
          <x:t xml:space="preserve">Claim</x:t>
        </x:is>
      </x:c>
      <x:c r="E1" t="inlineStr">
        <x:is>
          <x:t xml:space="preserve">Logical_Type</x:t>
        </x:is>
      </x:c>
      <x:c r="F1" t="inlineStr">
        <x:is>
          <x:t xml:space="preserve">Axiom_IDs</x:t>
        </x:is>
      </x:c>
      <x:c r="G1" t="inlineStr">
        <x:is>
          <x:t xml:space="preserve">Lean_Module</x:t>
        </x:is>
      </x:c>
      <x:c r="H1" t="inlineStr">
        <x:is>
          <x:t xml:space="preserve">Lean_Declaration</x:t>
        </x:is>
      </x:c>
      <x:c r="I1" t="inlineStr">
        <x:is>
          <x:t xml:space="preserve">What_Lean_Proves</x:t>
        </x:is>
      </x:c>
      <x:c r="J1" t="inlineStr">
        <x:is>
          <x:t xml:space="preserve">What_Lean_Does_NOT_Prove</x:t>
        </x:is>
      </x:c>
      <x:c r="K1" t="inlineStr">
        <x:is>
          <x:t xml:space="preserve">God_Shape</x:t>
        </x:is>
      </x:c>
      <x:c r="L1" t="inlineStr">
        <x:is>
          <x:t xml:space="preserve">Overclaim_Guard</x:t>
        </x:is>
      </x:c>
    </x:row>
    <x:row r="2">
      <x:c r="A2" t="inlineStr">
        <x:is>
          <x:t xml:space="preserve">LANE 1</x:t>
        </x:is>
      </x:c>
      <x:c r="B2" t="inlineStr">
        <x:is>
          <x:t xml:space="preserve">THE COHERENCE LANE</x:t>
        </x:is>
      </x:c>
      <x:c r="D2" t="inlineStr">
        <x:is>
          <x:t xml:space="preserve">Every worldview depends on coherence before it can make any claim.</x:t>
        </x:is>
      </x:c>
      <x:c r="K2" t="inlineStr">
        <x:is>
          <x:t xml:space="preserve">A prior, stable, truth-bearing source of order</x:t>
        </x:is>
      </x:c>
    </x:row>
    <x:row r="3">
      <x:c r="A3" t="inlineStr">
        <x:is>
          <x:t xml:space="preserve">L1-Q1</x:t>
        </x:is>
      </x:c>
      <x:c r="B3" t="inlineStr">
        <x:is>
          <x:t xml:space="preserve">1 — Coherence</x:t>
        </x:is>
      </x:c>
      <x:c r="C3" t="inlineStr">
        <x:is>
          <x:t xml:space="preserve">Q1</x:t>
        </x:is>
      </x:c>
      <x:c r="D3" t="inlineStr">
        <x:is>
          <x:t xml:space="preserve">Can a contradiction be finally true?</x:t>
        </x:is>
      </x:c>
      <x:c r="E3" t="inlineStr">
        <x:is>
          <x:t xml:space="preserve">Logical Necessity</x:t>
        </x:is>
      </x:c>
      <x:c r="F3" t="inlineStr">
        <x:is>
          <x:t xml:space="preserve">A3.1, A3.2</x:t>
        </x:is>
      </x:c>
      <x:c r="G3" t="inlineStr">
        <x:is>
          <x:t xml:space="preserve">Core.lean</x:t>
        </x:is>
      </x:c>
      <x:c r="H3" t="inlineStr">
        <x:is>
          <x:t xml:space="preserve">def, theorem</x:t>
        </x:is>
      </x:c>
      <x:c r="I3" t="inlineStr">
        <x:is>
          <x:t xml:space="preserve">Coherence functional C[χ] = S_max - S[χ] is formally defined; non-negativity holds; zero-factor collapse proved</x:t>
        </x:is>
      </x:c>
      <x:c r="J3" t="inlineStr">
        <x:is>
          <x:t xml:space="preserve">Does not prove that physical or theological reality matches the coherence functional</x:t>
        </x:is>
      </x:c>
      <x:c r="K3" t="inlineStr">
        <x:is>
          <x:t xml:space="preserve">Coherence is prerequisite to any truth claim</x:t>
        </x:is>
      </x:c>
      <x:c r="L3" t="inlineStr">
        <x:is>
          <x:t xml:space="preserve">Do not say 'coherence mathematically proves God.' Say: every worldview depends on coherence — the question is whether it can ground what it depends on.</x:t>
        </x:is>
      </x:c>
    </x:row>
    <x:row r="4">
      <x:c r="A4" t="inlineStr">
        <x:is>
          <x:t xml:space="preserve">L1-Q2</x:t>
        </x:is>
      </x:c>
      <x:c r="B4" t="inlineStr">
        <x:is>
          <x:t xml:space="preserve">1 — Coherence</x:t>
        </x:is>
      </x:c>
      <x:c r="C4" t="inlineStr">
        <x:is>
          <x:t xml:space="preserve">Q2</x:t>
        </x:is>
      </x:c>
      <x:c r="D4" t="inlineStr">
        <x:is>
          <x:t xml:space="preserve">Does truth require coherence?</x:t>
        </x:is>
      </x:c>
      <x:c r="E4" t="inlineStr">
        <x:is>
          <x:t xml:space="preserve">Logical Necessity</x:t>
        </x:is>
      </x:c>
      <x:c r="F4" t="inlineStr">
        <x:is>
          <x:t xml:space="preserve">A3.1, A3.2, D3.1</x:t>
        </x:is>
      </x:c>
      <x:c r="G4" t="inlineStr">
        <x:is>
          <x:t xml:space="preserve">Core.lean</x:t>
        </x:is>
      </x:c>
      <x:c r="H4" t="inlineStr">
        <x:is>
          <x:t xml:space="preserve">def, theorem</x:t>
        </x:is>
      </x:c>
      <x:c r="I4" t="inlineStr">
        <x:is>
          <x:t xml:space="preserve">Coherence measure compiles; chi product collapses if any factor is zero</x:t>
        </x:is>
      </x:c>
      <x:c r="J4" t="inlineStr">
        <x:is>
          <x:t xml:space="preserve">Does not prove coherence is the only theory of truth (vs correspondence, pragmatic)</x:t>
        </x:is>
      </x:c>
      <x:c r="K4" t="inlineStr">
        <x:is>
          <x:t xml:space="preserve">Truth presupposes non-contradiction</x:t>
        </x:is>
      </x:c>
      <x:c r="L4" t="inlineStr">
        <x:is>
          <x:t xml:space="preserve">Acknowledge coherentism vs correspondence debate honestly. The claim is structural, not a theory-of-truth commitment.</x:t>
        </x:is>
      </x:c>
    </x:row>
    <x:row r="5">
      <x:c r="A5" t="inlineStr">
        <x:is>
          <x:t xml:space="preserve">L1-Q3</x:t>
        </x:is>
      </x:c>
      <x:c r="B5" t="inlineStr">
        <x:is>
          <x:t xml:space="preserve">1 — Coherence</x:t>
        </x:is>
      </x:c>
      <x:c r="C5" t="inlineStr">
        <x:is>
          <x:t xml:space="preserve">Q3</x:t>
        </x:is>
      </x:c>
      <x:c r="D5" t="inlineStr">
        <x:is>
          <x:t xml:space="preserve">Does every worldview require coherence before it can argue, measure, judge, or explain anything?</x:t>
        </x:is>
      </x:c>
      <x:c r="E5" t="inlineStr">
        <x:is>
          <x:t xml:space="preserve">Framework Commitment</x:t>
        </x:is>
      </x:c>
      <x:c r="F5" t="inlineStr">
        <x:is>
          <x:t xml:space="preserve">U1, U2</x:t>
        </x:is>
      </x:c>
      <x:c r="G5" t="inlineStr">
        <x:is>
          <x:t xml:space="preserve">—</x:t>
        </x:is>
      </x:c>
      <x:c r="H5" t="inlineStr">
        <x:is>
          <x:t xml:space="preserve">—</x:t>
        </x:is>
      </x:c>
      <x:c r="I5" t="inlineStr">
        <x:is>
          <x:t xml:space="preserve">—</x:t>
        </x:is>
      </x:c>
      <x:c r="J5" t="inlineStr">
        <x:is>
          <x:t xml:space="preserve">—</x:t>
        </x:is>
      </x:c>
      <x:c r="K5" t="inlineStr">
        <x:is>
          <x:t xml:space="preserve">Coherence is universally presupposed</x:t>
        </x:is>
      </x:c>
      <x:c r="L5" t="inlineStr">
        <x:is>
          <x:t xml:space="preserve">A critic can claim to operate without coherence only by using coherent arguments to do so — but mark this as a pragmatic observation, not a formal proof.</x:t>
        </x:is>
      </x:c>
    </x:row>
    <x:row r="6">
      <x:c r="A6" t="inlineStr">
        <x:is>
          <x:t xml:space="preserve">L1-Q4</x:t>
        </x:is>
      </x:c>
      <x:c r="B6" t="inlineStr">
        <x:is>
          <x:t xml:space="preserve">1 — Coherence</x:t>
        </x:is>
      </x:c>
      <x:c r="C6" t="inlineStr">
        <x:is>
          <x:t xml:space="preserve">Q4</x:t>
        </x:is>
      </x:c>
      <x:c r="D6" t="inlineStr">
        <x:is>
          <x:t xml:space="preserve">Does coherence require a standard of alignment?</x:t>
        </x:is>
      </x:c>
      <x:c r="E6" t="inlineStr">
        <x:is>
          <x:t xml:space="preserve">Abductive Inference</x:t>
        </x:is>
      </x:c>
      <x:c r="F6" t="inlineStr">
        <x:is>
          <x:t xml:space="preserve">A3.2, D3.1, E3.1</x:t>
        </x:is>
      </x:c>
      <x:c r="G6" t="inlineStr">
        <x:is>
          <x:t xml:space="preserve">BridgeMatrix.lean</x:t>
        </x:is>
      </x:c>
      <x:c r="H6" t="inlineStr">
        <x:is>
          <x:t xml:space="preserve">structure, def, theorem</x:t>
        </x:is>
      </x:c>
      <x:c r="I6" t="inlineStr">
        <x:is>
          <x:t xml:space="preserve">Factor signatures typed; canonical rows valid; named swaps fail</x:t>
        </x:is>
      </x:c>
      <x:c r="J6" t="inlineStr">
        <x:is>
          <x:t xml:space="preserve">Does not prove these ten factors are the correct or complete description of reality</x:t>
        </x:is>
      </x:c>
      <x:c r="K6" t="inlineStr">
        <x:is>
          <x:t xml:space="preserve">Alignment requires a reference signal</x:t>
        </x:is>
      </x:c>
      <x:c r="L6" t="inlineStr">
        <x:is>
          <x:t xml:space="preserve">The step from 'coherence exists' to 'coherence requires a standard' is abductive — strongest available explanation, not deductive certainty.</x:t>
        </x:is>
      </x:c>
    </x:row>
    <x:row r="7">
      <x:c r="A7" t="inlineStr">
        <x:is>
          <x:t xml:space="preserve">L1-Q5</x:t>
        </x:is>
      </x:c>
      <x:c r="B7" t="inlineStr">
        <x:is>
          <x:t xml:space="preserve">1 — Coherence</x:t>
        </x:is>
      </x:c>
      <x:c r="C7" t="inlineStr">
        <x:is>
          <x:t xml:space="preserve">Q5</x:t>
        </x:is>
      </x:c>
      <x:c r="D7" t="inlineStr">
        <x:is>
          <x:t xml:space="preserve">Can the broken, changing, contradictory world be the final standard of coherence?</x:t>
        </x:is>
      </x:c>
      <x:c r="E7" t="inlineStr">
        <x:is>
          <x:t xml:space="preserve">Logical Necessity</x:t>
        </x:is>
      </x:c>
      <x:c r="F7" t="inlineStr">
        <x:is>
          <x:t xml:space="preserve">T3.1, LN3.1</x:t>
        </x:is>
      </x:c>
      <x:c r="G7" t="inlineStr">
        <x:is>
          <x:t xml:space="preserve">PolarityDiscipline.lean</x:t>
        </x:is>
      </x:c>
      <x:c r="H7" t="inlineStr">
        <x:is>
          <x:t xml:space="preserve">theorem</x:t>
        </x:is>
      </x:c>
      <x:c r="I7" t="inlineStr">
        <x:is>
          <x:t xml:space="preserve">Destructive signs cannot self-redeem through ordinary multiplication</x:t>
        </x:is>
      </x:c>
      <x:c r="J7" t="inlineStr">
        <x:is>
          <x:t xml:space="preserve">Does not prove that moral polarity in the real world works this way</x:t>
        </x:is>
      </x:c>
      <x:c r="K7" t="inlineStr">
        <x:is>
          <x:t xml:space="preserve">The standard cannot be the broken thing being measured</x:t>
        </x:is>
      </x:c>
      <x:c r="L7" t="inlineStr">
        <x:is>
          <x:t xml:space="preserve">This is the strongest step in Lane 1. Mark it clearly: a corrupted measuring instrument cannot calibrate itself.</x:t>
        </x:is>
      </x:c>
    </x:row>
    <x:row r="8">
      <x:c r="A8" t="inlineStr">
        <x:is>
          <x:t xml:space="preserve">L1-Q6</x:t>
        </x:is>
      </x:c>
      <x:c r="B8" t="inlineStr">
        <x:is>
          <x:t xml:space="preserve">1 — Coherence</x:t>
        </x:is>
      </x:c>
      <x:c r="C8" t="inlineStr">
        <x:is>
          <x:t xml:space="preserve">Q6</x:t>
        </x:is>
      </x:c>
      <x:c r="D8" t="inlineStr">
        <x:is>
          <x:t xml:space="preserve">Must the final standard be prior, stable, truth-bearing, generative, and authoritative?</x:t>
        </x:is>
      </x:c>
      <x:c r="E8" t="inlineStr">
        <x:is>
          <x:t xml:space="preserve">Abductive Inference</x:t>
        </x:is>
      </x:c>
      <x:c r="F8" t="inlineStr">
        <x:is>
          <x:t xml:space="preserve">A2.2, BC1, BC6</x:t>
        </x:is>
      </x:c>
      <x:c r="G8" t="inlineStr">
        <x:is>
          <x:t xml:space="preserve">Core.lean, FieldBridgeControls.lean</x:t>
        </x:is>
      </x:c>
      <x:c r="H8" t="inlineStr">
        <x:is>
          <x:t xml:space="preserve">def, theorem</x:t>
        </x:is>
      </x:c>
      <x:c r="I8" t="inlineStr">
        <x:is>
          <x:t xml:space="preserve">Self-grounding substrate formally defined; missing source/relation/command forces bridge score to zero</x:t>
        </x:is>
      </x:c>
      <x:c r="J8" t="inlineStr">
        <x:is>
          <x:t xml:space="preserve">Does not prove these are the right failure modes for real theology or physics</x:t>
        </x:is>
      </x:c>
      <x:c r="K8" t="inlineStr">
        <x:is>
          <x:t xml:space="preserve">Source must be prior, stable, self-grounding</x:t>
        </x:is>
      </x:c>
      <x:c r="L8" t="inlineStr">
        <x:is>
          <x:t xml:space="preserve">Each adjective (prior, stable, truth-bearing, generative, authoritative) should be defended separately. Do not bundle them as if one proof covers all five.</x:t>
        </x:is>
      </x:c>
    </x:row>
    <x:row r="9">
      <x:c r="A9" t="inlineStr">
        <x:is>
          <x:t xml:space="preserve">L1-Q7</x:t>
        </x:is>
      </x:c>
      <x:c r="B9" t="inlineStr">
        <x:is>
          <x:t xml:space="preserve">1 — Coherence</x:t>
        </x:is>
      </x:c>
      <x:c r="C9" t="inlineStr">
        <x:is>
          <x:t xml:space="preserve">Q7</x:t>
        </x:is>
      </x:c>
      <x:c r="D9" t="inlineStr">
        <x:is>
          <x:t xml:space="preserve">What do we call the source of truth, order, and coherence?</x:t>
        </x:is>
      </x:c>
      <x:c r="E9" t="inlineStr">
        <x:is>
          <x:t xml:space="preserve">Identification</x:t>
        </x:is>
      </x:c>
      <x:c r="F9" t="inlineStr">
        <x:is>
          <x:t xml:space="preserve">ID7.1, LAMBDA</x:t>
        </x:is>
      </x:c>
      <x:c r="G9" t="inlineStr">
        <x:is>
          <x:t xml:space="preserve">—</x:t>
        </x:is>
      </x:c>
      <x:c r="H9" t="inlineStr">
        <x:is>
          <x:t xml:space="preserve">—</x:t>
        </x:is>
      </x:c>
      <x:c r="I9" t="inlineStr">
        <x:is>
          <x:t xml:space="preserve">—</x:t>
        </x:is>
      </x:c>
      <x:c r="J9" t="inlineStr">
        <x:is>
          <x:t xml:space="preserve">The naming step is not formally provable — it is the identification claim</x:t>
        </x:is>
      </x:c>
      <x:c r="K9" t="inlineStr">
        <x:is>
          <x:t xml:space="preserve">God</x:t>
        </x:is>
      </x:c>
      <x:c r="L9" t="inlineStr">
        <x:is>
          <x:t xml:space="preserve">This is where the framework transitions from structure to naming. Be explicit: 'God' is the name we give to the source that fits the shape. The shape is argued; the name is offered.</x:t>
        </x:is>
      </x:c>
    </x:row>
    <x:row r="10">
      <x:c r="A10" t="inlineStr">
        <x:is>
          <x:t xml:space="preserve">LANE 2</x:t>
        </x:is>
      </x:c>
      <x:c r="B10" t="inlineStr">
        <x:is>
          <x:t xml:space="preserve">THE MORAL / DUALITY LANE</x:t>
        </x:is>
      </x:c>
      <x:c r="D10" t="inlineStr">
        <x:is>
          <x:t xml:space="preserve">Evil is not an equal opposite of good, but a parasitic corruption of good.</x:t>
        </x:is>
      </x:c>
      <x:c r="K10" t="inlineStr">
        <x:is>
          <x:t xml:space="preserve">A prior source of goodness from which evil deviates</x:t>
        </x:is>
      </x:c>
    </x:row>
    <x:row r="11">
      <x:c r="A11" t="inlineStr">
        <x:is>
          <x:t xml:space="preserve">L2-Q1</x:t>
        </x:is>
      </x:c>
      <x:c r="B11" t="inlineStr">
        <x:is>
          <x:t xml:space="preserve">2 — Moral/Duality</x:t>
        </x:is>
      </x:c>
      <x:c r="C11" t="inlineStr">
        <x:is>
          <x:t xml:space="preserve">Q1</x:t>
        </x:is>
      </x:c>
      <x:c r="D11" t="inlineStr">
        <x:is>
          <x:t xml:space="preserve">Is there such a thing as real evil?</x:t>
        </x:is>
      </x:c>
      <x:c r="E11" t="inlineStr">
        <x:is>
          <x:t xml:space="preserve">Axiom (Gateway)</x:t>
        </x:is>
      </x:c>
      <x:c r="F11" t="inlineStr">
        <x:is>
          <x:t xml:space="preserve">A11.1</x:t>
        </x:is>
      </x:c>
      <x:c r="G11" t="inlineStr">
        <x:is>
          <x:t xml:space="preserve">PolarityDiscipline.lean</x:t>
        </x:is>
      </x:c>
      <x:c r="H11" t="inlineStr">
        <x:is>
          <x:t xml:space="preserve">inductive, def</x:t>
        </x:is>
      </x:c>
      <x:c r="I11" t="inlineStr">
        <x:is>
          <x:t xml:space="preserve">Sign states (positive/negative/neutral) are formally defined with typed arithmetic</x:t>
        </x:is>
      </x:c>
      <x:c r="J11" t="inlineStr">
        <x:is>
          <x:t xml:space="preserve">Does not prove evil is real in the metaphysical sense — only that sign polarity is formally definable</x:t>
        </x:is>
      </x:c>
      <x:c r="K11" t="inlineStr">
        <x:is>
          <x:t xml:space="preserve">Evil is real, not merely preference</x:t>
        </x:is>
      </x:c>
      <x:c r="L11" t="inlineStr">
        <x:is>
          <x:t xml:space="preserve">Do not say every person consciously admits God when they admit evil. Say: if evil is real, then evil is a deviation from a standard.</x:t>
        </x:is>
      </x:c>
    </x:row>
    <x:row r="12">
      <x:c r="A12" t="inlineStr">
        <x:is>
          <x:t xml:space="preserve">L2-Q2</x:t>
        </x:is>
      </x:c>
      <x:c r="B12" t="inlineStr">
        <x:is>
          <x:t xml:space="preserve">2 — Moral/Duality</x:t>
        </x:is>
      </x:c>
      <x:c r="C12" t="inlineStr">
        <x:is>
          <x:t xml:space="preserve">Q2</x:t>
        </x:is>
      </x:c>
      <x:c r="D12" t="inlineStr">
        <x:is>
          <x:t xml:space="preserve">Is evil different from merely disliking something?</x:t>
        </x:is>
      </x:c>
      <x:c r="E12" t="inlineStr">
        <x:is>
          <x:t xml:space="preserve">Axiom (Gateway)</x:t>
        </x:is>
      </x:c>
      <x:c r="F12" t="inlineStr">
        <x:is>
          <x:t xml:space="preserve">A11.1, A11.2</x:t>
        </x:is>
      </x:c>
      <x:c r="G12" t="inlineStr">
        <x:is>
          <x:t xml:space="preserve">—</x:t>
        </x:is>
      </x:c>
      <x:c r="H12" t="inlineStr">
        <x:is>
          <x:t xml:space="preserve">—</x:t>
        </x:is>
      </x:c>
      <x:c r="I12" t="inlineStr">
        <x:is>
          <x:t xml:space="preserve">—</x:t>
        </x:is>
      </x:c>
      <x:c r="J12" t="inlineStr">
        <x:is>
          <x:t xml:space="preserve">—</x:t>
        </x:is>
      </x:c>
      <x:c r="K12" t="inlineStr">
        <x:is>
          <x:t xml:space="preserve">Evil is objective, not subjective</x:t>
        </x:is>
      </x:c>
      <x:c r="L12" t="inlineStr">
        <x:is>
          <x:t xml:space="preserve">A moral anti-realist can reject this step. Mark it: this is where moral realism enters as a premise.</x:t>
        </x:is>
      </x:c>
    </x:row>
    <x:row r="13">
      <x:c r="A13" t="inlineStr">
        <x:is>
          <x:t xml:space="preserve">L2-Q3</x:t>
        </x:is>
      </x:c>
      <x:c r="B13" t="inlineStr">
        <x:is>
          <x:t xml:space="preserve">2 — Moral/Duality</x:t>
        </x:is>
      </x:c>
      <x:c r="C13" t="inlineStr">
        <x:is>
          <x:t xml:space="preserve">Q3</x:t>
        </x:is>
      </x:c>
      <x:c r="D13" t="inlineStr">
        <x:is>
          <x:t xml:space="preserve">Does evil corrupt, harm, distort, or destroy something that should be whole?</x:t>
        </x:is>
      </x:c>
      <x:c r="E13" t="inlineStr">
        <x:is>
          <x:t xml:space="preserve">Logical Necessity</x:t>
        </x:is>
      </x:c>
      <x:c r="F13" t="inlineStr">
        <x:is>
          <x:t xml:space="preserve">A11.2, T11.2</x:t>
        </x:is>
      </x:c>
      <x:c r="G13" t="inlineStr">
        <x:is>
          <x:t xml:space="preserve">PolarityDiscipline.lean</x:t>
        </x:is>
      </x:c>
      <x:c r="H13" t="inlineStr">
        <x:is>
          <x:t xml:space="preserve">def, theorem</x:t>
        </x:is>
      </x:c>
      <x:c r="I13" t="inlineStr">
        <x:is>
          <x:t xml:space="preserve">Burden coupling: two negatives stay negative; destructive signs cannot self-redeem</x:t>
        </x:is>
      </x:c>
      <x:c r="J13" t="inlineStr">
        <x:is>
          <x:t xml:space="preserve">Does not prove moral polarity in the real world follows this arithmetic</x:t>
        </x:is>
      </x:c>
      <x:c r="K13" t="inlineStr">
        <x:is>
          <x:t xml:space="preserve">Evil is parasitic on prior good</x:t>
        </x:is>
      </x:c>
      <x:c r="L13" t="inlineStr">
        <x:is>
          <x:t xml:space="preserve">The Duality Project supports this: good is generative, evil is parasitic, neutrality is unstable.</x:t>
        </x:is>
      </x:c>
    </x:row>
    <x:row r="14">
      <x:c r="A14" t="inlineStr">
        <x:is>
          <x:t xml:space="preserve">L2-Q4</x:t>
        </x:is>
      </x:c>
      <x:c r="B14" t="inlineStr">
        <x:is>
          <x:t xml:space="preserve">2 — Moral/Duality</x:t>
        </x:is>
      </x:c>
      <x:c r="C14" t="inlineStr">
        <x:is>
          <x:t xml:space="preserve">Q4</x:t>
        </x:is>
      </x:c>
      <x:c r="D14" t="inlineStr">
        <x:is>
          <x:t xml:space="preserve">Can corruption exist without something good to corrupt?</x:t>
        </x:is>
      </x:c>
      <x:c r="E14" t="inlineStr">
        <x:is>
          <x:t xml:space="preserve">Logical Necessity</x:t>
        </x:is>
      </x:c>
      <x:c r="F14" t="inlineStr">
        <x:is>
          <x:t xml:space="preserve">T11.2, C8.1</x:t>
        </x:is>
      </x:c>
      <x:c r="G14" t="inlineStr">
        <x:is>
          <x:t xml:space="preserve">PolarityDiscipline.lean, MemoryPersistenceDiscipline.lean</x:t>
        </x:is>
      </x:c>
      <x:c r="H14" t="inlineStr">
        <x:is>
          <x:t xml:space="preserve">theorem</x:t>
        </x:is>
      </x:c>
      <x:c r="I14" t="inlineStr">
        <x:is>
          <x:t xml:space="preserve">Incoherent records not retained; negative states require prior positive substrate to deviate from</x:t>
        </x:is>
      </x:c>
      <x:c r="J14" t="inlineStr">
        <x:is>
          <x:t xml:space="preserve">Formal model only — does not prove real-world metaphysics of evil</x:t>
        </x:is>
      </x:c>
      <x:c r="K14" t="inlineStr">
        <x:is>
          <x:t xml:space="preserve">Good is logically prior to evil</x:t>
        </x:is>
      </x:c>
      <x:c r="L14" t="inlineStr">
        <x:is>
          <x:t xml:space="preserve">Augustine's privation theory supports this. Mark the philosophical lineage.</x:t>
        </x:is>
      </x:c>
    </x:row>
    <x:row r="15">
      <x:c r="A15" t="inlineStr">
        <x:is>
          <x:t xml:space="preserve">L2-Q5</x:t>
        </x:is>
      </x:c>
      <x:c r="B15" t="inlineStr">
        <x:is>
          <x:t xml:space="preserve">2 — Moral/Duality</x:t>
        </x:is>
      </x:c>
      <x:c r="C15" t="inlineStr">
        <x:is>
          <x:t xml:space="preserve">Q5</x:t>
        </x:is>
      </x:c>
      <x:c r="D15" t="inlineStr">
        <x:is>
          <x:t xml:space="preserve">Can evil create itself without borrowing from good?</x:t>
        </x:is>
      </x:c>
      <x:c r="E15" t="inlineStr">
        <x:is>
          <x:t xml:space="preserve">Theorem (proved in model)</x:t>
        </x:is>
      </x:c>
      <x:c r="F15" t="inlineStr">
        <x:is>
          <x:t xml:space="preserve">C8.1, C8.2, T8.1</x:t>
        </x:is>
      </x:c>
      <x:c r="G15" t="inlineStr">
        <x:is>
          <x:t xml:space="preserve">SignConversionDiscipline.lean</x:t>
        </x:is>
      </x:c>
      <x:c r="H15" t="inlineStr">
        <x:is>
          <x:t xml:space="preserve">theorem</x:t>
        </x:is>
      </x:c>
      <x:c r="I15" t="inlineStr">
        <x:is>
          <x:t xml:space="preserve">External conversion is required for restoration — self-generated operations cannot flip sign</x:t>
        </x:is>
      </x:c>
      <x:c r="J15" t="inlineStr">
        <x:is>
          <x:t xml:space="preserve">Proves the arithmetic; does not prove moral self-repair is impossible in all philosophical frameworks</x:t>
        </x:is>
      </x:c>
      <x:c r="K15" t="inlineStr">
        <x:is>
          <x:t xml:space="preserve">Evil cannot be its own ground</x:t>
        </x:is>
      </x:c>
      <x:c r="L15" t="inlineStr">
        <x:is>
          <x:t xml:space="preserve">This is one of the strongest Lean-backed steps. But be clear: it proves the MODEL, not the metaphysics.</x:t>
        </x:is>
      </x:c>
    </x:row>
    <x:row r="16">
      <x:c r="A16" t="inlineStr">
        <x:is>
          <x:t xml:space="preserve">L2-Q6</x:t>
        </x:is>
      </x:c>
      <x:c r="B16" t="inlineStr">
        <x:is>
          <x:t xml:space="preserve">2 — Moral/Duality</x:t>
        </x:is>
      </x:c>
      <x:c r="C16" t="inlineStr">
        <x:is>
          <x:t xml:space="preserve">Q6</x:t>
        </x:is>
      </x:c>
      <x:c r="D16" t="inlineStr">
        <x:is>
          <x:t xml:space="preserve">Is good therefore more fundamental than evil?</x:t>
        </x:is>
      </x:c>
      <x:c r="E16" t="inlineStr">
        <x:is>
          <x:t xml:space="preserve">Theorem (follows from Q3-Q5)</x:t>
        </x:is>
      </x:c>
      <x:c r="F16" t="inlineStr">
        <x:is>
          <x:t xml:space="preserve">A11.2, T11.1</x:t>
        </x:is>
      </x:c>
      <x:c r="G16" t="inlineStr">
        <x:is>
          <x:t xml:space="preserve">PolarityDiscipline.lean</x:t>
        </x:is>
      </x:c>
      <x:c r="H16" t="inlineStr">
        <x:is>
          <x:t xml:space="preserve">theorem</x:t>
        </x:is>
      </x:c>
      <x:c r="I16" t="inlineStr">
        <x:is>
          <x:t xml:space="preserve">Sign arithmetic enforces asymmetry: positive is generative, negative is parasitic</x:t>
        </x:is>
      </x:c>
      <x:c r="J16" t="inlineStr">
        <x:is>
          <x:t xml:space="preserve">Model asymmetry — real-world ontological priority is a separate claim</x:t>
        </x:is>
      </x:c>
      <x:c r="K16" t="inlineStr">
        <x:is>
          <x:t xml:space="preserve">Good is ontologically prior</x:t>
        </x:is>
      </x:c>
      <x:c r="L16" t="inlineStr">
        <x:is>
          <x:t xml:space="preserve">Strongest when combined with Lane 1: if coherence is prior, and good = coherence, then good is prior.</x:t>
        </x:is>
      </x:c>
    </x:row>
    <x:row r="17">
      <x:c r="A17" t="inlineStr">
        <x:is>
          <x:t xml:space="preserve">L2-Q7</x:t>
        </x:is>
      </x:c>
      <x:c r="B17" t="inlineStr">
        <x:is>
          <x:t xml:space="preserve">2 — Moral/Duality</x:t>
        </x:is>
      </x:c>
      <x:c r="C17" t="inlineStr">
        <x:is>
          <x:t xml:space="preserve">Q7</x:t>
        </x:is>
      </x:c>
      <x:c r="D17" t="inlineStr">
        <x:is>
          <x:t xml:space="preserve">What do we call the ultimate source of good?</x:t>
        </x:is>
      </x:c>
      <x:c r="E17" t="inlineStr">
        <x:is>
          <x:t xml:space="preserve">Identification</x:t>
        </x:is>
      </x:c>
      <x:c r="F17" t="inlineStr">
        <x:is>
          <x:t xml:space="preserve">ID7.1</x:t>
        </x:is>
      </x:c>
      <x:c r="G17" t="inlineStr">
        <x:is>
          <x:t xml:space="preserve">—</x:t>
        </x:is>
      </x:c>
      <x:c r="H17" t="inlineStr">
        <x:is>
          <x:t xml:space="preserve">—</x:t>
        </x:is>
      </x:c>
      <x:c r="I17" t="inlineStr">
        <x:is>
          <x:t xml:space="preserve">—</x:t>
        </x:is>
      </x:c>
      <x:c r="J17" t="inlineStr">
        <x:is>
          <x:t xml:space="preserve">Naming step — not formally provable</x:t>
        </x:is>
      </x:c>
      <x:c r="K17" t="inlineStr">
        <x:is>
          <x:t xml:space="preserve">God</x:t>
        </x:is>
      </x:c>
      <x:c r="L17" t="inlineStr">
        <x:is>
          <x:t xml:space="preserve">Same pattern as Lane 1 Q7: the shape is argued, the name is offered.</x:t>
        </x:is>
      </x:c>
    </x:row>
    <x:row r="18">
      <x:c r="A18" t="inlineStr">
        <x:is>
          <x:t xml:space="preserve">LANE 3</x:t>
        </x:is>
      </x:c>
      <x:c r="B18" t="inlineStr">
        <x:is>
          <x:t xml:space="preserve">THE INFORMATION / LOGIC LANE</x:t>
        </x:is>
      </x:c>
      <x:c r="D18" t="inlineStr">
        <x:is>
          <x:t xml:space="preserve">From existence to distinction to information to substrate to self-grounding source.</x:t>
        </x:is>
      </x:c>
      <x:c r="K18" t="inlineStr">
        <x:is>
          <x:t xml:space="preserve">Self-grounding Logos</x:t>
        </x:is>
      </x:c>
    </x:row>
    <x:row r="19">
      <x:c r="A19" t="inlineStr">
        <x:is>
          <x:t xml:space="preserve">L3-Q1</x:t>
        </x:is>
      </x:c>
      <x:c r="B19" t="inlineStr">
        <x:is>
          <x:t xml:space="preserve">3 — Information/Logic</x:t>
        </x:is>
      </x:c>
      <x:c r="C19" t="inlineStr">
        <x:is>
          <x:t xml:space="preserve">Q1</x:t>
        </x:is>
      </x:c>
      <x:c r="D19" t="inlineStr">
        <x:is>
          <x:t xml:space="preserve">Does anything exist?</x:t>
        </x:is>
      </x:c>
      <x:c r="E19" t="inlineStr">
        <x:is>
          <x:t xml:space="preserve">Axiom (self-evident)</x:t>
        </x:is>
      </x:c>
      <x:c r="F19" t="inlineStr">
        <x:is>
          <x:t xml:space="preserve">A1.1</x:t>
        </x:is>
      </x:c>
      <x:c r="G19" t="inlineStr">
        <x:is>
          <x:t xml:space="preserve">Core.lean</x:t>
        </x:is>
      </x:c>
      <x:c r="H19" t="inlineStr">
        <x:is>
          <x:t xml:space="preserve">structure, def</x:t>
        </x:is>
      </x:c>
      <x:c r="I19" t="inlineStr">
        <x:is>
          <x:t xml:space="preserve">Substrate states formally defined; existence is the first typed element</x:t>
        </x:is>
      </x:c>
      <x:c r="J19" t="inlineStr">
        <x:is>
          <x:t xml:space="preserve">Formal type existence ≠ metaphysical proof of existence</x:t>
        </x:is>
      </x:c>
      <x:c r="K19" t="inlineStr">
        <x:is>
          <x:t xml:space="preserve">Existence is undeniable</x:t>
        </x:is>
      </x:c>
      <x:c r="L19" t="inlineStr">
        <x:is>
          <x:t xml:space="preserve">Descartes-level certainty. Nearly impossible to deny without self-refutation.</x:t>
        </x:is>
      </x:c>
    </x:row>
    <x:row r="20">
      <x:c r="A20" t="inlineStr">
        <x:is>
          <x:t xml:space="preserve">L3-Q2</x:t>
        </x:is>
      </x:c>
      <x:c r="B20" t="inlineStr">
        <x:is>
          <x:t xml:space="preserve">3 — Information/Logic</x:t>
        </x:is>
      </x:c>
      <x:c r="C20" t="inlineStr">
        <x:is>
          <x:t xml:space="preserve">Q2</x:t>
        </x:is>
      </x:c>
      <x:c r="D20" t="inlineStr">
        <x:is>
          <x:t xml:space="preserve">Can existence be meaningful without distinction?</x:t>
        </x:is>
      </x:c>
      <x:c r="E20" t="inlineStr">
        <x:is>
          <x:t xml:space="preserve">Axiom (self-evident)</x:t>
        </x:is>
      </x:c>
      <x:c r="F20" t="inlineStr">
        <x:is>
          <x:t xml:space="preserve">A1.2</x:t>
        </x:is>
      </x:c>
      <x:c r="G20" t="inlineStr">
        <x:is>
          <x:t xml:space="preserve">—</x:t>
        </x:is>
      </x:c>
      <x:c r="H20" t="inlineStr">
        <x:is>
          <x:t xml:space="preserve">—</x:t>
        </x:is>
      </x:c>
      <x:c r="I20" t="inlineStr">
        <x:is>
          <x:t xml:space="preserve">—</x:t>
        </x:is>
      </x:c>
      <x:c r="J20" t="inlineStr">
        <x:is>
          <x:t xml:space="preserve">—</x:t>
        </x:is>
      </x:c>
      <x:c r="K20" t="inlineStr">
        <x:is>
          <x:t xml:space="preserve">Distinction is required for meaning</x:t>
        </x:is>
      </x:c>
      <x:c r="L20" t="inlineStr">
        <x:is>
          <x:t xml:space="preserve">Spencer-Brown, Bateson: 'a difference that makes a difference.'</x:t>
        </x:is>
      </x:c>
    </x:row>
    <x:row r="21">
      <x:c r="A21" t="inlineStr">
        <x:is>
          <x:t xml:space="preserve">L3-Q3</x:t>
        </x:is>
      </x:c>
      <x:c r="B21" t="inlineStr">
        <x:is>
          <x:t xml:space="preserve">3 — Information/Logic</x:t>
        </x:is>
      </x:c>
      <x:c r="C21" t="inlineStr">
        <x:is>
          <x:t xml:space="preserve">Q3</x:t>
        </x:is>
      </x:c>
      <x:c r="D21" t="inlineStr">
        <x:is>
          <x:t xml:space="preserve">Is distinction information?</x:t>
        </x:is>
      </x:c>
      <x:c r="E21" t="inlineStr">
        <x:is>
          <x:t xml:space="preserve">Definition / Logical Necessity</x:t>
        </x:is>
      </x:c>
      <x:c r="F21" t="inlineStr">
        <x:is>
          <x:t xml:space="preserve">A1.3, D1.1, D1.2</x:t>
        </x:is>
      </x:c>
      <x:c r="G21" t="inlineStr">
        <x:is>
          <x:t xml:space="preserve">—</x:t>
        </x:is>
      </x:c>
      <x:c r="H21" t="inlineStr">
        <x:is>
          <x:t xml:space="preserve">—</x:t>
        </x:is>
      </x:c>
      <x:c r="I21" t="inlineStr">
        <x:is>
          <x:t xml:space="preserve">—</x:t>
        </x:is>
      </x:c>
      <x:c r="J21" t="inlineStr">
        <x:is>
          <x:t xml:space="preserve">—</x:t>
        </x:is>
      </x:c>
      <x:c r="K21" t="inlineStr">
        <x:is>
          <x:t xml:space="preserve">Distinction IS information (Shannon, Wheeler)</x:t>
        </x:is>
      </x:c>
      <x:c r="L21" t="inlineStr">
        <x:is>
          <x:t xml:space="preserve">Mark honestly: this is deductive from Shannon's definition. The ontological claim (info is primitive) is stronger.</x:t>
        </x:is>
      </x:c>
    </x:row>
    <x:row r="22">
      <x:c r="A22" t="inlineStr">
        <x:is>
          <x:t xml:space="preserve">L3-Q4</x:t>
        </x:is>
      </x:c>
      <x:c r="B22" t="inlineStr">
        <x:is>
          <x:t xml:space="preserve">3 — Information/Logic</x:t>
        </x:is>
      </x:c>
      <x:c r="C22" t="inlineStr">
        <x:is>
          <x:t xml:space="preserve">Q4</x:t>
        </x:is>
      </x:c>
      <x:c r="D22" t="inlineStr">
        <x:is>
          <x:t xml:space="preserve">Can information exist without being grounded, carried, or instantiated?</x:t>
        </x:is>
      </x:c>
      <x:c r="E22" t="inlineStr">
        <x:is>
          <x:t xml:space="preserve">Axiom</x:t>
        </x:is>
      </x:c>
      <x:c r="F22" t="inlineStr">
        <x:is>
          <x:t xml:space="preserve">A2.1, LN1.1, LN1.2</x:t>
        </x:is>
      </x:c>
      <x:c r="G22" t="inlineStr">
        <x:is>
          <x:t xml:space="preserve">Core.lean</x:t>
        </x:is>
      </x:c>
      <x:c r="H22" t="inlineStr">
        <x:is>
          <x:t xml:space="preserve">structure, def</x:t>
        </x:is>
      </x:c>
      <x:c r="I22" t="inlineStr">
        <x:is>
          <x:t xml:space="preserve">Substrate requirement is formally typed; coupling states defined</x:t>
        </x:is>
      </x:c>
      <x:c r="J22" t="inlineStr">
        <x:is>
          <x:t xml:space="preserve">Formal typing ≠ proof that information requires substrate in all metaphysical systems</x:t>
        </x:is>
      </x:c>
      <x:c r="K22" t="inlineStr">
        <x:is>
          <x:t xml:space="preserve">Information requires instantiation</x:t>
        </x:is>
      </x:c>
      <x:c r="L22" t="inlineStr">
        <x:is>
          <x:t xml:space="preserve">Landauer's principle supports this physically. Platonists may disagree — mark the fork.</x:t>
        </x:is>
      </x:c>
    </x:row>
    <x:row r="23">
      <x:c r="A23" t="inlineStr">
        <x:is>
          <x:t xml:space="preserve">L3-Q5</x:t>
        </x:is>
      </x:c>
      <x:c r="B23" t="inlineStr">
        <x:is>
          <x:t xml:space="preserve">3 — Information/Logic</x:t>
        </x:is>
      </x:c>
      <x:c r="C23" t="inlineStr">
        <x:is>
          <x:t xml:space="preserve">Q5</x:t>
        </x:is>
      </x:c>
      <x:c r="D23" t="inlineStr">
        <x:is>
          <x:t xml:space="preserve">Can a contingent ground explain itself without regress?</x:t>
        </x:is>
      </x:c>
      <x:c r="E23" t="inlineStr">
        <x:is>
          <x:t xml:space="preserve">Logical Necessity</x:t>
        </x:is>
      </x:c>
      <x:c r="F23" t="inlineStr">
        <x:is>
          <x:t xml:space="preserve">A2.2, LN2.1</x:t>
        </x:is>
      </x:c>
      <x:c r="G23" t="inlineStr">
        <x:is>
          <x:t xml:space="preserve">Core.lean</x:t>
        </x:is>
      </x:c>
      <x:c r="H23" t="inlineStr">
        <x:is>
          <x:t xml:space="preserve">theorem</x:t>
        </x:is>
      </x:c>
      <x:c r="I23" t="inlineStr">
        <x:is>
          <x:t xml:space="preserve">C0 ≠ C1 proved; coupling transition is irreversible; no backward step</x:t>
        </x:is>
      </x:c>
      <x:c r="J23" t="inlineStr">
        <x:is>
          <x:t xml:space="preserve">Irreversibility in the model ≠ metaphysical proof against infinite regress or brute fact</x:t>
        </x:is>
      </x:c>
      <x:c r="K23" t="inlineStr">
        <x:is>
          <x:t xml:space="preserve">Regress must terminate</x:t>
        </x:is>
      </x:c>
      <x:c r="L23" t="inlineStr">
        <x:is>
          <x:t xml:space="preserve">A2.2 is honestly marked as a FRAMEWORK COMMITMENT, not logical necessity. A critic can choose brute fact.</x:t>
        </x:is>
      </x:c>
    </x:row>
    <x:row r="24">
      <x:c r="A24" t="inlineStr">
        <x:is>
          <x:t xml:space="preserve">L3-Q6</x:t>
        </x:is>
      </x:c>
      <x:c r="B24" t="inlineStr">
        <x:is>
          <x:t xml:space="preserve">3 — Information/Logic</x:t>
        </x:is>
      </x:c>
      <x:c r="C24" t="inlineStr">
        <x:is>
          <x:t xml:space="preserve">Q6</x:t>
        </x:is>
      </x:c>
      <x:c r="D24" t="inlineStr">
        <x:is>
          <x:t xml:space="preserve">Must the final ground be self-grounding?</x:t>
        </x:is>
      </x:c>
      <x:c r="E24" t="inlineStr">
        <x:is>
          <x:t xml:space="preserve">Framework Commitment</x:t>
        </x:is>
      </x:c>
      <x:c r="F24" t="inlineStr">
        <x:is>
          <x:t xml:space="preserve">A2.2, D2.1</x:t>
        </x:is>
      </x:c>
      <x:c r="G24" t="inlineStr">
        <x:is>
          <x:t xml:space="preserve">Core.lean</x:t>
        </x:is>
      </x:c>
      <x:c r="H24" t="inlineStr">
        <x:is>
          <x:t xml:space="preserve">def</x:t>
        </x:is>
      </x:c>
      <x:c r="I24" t="inlineStr">
        <x:is>
          <x:t xml:space="preserve">Self-grounding substrate formally defined as typed structure</x:t>
        </x:is>
      </x:c>
      <x:c r="J24" t="inlineStr">
        <x:is>
          <x:t xml:space="preserve">Self-grounding is a framework choice over brute fact and infinite regress — not deduced</x:t>
        </x:is>
      </x:c>
      <x:c r="K24" t="inlineStr">
        <x:is>
          <x:t xml:space="preserve">Self-grounding is the most coherent option</x:t>
        </x:is>
      </x:c>
      <x:c r="L24" t="inlineStr">
        <x:is>
          <x:t xml:space="preserve">Be explicit: 'We chose self-grounding because it is the most coherent option. We acknowledge a critic can choose brute fact if willing to pay the cost.'</x:t>
        </x:is>
      </x:c>
    </x:row>
    <x:row r="25">
      <x:c r="A25" t="inlineStr">
        <x:is>
          <x:t xml:space="preserve">L3-Q7</x:t>
        </x:is>
      </x:c>
      <x:c r="B25" t="inlineStr">
        <x:is>
          <x:t xml:space="preserve">3 — Information/Logic</x:t>
        </x:is>
      </x:c>
      <x:c r="C25" t="inlineStr">
        <x:is>
          <x:t xml:space="preserve">Q7</x:t>
        </x:is>
      </x:c>
      <x:c r="D25" t="inlineStr">
        <x:is>
          <x:t xml:space="preserve">What kind of source can ground information, meaning, and reality itself?</x:t>
        </x:is>
      </x:c>
      <x:c r="E25" t="inlineStr">
        <x:is>
          <x:t xml:space="preserve">Identification</x:t>
        </x:is>
      </x:c>
      <x:c r="F25" t="inlineStr">
        <x:is>
          <x:t xml:space="preserve">D2.1, ID7.1, LAMBDA</x:t>
        </x:is>
      </x:c>
      <x:c r="G25" t="inlineStr">
        <x:is>
          <x:t xml:space="preserve">—</x:t>
        </x:is>
      </x:c>
      <x:c r="H25" t="inlineStr">
        <x:is>
          <x:t xml:space="preserve">—</x:t>
        </x:is>
      </x:c>
      <x:c r="I25" t="inlineStr">
        <x:is>
          <x:t xml:space="preserve">—</x:t>
        </x:is>
      </x:c>
      <x:c r="J25" t="inlineStr">
        <x:is>
          <x:t xml:space="preserve">Naming step — the shape is argued, the name is offered</x:t>
        </x:is>
      </x:c>
      <x:c r="K25" t="inlineStr">
        <x:is>
          <x:t xml:space="preserve">Self-grounding Logos</x:t>
        </x:is>
      </x:c>
      <x:c r="L25" t="inlineStr">
        <x:is>
          <x:t xml:space="preserve">Q1–Q22 chain lands here. Some steps deductive, some abductive — mark the difference honestly.</x:t>
        </x:is>
      </x:c>
    </x:row>
    <x:row r="26">
      <x:c r="A26" t="inlineStr">
        <x:is>
          <x:t xml:space="preserve">LANE 4</x:t>
        </x:is>
      </x:c>
      <x:c r="B26" t="inlineStr">
        <x:is>
          <x:t xml:space="preserve">THE CONSCIOUSNESS LANE</x:t>
        </x:is>
      </x:c>
      <x:c r="D26" t="inlineStr">
        <x:is>
          <x:t xml:space="preserve">Consciousness cannot be treated as irrelevant while every act of knowing depends on it.</x:t>
        </x:is>
      </x:c>
      <x:c r="K26" t="inlineStr">
        <x:is>
          <x:t xml:space="preserve">A personal or supra-personal ground of consciousness</x:t>
        </x:is>
      </x:c>
    </x:row>
    <x:row r="27">
      <x:c r="A27" t="inlineStr">
        <x:is>
          <x:t xml:space="preserve">L4-Q1</x:t>
        </x:is>
      </x:c>
      <x:c r="B27" t="inlineStr">
        <x:is>
          <x:t xml:space="preserve">4 — Consciousness</x:t>
        </x:is>
      </x:c>
      <x:c r="C27" t="inlineStr">
        <x:is>
          <x:t xml:space="preserve">Q1</x:t>
        </x:is>
      </x:c>
      <x:c r="D27" t="inlineStr">
        <x:is>
          <x:t xml:space="preserve">Are you conscious right now?</x:t>
        </x:is>
      </x:c>
      <x:c r="E27" t="inlineStr">
        <x:is>
          <x:t xml:space="preserve">Axiom (self-evident)</x:t>
        </x:is>
      </x:c>
      <x:c r="F27" t="inlineStr">
        <x:is>
          <x:t xml:space="preserve">A5.1, A10.1</x:t>
        </x:is>
      </x:c>
      <x:c r="G27" t="inlineStr">
        <x:is>
          <x:t xml:space="preserve">—</x:t>
        </x:is>
      </x:c>
      <x:c r="H27" t="inlineStr">
        <x:is>
          <x:t xml:space="preserve">—</x:t>
        </x:is>
      </x:c>
      <x:c r="I27" t="inlineStr">
        <x:is>
          <x:t xml:space="preserve">—</x:t>
        </x:is>
      </x:c>
      <x:c r="J27" t="inlineStr">
        <x:is>
          <x:t xml:space="preserve">—</x:t>
        </x:is>
      </x:c>
      <x:c r="K27" t="inlineStr">
        <x:is>
          <x:t xml:space="preserve">Consciousness is undeniable to the conscious</x:t>
        </x:is>
      </x:c>
      <x:c r="L27" t="inlineStr">
        <x:is>
          <x:t xml:space="preserve">Descartes-level. Denying it uses it.</x:t>
        </x:is>
      </x:c>
    </x:row>
    <x:row r="28">
      <x:c r="A28" t="inlineStr">
        <x:is>
          <x:t xml:space="preserve">L4-Q2</x:t>
        </x:is>
      </x:c>
      <x:c r="B28" t="inlineStr">
        <x:is>
          <x:t xml:space="preserve">4 — Consciousness</x:t>
        </x:is>
      </x:c>
      <x:c r="C28" t="inlineStr">
        <x:is>
          <x:t xml:space="preserve">Q2</x:t>
        </x:is>
      </x:c>
      <x:c r="D28" t="inlineStr">
        <x:is>
          <x:t xml:space="preserve">Is your experience real, or only an illusion?</x:t>
        </x:is>
      </x:c>
      <x:c r="E28" t="inlineStr">
        <x:is>
          <x:t xml:space="preserve">Logical Necessity</x:t>
        </x:is>
      </x:c>
      <x:c r="F28" t="inlineStr">
        <x:is>
          <x:t xml:space="preserve">A5.1, O3</x:t>
        </x:is>
      </x:c>
      <x:c r="G28" t="inlineStr">
        <x:is>
          <x:t xml:space="preserve">—</x:t>
        </x:is>
      </x:c>
      <x:c r="H28" t="inlineStr">
        <x:is>
          <x:t xml:space="preserve">—</x:t>
        </x:is>
      </x:c>
      <x:c r="I28" t="inlineStr">
        <x:is>
          <x:t xml:space="preserve">—</x:t>
        </x:is>
      </x:c>
      <x:c r="J28" t="inlineStr">
        <x:is>
          <x:t xml:space="preserve">—</x:t>
        </x:is>
      </x:c>
      <x:c r="K28" t="inlineStr">
        <x:is>
          <x:t xml:space="preserve">Experience is real even if contents are mistaken</x:t>
        </x:is>
      </x:c>
      <x:c r="L28" t="inlineStr">
        <x:is>
          <x:t xml:space="preserve">The eliminativist can claim experience is not what it seems — but cannot deny there is something it is like.</x:t>
        </x:is>
      </x:c>
    </x:row>
    <x:row r="29">
      <x:c r="A29" t="inlineStr">
        <x:is>
          <x:t xml:space="preserve">L4-Q3</x:t>
        </x:is>
      </x:c>
      <x:c r="B29" t="inlineStr">
        <x:is>
          <x:t xml:space="preserve">4 — Consciousness</x:t>
        </x:is>
      </x:c>
      <x:c r="C29" t="inlineStr">
        <x:is>
          <x:t xml:space="preserve">Q3</x:t>
        </x:is>
      </x:c>
      <x:c r="D29" t="inlineStr">
        <x:is>
          <x:t xml:space="preserve">If consciousness is an illusion, who or what is experiencing the illusion?</x:t>
        </x:is>
      </x:c>
      <x:c r="E29" t="inlineStr">
        <x:is>
          <x:t xml:space="preserve">Logical Necessity</x:t>
        </x:is>
      </x:c>
      <x:c r="F29" t="inlineStr">
        <x:is>
          <x:t xml:space="preserve">A5.1, D5.1, O3</x:t>
        </x:is>
      </x:c>
      <x:c r="G29" t="inlineStr">
        <x:is>
          <x:t xml:space="preserve">—</x:t>
        </x:is>
      </x:c>
      <x:c r="H29" t="inlineStr">
        <x:is>
          <x:t xml:space="preserve">—</x:t>
        </x:is>
      </x:c>
      <x:c r="I29" t="inlineStr">
        <x:is>
          <x:t xml:space="preserve">—</x:t>
        </x:is>
      </x:c>
      <x:c r="J29" t="inlineStr">
        <x:is>
          <x:t xml:space="preserve">—</x:t>
        </x:is>
      </x:c>
      <x:c r="K29" t="inlineStr">
        <x:is>
          <x:t xml:space="preserve">Illusion requires an experiencer</x:t>
        </x:is>
      </x:c>
      <x:c r="L29" t="inlineStr">
        <x:is>
          <x:t xml:space="preserve">The Dennett objection ('consciousness is a user illusion') is self-refuting. Mark it and move on.</x:t>
        </x:is>
      </x:c>
    </x:row>
    <x:row r="30">
      <x:c r="A30" t="inlineStr">
        <x:is>
          <x:t xml:space="preserve">L4-Q4</x:t>
        </x:is>
      </x:c>
      <x:c r="B30" t="inlineStr">
        <x:is>
          <x:t xml:space="preserve">4 — Consciousness</x:t>
        </x:is>
      </x:c>
      <x:c r="C30" t="inlineStr">
        <x:is>
          <x:t xml:space="preserve">Q4</x:t>
        </x:is>
      </x:c>
      <x:c r="D30" t="inlineStr">
        <x:is>
          <x:t xml:space="preserve">Does knowledge require a conscious knower?</x:t>
        </x:is>
      </x:c>
      <x:c r="E30" t="inlineStr">
        <x:is>
          <x:t xml:space="preserve">Axiom</x:t>
        </x:is>
      </x:c>
      <x:c r="F30" t="inlineStr">
        <x:is>
          <x:t xml:space="preserve">A5.2, D5.2, LN5.1</x:t>
        </x:is>
      </x:c>
      <x:c r="G30" t="inlineStr">
        <x:is>
          <x:t xml:space="preserve">StageMachine.lean</x:t>
        </x:is>
      </x:c>
      <x:c r="H30" t="inlineStr">
        <x:is>
          <x:t xml:space="preserve">def</x:t>
        </x:is>
      </x:c>
      <x:c r="I30" t="inlineStr">
        <x:is>
          <x:t xml:space="preserve">Observer stages formally defined; actualization requires observer</x:t>
        </x:is>
      </x:c>
      <x:c r="J30" t="inlineStr">
        <x:is>
          <x:t xml:space="preserve">Does not prove consciousness is metaphysically required for all knowledge — only that the model requires it</x:t>
        </x:is>
      </x:c>
      <x:c r="K30" t="inlineStr">
        <x:is>
          <x:t xml:space="preserve">Knowledge presupposes consciousness</x:t>
        </x:is>
      </x:c>
      <x:c r="L30" t="inlineStr">
        <x:is>
          <x:t xml:space="preserve">An AI/functionalist might claim knowledge without consciousness. Mark the fork.</x:t>
        </x:is>
      </x:c>
    </x:row>
    <x:row r="31">
      <x:c r="A31" t="inlineStr">
        <x:is>
          <x:t xml:space="preserve">L4-Q5</x:t>
        </x:is>
      </x:c>
      <x:c r="B31" t="inlineStr">
        <x:is>
          <x:t xml:space="preserve">4 — Consciousness</x:t>
        </x:is>
      </x:c>
      <x:c r="C31" t="inlineStr">
        <x:is>
          <x:t xml:space="preserve">Q5</x:t>
        </x:is>
      </x:c>
      <x:c r="D31" t="inlineStr">
        <x:is>
          <x:t xml:space="preserve">Does moral responsibility require an agent capable of awareness and choice?</x:t>
        </x:is>
      </x:c>
      <x:c r="E31" t="inlineStr">
        <x:is>
          <x:t xml:space="preserve">Axiom</x:t>
        </x:is>
      </x:c>
      <x:c r="F31" t="inlineStr">
        <x:is>
          <x:t xml:space="preserve">A11.1, BC8, O4</x:t>
        </x:is>
      </x:c>
      <x:c r="G31" t="inlineStr">
        <x:is>
          <x:t xml:space="preserve">—</x:t>
        </x:is>
      </x:c>
      <x:c r="H31" t="inlineStr">
        <x:is>
          <x:t xml:space="preserve">—</x:t>
        </x:is>
      </x:c>
      <x:c r="I31" t="inlineStr">
        <x:is>
          <x:t xml:space="preserve">—</x:t>
        </x:is>
      </x:c>
      <x:c r="J31" t="inlineStr">
        <x:is>
          <x:t xml:space="preserve">—</x:t>
        </x:is>
      </x:c>
      <x:c r="K31" t="inlineStr">
        <x:is>
          <x:t xml:space="preserve">Moral agency requires consciousness</x:t>
        </x:is>
      </x:c>
      <x:c r="L31" t="inlineStr">
        <x:is>
          <x:t xml:space="preserve">Determinists deny libertarian free will. The claim here is weaker: moral responsibility requires at least awareness.</x:t>
        </x:is>
      </x:c>
    </x:row>
    <x:row r="32">
      <x:c r="A32" t="inlineStr">
        <x:is>
          <x:t xml:space="preserve">L4-Q6</x:t>
        </x:is>
      </x:c>
      <x:c r="B32" t="inlineStr">
        <x:is>
          <x:t xml:space="preserve">4 — Consciousness</x:t>
        </x:is>
      </x:c>
      <x:c r="C32" t="inlineStr">
        <x:is>
          <x:t xml:space="preserve">Q6</x:t>
        </x:is>
      </x:c>
      <x:c r="D32" t="inlineStr">
        <x:is>
          <x:t xml:space="preserve">Can blind mechanism fully ground meaning, moral responsibility, and first-person experience?</x:t>
        </x:is>
      </x:c>
      <x:c r="E32" t="inlineStr">
        <x:is>
          <x:t xml:space="preserve">Abductive Inference</x:t>
        </x:is>
      </x:c>
      <x:c r="F32" t="inlineStr">
        <x:is>
          <x:t xml:space="preserve">LN6.1, T6.1, BC1</x:t>
        </x:is>
      </x:c>
      <x:c r="G32" t="inlineStr">
        <x:is>
          <x:t xml:space="preserve">—</x:t>
        </x:is>
      </x:c>
      <x:c r="H32" t="inlineStr">
        <x:is>
          <x:t xml:space="preserve">—</x:t>
        </x:is>
      </x:c>
      <x:c r="I32" t="inlineStr">
        <x:is>
          <x:t xml:space="preserve">—</x:t>
        </x:is>
      </x:c>
      <x:c r="J32" t="inlineStr">
        <x:is>
          <x:t xml:space="preserve">—</x:t>
        </x:is>
      </x:c>
      <x:c r="K32" t="inlineStr">
        <x:is>
          <x:t xml:space="preserve">Mechanism alone is insufficient</x:t>
        </x:is>
      </x:c>
      <x:c r="L32" t="inlineStr">
        <x:is>
          <x:t xml:space="preserve">Do not say the hard problem alone proves Christianity. Say: consciousness is one more domain that borrows coherence before it can explain anything.</x:t>
        </x:is>
      </x:c>
    </x:row>
    <x:row r="33">
      <x:c r="A33" t="inlineStr">
        <x:is>
          <x:t xml:space="preserve">L4-Q7</x:t>
        </x:is>
      </x:c>
      <x:c r="B33" t="inlineStr">
        <x:is>
          <x:t xml:space="preserve">4 — Consciousness</x:t>
        </x:is>
      </x:c>
      <x:c r="C33" t="inlineStr">
        <x:is>
          <x:t xml:space="preserve">Q7</x:t>
        </x:is>
      </x:c>
      <x:c r="D33" t="inlineStr">
        <x:is>
          <x:t xml:space="preserve">What kind of source can ground consciousness, meaning, and personhood?</x:t>
        </x:is>
      </x:c>
      <x:c r="E33" t="inlineStr">
        <x:is>
          <x:t xml:space="preserve">Identification</x:t>
        </x:is>
      </x:c>
      <x:c r="F33" t="inlineStr">
        <x:is>
          <x:t xml:space="preserve">ID7.1, BC1, PERSONHOOD</x:t>
        </x:is>
      </x:c>
      <x:c r="G33" t="inlineStr">
        <x:is>
          <x:t xml:space="preserve">—</x:t>
        </x:is>
      </x:c>
      <x:c r="H33" t="inlineStr">
        <x:is>
          <x:t xml:space="preserve">—</x:t>
        </x:is>
      </x:c>
      <x:c r="I33" t="inlineStr">
        <x:is>
          <x:t xml:space="preserve">—</x:t>
        </x:is>
      </x:c>
      <x:c r="J33" t="inlineStr">
        <x:is>
          <x:t xml:space="preserve">Naming step — not formally provable</x:t>
        </x:is>
      </x:c>
      <x:c r="K33" t="inlineStr">
        <x:is>
          <x:t xml:space="preserve">Personal or supra-personal God</x:t>
        </x:is>
      </x:c>
      <x:c r="L33" t="inlineStr">
        <x:is>
          <x:t xml:space="preserve">The PERSONHOOD axiom (AX-066a) is critical here: structural properties alone don't make something a person. Agency, intentionality, relational capacity required.</x:t>
        </x:is>
      </x:c>
    </x:row>
    <x:row r="34">
      <x:c r="A34" t="inlineStr">
        <x:is>
          <x:t xml:space="preserve">LANE 5</x:t>
        </x:is>
      </x:c>
      <x:c r="B34" t="inlineStr">
        <x:is>
          <x:t xml:space="preserve">THE GOD-BUILDER / IMAGINATION LANE</x:t>
        </x:is>
      </x:c>
      <x:c r="D34" t="inlineStr">
        <x:is>
          <x:t xml:space="preserve">Let the reader construct the God-shaped structure before the framework names it.</x:t>
        </x:is>
      </x:c>
      <x:c r="K34" t="inlineStr">
        <x:is>
          <x:t xml:space="preserve">Genesis / Logos structure</x:t>
        </x:is>
      </x:c>
    </x:row>
    <x:row r="35">
      <x:c r="A35" t="inlineStr">
        <x:is>
          <x:t xml:space="preserve">L5-Q1</x:t>
        </x:is>
      </x:c>
      <x:c r="B35" t="inlineStr">
        <x:is>
          <x:t xml:space="preserve">5 — God-Builder</x:t>
        </x:is>
      </x:c>
      <x:c r="C35" t="inlineStr">
        <x:is>
          <x:t xml:space="preserve">Q1</x:t>
        </x:is>
      </x:c>
      <x:c r="D35" t="inlineStr">
        <x:is>
          <x:t xml:space="preserve">You wake up, and you are God. Would you create anything?</x:t>
        </x:is>
      </x:c>
      <x:c r="E35" t="inlineStr">
        <x:is>
          <x:t xml:space="preserve">Thought Experiment</x:t>
        </x:is>
      </x:c>
      <x:c r="F35" t="inlineStr">
        <x:is>
          <x:t xml:space="preserve">—</x:t>
        </x:is>
      </x:c>
      <x:c r="G35" t="inlineStr">
        <x:is>
          <x:t xml:space="preserve">—</x:t>
        </x:is>
      </x:c>
      <x:c r="H35" t="inlineStr">
        <x:is>
          <x:t xml:space="preserve">—</x:t>
        </x:is>
      </x:c>
      <x:c r="I35" t="inlineStr">
        <x:is>
          <x:t xml:space="preserve">—</x:t>
        </x:is>
      </x:c>
      <x:c r="J35" t="inlineStr">
        <x:is>
          <x:t xml:space="preserve">—</x:t>
        </x:is>
      </x:c>
      <x:c r="K35" t="inlineStr">
        <x:is>
          <x:t xml:space="preserve">Creation is natural to a good source</x:t>
        </x:is>
      </x:c>
      <x:c r="L35" t="inlineStr">
        <x:is>
          <x:t xml:space="preserve">Do not claim imagination alone proves doctrine. This is pre-theoretical intuition pumping.</x:t>
        </x:is>
      </x:c>
    </x:row>
    <x:row r="36">
      <x:c r="A36" t="inlineStr">
        <x:is>
          <x:t xml:space="preserve">L5-Q2</x:t>
        </x:is>
      </x:c>
      <x:c r="B36" t="inlineStr">
        <x:is>
          <x:t xml:space="preserve">5 — God-Builder</x:t>
        </x:is>
      </x:c>
      <x:c r="C36" t="inlineStr">
        <x:is>
          <x:t xml:space="preserve">Q2</x:t>
        </x:is>
      </x:c>
      <x:c r="D36" t="inlineStr">
        <x:is>
          <x:t xml:space="preserve">Would what you create reflect your nature?</x:t>
        </x:is>
      </x:c>
      <x:c r="E36" t="inlineStr">
        <x:is>
          <x:t xml:space="preserve">Thought Experiment</x:t>
        </x:is>
      </x:c>
      <x:c r="F36" t="inlineStr">
        <x:is>
          <x:t xml:space="preserve">P2.2</x:t>
        </x:is>
      </x:c>
      <x:c r="G36" t="inlineStr">
        <x:is>
          <x:t xml:space="preserve">—</x:t>
        </x:is>
      </x:c>
      <x:c r="H36" t="inlineStr">
        <x:is>
          <x:t xml:space="preserve">—</x:t>
        </x:is>
      </x:c>
      <x:c r="I36" t="inlineStr">
        <x:is>
          <x:t xml:space="preserve">—</x:t>
        </x:is>
      </x:c>
      <x:c r="J36" t="inlineStr">
        <x:is>
          <x:t xml:space="preserve">—</x:t>
        </x:is>
      </x:c>
      <x:c r="K36" t="inlineStr">
        <x:is>
          <x:t xml:space="preserve">Creation bears image of creator</x:t>
        </x:is>
      </x:c>
      <x:c r="L36" t="inlineStr">
        <x:is>
          <x:t xml:space="preserve">Maps to Imago Dei. The reader builds it before hearing the name.</x:t>
        </x:is>
      </x:c>
    </x:row>
    <x:row r="37">
      <x:c r="A37" t="inlineStr">
        <x:is>
          <x:t xml:space="preserve">L5-Q3</x:t>
        </x:is>
      </x:c>
      <x:c r="B37" t="inlineStr">
        <x:is>
          <x:t xml:space="preserve">5 — God-Builder</x:t>
        </x:is>
      </x:c>
      <x:c r="C37" t="inlineStr">
        <x:is>
          <x:t xml:space="preserve">Q3</x:t>
        </x:is>
      </x:c>
      <x:c r="D37" t="inlineStr">
        <x:is>
          <x:t xml:space="preserve">Would a creation made by you contain order, beauty, law, and meaning?</x:t>
        </x:is>
      </x:c>
      <x:c r="E37" t="inlineStr">
        <x:is>
          <x:t xml:space="preserve">Thought Experiment</x:t>
        </x:is>
      </x:c>
      <x:c r="F37" t="inlineStr">
        <x:is>
          <x:t xml:space="preserve">A3.1, A3.2</x:t>
        </x:is>
      </x:c>
      <x:c r="G37" t="inlineStr">
        <x:is>
          <x:t xml:space="preserve">—</x:t>
        </x:is>
      </x:c>
      <x:c r="H37" t="inlineStr">
        <x:is>
          <x:t xml:space="preserve">—</x:t>
        </x:is>
      </x:c>
      <x:c r="I37" t="inlineStr">
        <x:is>
          <x:t xml:space="preserve">—</x:t>
        </x:is>
      </x:c>
      <x:c r="J37" t="inlineStr">
        <x:is>
          <x:t xml:space="preserve">—</x:t>
        </x:is>
      </x:c>
      <x:c r="K37" t="inlineStr">
        <x:is>
          <x:t xml:space="preserve">Order, beauty, law, meaning follow from coherent source</x:t>
        </x:is>
      </x:c>
      <x:c r="L37" t="inlineStr">
        <x:is>
          <x:t xml:space="preserve">Nearly universal response. The exceptions reveal the reader's operating assumptions.</x:t>
        </x:is>
      </x:c>
    </x:row>
    <x:row r="38">
      <x:c r="A38" t="inlineStr">
        <x:is>
          <x:t xml:space="preserve">L5-Q4</x:t>
        </x:is>
      </x:c>
      <x:c r="B38" t="inlineStr">
        <x:is>
          <x:t xml:space="preserve">5 — God-Builder</x:t>
        </x:is>
      </x:c>
      <x:c r="C38" t="inlineStr">
        <x:is>
          <x:t xml:space="preserve">Q4</x:t>
        </x:is>
      </x:c>
      <x:c r="D38" t="inlineStr">
        <x:is>
          <x:t xml:space="preserve">Would love require freedom?</x:t>
        </x:is>
      </x:c>
      <x:c r="E38" t="inlineStr">
        <x:is>
          <x:t xml:space="preserve">Thought Experiment</x:t>
        </x:is>
      </x:c>
      <x:c r="F38" t="inlineStr">
        <x:is>
          <x:t xml:space="preserve">BC8</x:t>
        </x:is>
      </x:c>
      <x:c r="G38" t="inlineStr">
        <x:is>
          <x:t xml:space="preserve">—</x:t>
        </x:is>
      </x:c>
      <x:c r="H38" t="inlineStr">
        <x:is>
          <x:t xml:space="preserve">—</x:t>
        </x:is>
      </x:c>
      <x:c r="I38" t="inlineStr">
        <x:is>
          <x:t xml:space="preserve">—</x:t>
        </x:is>
      </x:c>
      <x:c r="J38" t="inlineStr">
        <x:is>
          <x:t xml:space="preserve">—</x:t>
        </x:is>
      </x:c>
      <x:c r="K38" t="inlineStr">
        <x:is>
          <x:t xml:space="preserve">Love requires voluntary coupling</x:t>
        </x:is>
      </x:c>
      <x:c r="L38" t="inlineStr">
        <x:is>
          <x:t xml:space="preserve">This is where freedom enters — the same BC8 (Voluntary Coupling) from the formal system.</x:t>
        </x:is>
      </x:c>
    </x:row>
    <x:row r="39">
      <x:c r="A39" t="inlineStr">
        <x:is>
          <x:t xml:space="preserve">L5-Q5</x:t>
        </x:is>
      </x:c>
      <x:c r="B39" t="inlineStr">
        <x:is>
          <x:t xml:space="preserve">5 — God-Builder</x:t>
        </x:is>
      </x:c>
      <x:c r="C39" t="inlineStr">
        <x:is>
          <x:t xml:space="preserve">Q5</x:t>
        </x:is>
      </x:c>
      <x:c r="D39" t="inlineStr">
        <x:is>
          <x:t xml:space="preserve">Would freedom allow rejection?</x:t>
        </x:is>
      </x:c>
      <x:c r="E39" t="inlineStr">
        <x:is>
          <x:t xml:space="preserve">Logical Necessity</x:t>
        </x:is>
      </x:c>
      <x:c r="F39" t="inlineStr">
        <x:is>
          <x:t xml:space="preserve">BC8, A8.1</x:t>
        </x:is>
      </x:c>
      <x:c r="G39" t="inlineStr">
        <x:is>
          <x:t xml:space="preserve">—</x:t>
        </x:is>
      </x:c>
      <x:c r="H39" t="inlineStr">
        <x:is>
          <x:t xml:space="preserve">—</x:t>
        </x:is>
      </x:c>
      <x:c r="I39" t="inlineStr">
        <x:is>
          <x:t xml:space="preserve">—</x:t>
        </x:is>
      </x:c>
      <x:c r="J39" t="inlineStr">
        <x:is>
          <x:t xml:space="preserve">—</x:t>
        </x:is>
      </x:c>
      <x:c r="K39" t="inlineStr">
        <x:is>
          <x:t xml:space="preserve">Freedom entails possibility of Fall</x:t>
        </x:is>
      </x:c>
      <x:c r="L39" t="inlineStr">
        <x:is>
          <x:t xml:space="preserve">The reader discovers the Fall as a consequence of their own design choice.</x:t>
        </x:is>
      </x:c>
    </x:row>
    <x:row r="40">
      <x:c r="A40" t="inlineStr">
        <x:is>
          <x:t xml:space="preserve">L5-Q6</x:t>
        </x:is>
      </x:c>
      <x:c r="B40" t="inlineStr">
        <x:is>
          <x:t xml:space="preserve">5 — God-Builder</x:t>
        </x:is>
      </x:c>
      <x:c r="C40" t="inlineStr">
        <x:is>
          <x:t xml:space="preserve">Q6</x:t>
        </x:is>
      </x:c>
      <x:c r="D40" t="inlineStr">
        <x:is>
          <x:t xml:space="preserve">Would rejection create disorder and consequence?</x:t>
        </x:is>
      </x:c>
      <x:c r="E40" t="inlineStr">
        <x:is>
          <x:t xml:space="preserve">Logical Necessity</x:t>
        </x:is>
      </x:c>
      <x:c r="F40" t="inlineStr">
        <x:is>
          <x:t xml:space="preserve">A8.2, T8.1</x:t>
        </x:is>
      </x:c>
      <x:c r="G40" t="inlineStr">
        <x:is>
          <x:t xml:space="preserve">PolarityDiscipline.lean</x:t>
        </x:is>
      </x:c>
      <x:c r="H40" t="inlineStr">
        <x:is>
          <x:t xml:space="preserve">theorem</x:t>
        </x:is>
      </x:c>
      <x:c r="I40" t="inlineStr">
        <x:is>
          <x:t xml:space="preserve">Sign conservation: self-operations cannot flip sign; consequences persist</x:t>
        </x:is>
      </x:c>
      <x:c r="J40" t="inlineStr">
        <x:is>
          <x:t xml:space="preserve">Model arithmetic — does not prove consequences are inescapable in all metaphysical frameworks</x:t>
        </x:is>
      </x:c>
      <x:c r="K40" t="inlineStr">
        <x:is>
          <x:t xml:space="preserve">Rejection produces real consequences</x:t>
        </x:is>
      </x:c>
      <x:c r="L40" t="inlineStr">
        <x:is>
          <x:t xml:space="preserve">The reader who says 'yes' has now built: creation, image, freedom, fall, consequence.</x:t>
        </x:is>
      </x:c>
    </x:row>
    <x:row r="41">
      <x:c r="A41" t="inlineStr">
        <x:is>
          <x:t xml:space="preserve">L5-Q7</x:t>
        </x:is>
      </x:c>
      <x:c r="B41" t="inlineStr">
        <x:is>
          <x:t xml:space="preserve">5 — God-Builder</x:t>
        </x:is>
      </x:c>
      <x:c r="C41" t="inlineStr">
        <x:is>
          <x:t xml:space="preserve">Q7</x:t>
        </x:is>
      </x:c>
      <x:c r="D41" t="inlineStr">
        <x:is>
          <x:t xml:space="preserve">Would you destroy the rebel, override freedom, or create a path of repair?</x:t>
        </x:is>
      </x:c>
      <x:c r="E41" t="inlineStr">
        <x:is>
          <x:t xml:space="preserve">Thought Experiment</x:t>
        </x:is>
      </x:c>
      <x:c r="F41" t="inlineStr">
        <x:is>
          <x:t xml:space="preserve">A9.1, BC8</x:t>
        </x:is>
      </x:c>
      <x:c r="G41" t="inlineStr">
        <x:is>
          <x:t xml:space="preserve">ChristOperatorDiscipline.lean</x:t>
        </x:is>
      </x:c>
      <x:c r="H41" t="inlineStr">
        <x:is>
          <x:t xml:space="preserve">def, theorem</x:t>
        </x:is>
      </x:c>
      <x:c r="I41" t="inlineStr">
        <x:is>
          <x:t xml:space="preserve">C_op converts negative to positive while preserving source record; restoration ≠ erasure</x:t>
        </x:is>
      </x:c>
      <x:c r="J41" t="inlineStr">
        <x:is>
          <x:t xml:space="preserve">The operator does what it claims in the model. The model is not a proof of the Incarnation.</x:t>
        </x:is>
      </x:c>
      <x:c r="K41" t="inlineStr">
        <x:is>
          <x:t xml:space="preserve">Repair is the only coherent answer</x:t>
        </x:is>
      </x:c>
      <x:c r="L41" t="inlineStr">
        <x:is>
          <x:t xml:space="preserve">REVEAL: 'You just built the creation structure. You just described what Genesis and John call creation through the Logos.'</x:t>
        </x:is>
      </x:c>
    </x:row>
    <x:row r="42">
      <x:c r="A42" t="inlineStr">
        <x:is>
          <x:t xml:space="preserve">LANE 6</x:t>
        </x:is>
      </x:c>
      <x:c r="B42" t="inlineStr">
        <x:is>
          <x:t xml:space="preserve">THE REPAIR / SALVATION LANE</x:t>
        </x:is>
      </x:c>
      <x:c r="D42" t="inlineStr">
        <x:is>
          <x:t xml:space="preserve">If the system is corrupted, the solution has strict constraints. This is the God-to-Christ bridge.</x:t>
        </x:is>
      </x:c>
      <x:c r="K42" t="inlineStr">
        <x:is>
          <x:t xml:space="preserve">Incarnation, Cross, Resurrection, Grace</x:t>
        </x:is>
      </x:c>
    </x:row>
    <x:row r="43">
      <x:c r="A43" t="inlineStr">
        <x:is>
          <x:t xml:space="preserve">L6-Q1</x:t>
        </x:is>
      </x:c>
      <x:c r="B43" t="inlineStr">
        <x:is>
          <x:t xml:space="preserve">6 — Repair/Salvation</x:t>
        </x:is>
      </x:c>
      <x:c r="C43" t="inlineStr">
        <x:is>
          <x:t xml:space="preserve">Q1</x:t>
        </x:is>
      </x:c>
      <x:c r="D43" t="inlineStr">
        <x:is>
          <x:t xml:space="preserve">Can a corrupted system fully repair itself using only corrupted resources?</x:t>
        </x:is>
      </x:c>
      <x:c r="E43" t="inlineStr">
        <x:is>
          <x:t xml:space="preserve">Theorem (proved in model)</x:t>
        </x:is>
      </x:c>
      <x:c r="F43" t="inlineStr">
        <x:is>
          <x:t xml:space="preserve">T3.1, C8.1, C8.2</x:t>
        </x:is>
      </x:c>
      <x:c r="G43" t="inlineStr">
        <x:is>
          <x:t xml:space="preserve">PolarityDiscipline.lean, SignConversionDiscipline.lean</x:t>
        </x:is>
      </x:c>
      <x:c r="H43" t="inlineStr">
        <x:is>
          <x:t xml:space="preserve">theorem</x:t>
        </x:is>
      </x:c>
      <x:c r="I43" t="inlineStr">
        <x:is>
          <x:t xml:space="preserve">Destructive signs cannot self-redeem through ordinary multiplication; external conversion required</x:t>
        </x:is>
      </x:c>
      <x:c r="J43" t="inlineStr">
        <x:is>
          <x:t xml:space="preserve">Proves the arithmetic in the formal model; does not prove real-world moral self-repair is impossible in all frameworks</x:t>
        </x:is>
      </x:c>
      <x:c r="K43" t="inlineStr">
        <x:is>
          <x:t xml:space="preserve">Corrupted systems cannot self-repair</x:t>
        </x:is>
      </x:c>
      <x:c r="L43" t="inlineStr">
        <x:is>
          <x:t xml:space="preserve">Paper 4.1 — The Repair Problem. Strongest Lean-backed step in Lane 6.</x:t>
        </x:is>
      </x:c>
    </x:row>
    <x:row r="44">
      <x:c r="A44" t="inlineStr">
        <x:is>
          <x:t xml:space="preserve">L6-Q2</x:t>
        </x:is>
      </x:c>
      <x:c r="B44" t="inlineStr">
        <x:is>
          <x:t xml:space="preserve">6 — Repair/Salvation</x:t>
        </x:is>
      </x:c>
      <x:c r="C44" t="inlineStr">
        <x:is>
          <x:t xml:space="preserve">Q2</x:t>
        </x:is>
      </x:c>
      <x:c r="D44" t="inlineStr">
        <x:is>
          <x:t xml:space="preserve">Can repair ignore consequences without ceasing to be just?</x:t>
        </x:is>
      </x:c>
      <x:c r="E44" t="inlineStr">
        <x:is>
          <x:t xml:space="preserve">Logical Necessity</x:t>
        </x:is>
      </x:c>
      <x:c r="F44" t="inlineStr">
        <x:is>
          <x:t xml:space="preserve">A8.2, T8.1</x:t>
        </x:is>
      </x:c>
      <x:c r="G44" t="inlineStr">
        <x:is>
          <x:t xml:space="preserve">MemoryPersistenceDiscipline.lean</x:t>
        </x:is>
      </x:c>
      <x:c r="H44" t="inlineStr">
        <x:is>
          <x:t xml:space="preserve">def, theorem</x:t>
        </x:is>
      </x:c>
      <x:c r="I44" t="inlineStr">
        <x:is>
          <x:t xml:space="preserve">Records persist; incoherent records are not retained at death; cost must be borne</x:t>
        </x:is>
      </x:c>
      <x:c r="J44" t="inlineStr">
        <x:is>
          <x:t xml:space="preserve">Record persistence is a model rule, not a proved metaphysical law</x:t>
        </x:is>
      </x:c>
      <x:c r="K44" t="inlineStr">
        <x:is>
          <x:t xml:space="preserve">Justice requires consequences to be addressed — COMMAND is not denied</x:t>
        </x:is>
      </x:c>
      <x:c r="L44" t="inlineStr">
        <x:is>
          <x:t xml:space="preserve">Four Primitives: COMMAND (justice). The Cross satisfies this: justice is not denied.</x:t>
        </x:is>
      </x:c>
    </x:row>
    <x:row r="45">
      <x:c r="A45" t="inlineStr">
        <x:is>
          <x:t xml:space="preserve">L6-Q3</x:t>
        </x:is>
      </x:c>
      <x:c r="B45" t="inlineStr">
        <x:is>
          <x:t xml:space="preserve">6 — Repair/Salvation</x:t>
        </x:is>
      </x:c>
      <x:c r="C45" t="inlineStr">
        <x:is>
          <x:t xml:space="preserve">Q3</x:t>
        </x:is>
      </x:c>
      <x:c r="D45" t="inlineStr">
        <x:is>
          <x:t xml:space="preserve">Can repair override freedom without destroying love?</x:t>
        </x:is>
      </x:c>
      <x:c r="E45" t="inlineStr">
        <x:is>
          <x:t xml:space="preserve">Logical Necessity</x:t>
        </x:is>
      </x:c>
      <x:c r="F45" t="inlineStr">
        <x:is>
          <x:t xml:space="preserve">BC8, P9.2</x:t>
        </x:is>
      </x:c>
      <x:c r="G45" t="inlineStr">
        <x:is>
          <x:t xml:space="preserve">—</x:t>
        </x:is>
      </x:c>
      <x:c r="H45" t="inlineStr">
        <x:is>
          <x:t xml:space="preserve">—</x:t>
        </x:is>
      </x:c>
      <x:c r="I45" t="inlineStr">
        <x:is>
          <x:t xml:space="preserve">—</x:t>
        </x:is>
      </x:c>
      <x:c r="J45" t="inlineStr">
        <x:is>
          <x:t xml:space="preserve">—</x:t>
        </x:is>
      </x:c>
      <x:c r="K45" t="inlineStr">
        <x:is>
          <x:t xml:space="preserve">Freedom must be preserved — WILL remains free</x:t>
        </x:is>
      </x:c>
      <x:c r="L45" t="inlineStr">
        <x:is>
          <x:t xml:space="preserve">Four Primitives: WILL. The Cross satisfies this: response is invited, not forced.</x:t>
        </x:is>
      </x:c>
    </x:row>
    <x:row r="46">
      <x:c r="A46" t="inlineStr">
        <x:is>
          <x:t xml:space="preserve">L6-Q4</x:t>
        </x:is>
      </x:c>
      <x:c r="B46" t="inlineStr">
        <x:is>
          <x:t xml:space="preserve">6 — Repair/Salvation</x:t>
        </x:is>
      </x:c>
      <x:c r="C46" t="inlineStr">
        <x:is>
          <x:t xml:space="preserve">Q4</x:t>
        </x:is>
      </x:c>
      <x:c r="D46" t="inlineStr">
        <x:is>
          <x:t xml:space="preserve">Must repair come from outside the corrupted system?</x:t>
        </x:is>
      </x:c>
      <x:c r="E46" t="inlineStr">
        <x:is>
          <x:t xml:space="preserve">Theorem (proved in model)</x:t>
        </x:is>
      </x:c>
      <x:c r="F46" t="inlineStr">
        <x:is>
          <x:t xml:space="preserve">A9.1, A9.2, D9.1</x:t>
        </x:is>
      </x:c>
      <x:c r="G46" t="inlineStr">
        <x:is>
          <x:t xml:space="preserve">ChristOperatorDiscipline.lean</x:t>
        </x:is>
      </x:c>
      <x:c r="H46" t="inlineStr">
        <x:is>
          <x:t xml:space="preserve">def, theorem</x:t>
        </x:is>
      </x:c>
      <x:c r="I46" t="inlineStr">
        <x:is>
          <x:t xml:space="preserve">C_op is external integration, not scalar multiplication; converts negative to positive</x:t>
        </x:is>
      </x:c>
      <x:c r="J46" t="inlineStr">
        <x:is>
          <x:t xml:space="preserve">The operator does what it claims in the model. The model is not a proof of the Incarnation.</x:t>
        </x:is>
      </x:c>
      <x:c r="K46" t="inlineStr">
        <x:is>
          <x:t xml:space="preserve">External intervention required</x:t>
        </x:is>
      </x:c>
      <x:c r="L46" t="inlineStr">
        <x:is>
          <x:t xml:space="preserve">Paper 4.2 — Four Primitives. External operator addresses what internal resources cannot.</x:t>
        </x:is>
      </x:c>
    </x:row>
    <x:row r="47">
      <x:c r="A47" t="inlineStr">
        <x:is>
          <x:t xml:space="preserve">L6-Q5</x:t>
        </x:is>
      </x:c>
      <x:c r="B47" t="inlineStr">
        <x:is>
          <x:t xml:space="preserve">6 — Repair/Salvation</x:t>
        </x:is>
      </x:c>
      <x:c r="C47" t="inlineStr">
        <x:is>
          <x:t xml:space="preserve">Q5</x:t>
        </x:is>
      </x:c>
      <x:c r="D47" t="inlineStr">
        <x:is>
          <x:t xml:space="preserve">Must repair enter the system without becoming corrupted by it?</x:t>
        </x:is>
      </x:c>
      <x:c r="E47" t="inlineStr">
        <x:is>
          <x:t xml:space="preserve">Theorem (proved in model)</x:t>
        </x:is>
      </x:c>
      <x:c r="F47" t="inlineStr">
        <x:is>
          <x:t xml:space="preserve">A9.2, P9.1, P9.3</x:t>
        </x:is>
      </x:c>
      <x:c r="G47" t="inlineStr">
        <x:is>
          <x:t xml:space="preserve">MissionReturnOperator.lean</x:t>
        </x:is>
      </x:c>
      <x:c r="H47" t="inlineStr">
        <x:is>
          <x:t xml:space="preserve">def, theorem</x:t>
        </x:is>
      </x:c>
      <x:c r="I47" t="inlineStr">
        <x:is>
          <x:t xml:space="preserve">Substrate identity preserved across incarnation, death, resurrection; entropy contact does not corrupt identity</x:t>
        </x:is>
      </x:c>
      <x:c r="J47" t="inlineStr">
        <x:is>
          <x:t xml:space="preserve">Architecture is formally consistent. Does not prove the Resurrection happened.</x:t>
        </x:is>
      </x:c>
      <x:c r="K47" t="inlineStr">
        <x:is>
          <x:t xml:space="preserve">Uncorrupted entry into corrupted system</x:t>
        </x:is>
      </x:c>
      <x:c r="L47" t="inlineStr">
        <x:is>
          <x:t xml:space="preserve">Paper 4.4 — The Cross as Unique Repair Shape. MissionReturn proves formal consistency of the arc.</x:t>
        </x:is>
      </x:c>
    </x:row>
    <x:row r="48">
      <x:c r="A48" t="inlineStr">
        <x:is>
          <x:t xml:space="preserve">L6-Q6</x:t>
        </x:is>
      </x:c>
      <x:c r="B48" t="inlineStr">
        <x:is>
          <x:t xml:space="preserve">6 — Repair/Salvation</x:t>
        </x:is>
      </x:c>
      <x:c r="C48" t="inlineStr">
        <x:is>
          <x:t xml:space="preserve">Q6</x:t>
        </x:is>
      </x:c>
      <x:c r="D48" t="inlineStr">
        <x:is>
          <x:t xml:space="preserve">Must repair preserve freedom, absorb consequence, and distribute restoration?</x:t>
        </x:is>
      </x:c>
      <x:c r="E48" t="inlineStr">
        <x:is>
          <x:t xml:space="preserve">Theorem (proved in model)</x:t>
        </x:is>
      </x:c>
      <x:c r="F48" t="inlineStr">
        <x:is>
          <x:t xml:space="preserve">P9.1, P9.3, P9.4, P9.5, BC8</x:t>
        </x:is>
      </x:c>
      <x:c r="G48" t="inlineStr">
        <x:is>
          <x:t xml:space="preserve">JusticeMercyOperator.lean, ChristOperatorDiscipline.lean</x:t>
        </x:is>
      </x:c>
      <x:c r="H48" t="inlineStr">
        <x:is>
          <x:t xml:space="preserve">structure, def, theorem</x:t>
        </x:is>
      </x:c>
      <x:c r="I48" t="inlineStr">
        <x:is>
          <x:t xml:space="preserve">Justice and Mercy share four components, differ by cost-bearer; Cross convergence unique within modeled constraints; C_op preserves record while restoring sign</x:t>
        </x:is>
      </x:c>
      <x:c r="J48" t="inlineStr">
        <x:is>
          <x:t xml:space="preserve">Uniqueness is within the model. Does not prove Cross is a historical event. Does not prove no other cost-bearer structure is possible outside the model.</x:t>
        </x:is>
      </x:c>
      <x:c r="K48" t="inlineStr">
        <x:is>
          <x:t xml:space="preserve">Perfect justice + perfect mercy + freedom require cost-bearing judge</x:t>
        </x:is>
      </x:c>
      <x:c r="L48" t="inlineStr">
        <x:is>
          <x:t xml:space="preserve">Paper 4.3 — The Justice-Mercy Constraint. THIS IS THE LOCK. The formal centerpiece of Lane 6. Four Primitives all satisfied: COMMAND (justice not denied), RECORD (sin not erased falsely; cost is borne), WILL (response invited, not forced), RELATION (reconciliation becomes possible).</x:t>
        </x:is>
      </x:c>
    </x:row>
    <x:row r="49">
      <x:c r="A49" t="inlineStr">
        <x:is>
          <x:t xml:space="preserve">L6-Q7</x:t>
        </x:is>
      </x:c>
      <x:c r="B49" t="inlineStr">
        <x:is>
          <x:t xml:space="preserve">6 — Repair/Salvation</x:t>
        </x:is>
      </x:c>
      <x:c r="C49" t="inlineStr">
        <x:is>
          <x:t xml:space="preserve">Q7</x:t>
        </x:is>
      </x:c>
      <x:c r="D49" t="inlineStr">
        <x:is>
          <x:t xml:space="preserve">What historical event, if any, matches this exact repair specification?</x:t>
        </x:is>
      </x:c>
      <x:c r="E49" t="inlineStr">
        <x:is>
          <x:t xml:space="preserve">Empirical / Historical Claim</x:t>
        </x:is>
      </x:c>
      <x:c r="F49" t="inlineStr">
        <x:is>
          <x:t xml:space="preserve">T16.1, LAMBDA</x:t>
        </x:is>
      </x:c>
      <x:c r="G49" t="inlineStr">
        <x:is>
          <x:t xml:space="preserve">IsomorphismTest.lean, MasterEquationInvariance.lean</x:t>
        </x:is>
      </x:c>
      <x:c r="H49" t="inlineStr">
        <x:is>
          <x:t xml:space="preserve">def, theorem</x:t>
        </x:is>
      </x:c>
      <x:c r="I49" t="inlineStr">
        <x:is>
          <x:t xml:space="preserve">Structural isomorphism conditions compile; intended mapping passes; nearby wrong substitutions fail; physical-to-spiritual substitution preserves bridge signatures</x:t>
        </x:is>
      </x:c>
      <x:c r="J49" t="inlineStr">
        <x:is>
          <x:t xml:space="preserve">Isomorphism proves the bridge passes in the model. Whether the model captures physical or theological reality is an open specification question. History must be tested separately.</x:t>
        </x:is>
      </x:c>
      <x:c r="K49" t="inlineStr">
        <x:is>
          <x:t xml:space="preserve">Jesus of Nazareth — incarnation, cross, resurrection, grace</x:t>
        </x:is>
      </x:c>
      <x:c r="L49" t="inlineStr">
        <x:is>
          <x:t xml:space="preserve">Paper 4.4 + Paper 4.7. Lean can formalize the required repair structure. It cannot prove that Jesus rose from the dead. History must be tested separately against the structure.</x:t>
        </x:is>
      </x:c>
    </x:row>
    <x:row r="50">
      <x:c r="A50" t="inlineStr">
        <x:is>
          <x:t xml:space="preserve">L6-P1</x:t>
        </x:is>
      </x:c>
      <x:c r="B50" t="inlineStr">
        <x:is>
          <x:t xml:space="preserve">6 — Repair/Salvation</x:t>
        </x:is>
      </x:c>
      <x:c r="C50" t="inlineStr">
        <x:is>
          <x:t xml:space="preserve">Primitive 1</x:t>
        </x:is>
      </x:c>
      <x:c r="D50" t="inlineStr">
        <x:is>
          <x:t xml:space="preserve">RELATION — Relation persists even when wounded. The Cross makes reconciliation possible.</x:t>
        </x:is>
      </x:c>
      <x:c r="E50" t="inlineStr">
        <x:is>
          <x:t xml:space="preserve">Four Primitives</x:t>
        </x:is>
      </x:c>
      <x:c r="F50" t="inlineStr">
        <x:is>
          <x:t xml:space="preserve">BC8, P9.5</x:t>
        </x:is>
      </x:c>
      <x:c r="G50" t="inlineStr">
        <x:is>
          <x:t xml:space="preserve">ChristOperatorDiscipline.lean</x:t>
        </x:is>
      </x:c>
      <x:c r="H50" t="inlineStr">
        <x:is>
          <x:t xml:space="preserve">def, theorem</x:t>
        </x:is>
      </x:c>
      <x:c r="I50" t="inlineStr">
        <x:is>
          <x:t xml:space="preserve">C_op preserves source state while restoring visible sign</x:t>
        </x:is>
      </x:c>
      <x:c r="J50" t="inlineStr">
        <x:is>
          <x:t xml:space="preserve">Preservation in model ≠ proof that divine-human relation works this way</x:t>
        </x:is>
      </x:c>
      <x:c r="K50" t="inlineStr">
        <x:is>
          <x:t xml:space="preserve">Relation restored</x:t>
        </x:is>
      </x:c>
      <x:c r="L50" t="inlineStr">
        <x:is>
          <x:t xml:space="preserve">Paper 4.2 primitive. Cross function: reconciliation becomes possible.</x:t>
        </x:is>
      </x:c>
    </x:row>
    <x:row r="51">
      <x:c r="A51" t="inlineStr">
        <x:is>
          <x:t xml:space="preserve">L6-P2</x:t>
        </x:is>
      </x:c>
      <x:c r="B51" t="inlineStr">
        <x:is>
          <x:t xml:space="preserve">6 — Repair/Salvation</x:t>
        </x:is>
      </x:c>
      <x:c r="C51" t="inlineStr">
        <x:is>
          <x:t xml:space="preserve">Primitive 2</x:t>
        </x:is>
      </x:c>
      <x:c r="D51" t="inlineStr">
        <x:is>
          <x:t xml:space="preserve">COMMAND — Command is violated. Justice is not denied at the Cross.</x:t>
        </x:is>
      </x:c>
      <x:c r="E51" t="inlineStr">
        <x:is>
          <x:t xml:space="preserve">Four Primitives</x:t>
        </x:is>
      </x:c>
      <x:c r="F51" t="inlineStr">
        <x:is>
          <x:t xml:space="preserve">A8.2, T8.1</x:t>
        </x:is>
      </x:c>
      <x:c r="G51" t="inlineStr">
        <x:is>
          <x:t xml:space="preserve">JusticeMercyOperator.lean</x:t>
        </x:is>
      </x:c>
      <x:c r="H51" t="inlineStr">
        <x:is>
          <x:t xml:space="preserve">structure, def, theorem</x:t>
        </x:is>
      </x:c>
      <x:c r="I51" t="inlineStr">
        <x:is>
          <x:t xml:space="preserve">Five-component operator; justice and mercy share four components; Cross convergence unique</x:t>
        </x:is>
      </x:c>
      <x:c r="J51" t="inlineStr">
        <x:is>
          <x:t xml:space="preserve">Uniqueness within modeled constraints only</x:t>
        </x:is>
      </x:c>
      <x:c r="K51" t="inlineStr">
        <x:is>
          <x:t xml:space="preserve">Justice satisfied</x:t>
        </x:is>
      </x:c>
      <x:c r="L51" t="inlineStr">
        <x:is>
          <x:t xml:space="preserve">Cost is borne, not waived.</x:t>
        </x:is>
      </x:c>
    </x:row>
    <x:row r="52">
      <x:c r="A52" t="inlineStr">
        <x:is>
          <x:t xml:space="preserve">L6-P3</x:t>
        </x:is>
      </x:c>
      <x:c r="B52" t="inlineStr">
        <x:is>
          <x:t xml:space="preserve">6 — Repair/Salvation</x:t>
        </x:is>
      </x:c>
      <x:c r="C52" t="inlineStr">
        <x:is>
          <x:t xml:space="preserve">Primitive 3</x:t>
        </x:is>
      </x:c>
      <x:c r="D52" t="inlineStr">
        <x:is>
          <x:t xml:space="preserve">WILL — Will must remain free. Response is invited, not forced.</x:t>
        </x:is>
      </x:c>
      <x:c r="E52" t="inlineStr">
        <x:is>
          <x:t xml:space="preserve">Four Primitives</x:t>
        </x:is>
      </x:c>
      <x:c r="F52" t="inlineStr">
        <x:is>
          <x:t xml:space="preserve">BC8, P9.4</x:t>
        </x:is>
      </x:c>
      <x:c r="G52" t="inlineStr">
        <x:is>
          <x:t xml:space="preserve">—</x:t>
        </x:is>
      </x:c>
      <x:c r="H52" t="inlineStr">
        <x:is>
          <x:t xml:space="preserve">—</x:t>
        </x:is>
      </x:c>
      <x:c r="I52" t="inlineStr">
        <x:is>
          <x:t xml:space="preserve">—</x:t>
        </x:is>
      </x:c>
      <x:c r="J52" t="inlineStr">
        <x:is>
          <x:t xml:space="preserve">—</x:t>
        </x:is>
      </x:c>
      <x:c r="K52" t="inlineStr">
        <x:is>
          <x:t xml:space="preserve">Freedom preserved</x:t>
        </x:is>
      </x:c>
      <x:c r="L52" t="inlineStr">
        <x:is>
          <x:t xml:space="preserve">Superposition preserved until voluntary collapse (faith decision). BC8 throughout.</x:t>
        </x:is>
      </x:c>
    </x:row>
    <x:row r="53">
      <x:c r="A53" t="inlineStr">
        <x:is>
          <x:t xml:space="preserve">L6-P4</x:t>
        </x:is>
      </x:c>
      <x:c r="B53" t="inlineStr">
        <x:is>
          <x:t xml:space="preserve">6 — Repair/Salvation</x:t>
        </x:is>
      </x:c>
      <x:c r="C53" t="inlineStr">
        <x:is>
          <x:t xml:space="preserve">Primitive 4</x:t>
        </x:is>
      </x:c>
      <x:c r="D53" t="inlineStr">
        <x:is>
          <x:t xml:space="preserve">RECORD — Sin is not erased falsely; cost is borne. The record persists.</x:t>
        </x:is>
      </x:c>
      <x:c r="E53" t="inlineStr">
        <x:is>
          <x:t xml:space="preserve">Four Primitives</x:t>
        </x:is>
      </x:c>
      <x:c r="F53" t="inlineStr">
        <x:is>
          <x:t xml:space="preserve">A8.2</x:t>
        </x:is>
      </x:c>
      <x:c r="G53" t="inlineStr">
        <x:is>
          <x:t xml:space="preserve">MemoryPersistenceDiscipline.lean, ChristOperatorDiscipline.lean</x:t>
        </x:is>
      </x:c>
      <x:c r="H53" t="inlineStr">
        <x:is>
          <x:t xml:space="preserve">def, theorem</x:t>
        </x:is>
      </x:c>
      <x:c r="I53" t="inlineStr">
        <x:is>
          <x:t xml:space="preserve">Records persist; visible restoration does not imply erasure; source state preserved</x:t>
        </x:is>
      </x:c>
      <x:c r="J53" t="inlineStr">
        <x:is>
          <x:t xml:space="preserve">Record persistence is a model rule, not a metaphysical proof</x:t>
        </x:is>
      </x:c>
      <x:c r="K53" t="inlineStr">
        <x:is>
          <x:t xml:space="preserve">Record honored, not erased</x:t>
        </x:is>
      </x:c>
      <x:c r="L53" t="inlineStr">
        <x:is>
          <x:t xml:space="preserve">This is what separates Cross from cheap forgiveness: the negative history is real and remains real.</x:t>
        </x:is>
      </x:c>
    </x:row>
    <x:row r="54">
      <x:c r="A54" t="inlineStr">
        <x:is>
          <x:t xml:space="preserve">L6-R1</x:t>
        </x:is>
      </x:c>
      <x:c r="B54" t="inlineStr">
        <x:is>
          <x:t xml:space="preserve">6 — Rival Elimination</x:t>
        </x:is>
      </x:c>
      <x:c r="C54" t="inlineStr">
        <x:is>
          <x:t xml:space="preserve">Rival 1</x:t>
        </x:is>
      </x:c>
      <x:c r="D54" t="inlineStr">
        <x:is>
          <x:t xml:space="preserve">Human self-improvement — corrupted system repairs itself</x:t>
        </x:is>
      </x:c>
      <x:c r="E54" t="inlineStr">
        <x:is>
          <x:t xml:space="preserve">Rival Candidate</x:t>
        </x:is>
      </x:c>
      <x:c r="F54" t="inlineStr">
        <x:is>
          <x:t xml:space="preserve">C8.1, C8.2</x:t>
        </x:is>
      </x:c>
      <x:c r="G54" t="inlineStr">
        <x:is>
          <x:t xml:space="preserve">SignConversionDiscipline.lean</x:t>
        </x:is>
      </x:c>
      <x:c r="H54" t="inlineStr">
        <x:is>
          <x:t xml:space="preserve">theorem</x:t>
        </x:is>
      </x:c>
      <x:c r="I54" t="inlineStr">
        <x:is>
          <x:t xml:space="preserve">Self-generated operations cannot flip sign</x:t>
        </x:is>
      </x:c>
      <x:c r="J54" t="inlineStr">
        <x:is>
          <x:t xml:space="preserve">—</x:t>
        </x:is>
      </x:c>
      <x:c r="K54" t="inlineStr">
        <x:is>
          <x:t xml:space="preserve">FAILS: self-repair from corrupted resources</x:t>
        </x:is>
      </x:c>
      <x:c r="L54" t="inlineStr">
        <x:is>
          <x:t xml:space="preserve">Paper 4.5. Treat respectfully.</x:t>
        </x:is>
      </x:c>
    </x:row>
    <x:row r="55">
      <x:c r="A55" t="inlineStr">
        <x:is>
          <x:t xml:space="preserve">L6-R2</x:t>
        </x:is>
      </x:c>
      <x:c r="B55" t="inlineStr">
        <x:is>
          <x:t xml:space="preserve">6 — Rival Elimination</x:t>
        </x:is>
      </x:c>
      <x:c r="C55" t="inlineStr">
        <x:is>
          <x:t xml:space="preserve">Rival 2</x:t>
        </x:is>
      </x:c>
      <x:c r="D55" t="inlineStr">
        <x:is>
          <x:t xml:space="preserve">Moral relativism — no real violation, so no justice needed</x:t>
        </x:is>
      </x:c>
      <x:c r="E55" t="inlineStr">
        <x:is>
          <x:t xml:space="preserve">Rival Candidate</x:t>
        </x:is>
      </x:c>
      <x:c r="F55" t="inlineStr">
        <x:is>
          <x:t xml:space="preserve">A11.1</x:t>
        </x:is>
      </x:c>
      <x:c r="G55" t="inlineStr">
        <x:is>
          <x:t xml:space="preserve">—</x:t>
        </x:is>
      </x:c>
      <x:c r="H55" t="inlineStr">
        <x:is>
          <x:t xml:space="preserve">—</x:t>
        </x:is>
      </x:c>
      <x:c r="I55" t="inlineStr">
        <x:is>
          <x:t xml:space="preserve">—</x:t>
        </x:is>
      </x:c>
      <x:c r="J55" t="inlineStr">
        <x:is>
          <x:t xml:space="preserve">—</x:t>
        </x:is>
      </x:c>
      <x:c r="K55" t="inlineStr">
        <x:is>
          <x:t xml:space="preserve">FAILS: denies evil is real (rejected at L2-Q1)</x:t>
        </x:is>
      </x:c>
      <x:c r="L55" t="inlineStr">
        <x:is>
          <x:t xml:space="preserve">If the reader accepted moral realism in Lane 2, this is already excluded.</x:t>
        </x:is>
      </x:c>
    </x:row>
    <x:row r="56">
      <x:c r="A56" t="inlineStr">
        <x:is>
          <x:t xml:space="preserve">L6-R3</x:t>
        </x:is>
      </x:c>
      <x:c r="B56" t="inlineStr">
        <x:is>
          <x:t xml:space="preserve">6 — Rival Elimination</x:t>
        </x:is>
      </x:c>
      <x:c r="C56" t="inlineStr">
        <x:is>
          <x:t xml:space="preserve">Rival 3</x:t>
        </x:is>
      </x:c>
      <x:c r="D56" t="inlineStr">
        <x:is>
          <x:t xml:space="preserve">Pure punishment — justice without mercy</x:t>
        </x:is>
      </x:c>
      <x:c r="E56" t="inlineStr">
        <x:is>
          <x:t xml:space="preserve">Rival Candidate</x:t>
        </x:is>
      </x:c>
      <x:c r="F56" t="inlineStr">
        <x:is>
          <x:t xml:space="preserve">—</x:t>
        </x:is>
      </x:c>
      <x:c r="G56" t="inlineStr">
        <x:is>
          <x:t xml:space="preserve">JusticeMercyOperator.lean</x:t>
        </x:is>
      </x:c>
      <x:c r="H56" t="inlineStr">
        <x:is>
          <x:t xml:space="preserve">structure</x:t>
        </x:is>
      </x:c>
      <x:c r="I56" t="inlineStr">
        <x:is>
          <x:t xml:space="preserve">Justice-only setting exists in the five-component operator but does not converge with mercy</x:t>
        </x:is>
      </x:c>
      <x:c r="J56" t="inlineStr">
        <x:is>
          <x:t xml:space="preserve">—</x:t>
        </x:is>
      </x:c>
      <x:c r="K56" t="inlineStr">
        <x:is>
          <x:t xml:space="preserve">FAILS: justice without mercy (no restoration)</x:t>
        </x:is>
      </x:c>
      <x:c r="L56" t="inlineStr">
        <x:is>
          <x:t xml:space="preserve">Justice alone destroys; it does not restore.</x:t>
        </x:is>
      </x:c>
    </x:row>
    <x:row r="57">
      <x:c r="A57" t="inlineStr">
        <x:is>
          <x:t xml:space="preserve">L6-R4</x:t>
        </x:is>
      </x:c>
      <x:c r="B57" t="inlineStr">
        <x:is>
          <x:t xml:space="preserve">6 — Rival Elimination</x:t>
        </x:is>
      </x:c>
      <x:c r="C57" t="inlineStr">
        <x:is>
          <x:t xml:space="preserve">Rival 4</x:t>
        </x:is>
      </x:c>
      <x:c r="D57" t="inlineStr">
        <x:is>
          <x:t xml:space="preserve">Pure forgiveness without cost — mercy-looking, but justice denied</x:t>
        </x:is>
      </x:c>
      <x:c r="E57" t="inlineStr">
        <x:is>
          <x:t xml:space="preserve">Rival Candidate</x:t>
        </x:is>
      </x:c>
      <x:c r="F57" t="inlineStr">
        <x:is>
          <x:t xml:space="preserve">—</x:t>
        </x:is>
      </x:c>
      <x:c r="G57" t="inlineStr">
        <x:is>
          <x:t xml:space="preserve">JusticeMercyOperator.lean</x:t>
        </x:is>
      </x:c>
      <x:c r="H57" t="inlineStr">
        <x:is>
          <x:t xml:space="preserve">structure</x:t>
        </x:is>
      </x:c>
      <x:c r="I57" t="inlineStr">
        <x:is>
          <x:t xml:space="preserve">Mercy-only setting fails convergence with justice in the five-component operator</x:t>
        </x:is>
      </x:c>
      <x:c r="J57" t="inlineStr">
        <x:is>
          <x:t xml:space="preserve">—</x:t>
        </x:is>
      </x:c>
      <x:c r="K57" t="inlineStr">
        <x:is>
          <x:t xml:space="preserve">FAILS: denies justice (COMMAND violated)</x:t>
        </x:is>
      </x:c>
      <x:c r="L57" t="inlineStr">
        <x:is>
          <x:t xml:space="preserve">Cheap grace. Bonhoeffer's critique applies.</x:t>
        </x:is>
      </x:c>
    </x:row>
    <x:row r="58">
      <x:c r="A58" t="inlineStr">
        <x:is>
          <x:t xml:space="preserve">L6-R5</x:t>
        </x:is>
      </x:c>
      <x:c r="B58" t="inlineStr">
        <x:is>
          <x:t xml:space="preserve">6 — Rival Elimination</x:t>
        </x:is>
      </x:c>
      <x:c r="C58" t="inlineStr">
        <x:is>
          <x:t xml:space="preserve">Rival 5</x:t>
        </x:is>
      </x:c>
      <x:c r="D58" t="inlineStr">
        <x:is>
          <x:t xml:space="preserve">Forced divine override — destroys freedom</x:t>
        </x:is>
      </x:c>
      <x:c r="E58" t="inlineStr">
        <x:is>
          <x:t xml:space="preserve">Rival Candidate</x:t>
        </x:is>
      </x:c>
      <x:c r="F58" t="inlineStr">
        <x:is>
          <x:t xml:space="preserve">BC8</x:t>
        </x:is>
      </x:c>
      <x:c r="G58" t="inlineStr">
        <x:is>
          <x:t xml:space="preserve">—</x:t>
        </x:is>
      </x:c>
      <x:c r="H58" t="inlineStr">
        <x:is>
          <x:t xml:space="preserve">—</x:t>
        </x:is>
      </x:c>
      <x:c r="I58" t="inlineStr">
        <x:is>
          <x:t xml:space="preserve">—</x:t>
        </x:is>
      </x:c>
      <x:c r="J58" t="inlineStr">
        <x:is>
          <x:t xml:space="preserve">—</x:t>
        </x:is>
      </x:c>
      <x:c r="K58" t="inlineStr">
        <x:is>
          <x:t xml:space="preserve">FAILS: destroys WILL</x:t>
        </x:is>
      </x:c>
      <x:c r="L58" t="inlineStr">
        <x:is>
          <x:t xml:space="preserve">If freedom is overridden, love is impossible.</x:t>
        </x:is>
      </x:c>
    </x:row>
    <x:row r="59">
      <x:c r="A59" t="inlineStr">
        <x:is>
          <x:t xml:space="preserve">L6-R6</x:t>
        </x:is>
      </x:c>
      <x:c r="B59" t="inlineStr">
        <x:is>
          <x:t xml:space="preserve">6 — Rival Elimination</x:t>
        </x:is>
      </x:c>
      <x:c r="C59" t="inlineStr">
        <x:is>
          <x:t xml:space="preserve">Rival 6</x:t>
        </x:is>
      </x:c>
      <x:c r="D59" t="inlineStr">
        <x:is>
          <x:t xml:space="preserve">Generic theism — source exists, but repair mechanism undefined</x:t>
        </x:is>
      </x:c>
      <x:c r="E59" t="inlineStr">
        <x:is>
          <x:t xml:space="preserve">Rival Candidate</x:t>
        </x:is>
      </x:c>
      <x:c r="F59" t="inlineStr">
        <x:is>
          <x:t xml:space="preserve">—</x:t>
        </x:is>
      </x:c>
      <x:c r="G59" t="inlineStr">
        <x:is>
          <x:t xml:space="preserve">—</x:t>
        </x:is>
      </x:c>
      <x:c r="H59" t="inlineStr">
        <x:is>
          <x:t xml:space="preserve">—</x:t>
        </x:is>
      </x:c>
      <x:c r="I59" t="inlineStr">
        <x:is>
          <x:t xml:space="preserve">—</x:t>
        </x:is>
      </x:c>
      <x:c r="J59" t="inlineStr">
        <x:is>
          <x:t xml:space="preserve">—</x:t>
        </x:is>
      </x:c>
      <x:c r="K59" t="inlineStr">
        <x:is>
          <x:t xml:space="preserve">FAILS: no repair mechanism specified</x:t>
        </x:is>
      </x:c>
      <x:c r="L59" t="inlineStr">
        <x:is>
          <x:t xml:space="preserve">Gets to God-shape but stops before Cross-shape.</x:t>
        </x:is>
      </x:c>
    </x:row>
    <x:row r="60">
      <x:c r="A60" t="inlineStr">
        <x:is>
          <x:t xml:space="preserve">L6-R7</x:t>
        </x:is>
      </x:c>
      <x:c r="B60" t="inlineStr">
        <x:is>
          <x:t xml:space="preserve">6 — Rival Elimination</x:t>
        </x:is>
      </x:c>
      <x:c r="C60" t="inlineStr">
        <x:is>
          <x:t xml:space="preserve">Rival 7</x:t>
        </x:is>
      </x:c>
      <x:c r="D60" t="inlineStr">
        <x:is>
          <x:t xml:space="preserve">Deism — source does not intervene</x:t>
        </x:is>
      </x:c>
      <x:c r="E60" t="inlineStr">
        <x:is>
          <x:t xml:space="preserve">Rival Candidate</x:t>
        </x:is>
      </x:c>
      <x:c r="F60" t="inlineStr">
        <x:is>
          <x:t xml:space="preserve">A9.1</x:t>
        </x:is>
      </x:c>
      <x:c r="G60" t="inlineStr">
        <x:is>
          <x:t xml:space="preserve">—</x:t>
        </x:is>
      </x:c>
      <x:c r="H60" t="inlineStr">
        <x:is>
          <x:t xml:space="preserve">—</x:t>
        </x:is>
      </x:c>
      <x:c r="I60" t="inlineStr">
        <x:is>
          <x:t xml:space="preserve">—</x:t>
        </x:is>
      </x:c>
      <x:c r="J60" t="inlineStr">
        <x:is>
          <x:t xml:space="preserve">—</x:t>
        </x:is>
      </x:c>
      <x:c r="K60" t="inlineStr">
        <x:is>
          <x:t xml:space="preserve">FAILS: no external intervention</x:t>
        </x:is>
      </x:c>
      <x:c r="L60" t="inlineStr">
        <x:is>
          <x:t xml:space="preserve">Deism concedes the source but denies entry into the corrupted system.</x:t>
        </x:is>
      </x:c>
    </x:row>
    <x:row r="61">
      <x:c r="A61" t="inlineStr">
        <x:is>
          <x:t xml:space="preserve">L6-R8</x:t>
        </x:is>
      </x:c>
      <x:c r="B61" t="inlineStr">
        <x:is>
          <x:t xml:space="preserve">6 — Rival Elimination</x:t>
        </x:is>
      </x:c>
      <x:c r="C61" t="inlineStr">
        <x:is>
          <x:t xml:space="preserve">Rival 8</x:t>
        </x:is>
      </x:c>
      <x:c r="D61" t="inlineStr">
        <x:is>
          <x:t xml:space="preserve">Pantheism — no distinct judge/offender/restorer relation</x:t>
        </x:is>
      </x:c>
      <x:c r="E61" t="inlineStr">
        <x:is>
          <x:t xml:space="preserve">Rival Candidate</x:t>
        </x:is>
      </x:c>
      <x:c r="F61" t="inlineStr">
        <x:is>
          <x:t xml:space="preserve">PERSONHOOD</x:t>
        </x:is>
      </x:c>
      <x:c r="G61" t="inlineStr">
        <x:is>
          <x:t xml:space="preserve">—</x:t>
        </x:is>
      </x:c>
      <x:c r="H61" t="inlineStr">
        <x:is>
          <x:t xml:space="preserve">—</x:t>
        </x:is>
      </x:c>
      <x:c r="I61" t="inlineStr">
        <x:is>
          <x:t xml:space="preserve">—</x:t>
        </x:is>
      </x:c>
      <x:c r="J61" t="inlineStr">
        <x:is>
          <x:t xml:space="preserve">—</x:t>
        </x:is>
      </x:c>
      <x:c r="K61" t="inlineStr">
        <x:is>
          <x:t xml:space="preserve">FAILS: no RELATION distinction</x:t>
        </x:is>
      </x:c>
      <x:c r="L61" t="inlineStr">
        <x:is>
          <x:t xml:space="preserve">If all is one, there is no judge, no offender, no restorer — no repair relation.</x:t>
        </x:is>
      </x:c>
    </x:row>
    <x:row r="62">
      <x:c r="A62" t="inlineStr">
        <x:is>
          <x:t xml:space="preserve">L6-R9</x:t>
        </x:is>
      </x:c>
      <x:c r="B62" t="inlineStr">
        <x:is>
          <x:t xml:space="preserve">6 — Rival Elimination</x:t>
        </x:is>
      </x:c>
      <x:c r="C62" t="inlineStr">
        <x:is>
          <x:t xml:space="preserve">Rival 9</x:t>
        </x:is>
      </x:c>
      <x:c r="D62" t="inlineStr">
        <x:is>
          <x:t xml:space="preserve">Buddhism — treats suffering/attachment, not guilt/record/cost</x:t>
        </x:is>
      </x:c>
      <x:c r="E62" t="inlineStr">
        <x:is>
          <x:t xml:space="preserve">Rival Candidate</x:t>
        </x:is>
      </x:c>
      <x:c r="F62" t="inlineStr">
        <x:is>
          <x:t xml:space="preserve">T16.4</x:t>
        </x:is>
      </x:c>
      <x:c r="G62" t="inlineStr">
        <x:is>
          <x:t xml:space="preserve">—</x:t>
        </x:is>
      </x:c>
      <x:c r="H62" t="inlineStr">
        <x:is>
          <x:t xml:space="preserve">—</x:t>
        </x:is>
      </x:c>
      <x:c r="I62" t="inlineStr">
        <x:is>
          <x:t xml:space="preserve">—</x:t>
        </x:is>
      </x:c>
      <x:c r="J62" t="inlineStr">
        <x:is>
          <x:t xml:space="preserve">—</x:t>
        </x:is>
      </x:c>
      <x:c r="K62" t="inlineStr">
        <x:is>
          <x:t xml:space="preserve">FAILS: no RECORD, no cost-bearer, no terminal observer</x:t>
        </x:is>
      </x:c>
      <x:c r="L62" t="inlineStr">
        <x:is>
          <x:t xml:space="preserve">Dissolution, not restoration. Treats the symptom (attachment) not the cause (moral rupture).</x:t>
        </x:is>
      </x:c>
    </x:row>
    <x:row r="63">
      <x:c r="A63" t="inlineStr">
        <x:is>
          <x:t xml:space="preserve">L6-R10</x:t>
        </x:is>
      </x:c>
      <x:c r="B63" t="inlineStr">
        <x:is>
          <x:t xml:space="preserve">6 — Rival Elimination</x:t>
        </x:is>
      </x:c>
      <x:c r="C63" t="inlineStr">
        <x:is>
          <x:t xml:space="preserve">Rival 10</x:t>
        </x:is>
      </x:c>
      <x:c r="D63" t="inlineStr">
        <x:is>
          <x:t xml:space="preserve">Islam — strong sovereignty, but no judge-as-cost-bearer structure</x:t>
        </x:is>
      </x:c>
      <x:c r="E63" t="inlineStr">
        <x:is>
          <x:t xml:space="preserve">Rival Candidate</x:t>
        </x:is>
      </x:c>
      <x:c r="F63" t="inlineStr">
        <x:is>
          <x:t xml:space="preserve">T16.2</x:t>
        </x:is>
      </x:c>
      <x:c r="G63" t="inlineStr">
        <x:is>
          <x:t xml:space="preserve">—</x:t>
        </x:is>
      </x:c>
      <x:c r="H63" t="inlineStr">
        <x:is>
          <x:t xml:space="preserve">—</x:t>
        </x:is>
      </x:c>
      <x:c r="I63" t="inlineStr">
        <x:is>
          <x:t xml:space="preserve">—</x:t>
        </x:is>
      </x:c>
      <x:c r="J63" t="inlineStr">
        <x:is>
          <x:t xml:space="preserve">—</x:t>
        </x:is>
      </x:c>
      <x:c r="K63" t="inlineStr">
        <x:is>
          <x:t xml:space="preserve">FAILS: sovereignty without cost-bearing entry (BC4 also fails)</x:t>
        </x:is>
      </x:c>
      <x:c r="L63" t="inlineStr">
        <x:is>
          <x:t xml:space="preserve">Treat carefully and respectfully. Islam affirms strong justice and mercy but the judge does not enter the system and bear the cost.</x:t>
        </x:is>
      </x:c>
    </x:row>
    <x:row r="64">
      <x:c r="A64" t="inlineStr">
        <x:is>
          <x:t xml:space="preserve">L6-R11</x:t>
        </x:is>
      </x:c>
      <x:c r="B64" t="inlineStr">
        <x:is>
          <x:t xml:space="preserve">6 — Rival Elimination</x:t>
        </x:is>
      </x:c>
      <x:c r="C64" t="inlineStr">
        <x:is>
          <x:t xml:space="preserve">Rival 11</x:t>
        </x:is>
      </x:c>
      <x:c r="D64" t="inlineStr">
        <x:is>
          <x:t xml:space="preserve">Secular humanism — can improve symptoms, cannot erase moral record or ground final justice</x:t>
        </x:is>
      </x:c>
      <x:c r="E64" t="inlineStr">
        <x:is>
          <x:t xml:space="preserve">Rival Candidate</x:t>
        </x:is>
      </x:c>
      <x:c r="F64" t="inlineStr">
        <x:is>
          <x:t xml:space="preserve">T16.6</x:t>
        </x:is>
      </x:c>
      <x:c r="G64" t="inlineStr">
        <x:is>
          <x:t xml:space="preserve">—</x:t>
        </x:is>
      </x:c>
      <x:c r="H64" t="inlineStr">
        <x:is>
          <x:t xml:space="preserve">—</x:t>
        </x:is>
      </x:c>
      <x:c r="I64" t="inlineStr">
        <x:is>
          <x:t xml:space="preserve">—</x:t>
        </x:is>
      </x:c>
      <x:c r="J64" t="inlineStr">
        <x:is>
          <x:t xml:space="preserve">—</x:t>
        </x:is>
      </x:c>
      <x:c r="K64" t="inlineStr">
        <x:is>
          <x:t xml:space="preserve">FAILS: no transcendent ground for justice; no RECORD mechanism; no cost-bearer</x:t>
        </x:is>
      </x:c>
      <x:c r="L64" t="inlineStr">
        <x:is>
          <x:t xml:space="preserve">Can reduce harm. Cannot address guilt, ground justice, or restore the moral ledger.</x:t>
        </x:is>
      </x:c>
    </x:row>
    <x:row r="65">
      <x:c r="A65" t="inlineStr">
        <x:is>
          <x:t xml:space="preserve">L6-CONCL</x:t>
        </x:is>
      </x:c>
      <x:c r="B65" t="inlineStr">
        <x:is>
          <x:t xml:space="preserve">6 — Repair/Salvation</x:t>
        </x:is>
      </x:c>
      <x:c r="C65" t="inlineStr">
        <x:is>
          <x:t xml:space="preserve">Conclusion</x:t>
        </x:is>
      </x:c>
      <x:c r="D65" t="inlineStr">
        <x:is>
          <x:t xml:space="preserve">Many systems contain fragments of repair. Only Christianity claims the judge Himself enters the system, bears the cost, preserves freedom, restores relation, and validates repair through resurrection.</x:t>
        </x:is>
      </x:c>
      <x:c r="E65" t="inlineStr">
        <x:is>
          <x:t xml:space="preserve">Unique Match Claim</x:t>
        </x:is>
      </x:c>
      <x:c r="F65" t="inlineStr">
        <x:is>
          <x:t xml:space="preserve">T16.1, LAMBDA</x:t>
        </x:is>
      </x:c>
      <x:c r="G65" t="inlineStr">
        <x:is>
          <x:t xml:space="preserve">JusticeMercyOperator.lean, ChristOperatorDiscipline.lean, MissionReturnOperator.lean</x:t>
        </x:is>
      </x:c>
      <x:c r="H65" t="inlineStr">
        <x:is>
          <x:t xml:space="preserve">structure, def, theorem</x:t>
        </x:is>
      </x:c>
      <x:c r="I65" t="inlineStr">
        <x:is>
          <x:t xml:space="preserve">Cross convergence is unique within modeled constraints; C_op converts while preserving; substrate identity preserved through incarnation-death-resurrection</x:t>
        </x:is>
      </x:c>
      <x:c r="J65" t="inlineStr">
        <x:is>
          <x:t xml:space="preserve">Uniqueness is within the model. History must be tested separately. The model does not prove the Resurrection happened.</x:t>
        </x:is>
      </x:c>
      <x:c r="K65" t="inlineStr">
        <x:is>
          <x:t xml:space="preserve">Cross-shaped repair: the unique match</x:t>
        </x:is>
      </x:c>
      <x:c r="L65" t="inlineStr">
        <x:is>
          <x:t xml:space="preserve">The bridge from God-shaped to Cross-shaped is: perfect repair requires a cost-bearing judge. That is the lock.</x:t>
        </x:is>
      </x:c>
    </x:row>
    <x:row r="66">
      <x:c r="A66" t="inlineStr">
        <x:is>
          <x:t xml:space="preserve">LANE 7</x:t>
        </x:is>
      </x:c>
      <x:c r="B66" t="inlineStr">
        <x:is>
          <x:t xml:space="preserve">THE CONVERGENCE LANE</x:t>
        </x:is>
      </x:c>
      <x:c r="D66" t="inlineStr">
        <x:is>
          <x:t xml:space="preserve">The force is not in one lane. The force is in convergence.</x:t>
        </x:is>
      </x:c>
      <x:c r="K66" t="inlineStr">
        <x:is>
          <x:t xml:space="preserve">Not one proof but one destination reached by many roads</x:t>
        </x:is>
      </x:c>
    </x:row>
    <x:row r="67">
      <x:c r="A67" t="inlineStr">
        <x:is>
          <x:t xml:space="preserve">L7-Q1</x:t>
        </x:is>
      </x:c>
      <x:c r="B67" t="inlineStr">
        <x:is>
          <x:t xml:space="preserve">7 — Convergence</x:t>
        </x:is>
      </x:c>
      <x:c r="C67" t="inlineStr">
        <x:is>
          <x:t xml:space="preserve">Q1</x:t>
        </x:is>
      </x:c>
      <x:c r="D67" t="inlineStr">
        <x:is>
          <x:t xml:space="preserve">If one argument reaches a conclusion, can it be mistaken?</x:t>
        </x:is>
      </x:c>
      <x:c r="E67" t="inlineStr">
        <x:is>
          <x:t xml:space="preserve">Axiom (self-evident)</x:t>
        </x:is>
      </x:c>
      <x:c r="F67" t="inlineStr">
        <x:is>
          <x:t xml:space="preserve">—</x:t>
        </x:is>
      </x:c>
      <x:c r="G67" t="inlineStr">
        <x:is>
          <x:t xml:space="preserve">—</x:t>
        </x:is>
      </x:c>
      <x:c r="H67" t="inlineStr">
        <x:is>
          <x:t xml:space="preserve">—</x:t>
        </x:is>
      </x:c>
      <x:c r="I67" t="inlineStr">
        <x:is>
          <x:t xml:space="preserve">—</x:t>
        </x:is>
      </x:c>
      <x:c r="J67" t="inlineStr">
        <x:is>
          <x:t xml:space="preserve">—</x:t>
        </x:is>
      </x:c>
      <x:c r="K67" t="inlineStr">
        <x:is>
          <x:t xml:space="preserve">Single arguments are fallible</x:t>
        </x:is>
      </x:c>
      <x:c r="L67" t="inlineStr">
        <x:is>
          <x:t xml:space="preserve">Establishes the principle that convergence is needed.</x:t>
        </x:is>
      </x:c>
    </x:row>
    <x:row r="68">
      <x:c r="A68" t="inlineStr">
        <x:is>
          <x:t xml:space="preserve">L7-Q2</x:t>
        </x:is>
      </x:c>
      <x:c r="B68" t="inlineStr">
        <x:is>
          <x:t xml:space="preserve">7 — Convergence</x:t>
        </x:is>
      </x:c>
      <x:c r="C68" t="inlineStr">
        <x:is>
          <x:t xml:space="preserve">Q2</x:t>
        </x:is>
      </x:c>
      <x:c r="D68" t="inlineStr">
        <x:is>
          <x:t xml:space="preserve">If two independent arguments reach the same conclusion, does that increase evidential weight?</x:t>
        </x:is>
      </x:c>
      <x:c r="E68" t="inlineStr">
        <x:is>
          <x:t xml:space="preserve">Logical Necessity</x:t>
        </x:is>
      </x:c>
      <x:c r="F68" t="inlineStr">
        <x:is>
          <x:t xml:space="preserve">—</x:t>
        </x:is>
      </x:c>
      <x:c r="G68" t="inlineStr">
        <x:is>
          <x:t xml:space="preserve">—</x:t>
        </x:is>
      </x:c>
      <x:c r="H68" t="inlineStr">
        <x:is>
          <x:t xml:space="preserve">—</x:t>
        </x:is>
      </x:c>
      <x:c r="I68" t="inlineStr">
        <x:is>
          <x:t xml:space="preserve">—</x:t>
        </x:is>
      </x:c>
      <x:c r="J68" t="inlineStr">
        <x:is>
          <x:t xml:space="preserve">—</x:t>
        </x:is>
      </x:c>
      <x:c r="K68" t="inlineStr">
        <x:is>
          <x:t xml:space="preserve">Independent convergence increases weight</x:t>
        </x:is>
      </x:c>
      <x:c r="L68" t="inlineStr">
        <x:is>
          <x:t xml:space="preserve">Standard epistemology. Hard to deny without undermining all of science.</x:t>
        </x:is>
      </x:c>
    </x:row>
    <x:row r="69">
      <x:c r="A69" t="inlineStr">
        <x:is>
          <x:t xml:space="preserve">L7-Q3</x:t>
        </x:is>
      </x:c>
      <x:c r="B69" t="inlineStr">
        <x:is>
          <x:t xml:space="preserve">7 — Convergence</x:t>
        </x:is>
      </x:c>
      <x:c r="C69" t="inlineStr">
        <x:is>
          <x:t xml:space="preserve">Q3</x:t>
        </x:is>
      </x:c>
      <x:c r="D69" t="inlineStr">
        <x:is>
          <x:t xml:space="preserve">If several domains reach the same shape independently, is that stronger than one domain alone?</x:t>
        </x:is>
      </x:c>
      <x:c r="E69" t="inlineStr">
        <x:is>
          <x:t xml:space="preserve">Logical Necessity</x:t>
        </x:is>
      </x:c>
      <x:c r="F69" t="inlineStr">
        <x:is>
          <x:t xml:space="preserve">—</x:t>
        </x:is>
      </x:c>
      <x:c r="G69" t="inlineStr">
        <x:is>
          <x:t xml:space="preserve">IsomorphismTest.lean</x:t>
        </x:is>
      </x:c>
      <x:c r="H69" t="inlineStr">
        <x:is>
          <x:t xml:space="preserve">def, theorem</x:t>
        </x:is>
      </x:c>
      <x:c r="I69" t="inlineStr">
        <x:is>
          <x:t xml:space="preserve">Structural isomorphism passes for intended mappings; nearby wrong mappings fail</x:t>
        </x:is>
      </x:c>
      <x:c r="J69" t="inlineStr">
        <x:is>
          <x:t xml:space="preserve">Isomorphism in the model ≠ proof that the domains really have the same structure</x:t>
        </x:is>
      </x:c>
      <x:c r="K69" t="inlineStr">
        <x:is>
          <x:t xml:space="preserve">Cross-domain convergence is evidence</x:t>
        </x:is>
      </x:c>
      <x:c r="L69" t="inlineStr">
        <x:is>
          <x:t xml:space="preserve">The isomorphism test shows the bridge holds; the question is whether the bridge connects the right things.</x:t>
        </x:is>
      </x:c>
    </x:row>
    <x:row r="70">
      <x:c r="A70" t="inlineStr">
        <x:is>
          <x:t xml:space="preserve">L7-Q4</x:t>
        </x:is>
      </x:c>
      <x:c r="B70" t="inlineStr">
        <x:is>
          <x:t xml:space="preserve">7 — Convergence</x:t>
        </x:is>
      </x:c>
      <x:c r="C70" t="inlineStr">
        <x:is>
          <x:t xml:space="preserve">Q4</x:t>
        </x:is>
      </x:c>
      <x:c r="D70" t="inlineStr">
        <x:is>
          <x:t xml:space="preserve">If logic, moral reasoning, consciousness, information, experience, and mathematics all converge, should that be taken seriously?</x:t>
        </x:is>
      </x:c>
      <x:c r="E70" t="inlineStr">
        <x:is>
          <x:t xml:space="preserve">Abductive Inference</x:t>
        </x:is>
      </x:c>
      <x:c r="F70" t="inlineStr">
        <x:is>
          <x:t xml:space="preserve">U1, U2, U3, U4</x:t>
        </x:is>
      </x:c>
      <x:c r="G70" t="inlineStr">
        <x:is>
          <x:t xml:space="preserve">BridgeMatrix.lean, MasterEquationInvariance.lean</x:t>
        </x:is>
      </x:c>
      <x:c r="H70" t="inlineStr">
        <x:is>
          <x:t xml:space="preserve">structure, def, theorem</x:t>
        </x:is>
      </x:c>
      <x:c r="I70" t="inlineStr">
        <x:is>
          <x:t xml:space="preserve">Ten canonical bridge rows all valid; physical-to-spiritual substitution preserves signatures; product-only invariance proved insufficient</x:t>
        </x:is>
      </x:c>
      <x:c r="J70" t="inlineStr">
        <x:is>
          <x:t xml:space="preserve">Bridge rows typed and tested inside the model. They do not prove the framework is complete or that these ten factors are correct.</x:t>
        </x:is>
      </x:c>
      <x:c r="K70" t="inlineStr">
        <x:is>
          <x:t xml:space="preserve">Multi-domain convergence demands explanation</x:t>
        </x:is>
      </x:c>
      <x:c r="L70" t="inlineStr">
        <x:is>
          <x:t xml:space="preserve">HitRateDiscipline.lean blocks overclaiming: anomalous hit-rate requires closed denominator.</x:t>
        </x:is>
      </x:c>
    </x:row>
    <x:row r="71">
      <x:c r="A71" t="inlineStr">
        <x:is>
          <x:t xml:space="preserve">L7-Q5</x:t>
        </x:is>
      </x:c>
      <x:c r="B71" t="inlineStr">
        <x:is>
          <x:t xml:space="preserve">7 — Convergence</x:t>
        </x:is>
      </x:c>
      <x:c r="C71" t="inlineStr">
        <x:is>
          <x:t xml:space="preserve">Q5</x:t>
        </x:is>
      </x:c>
      <x:c r="D71" t="inlineStr">
        <x:is>
          <x:t xml:space="preserve">If the reader already agreed that independent convergence counts as evidence, should that standard apply here?</x:t>
        </x:is>
      </x:c>
      <x:c r="E71" t="inlineStr">
        <x:is>
          <x:t xml:space="preserve">Receipt Principle</x:t>
        </x:is>
      </x:c>
      <x:c r="F71" t="inlineStr">
        <x:is>
          <x:t xml:space="preserve">—</x:t>
        </x:is>
      </x:c>
      <x:c r="G71" t="inlineStr">
        <x:is>
          <x:t xml:space="preserve">HitRateDiscipline.lean</x:t>
        </x:is>
      </x:c>
      <x:c r="H71" t="inlineStr">
        <x:is>
          <x:t xml:space="preserve">def, theorem</x:t>
        </x:is>
      </x:c>
      <x:c r="I71" t="inlineStr">
        <x:is>
          <x:t xml:space="preserve">Anomalous hit-rate claim blocked unless denominator is closed; all attempts/failures/partials counted</x:t>
        </x:is>
      </x:c>
      <x:c r="J71" t="inlineStr">
        <x:is>
          <x:t xml:space="preserve">Audit rule is built in. Does not mean the audit has been completed.</x:t>
        </x:is>
      </x:c>
      <x:c r="K71" t="inlineStr">
        <x:is>
          <x:t xml:space="preserve">The reader's own standard applies</x:t>
        </x:is>
      </x:c>
      <x:c r="L71" t="inlineStr">
        <x:is>
          <x:t xml:space="preserve">Receipt Principle: 'This follows from what you already told us you believe.'</x:t>
        </x:is>
      </x:c>
    </x:row>
    <x:row r="72">
      <x:c r="A72" t="inlineStr">
        <x:is>
          <x:t xml:space="preserve">L7-Q6</x:t>
        </x:is>
      </x:c>
      <x:c r="B72" t="inlineStr">
        <x:is>
          <x:t xml:space="preserve">7 — Convergence</x:t>
        </x:is>
      </x:c>
      <x:c r="C72" t="inlineStr">
        <x:is>
          <x:t xml:space="preserve">Q6</x:t>
        </x:is>
      </x:c>
      <x:c r="D72" t="inlineStr">
        <x:is>
          <x:t xml:space="preserve">If all lanes produce the same God-shaped structure, what alternative explains the convergence better?</x:t>
        </x:is>
      </x:c>
      <x:c r="E72" t="inlineStr">
        <x:is>
          <x:t xml:space="preserve">Abductive Inference</x:t>
        </x:is>
      </x:c>
      <x:c r="F72" t="inlineStr">
        <x:is>
          <x:t xml:space="preserve">—</x:t>
        </x:is>
      </x:c>
      <x:c r="G72" t="inlineStr">
        <x:is>
          <x:t xml:space="preserve">MaxwellTrinity.lean</x:t>
        </x:is>
      </x:c>
      <x:c r="H72" t="inlineStr">
        <x:is>
          <x:t xml:space="preserve">inductive, def, theorem</x:t>
        </x:is>
      </x:c>
      <x:c r="I72" t="inlineStr">
        <x:is>
          <x:t xml:space="preserve">Triadic invariants pass for intended candidates; four named wrong controls fail first</x:t>
        </x:is>
      </x:c>
      <x:c r="J72" t="inlineStr">
        <x:is>
          <x:t xml:space="preserve">Whether the gate is the right gate for real Maxwell EM and real Trinitarian doctrine is an open specification question</x:t>
        </x:is>
      </x:c>
      <x:c r="K72" t="inlineStr">
        <x:is>
          <x:t xml:space="preserve">No alternative explains the full convergence</x:t>
        </x:is>
      </x:c>
      <x:c r="L72" t="inlineStr">
        <x:is>
          <x:t xml:space="preserve">Do not say convergence removes all possible doubt. Say: convergence changes the burden.</x:t>
        </x:is>
      </x:c>
    </x:row>
    <x:row r="73">
      <x:c r="A73" t="inlineStr">
        <x:is>
          <x:t xml:space="preserve">L7-Q7</x:t>
        </x:is>
      </x:c>
      <x:c r="B73" t="inlineStr">
        <x:is>
          <x:t xml:space="preserve">7 — Convergence</x:t>
        </x:is>
      </x:c>
      <x:c r="C73" t="inlineStr">
        <x:is>
          <x:t xml:space="preserve">Q7</x:t>
        </x:is>
      </x:c>
      <x:c r="D73" t="inlineStr">
        <x:is>
          <x:t xml:space="preserve">What else fits the full shape?</x:t>
        </x:is>
      </x:c>
      <x:c r="E73" t="inlineStr">
        <x:is>
          <x:t xml:space="preserve">Challenge (open)</x:t>
        </x:is>
      </x:c>
      <x:c r="F73" t="inlineStr">
        <x:is>
          <x:t xml:space="preserve">T16.1–T16.6</x:t>
        </x:is>
      </x:c>
      <x:c r="G73" t="inlineStr">
        <x:is>
          <x:t xml:space="preserve">—</x:t>
        </x:is>
      </x:c>
      <x:c r="H73" t="inlineStr">
        <x:is>
          <x:t xml:space="preserve">—</x:t>
        </x:is>
      </x:c>
      <x:c r="I73" t="inlineStr">
        <x:is>
          <x:t xml:space="preserve">—</x:t>
        </x:is>
      </x:c>
      <x:c r="J73" t="inlineStr">
        <x:is>
          <x:t xml:space="preserve">This is an open invitation, not a closed proof</x:t>
        </x:is>
      </x:c>
      <x:c r="K73" t="inlineStr">
        <x:is>
          <x:t xml:space="preserve">The reader is invited to find an alternative</x:t>
        </x:is>
      </x:c>
      <x:c r="L73" t="inlineStr">
        <x:is>
          <x:t xml:space="preserve">REVEAL: 'You already agreed that convergence counts as evidence. Here is the convergence.'</x:t>
        </x:is>
      </x:c>
    </x:row>
    <x:row r="74">
      <x:c r="A74" t="inlineStr">
        <x:is>
          <x:t xml:space="preserve">STAGES</x:t>
        </x:is>
      </x:c>
      <x:c r="B74" t="inlineStr">
        <x:is>
          <x:t xml:space="preserve">THE STAGED EXPERIENCE — DELIVERY SEQUENCE</x:t>
        </x:is>
      </x:c>
      <x:c r="D74" t="inlineStr">
        <x:is>
          <x:t xml:space="preserve">The order in which the reader encounters the framework.</x:t>
        </x:is>
      </x:c>
    </x:row>
    <x:row r="75">
      <x:c r="A75" t="inlineStr">
        <x:is>
          <x:t xml:space="preserve">S0-FLINCH</x:t>
        </x:is>
      </x:c>
      <x:c r="B75" t="inlineStr">
        <x:is>
          <x:t xml:space="preserve">Stage 0 — The Flinch</x:t>
        </x:is>
      </x:c>
      <x:c r="C75" t="inlineStr">
        <x:is>
          <x:t xml:space="preserve">Pre-argument</x:t>
        </x:is>
      </x:c>
      <x:c r="D75" t="inlineStr">
        <x:is>
          <x:t xml:space="preserve">Mirror questions: Would you sell your soul for $5? Have you ever reached for God under pressure? Have you ever broken a rule you agreed was good? Have you ever judged from limited knowledge?</x:t>
        </x:is>
      </x:c>
      <x:c r="E75" t="inlineStr">
        <x:is>
          <x:t xml:space="preserve">Mirror / Diagnostic</x:t>
        </x:is>
      </x:c>
      <x:c r="F75" t="inlineStr">
        <x:is>
          <x:t xml:space="preserve">—</x:t>
        </x:is>
      </x:c>
      <x:c r="G75" t="inlineStr">
        <x:is>
          <x:t xml:space="preserve">—</x:t>
        </x:is>
      </x:c>
      <x:c r="H75" t="inlineStr">
        <x:is>
          <x:t xml:space="preserve">—</x:t>
        </x:is>
      </x:c>
      <x:c r="I75" t="inlineStr">
        <x:is>
          <x:t xml:space="preserve">—</x:t>
        </x:is>
      </x:c>
      <x:c r="J75" t="inlineStr">
        <x:is>
          <x:t xml:space="preserve">—</x:t>
        </x:is>
      </x:c>
      <x:c r="K75" t="inlineStr">
        <x:is>
          <x:t xml:space="preserve">Man reaches beyond himself; shares Adam's structure; judges from a compromised position</x:t>
        </x:is>
      </x:c>
      <x:c r="L75" t="inlineStr">
        <x:is>
          <x:t xml:space="preserve">These are not proofs. They are mirrors. They prevent the reader from entering as a detached judge over God.</x:t>
        </x:is>
      </x:c>
    </x:row>
    <x:row r="76">
      <x:c r="A76" t="inlineStr">
        <x:is>
          <x:t xml:space="preserve">S1-RECEIPT</x:t>
        </x:is>
      </x:c>
      <x:c r="B76" t="inlineStr">
        <x:is>
          <x:t xml:space="preserve">Stage 1 — The Receipt</x:t>
        </x:is>
      </x:c>
      <x:c r="C76" t="inlineStr">
        <x:is>
          <x:t xml:space="preserve">Gateway</x:t>
        </x:is>
      </x:c>
      <x:c r="D76" t="inlineStr">
        <x:is>
          <x:t xml:space="preserve">The reader answers gateway questions: moral realism, intellectual honesty, causality, consciousness, convergence. Answers are stored as a logical receipt.</x:t>
        </x:is>
      </x:c>
      <x:c r="E76" t="inlineStr">
        <x:is>
          <x:t xml:space="preserve">Receipt Principle</x:t>
        </x:is>
      </x:c>
      <x:c r="F76" t="inlineStr">
        <x:is>
          <x:t xml:space="preserve">A11.1, A1.1, A5.1</x:t>
        </x:is>
      </x:c>
      <x:c r="G76" t="inlineStr">
        <x:is>
          <x:t xml:space="preserve">—</x:t>
        </x:is>
      </x:c>
      <x:c r="H76" t="inlineStr">
        <x:is>
          <x:t xml:space="preserve">—</x:t>
        </x:is>
      </x:c>
      <x:c r="I76" t="inlineStr">
        <x:is>
          <x:t xml:space="preserve">—</x:t>
        </x:is>
      </x:c>
      <x:c r="J76" t="inlineStr">
        <x:is>
          <x:t xml:space="preserve">—</x:t>
        </x:is>
      </x:c>
      <x:c r="K76" t="inlineStr">
        <x:is>
          <x:t xml:space="preserve">The reader builds the foundation they will stand on</x:t>
        </x:is>
      </x:c>
      <x:c r="L76" t="inlineStr">
        <x:is>
          <x:t xml:space="preserve">Fairness mechanism: prevents changing standards midstream. If the reader later rejects an axiom, the system responds: 'This follows from what you already told us you believe.'</x:t>
        </x:is>
      </x:c>
    </x:row>
    <x:row r="77">
      <x:c r="A77" t="inlineStr">
        <x:is>
          <x:t xml:space="preserve">S2-IMAGINE</x:t>
        </x:is>
      </x:c>
      <x:c r="B77" t="inlineStr">
        <x:is>
          <x:t xml:space="preserve">Stage 2 — The Imagination Test</x:t>
        </x:is>
      </x:c>
      <x:c r="C77" t="inlineStr">
        <x:is>
          <x:t xml:space="preserve">God-Builder</x:t>
        </x:is>
      </x:c>
      <x:c r="D77" t="inlineStr">
        <x:is>
          <x:t xml:space="preserve">The reader imagines being God and builds order, beauty, law, love, freedom, consequence, repair. Only then is the biblical parallel revealed.</x:t>
        </x:is>
      </x:c>
      <x:c r="E77" t="inlineStr">
        <x:is>
          <x:t xml:space="preserve">Thought Experiment</x:t>
        </x:is>
      </x:c>
      <x:c r="F77" t="inlineStr">
        <x:is>
          <x:t xml:space="preserve">—</x:t>
        </x:is>
      </x:c>
      <x:c r="G77" t="inlineStr">
        <x:is>
          <x:t xml:space="preserve">—</x:t>
        </x:is>
      </x:c>
      <x:c r="H77" t="inlineStr">
        <x:is>
          <x:t xml:space="preserve">—</x:t>
        </x:is>
      </x:c>
      <x:c r="I77" t="inlineStr">
        <x:is>
          <x:t xml:space="preserve">—</x:t>
        </x:is>
      </x:c>
      <x:c r="J77" t="inlineStr">
        <x:is>
          <x:t xml:space="preserve">—</x:t>
        </x:is>
      </x:c>
      <x:c r="K77" t="inlineStr">
        <x:is>
          <x:t xml:space="preserve">Genesis / Logos structure built by the reader</x:t>
        </x:is>
      </x:c>
      <x:c r="L77" t="inlineStr">
        <x:is>
          <x:t xml:space="preserve">Lane 5 in experiential form. The reader discovers the structure before hearing the name.</x:t>
        </x:is>
      </x:c>
    </x:row>
    <x:row r="78">
      <x:c r="A78" t="inlineStr">
        <x:is>
          <x:t xml:space="preserve">S3-LOGIC</x:t>
        </x:is>
      </x:c>
      <x:c r="B78" t="inlineStr">
        <x:is>
          <x:t xml:space="preserve">Stage 3 — The Logic Chain</x:t>
        </x:is>
      </x:c>
      <x:c r="C78" t="inlineStr">
        <x:is>
          <x:t xml:space="preserve">Q1–Q22</x:t>
        </x:is>
      </x:c>
      <x:c r="D78" t="inlineStr">
        <x:is>
          <x:t xml:space="preserve">Existence → distinction → information → substrate → self-grounding source → choice → decoherence → corrupted system → constrained repair → historical match</x:t>
        </x:is>
      </x:c>
      <x:c r="E78" t="inlineStr">
        <x:is>
          <x:t xml:space="preserve">Deductive + Abductive Chain</x:t>
        </x:is>
      </x:c>
      <x:c r="F78" t="inlineStr">
        <x:is>
          <x:t xml:space="preserve">A1.1 through T16.1</x:t>
        </x:is>
      </x:c>
      <x:c r="G78" t="inlineStr">
        <x:is>
          <x:t xml:space="preserve">Core.lean through MasterEquationInvariance.lean</x:t>
        </x:is>
      </x:c>
      <x:c r="H78" t="inlineStr">
        <x:is>
          <x:t xml:space="preserve">full stack</x:t>
        </x:is>
      </x:c>
      <x:c r="I78" t="inlineStr">
        <x:is>
          <x:t xml:space="preserve">Multiple modules compile; gates hold; bridges pass; wrong substitutions fail</x:t>
        </x:is>
      </x:c>
      <x:c r="J78" t="inlineStr">
        <x:is>
          <x:t xml:space="preserve">Lean proves internal consistency. Whether the model is the right model for the real world is the open question.</x:t>
        </x:is>
      </x:c>
      <x:c r="K78" t="inlineStr">
        <x:is>
          <x:t xml:space="preserve">The deductive and abductive spine of the framework</x:t>
        </x:is>
      </x:c>
      <x:c r="L78" t="inlineStr">
        <x:is>
          <x:t xml:space="preserve">Some steps deductive, some abductive. Mark the difference honestly at each transition.</x:t>
        </x:is>
      </x:c>
    </x:row>
    <x:row r="79">
      <x:c r="A79" t="inlineStr">
        <x:is>
          <x:t xml:space="preserve">S4-BLIND</x:t>
        </x:is>
      </x:c>
      <x:c r="B79" t="inlineStr">
        <x:is>
          <x:t xml:space="preserve">Stage 4 — The Blind Test</x:t>
        </x:is>
      </x:c>
      <x:c r="C79" t="inlineStr">
        <x:is>
          <x:t xml:space="preserve">Neutral derivation</x:t>
        </x:is>
      </x:c>
      <x:c r="D79" t="inlineStr">
        <x:is>
          <x:t xml:space="preserve">A neutral first-principles sequence (no scriptural framing) derives: incarnation, cross, resurrection, grace, transformation. The external model converges on the same structure.</x:t>
        </x:is>
      </x:c>
      <x:c r="E79" t="inlineStr">
        <x:is>
          <x:t xml:space="preserve">Independent Convergence Test</x:t>
        </x:is>
      </x:c>
      <x:c r="F79" t="inlineStr">
        <x:is>
          <x:t xml:space="preserve">—</x:t>
        </x:is>
      </x:c>
      <x:c r="G79" t="inlineStr">
        <x:is>
          <x:t xml:space="preserve">—</x:t>
        </x:is>
      </x:c>
      <x:c r="H79" t="inlineStr">
        <x:is>
          <x:t xml:space="preserve">—</x:t>
        </x:is>
      </x:c>
      <x:c r="I79" t="inlineStr">
        <x:is>
          <x:t xml:space="preserve">—</x:t>
        </x:is>
      </x:c>
      <x:c r="J79" t="inlineStr">
        <x:is>
          <x:t xml:space="preserve">—</x:t>
        </x:is>
      </x:c>
      <x:c r="K79" t="inlineStr">
        <x:is>
          <x:t xml:space="preserve">Neutral constraint path converges on Christian structure</x:t>
        </x:is>
      </x:c>
      <x:c r="L79" t="inlineStr">
        <x:is>
          <x:t xml:space="preserve">The significance is not that AI proves God. The significance is that a neutral constraint path converged on the same structure.</x:t>
        </x:is>
      </x:c>
    </x:row>
    <x:row r="80">
      <x:c r="A80" t="inlineStr">
        <x:is>
          <x:t xml:space="preserve">S5-EQUATION</x:t>
        </x:is>
      </x:c>
      <x:c r="B80" t="inlineStr">
        <x:is>
          <x:t xml:space="preserve">Stage 5 — The Equation</x:t>
        </x:is>
      </x:c>
      <x:c r="C80" t="inlineStr">
        <x:is>
          <x:t xml:space="preserve">Master Equation</x:t>
        </x:is>
      </x:c>
      <x:c r="D80" t="inlineStr">
        <x:is>
          <x:t xml:space="preserve">The Master Equation read as a salvation story: coherence below fullness, sin/entropy pulls downward, grace enters externally, openness determines coupling, restoration requires participation, decay persists where resistance persists.</x:t>
        </x:is>
      </x:c>
      <x:c r="E80" t="inlineStr">
        <x:is>
          <x:t xml:space="preserve">Mathematical Formalism</x:t>
        </x:is>
      </x:c>
      <x:c r="F80" t="inlineStr">
        <x:is>
          <x:t xml:space="preserve">E19.1, E2.1</x:t>
        </x:is>
      </x:c>
      <x:c r="G80" t="inlineStr">
        <x:is>
          <x:t xml:space="preserve">BridgeMatrix.lean, FieldBridgeControls.lean, BridgeScoreDiscipline.lean</x:t>
        </x:is>
      </x:c>
      <x:c r="H80" t="inlineStr">
        <x:is>
          <x:t xml:space="preserve">structure, def, theorem</x:t>
        </x:is>
      </x:c>
      <x:c r="I80" t="inlineStr">
        <x:is>
          <x:t xml:space="preserve">Ten factors typed; canonical rows valid; gate conditions enforced; score/gate separation holds</x:t>
        </x:is>
      </x:c>
      <x:c r="J80" t="inlineStr">
        <x:is>
          <x:t xml:space="preserve">The equation describes the shape of restoration. The bridge rows are typed and tested. They do not prove the framework is complete.</x:t>
        </x:is>
      </x:c>
      <x:c r="K80" t="inlineStr">
        <x:is>
          <x:t xml:space="preserve">The gospel in dynamical form</x:t>
        </x:is>
      </x:c>
      <x:c r="L80" t="inlineStr">
        <x:is>
          <x:t xml:space="preserve">Do not say the equation alone proves the resurrection. Say: the equation describes the shape of restoration. The historical claim is that Christ uniquely fits that shape.</x:t>
        </x:is>
      </x:c>
    </x:row>
    <x:row r="81">
      <x:c r="A81" t="inlineStr">
        <x:is>
          <x:t xml:space="preserve">S6-CONVERGE</x:t>
        </x:is>
      </x:c>
      <x:c r="B81" t="inlineStr">
        <x:is>
          <x:t xml:space="preserve">Stage 6 — The Convergence Reveal</x:t>
        </x:is>
      </x:c>
      <x:c r="C81" t="inlineStr">
        <x:is>
          <x:t xml:space="preserve">All lanes</x:t>
        </x:is>
      </x:c>
      <x:c r="D81" t="inlineStr">
        <x:is>
          <x:t xml:space="preserve">The reader sees all lanes together: flinch tests, gateway receipt, God-builder exercise, Q1-Q22 chain, blind test, Master Equation, Duality Project, historical specification, Convergence Series. Different methods, different starting points, same endpoint.</x:t>
        </x:is>
      </x:c>
      <x:c r="E81" t="inlineStr">
        <x:is>
          <x:t xml:space="preserve">Convergence Display</x:t>
        </x:is>
      </x:c>
      <x:c r="F81" t="inlineStr">
        <x:is>
          <x:t xml:space="preserve">U1–U4</x:t>
        </x:is>
      </x:c>
      <x:c r="G81" t="inlineStr">
        <x:is>
          <x:t xml:space="preserve">All modules</x:t>
        </x:is>
      </x:c>
      <x:c r="H81" t="inlineStr">
        <x:is>
          <x:t xml:space="preserve">full stack</x:t>
        </x:is>
      </x:c>
      <x:c r="I81" t="inlineStr">
        <x:is>
          <x:t xml:space="preserve">287 theorems, 0 axioms, 0 sorry/admit compiled</x:t>
        </x:is>
      </x:c>
      <x:c r="J81" t="inlineStr">
        <x:is>
          <x:t xml:space="preserve">Lean proves the framework is internally consistent. It does not prove the framework is the right model for reality.</x:t>
        </x:is>
      </x:c>
      <x:c r="K81" t="inlineStr">
        <x:is>
          <x:t xml:space="preserve">One destination reached by many roads</x:t>
        </x:is>
      </x:c>
      <x:c r="L81" t="inlineStr">
        <x:is>
          <x:t xml:space="preserve">Do not say convergence removes all possible doubt. Say: convergence changes the burden. The question becomes whether any alternative explains the same pattern with equal or greater coherence.</x:t>
        </x:is>
      </x:c>
    </x:row>
    <x:row r="82">
      <x:c r="A82" t="inlineStr">
        <x:is>
          <x:t xml:space="preserve">S7-AXIOMS</x:t>
        </x:is>
      </x:c>
      <x:c r="B82" t="inlineStr">
        <x:is>
          <x:t xml:space="preserve">Stage 7 — The Axiom Engine</x:t>
        </x:is>
      </x:c>
      <x:c r="C82" t="inlineStr">
        <x:is>
          <x:t xml:space="preserve">Formal entry</x:t>
        </x:is>
      </x:c>
      <x:c r="D82" t="inlineStr">
        <x:is>
          <x:t xml:space="preserve">Only after the staged journey does the reader enter the 188 axioms. The axioms are no longer naked claims — they are formal consequences of the reader's answers, the logic chain, the God-builder exercise, the convergence principle, the equation, and the historical specification.</x:t>
        </x:is>
      </x:c>
      <x:c r="E82" t="inlineStr">
        <x:is>
          <x:t xml:space="preserve">Formal System</x:t>
        </x:is>
      </x:c>
      <x:c r="F82" t="inlineStr">
        <x:is>
          <x:t xml:space="preserve">A1.1–OMEGA</x:t>
        </x:is>
      </x:c>
      <x:c r="G82" t="inlineStr">
        <x:is>
          <x:t xml:space="preserve">Full Lean4 package</x:t>
        </x:is>
      </x:c>
      <x:c r="H82" t="inlineStr">
        <x:is>
          <x:t xml:space="preserve">287 theorems</x:t>
        </x:is>
      </x:c>
      <x:c r="I82" t="inlineStr">
        <x:is>
          <x:t xml:space="preserve">Full package compiled: 287 theorems, 0 axioms, 0 sorry/admit placeholders</x:t>
        </x:is>
      </x:c>
      <x:c r="J82" t="inlineStr">
        <x:is>
          <x:t xml:space="preserve">Internal consistency only. Model correctness is separate from model truth.</x:t>
        </x:is>
      </x:c>
      <x:c r="K82" t="inlineStr">
        <x:is>
          <x:t xml:space="preserve">188 axioms grounded in the reader's own journey</x:t>
        </x:is>
      </x:c>
      <x:c r="L82" t="inlineStr">
        <x:is>
          <x:t xml:space="preserve">If the reader rejects an axiom: (1) Are you revising your gateway answer? (2) Are you denying the logical bridge? (3) Are you identifying a real failure? Option 3 is welcomed because it improves the system.</x:t>
        </x:is>
      </x:c>
    </x:row>
    <x:row r="83">
      <x:c r="A83" t="inlineStr">
        <x:is>
          <x:t xml:space="preserve">PAPERS</x:t>
        </x:is>
      </x:c>
      <x:c r="B83" t="inlineStr">
        <x:is>
          <x:t xml:space="preserve">LANE 6 PAPER STACK — THE DEFINITIVE DOSSIER</x:t>
        </x:is>
      </x:c>
      <x:c r="D83" t="inlineStr">
        <x:is>
          <x:t xml:space="preserve">Nine papers that walk every part of the God-to-Christ bridge.</x:t>
        </x:is>
      </x:c>
    </x:row>
    <x:row r="84">
      <x:c r="A84" t="inlineStr">
        <x:is>
          <x:t xml:space="preserve">P4.1</x:t>
        </x:is>
      </x:c>
      <x:c r="B84" t="inlineStr">
        <x:is>
          <x:t xml:space="preserve">Paper 4.1</x:t>
        </x:is>
      </x:c>
      <x:c r="C84" t="inlineStr">
        <x:is>
          <x:t xml:space="preserve">—</x:t>
        </x:is>
      </x:c>
      <x:c r="D84" t="inlineStr">
        <x:is>
          <x:t xml:space="preserve">The Repair Problem — Broken systems cannot fully repair themselves from within.</x:t>
        </x:is>
      </x:c>
      <x:c r="E84" t="inlineStr">
        <x:is>
          <x:t xml:space="preserve">Paper</x:t>
        </x:is>
      </x:c>
      <x:c r="F84" t="inlineStr">
        <x:is>
          <x:t xml:space="preserve">L6-Q1</x:t>
        </x:is>
      </x:c>
      <x:c r="G84" t="inlineStr">
        <x:is>
          <x:t xml:space="preserve">PolarityDiscipline.lean, SignConversionDiscipline.lean</x:t>
        </x:is>
      </x:c>
      <x:c r="H84" t="inlineStr">
        <x:is>
          <x:t xml:space="preserve">—</x:t>
        </x:is>
      </x:c>
      <x:c r="I84" t="inlineStr">
        <x:is>
          <x:t xml:space="preserve">—</x:t>
        </x:is>
      </x:c>
      <x:c r="J84" t="inlineStr">
        <x:is>
          <x:t xml:space="preserve">—</x:t>
        </x:is>
      </x:c>
      <x:c r="K84" t="inlineStr">
        <x:is>
          <x:t xml:space="preserve">Establishes the repair problem</x:t>
        </x:is>
      </x:c>
      <x:c r="L84" t="inlineStr">
        <x:is>
          <x:t xml:space="preserve">—</x:t>
        </x:is>
      </x:c>
    </x:row>
    <x:row r="85">
      <x:c r="A85" t="inlineStr">
        <x:is>
          <x:t xml:space="preserve">P4.2</x:t>
        </x:is>
      </x:c>
      <x:c r="B85" t="inlineStr">
        <x:is>
          <x:t xml:space="preserve">Paper 4.2</x:t>
        </x:is>
      </x:c>
      <x:c r="C85" t="inlineStr">
        <x:is>
          <x:t xml:space="preserve">—</x:t>
        </x:is>
      </x:c>
      <x:c r="D85" t="inlineStr">
        <x:is>
          <x:t xml:space="preserve">The Four Primitives of Moral Repair — Relation, Command, Will, Record.</x:t>
        </x:is>
      </x:c>
      <x:c r="E85" t="inlineStr">
        <x:is>
          <x:t xml:space="preserve">Paper</x:t>
        </x:is>
      </x:c>
      <x:c r="F85" t="inlineStr">
        <x:is>
          <x:t xml:space="preserve">L6-P1 through L6-P4</x:t>
        </x:is>
      </x:c>
      <x:c r="G85" t="inlineStr">
        <x:is>
          <x:t xml:space="preserve">ChristOperatorDiscipline.lean, MemoryPersistenceDiscipline.lean</x:t>
        </x:is>
      </x:c>
      <x:c r="H85" t="inlineStr">
        <x:is>
          <x:t xml:space="preserve">—</x:t>
        </x:is>
      </x:c>
      <x:c r="I85" t="inlineStr">
        <x:is>
          <x:t xml:space="preserve">—</x:t>
        </x:is>
      </x:c>
      <x:c r="J85" t="inlineStr">
        <x:is>
          <x:t xml:space="preserve">—</x:t>
        </x:is>
      </x:c>
      <x:c r="K85" t="inlineStr">
        <x:is>
          <x:t xml:space="preserve">Defines what repair must address</x:t>
        </x:is>
      </x:c>
      <x:c r="L85" t="inlineStr">
        <x:is>
          <x:t xml:space="preserve">The Cross addresses all four simultaneously.</x:t>
        </x:is>
      </x:c>
    </x:row>
    <x:row r="86">
      <x:c r="A86" t="inlineStr">
        <x:is>
          <x:t xml:space="preserve">P4.3</x:t>
        </x:is>
      </x:c>
      <x:c r="B86" t="inlineStr">
        <x:is>
          <x:t xml:space="preserve">Paper 4.3</x:t>
        </x:is>
      </x:c>
      <x:c r="C86" t="inlineStr">
        <x:is>
          <x:t xml:space="preserve">—</x:t>
        </x:is>
      </x:c>
      <x:c r="D86" t="inlineStr">
        <x:is>
          <x:t xml:space="preserve">The Justice-Mercy Constraint — Perfect justice + perfect mercy + free will require a cost-bearing judge.</x:t>
        </x:is>
      </x:c>
      <x:c r="E86" t="inlineStr">
        <x:is>
          <x:t xml:space="preserve">Paper</x:t>
        </x:is>
      </x:c>
      <x:c r="F86" t="inlineStr">
        <x:is>
          <x:t xml:space="preserve">L6-Q6</x:t>
        </x:is>
      </x:c>
      <x:c r="G86" t="inlineStr">
        <x:is>
          <x:t xml:space="preserve">JusticeMercyOperator.lean</x:t>
        </x:is>
      </x:c>
      <x:c r="H86" t="inlineStr">
        <x:is>
          <x:t xml:space="preserve">—</x:t>
        </x:is>
      </x:c>
      <x:c r="I86" t="inlineStr">
        <x:is>
          <x:t xml:space="preserve">—</x:t>
        </x:is>
      </x:c>
      <x:c r="J86" t="inlineStr">
        <x:is>
          <x:t xml:space="preserve">—</x:t>
        </x:is>
      </x:c>
      <x:c r="K86" t="inlineStr">
        <x:is>
          <x:t xml:space="preserve">THE LOCK — formal centerpiece of Lane 6</x:t>
        </x:is>
      </x:c>
      <x:c r="L86" t="inlineStr">
        <x:is>
          <x:t xml:space="preserve">Title: The Justice-Mercy Constraint: Why Perfect Repair Requires a Cost-Bearing Judge</x:t>
        </x:is>
      </x:c>
    </x:row>
    <x:row r="87">
      <x:c r="A87" t="inlineStr">
        <x:is>
          <x:t xml:space="preserve">P4.4</x:t>
        </x:is>
      </x:c>
      <x:c r="B87" t="inlineStr">
        <x:is>
          <x:t xml:space="preserve">Paper 4.4</x:t>
        </x:is>
      </x:c>
      <x:c r="C87" t="inlineStr">
        <x:is>
          <x:t xml:space="preserve">—</x:t>
        </x:is>
      </x:c>
      <x:c r="D87" t="inlineStr">
        <x:is>
          <x:t xml:space="preserve">The Cross as the Unique Repair Shape — Historical match test.</x:t>
        </x:is>
      </x:c>
      <x:c r="E87" t="inlineStr">
        <x:is>
          <x:t xml:space="preserve">Paper</x:t>
        </x:is>
      </x:c>
      <x:c r="F87" t="inlineStr">
        <x:is>
          <x:t xml:space="preserve">L6-Q7</x:t>
        </x:is>
      </x:c>
      <x:c r="G87" t="inlineStr">
        <x:is>
          <x:t xml:space="preserve">ChristOperatorDiscipline.lean, MissionReturnOperator.lean</x:t>
        </x:is>
      </x:c>
      <x:c r="H87" t="inlineStr">
        <x:is>
          <x:t xml:space="preserve">—</x:t>
        </x:is>
      </x:c>
      <x:c r="I87" t="inlineStr">
        <x:is>
          <x:t xml:space="preserve">—</x:t>
        </x:is>
      </x:c>
      <x:c r="J87" t="inlineStr">
        <x:is>
          <x:t xml:space="preserve">—</x:t>
        </x:is>
      </x:c>
      <x:c r="K87" t="inlineStr">
        <x:is>
          <x:t xml:space="preserve">Tests historical candidate against the shape</x:t>
        </x:is>
      </x:c>
      <x:c r="L87" t="inlineStr">
        <x:is>
          <x:t xml:space="preserve">—</x:t>
        </x:is>
      </x:c>
    </x:row>
    <x:row r="88">
      <x:c r="A88" t="inlineStr">
        <x:is>
          <x:t xml:space="preserve">P4.5</x:t>
        </x:is>
      </x:c>
      <x:c r="B88" t="inlineStr">
        <x:is>
          <x:t xml:space="preserve">Paper 4.5</x:t>
        </x:is>
      </x:c>
      <x:c r="C88" t="inlineStr">
        <x:is>
          <x:t xml:space="preserve">—</x:t>
        </x:is>
      </x:c>
      <x:c r="D88" t="inlineStr">
        <x:is>
          <x:t xml:space="preserve">Rival Repair Models — What each alternative explains and where each fails.</x:t>
        </x:is>
      </x:c>
      <x:c r="E88" t="inlineStr">
        <x:is>
          <x:t xml:space="preserve">Paper</x:t>
        </x:is>
      </x:c>
      <x:c r="F88" t="inlineStr">
        <x:is>
          <x:t xml:space="preserve">L6-R1 through L6-R11</x:t>
        </x:is>
      </x:c>
      <x:c r="G88" t="inlineStr">
        <x:is>
          <x:t xml:space="preserve">—</x:t>
        </x:is>
      </x:c>
      <x:c r="H88" t="inlineStr">
        <x:is>
          <x:t xml:space="preserve">—</x:t>
        </x:is>
      </x:c>
      <x:c r="I88" t="inlineStr">
        <x:is>
          <x:t xml:space="preserve">—</x:t>
        </x:is>
      </x:c>
      <x:c r="J88" t="inlineStr">
        <x:is>
          <x:t xml:space="preserve">—</x:t>
        </x:is>
      </x:c>
      <x:c r="K88" t="inlineStr">
        <x:is>
          <x:t xml:space="preserve">Systematic elimination</x:t>
        </x:is>
      </x:c>
      <x:c r="L88" t="inlineStr">
        <x:is>
          <x:t xml:space="preserve">Treat each alternative carefully and respectfully. No cheap shots.</x:t>
        </x:is>
      </x:c>
    </x:row>
    <x:row r="89">
      <x:c r="A89" t="inlineStr">
        <x:is>
          <x:t xml:space="preserve">P4.6</x:t>
        </x:is>
      </x:c>
      <x:c r="B89" t="inlineStr">
        <x:is>
          <x:t xml:space="preserve">Paper 4.6</x:t>
        </x:is>
      </x:c>
      <x:c r="C89" t="inlineStr">
        <x:is>
          <x:t xml:space="preserve">—</x:t>
        </x:is>
      </x:c>
      <x:c r="D89" t="inlineStr">
        <x:is>
          <x:t xml:space="preserve">Old Testament Diagnosis / New Testament Treatment — Same God, same equation, different phase.</x:t>
        </x:is>
      </x:c>
      <x:c r="E89" t="inlineStr">
        <x:is>
          <x:t xml:space="preserve">Paper</x:t>
        </x:is>
      </x:c>
      <x:c r="F89" t="inlineStr">
        <x:is>
          <x:t xml:space="preserve">—</x:t>
        </x:is>
      </x:c>
      <x:c r="G89" t="inlineStr">
        <x:is>
          <x:t xml:space="preserve">StageMachine.lean, Mapping.lean</x:t>
        </x:is>
      </x:c>
      <x:c r="H89" t="inlineStr">
        <x:is>
          <x:t xml:space="preserve">—</x:t>
        </x:is>
      </x:c>
      <x:c r="I89" t="inlineStr">
        <x:is>
          <x:t xml:space="preserve">—</x:t>
        </x:is>
      </x:c>
      <x:c r="J89" t="inlineStr">
        <x:is>
          <x:t xml:space="preserve">—</x:t>
        </x:is>
      </x:c>
      <x:c r="K89" t="inlineStr">
        <x:is>
          <x:t xml:space="preserve">Same doctor: diagnosis and treatment</x:t>
        </x:is>
      </x:c>
      <x:c r="L89" t="inlineStr">
        <x:is>
          <x:t xml:space="preserve">Physics sequence maps one-to-one onto theology sequence (proved in Lean).</x:t>
        </x:is>
      </x:c>
    </x:row>
    <x:row r="90">
      <x:c r="A90" t="inlineStr">
        <x:is>
          <x:t xml:space="preserve">P4.7</x:t>
        </x:is>
      </x:c>
      <x:c r="B90" t="inlineStr">
        <x:is>
          <x:t xml:space="preserve">Paper 4.7</x:t>
        </x:is>
      </x:c>
      <x:c r="C90" t="inlineStr">
        <x:is>
          <x:t xml:space="preserve">—</x:t>
        </x:is>
      </x:c>
      <x:c r="D90" t="inlineStr">
        <x:is>
          <x:t xml:space="preserve">The Resurrection as Validation — Not just resuscitation; repair confirmed, information survives, entropy reversed.</x:t>
        </x:is>
      </x:c>
      <x:c r="E90" t="inlineStr">
        <x:is>
          <x:t xml:space="preserve">Paper</x:t>
        </x:is>
      </x:c>
      <x:c r="F90" t="inlineStr">
        <x:is>
          <x:t xml:space="preserve">L6-Q5</x:t>
        </x:is>
      </x:c>
      <x:c r="G90" t="inlineStr">
        <x:is>
          <x:t xml:space="preserve">MissionReturnOperator.lean</x:t>
        </x:is>
      </x:c>
      <x:c r="H90" t="inlineStr">
        <x:is>
          <x:t xml:space="preserve">—</x:t>
        </x:is>
      </x:c>
      <x:c r="I90" t="inlineStr">
        <x:is>
          <x:t xml:space="preserve">—</x:t>
        </x:is>
      </x:c>
      <x:c r="J90" t="inlineStr">
        <x:is>
          <x:t xml:space="preserve">—</x:t>
        </x:is>
      </x:c>
      <x:c r="K90" t="inlineStr">
        <x:is>
          <x:t xml:space="preserve">Resurrection validates the repair structure</x:t>
        </x:is>
      </x:c>
      <x:c r="L90" t="inlineStr">
        <x:is>
          <x:t xml:space="preserve">Architecture is formally consistent. It does not prove the Resurrection happened.</x:t>
        </x:is>
      </x:c>
    </x:row>
    <x:row r="91">
      <x:c r="A91" t="inlineStr">
        <x:is>
          <x:t xml:space="preserve">P-NARR</x:t>
        </x:is>
      </x:c>
      <x:c r="B91" t="inlineStr">
        <x:is>
          <x:t xml:space="preserve">Narrative Version</x:t>
        </x:is>
      </x:c>
      <x:c r="C91" t="inlineStr">
        <x:is>
          <x:t xml:space="preserve">—</x:t>
        </x:is>
      </x:c>
      <x:c r="D91" t="inlineStr">
        <x:is>
          <x:t xml:space="preserve">God Story Q13-Q22B — Human-readable Lane 6. Part 1: creation to fall to adversary to grace. Part 2: Abraham, signal chain, incarnation, cross, resurrection, Pentecost.</x:t>
        </x:is>
      </x:c>
      <x:c r="E91" t="inlineStr">
        <x:is>
          <x:t xml:space="preserve">Narrative</x:t>
        </x:is>
      </x:c>
      <x:c r="F91" t="inlineStr">
        <x:is>
          <x:t xml:space="preserve">—</x:t>
        </x:is>
      </x:c>
      <x:c r="G91" t="inlineStr">
        <x:is>
          <x:t xml:space="preserve">—</x:t>
        </x:is>
      </x:c>
      <x:c r="H91" t="inlineStr">
        <x:is>
          <x:t xml:space="preserve">—</x:t>
        </x:is>
      </x:c>
      <x:c r="I91" t="inlineStr">
        <x:is>
          <x:t xml:space="preserve">—</x:t>
        </x:is>
      </x:c>
      <x:c r="J91" t="inlineStr">
        <x:is>
          <x:t xml:space="preserve">—</x:t>
        </x:is>
      </x:c>
      <x:c r="K91" t="inlineStr">
        <x:is>
          <x:t xml:space="preserve">Lane 6 in narrative form</x:t>
        </x:is>
      </x:c>
      <x:c r="L91" t="inlineStr">
        <x:is>
          <x:t xml:space="preserve">Love is calculus' capstone.</x:t>
        </x:is>
      </x:c>
    </x:row>
    <x:row r="92">
      <x:c r="A92" t="inlineStr">
        <x:is>
          <x:t xml:space="preserve">P-TEMP</x:t>
        </x:is>
      </x:c>
      <x:c r="B92" t="inlineStr">
        <x:is>
          <x:t xml:space="preserve">Templeton Version</x:t>
        </x:is>
      </x:c>
      <x:c r="C92" t="inlineStr">
        <x:is>
          <x:t xml:space="preserve">—</x:t>
        </x:is>
      </x:c>
      <x:c r="D92" t="inlineStr">
        <x:is>
          <x:t xml:space="preserve">We propose that theology's central repair claim can be represented as a constraint-satisfaction problem involving justice, mercy, freedom, moral record, and relational restoration. We then ask whether the Christian account uniquely satisfies that constraint set and whether this repair structure generates measurable predictions about coherence in persons, institutions, and societies.</x:t>
        </x:is>
      </x:c>
      <x:c r="E92" t="inlineStr">
        <x:is>
          <x:t xml:space="preserve">Research Proposal</x:t>
        </x:is>
      </x:c>
      <x:c r="F92" t="inlineStr">
        <x:is>
          <x:t xml:space="preserve">—</x:t>
        </x:is>
      </x:c>
      <x:c r="G92" t="inlineStr">
        <x:is>
          <x:t xml:space="preserve">—</x:t>
        </x:is>
      </x:c>
      <x:c r="H92" t="inlineStr">
        <x:is>
          <x:t xml:space="preserve">—</x:t>
        </x:is>
      </x:c>
      <x:c r="I92" t="inlineStr">
        <x:is>
          <x:t xml:space="preserve">—</x:t>
        </x:is>
      </x:c>
      <x:c r="J92" t="inlineStr">
        <x:is>
          <x:t xml:space="preserve">—</x:t>
        </x:is>
      </x:c>
      <x:c r="K92" t="inlineStr">
        <x:is>
          <x:t xml:space="preserve">Academic framing for grant submission</x:t>
        </x:is>
      </x:c>
      <x:c r="L92" t="inlineStr">
        <x:is>
          <x:t xml:space="preserve">The public version: if the world is broken, repair has rules. The Cross is the one place where all of those rules are satisfied at once.</x:t>
        </x:is>
      </x:c>
    </x:row>
    <x:row r="93">
      <x:c r="A93" t="inlineStr">
        <x:is>
          <x:t xml:space="preserve">LEAN</x:t>
        </x:is>
      </x:c>
      <x:c r="B93" t="inlineStr">
        <x:is>
          <x:t xml:space="preserve">LEAN 4 MODULE INVENTORY — 287 THEOREMS, 0 AXIOMS, 0 SORRY</x:t>
        </x:is>
      </x:c>
      <x:c r="D93" t="inlineStr">
        <x:is>
          <x:t xml:space="preserve">What each module proves and does not prove.</x:t>
        </x:is>
      </x:c>
    </x:row>
    <x:row r="94">
      <x:c r="A94" t="inlineStr">
        <x:is>
          <x:t xml:space="preserve">LEAN-01</x:t>
        </x:is>
      </x:c>
      <x:c r="B94" t="inlineStr">
        <x:is>
          <x:t xml:space="preserve">Core.lean</x:t>
        </x:is>
      </x:c>
      <x:c r="C94" t="inlineStr">
        <x:is>
          <x:t xml:space="preserve">—</x:t>
        </x:is>
      </x:c>
      <x:c r="D94" t="inlineStr">
        <x:is>
          <x:t xml:space="preserve">Substrate, coupling states, irreversibility gate, chi product function. C0≠C1 proved; coupling modification irreversible; any zero factor collapses chi product.</x:t>
        </x:is>
      </x:c>
      <x:c r="E94" t="inlineStr">
        <x:is>
          <x:t xml:space="preserve">structure, def, theorem</x:t>
        </x:is>
      </x:c>
      <x:c r="F94" t="inlineStr">
        <x:is>
          <x:t xml:space="preserve">A1.1, A2.1, A2.2, E2.1</x:t>
        </x:is>
      </x:c>
      <x:c r="G94" t="inlineStr">
        <x:is>
          <x:t xml:space="preserve">Core.lean</x:t>
        </x:is>
      </x:c>
      <x:c r="H94" t="inlineStr">
        <x:is>
          <x:t xml:space="preserve">structure, def, theorem</x:t>
        </x:is>
      </x:c>
      <x:c r="I94" t="inlineStr">
        <x:is>
          <x:t xml:space="preserve">Typed state transitions and gate conditions compile and are internally consistent</x:t>
        </x:is>
      </x:c>
      <x:c r="J94" t="inlineStr">
        <x:is>
          <x:t xml:space="preserve">That physical or theological reality matches these types</x:t>
        </x:is>
      </x:c>
      <x:c r="K94" t="inlineStr">
        <x:is>
          <x:t xml:space="preserve">The formal rules hold together</x:t>
        </x:is>
      </x:c>
      <x:c r="L94" t="inlineStr">
        <x:is>
          <x:t xml:space="preserve">They do not prove the physics or the theology.</x:t>
        </x:is>
      </x:c>
    </x:row>
    <x:row r="95">
      <x:c r="A95" t="inlineStr">
        <x:is>
          <x:t xml:space="preserve">LEAN-02</x:t>
        </x:is>
      </x:c>
      <x:c r="B95" t="inlineStr">
        <x:is>
          <x:t xml:space="preserve">StageMachine.lean + Mapping.lean</x:t>
        </x:is>
      </x:c>
      <x:c r="C95" t="inlineStr">
        <x:is>
          <x:t xml:space="preserve">—</x:t>
        </x:is>
      </x:c>
      <x:c r="D95" t="inlineStr">
        <x:is>
          <x:t xml:space="preserve">DEMOTED TO TEACHING LAYER. Stage order constrained as a line; no backward steps; physics maps one-to-one onto theology. But the real object is a lattice, not a line. Some nodes are parallel consequences or multi-parent. Keep as toy sequence for old paper path.</x:t>
        </x:is>
      </x:c>
      <x:c r="E95" t="inlineStr">
        <x:is>
          <x:t xml:space="preserve">def, theorem</x:t>
        </x:is>
      </x:c>
      <x:c r="F95" t="inlineStr">
        <x:is>
          <x:t xml:space="preserve">D19.1–D19.10</x:t>
        </x:is>
      </x:c>
      <x:c r="G95" t="inlineStr">
        <x:is>
          <x:t xml:space="preserve">StageMachine.lean, Mapping.lean</x:t>
        </x:is>
      </x:c>
      <x:c r="H95" t="inlineStr">
        <x:is>
          <x:t xml:space="preserve">def, theorem</x:t>
        </x:is>
      </x:c>
      <x:c r="I95" t="inlineStr">
        <x:is>
          <x:t xml:space="preserve">Stage ordering satisfies formal ordering constraints; mapping compiles. Line model only.</x:t>
        </x:is>
      </x:c>
      <x:c r="J95" t="inlineStr">
        <x:is>
          <x:t xml:space="preserve">That Theophysics stages match cosmic or salvation history; that the real dependency is a line rather than a lattice</x:t>
        </x:is>
      </x:c>
      <x:c r="K95" t="inlineStr">
        <x:is>
          <x:t xml:space="preserve">DEMOTED: order enforced as line, but lattice supersedes</x:t>
        </x:is>
      </x:c>
      <x:c r="L95" t="inlineStr">
        <x:is>
          <x:t xml:space="preserve">Do not use as the final dependency proof. Superseded by DependencyLattice.lean.</x:t>
        </x:is>
      </x:c>
    </x:row>
    <x:row r="96">
      <x:c r="A96" t="inlineStr">
        <x:is>
          <x:t xml:space="preserve">LEAN-03</x:t>
        </x:is>
      </x:c>
      <x:c r="B96" t="inlineStr">
        <x:is>
          <x:t xml:space="preserve">IsomorphismTest.lean</x:t>
        </x:is>
      </x:c>
      <x:c r="C96" t="inlineStr">
        <x:is>
          <x:t xml:space="preserve">—</x:t>
        </x:is>
      </x:c>
      <x:c r="D96" t="inlineStr">
        <x:is>
          <x:t xml:space="preserve">Structural isomorphism: value-preserving, collapse-preserving bijection. Intended mapping passes; nearby wrong mappings fail.</x:t>
        </x:is>
      </x:c>
      <x:c r="E96" t="inlineStr">
        <x:is>
          <x:t xml:space="preserve">def, theorem</x:t>
        </x:is>
      </x:c>
      <x:c r="F96" t="inlineStr">
        <x:is>
          <x:t xml:space="preserve">A13.1</x:t>
        </x:is>
      </x:c>
      <x:c r="G96" t="inlineStr">
        <x:is>
          <x:t xml:space="preserve">IsomorphismTest.lean</x:t>
        </x:is>
      </x:c>
      <x:c r="H96" t="inlineStr">
        <x:is>
          <x:t xml:space="preserve">def, theorem</x:t>
        </x:is>
      </x:c>
      <x:c r="I96" t="inlineStr">
        <x:is>
          <x:t xml:space="preserve">Isomorphism conditions compile; named bad substitutions are rejected</x:t>
        </x:is>
      </x:c>
      <x:c r="J96" t="inlineStr">
        <x:is>
          <x:t xml:space="preserve">That the abstract two-state model captures physical or theological reality</x:t>
        </x:is>
      </x:c>
      <x:c r="K96" t="inlineStr">
        <x:is>
          <x:t xml:space="preserve">Bridge passes; wrong substitutions fail. Mapping list theorem DEMOTED.</x:t>
        </x:is>
      </x:c>
      <x:c r="L96" t="inlineStr">
        <x:is>
          <x:t xml:space="preserve">The bridge passes. Wrong substitutions fail. Whether it's the right bridge is open. Mapping.lean's list-to-list theorem (map_physics_sequence_is_theology_sequence) is DEMOTED — it proves a hand-assigned mapping, which is circular if used as major proof. Rebuild as lattice topology.</x:t>
        </x:is>
      </x:c>
    </x:row>
    <x:row r="97">
      <x:c r="A97" t="inlineStr">
        <x:is>
          <x:t xml:space="preserve">LEAN-04</x:t>
        </x:is>
      </x:c>
      <x:c r="B97" t="inlineStr">
        <x:is>
          <x:t xml:space="preserve">BridgeMatrix.lean</x:t>
        </x:is>
      </x:c>
      <x:c r="C97" t="inlineStr">
        <x:is>
          <x:t xml:space="preserve">—</x:t>
        </x:is>
      </x:c>
      <x:c r="D97" t="inlineStr">
        <x:is>
          <x:t xml:space="preserve">Ten Master Equation factors with typed signatures. All 10 canonical rows valid; named semantic swaps (grace↔faith, entropy↔grace) fail.</x:t>
        </x:is>
      </x:c>
      <x:c r="E97" t="inlineStr">
        <x:is>
          <x:t xml:space="preserve">inductive, structure, def, theorem</x:t>
        </x:is>
      </x:c>
      <x:c r="F97" t="inlineStr">
        <x:is>
          <x:t xml:space="preserve">E19.1, D19.1–D19.10</x:t>
        </x:is>
      </x:c>
      <x:c r="G97" t="inlineStr">
        <x:is>
          <x:t xml:space="preserve">BridgeMatrix.lean</x:t>
        </x:is>
      </x:c>
      <x:c r="H97" t="inlineStr">
        <x:is>
          <x:t xml:space="preserve">inductive, structure, def, theorem</x:t>
        </x:is>
      </x:c>
      <x:c r="I97" t="inlineStr">
        <x:is>
          <x:t xml:space="preserve">Factor signatures, valid pairings, named swap failures, and product collapse compile</x:t>
        </x:is>
      </x:c>
      <x:c r="J97" t="inlineStr">
        <x:is>
          <x:t xml:space="preserve">That these ten factors are the correct or complete description of reality</x:t>
        </x:is>
      </x:c>
      <x:c r="K97" t="inlineStr">
        <x:is>
          <x:t xml:space="preserve">Bridge rows typed and tested</x:t>
        </x:is>
      </x:c>
      <x:c r="L97" t="inlineStr">
        <x:is>
          <x:t xml:space="preserve">They do not prove the framework is complete.</x:t>
        </x:is>
      </x:c>
    </x:row>
    <x:row r="98">
      <x:c r="A98" t="inlineStr">
        <x:is>
          <x:t xml:space="preserve">LEAN-05</x:t>
        </x:is>
      </x:c>
      <x:c r="B98" t="inlineStr">
        <x:is>
          <x:t xml:space="preserve">FieldBridgeControls.lean + BridgeScoreDiscipline.lean</x:t>
        </x:is>
      </x:c>
      <x:c r="C98" t="inlineStr">
        <x:is>
          <x:t xml:space="preserve">—</x:t>
        </x:is>
      </x:c>
      <x:c r="D98" t="inlineStr">
        <x:is>
          <x:t xml:space="preserve">Missing source/relation/command/bandwidth forces factor to zero. Raw scores gated before occupying binary ME slot.</x:t>
        </x:is>
      </x:c>
      <x:c r="E98" t="inlineStr">
        <x:is>
          <x:t xml:space="preserve">def, theorem</x:t>
        </x:is>
      </x:c>
      <x:c r="F98" t="inlineStr">
        <x:is>
          <x:t xml:space="preserve">D19.3, D19.7</x:t>
        </x:is>
      </x:c>
      <x:c r="G98" t="inlineStr">
        <x:is>
          <x:t xml:space="preserve">FieldBridgeControls.lean, BridgeScoreDiscipline.lean</x:t>
        </x:is>
      </x:c>
      <x:c r="H98" t="inlineStr">
        <x:is>
          <x:t xml:space="preserve">def, theorem</x:t>
        </x:is>
      </x:c>
      <x:c r="I98" t="inlineStr">
        <x:is>
          <x:t xml:space="preserve">Gate conditions enforce zero scores for invalid bridges; score/gate separation holds</x:t>
        </x:is>
      </x:c>
      <x:c r="J98" t="inlineStr">
        <x:is>
          <x:t xml:space="preserve">That these are the right failure modes for real theology or physics</x:t>
        </x:is>
      </x:c>
      <x:c r="K98" t="inlineStr">
        <x:is>
          <x:t xml:space="preserve">A bridge that fails a gate cannot claim a ME slot</x:t>
        </x:is>
      </x:c>
      <x:c r="L98" t="inlineStr">
        <x:is>
          <x:t xml:space="preserve">This is a formal rule, not a theological judgment.</x:t>
        </x:is>
      </x:c>
    </x:row>
    <x:row r="99">
      <x:c r="A99" t="inlineStr">
        <x:is>
          <x:t xml:space="preserve">LEAN-06</x:t>
        </x:is>
      </x:c>
      <x:c r="B99" t="inlineStr">
        <x:is>
          <x:t xml:space="preserve">PolarityDiscipline.lean + MemoryPersistenceDiscipline.lean + SignConversionDiscipline.lean</x:t>
        </x:is>
      </x:c>
      <x:c r="C99" t="inlineStr">
        <x:is>
          <x:t xml:space="preserve">—</x:t>
        </x:is>
      </x:c>
      <x:c r="D99" t="inlineStr">
        <x:is>
          <x:t xml:space="preserve">Destructive signs cannot self-redeem. Records persist. External conversion required for restoration.</x:t>
        </x:is>
      </x:c>
      <x:c r="E99" t="inlineStr">
        <x:is>
          <x:t xml:space="preserve">inductive, def, theorem</x:t>
        </x:is>
      </x:c>
      <x:c r="F99" t="inlineStr">
        <x:is>
          <x:t xml:space="preserve">A8.1, A8.2, T8.1, C8.1, C8.2</x:t>
        </x:is>
      </x:c>
      <x:c r="G99" t="inlineStr">
        <x:is>
          <x:t xml:space="preserve">PolarityDiscipline.lean, MemoryPersistenceDiscipline.lean, SignConversionDiscipline.lean</x:t>
        </x:is>
      </x:c>
      <x:c r="H99" t="inlineStr">
        <x:is>
          <x:t xml:space="preserve">inductive, def, theorem</x:t>
        </x:is>
      </x:c>
      <x:c r="I99" t="inlineStr">
        <x:is>
          <x:t xml:space="preserve">Sign arithmetic rules compile; ordinary multiplication cannot restore destructive burdens; external operator formally required</x:t>
        </x:is>
      </x:c>
      <x:c r="J99" t="inlineStr">
        <x:is>
          <x:t xml:space="preserve">That moral polarity in the real world works this way; that the formal 'Christ operator' is the historical Jesus</x:t>
        </x:is>
      </x:c>
      <x:c r="K99" t="inlineStr">
        <x:is>
          <x:t xml:space="preserve">Wrong cannot add up to right by itself</x:t>
        </x:is>
      </x:c>
      <x:c r="L99" t="inlineStr">
        <x:is>
          <x:t xml:space="preserve">The math shows this inside the model. It does not prove the Cross is history.</x:t>
        </x:is>
      </x:c>
    </x:row>
    <x:row r="100">
      <x:c r="A100" t="inlineStr">
        <x:is>
          <x:t xml:space="preserve">LEAN-07</x:t>
        </x:is>
      </x:c>
      <x:c r="B100" t="inlineStr">
        <x:is>
          <x:t xml:space="preserve">ChristOperatorDiscipline.lean</x:t>
        </x:is>
      </x:c>
      <x:c r="C100" t="inlineStr">
        <x:is>
          <x:t xml:space="preserve">—</x:t>
        </x:is>
      </x:c>
      <x:c r="D100" t="inlineStr">
        <x:is>
          <x:t xml:space="preserve">C_op converts visible sign while preserving source record. Restoration is not erasure.</x:t>
        </x:is>
      </x:c>
      <x:c r="E100" t="inlineStr">
        <x:is>
          <x:t xml:space="preserve">def, theorem</x:t>
        </x:is>
      </x:c>
      <x:c r="F100" t="inlineStr">
        <x:is>
          <x:t xml:space="preserve">A9.1, A9.2, D9.1, P9.1</x:t>
        </x:is>
      </x:c>
      <x:c r="G100" t="inlineStr">
        <x:is>
          <x:t xml:space="preserve">ChristOperatorDiscipline.lean</x:t>
        </x:is>
      </x:c>
      <x:c r="H100" t="inlineStr">
        <x:is>
          <x:t xml:space="preserve">def, theorem</x:t>
        </x:is>
      </x:c>
      <x:c r="I100" t="inlineStr">
        <x:is>
          <x:t xml:space="preserve">Operator preserves history while enabling restoration in the formal model</x:t>
        </x:is>
      </x:c>
      <x:c r="J100" t="inlineStr">
        <x:is>
          <x:t xml:space="preserve">That this operator corresponds to Jesus of Nazareth or proves the Atonement</x:t>
        </x:is>
      </x:c>
      <x:c r="K100" t="inlineStr">
        <x:is>
          <x:t xml:space="preserve">Operator does what it claims inside the model</x:t>
        </x:is>
      </x:c>
      <x:c r="L100" t="inlineStr">
        <x:is>
          <x:t xml:space="preserve">The model is not a proof of the Incarnation.</x:t>
        </x:is>
      </x:c>
    </x:row>
    <x:row r="101">
      <x:c r="A101" t="inlineStr">
        <x:is>
          <x:t xml:space="preserve">LEAN-08</x:t>
        </x:is>
      </x:c>
      <x:c r="B101" t="inlineStr">
        <x:is>
          <x:t xml:space="preserve">MissionReturnOperator.lean</x:t>
        </x:is>
      </x:c>
      <x:c r="C101" t="inlineStr">
        <x:is>
          <x:t xml:space="preserve">—</x:t>
        </x:is>
      </x:c>
      <x:c r="D101" t="inlineStr">
        <x:is>
          <x:t xml:space="preserve">Substrate identity preserved through incarnation, death, resurrection. Finite contact record carried. Resolution returns to infinite.</x:t>
        </x:is>
      </x:c>
      <x:c r="E101" t="inlineStr">
        <x:is>
          <x:t xml:space="preserve">def, theorem</x:t>
        </x:is>
      </x:c>
      <x:c r="F101" t="inlineStr">
        <x:is>
          <x:t xml:space="preserve">LAMBDA</x:t>
        </x:is>
      </x:c>
      <x:c r="G101" t="inlineStr">
        <x:is>
          <x:t xml:space="preserve">MissionReturnOperator.lean</x:t>
        </x:is>
      </x:c>
      <x:c r="H101" t="inlineStr">
        <x:is>
          <x:t xml:space="preserve">def, theorem</x:t>
        </x:is>
      </x:c>
      <x:c r="I101" t="inlineStr">
        <x:is>
          <x:t xml:space="preserve">Mission-return structure compiles; record preserved through sequence</x:t>
        </x:is>
      </x:c>
      <x:c r="J101" t="inlineStr">
        <x:is>
          <x:t xml:space="preserve">That Jesus rose from the dead</x:t>
        </x:is>
      </x:c>
      <x:c r="K101" t="inlineStr">
        <x:is>
          <x:t xml:space="preserve">Architecture formally consistent</x:t>
        </x:is>
      </x:c>
      <x:c r="L101" t="inlineStr">
        <x:is>
          <x:t xml:space="preserve">It does not prove the Resurrection happened.</x:t>
        </x:is>
      </x:c>
    </x:row>
    <x:row r="102">
      <x:c r="A102" t="inlineStr">
        <x:is>
          <x:t xml:space="preserve">LEAN-09</x:t>
        </x:is>
      </x:c>
      <x:c r="B102" t="inlineStr">
        <x:is>
          <x:t xml:space="preserve">DependencyLattice.lean</x:t>
        </x:is>
      </x:c>
      <x:c r="C102" t="inlineStr">
        <x:is>
          <x:t xml:space="preserve">—</x:t>
        </x:is>
      </x:c>
      <x:c r="D102" t="inlineStr">
        <x:is>
          <x:t xml:space="preserve">Graph-based prerequisite enforcement. Multi-parent dependencies. Wrong orderings rejected by name.</x:t>
        </x:is>
      </x:c>
      <x:c r="E102" t="inlineStr">
        <x:is>
          <x:t xml:space="preserve">def, theorem</x:t>
        </x:is>
      </x:c>
      <x:c r="F102" t="inlineStr">
        <x:is>
          <x:t xml:space="preserve">—</x:t>
        </x:is>
      </x:c>
      <x:c r="G102" t="inlineStr">
        <x:is>
          <x:t xml:space="preserve">DependencyLattice.lean</x:t>
        </x:is>
      </x:c>
      <x:c r="H102" t="inlineStr">
        <x:is>
          <x:t xml:space="preserve">def, theorem</x:t>
        </x:is>
      </x:c>
      <x:c r="I102" t="inlineStr">
        <x:is>
          <x:t xml:space="preserve">Graph prerequisites, parallel consequences, wrong-order rejections compile</x:t>
        </x:is>
      </x:c>
      <x:c r="J102" t="inlineStr">
        <x:is>
          <x:t xml:space="preserve">That these dependencies match real conceptual or causal relationships</x:t>
        </x:is>
      </x:c>
      <x:c r="K102" t="inlineStr">
        <x:is>
          <x:t xml:space="preserve">Order is enforced</x:t>
        </x:is>
      </x:c>
      <x:c r="L102" t="inlineStr">
        <x:is>
          <x:t xml:space="preserve">It does not prove the order is theologically or physically correct.</x:t>
        </x:is>
      </x:c>
    </x:row>
    <x:row r="103">
      <x:c r="A103" t="inlineStr">
        <x:is>
          <x:t xml:space="preserve">LEAN-10</x:t>
        </x:is>
      </x:c>
      <x:c r="B103" t="inlineStr">
        <x:is>
          <x:t xml:space="preserve">MasterEquationInvariance.lean</x:t>
        </x:is>
      </x:c>
      <x:c r="C103" t="inlineStr">
        <x:is>
          <x:t xml:space="preserve">—</x:t>
        </x:is>
      </x:c>
      <x:c r="D103" t="inlineStr">
        <x:is>
          <x:t xml:space="preserve">Physical-to-spiritual substitution preserves bridge signatures. Product-only invariance proved too weak.</x:t>
        </x:is>
      </x:c>
      <x:c r="E103" t="inlineStr">
        <x:is>
          <x:t xml:space="preserve">def, theorem</x:t>
        </x:is>
      </x:c>
      <x:c r="F103" t="inlineStr">
        <x:is>
          <x:t xml:space="preserve">E19.1</x:t>
        </x:is>
      </x:c>
      <x:c r="G103" t="inlineStr">
        <x:is>
          <x:t xml:space="preserve">MasterEquationInvariance.lean</x:t>
        </x:is>
      </x:c>
      <x:c r="H103" t="inlineStr">
        <x:is>
          <x:t xml:space="preserve">def, theorem</x:t>
        </x:is>
      </x:c>
      <x:c r="I103" t="inlineStr">
        <x:is>
          <x:t xml:space="preserve">Signature preservation under canonical substitution compiles; product-only swaps that fail signatures are proved to fail</x:t>
        </x:is>
      </x:c>
      <x:c r="J103" t="inlineStr">
        <x:is>
          <x:t xml:space="preserve">That the substitution is theologically valid or physically accurate</x:t>
        </x:is>
      </x:c>
      <x:c r="K103" t="inlineStr">
        <x:is>
          <x:t xml:space="preserve">Equation needs both numeric and semantic discipline</x:t>
        </x:is>
      </x:c>
      <x:c r="L103" t="inlineStr">
        <x:is>
          <x:t xml:space="preserve">It does not prove the semantics are correct.</x:t>
        </x:is>
      </x:c>
    </x:row>
    <x:row r="104">
      <x:c r="A104" t="inlineStr">
        <x:is>
          <x:t xml:space="preserve">LEAN-11</x:t>
        </x:is>
      </x:c>
      <x:c r="B104" t="inlineStr">
        <x:is>
          <x:t xml:space="preserve">MaxwellTrinity.lean</x:t>
        </x:is>
      </x:c>
      <x:c r="C104" t="inlineStr">
        <x:is>
          <x:t xml:space="preserve">—</x:t>
        </x:is>
      </x:c>
      <x:c r="D104" t="inlineStr">
        <x:is>
          <x:t xml:space="preserve">Triadic invariants pass for intended Trinity/Maxwell candidates. Named wrong controls (Heaviside, modalism, static field, arbitrary triple) fail first.</x:t>
        </x:is>
      </x:c>
      <x:c r="E104" t="inlineStr">
        <x:is>
          <x:t xml:space="preserve">inductive, def, theorem</x:t>
        </x:is>
      </x:c>
      <x:c r="F104" t="inlineStr">
        <x:is>
          <x:t xml:space="preserve">BC4, D19.10</x:t>
        </x:is>
      </x:c>
      <x:c r="G104" t="inlineStr">
        <x:is>
          <x:t xml:space="preserve">MaxwellTrinity.lean</x:t>
        </x:is>
      </x:c>
      <x:c r="H104" t="inlineStr">
        <x:is>
          <x:t xml:space="preserve">inductive, def, theorem</x:t>
        </x:is>
      </x:c>
      <x:c r="I104" t="inlineStr">
        <x:is>
          <x:t xml:space="preserve">Gate behavior for intended mappings and named failures compiles</x:t>
        </x:is>
      </x:c>
      <x:c r="J104" t="inlineStr">
        <x:is>
          <x:t xml:space="preserve">That the formal definitions faithfully capture Maxwell's equations or Nicene Trinitarian doctrine</x:t>
        </x:is>
      </x:c>
      <x:c r="K104" t="inlineStr">
        <x:is>
          <x:t xml:space="preserve">Gate works as built</x:t>
        </x:is>
      </x:c>
      <x:c r="L104" t="inlineStr">
        <x:is>
          <x:t xml:space="preserve">Whether the gate is the right gate for real Maxwell EM and real Trinitarian theology is an open specification question.</x:t>
        </x:is>
      </x:c>
    </x:row>
    <x:row r="105">
      <x:c r="A105" t="inlineStr">
        <x:is>
          <x:t xml:space="preserve">LEAN-12</x:t>
        </x:is>
      </x:c>
      <x:c r="B105" t="inlineStr">
        <x:is>
          <x:t xml:space="preserve">HitRateDiscipline.lean</x:t>
        </x:is>
      </x:c>
      <x:c r="C105" t="inlineStr">
        <x:is>
          <x:t xml:space="preserve">—</x:t>
        </x:is>
      </x:c>
      <x:c r="D105" t="inlineStr">
        <x:is>
          <x:t xml:space="preserve">Anomalous hit-rate claims blocked unless denominator is closed. All attempts, failures, partials counted.</x:t>
        </x:is>
      </x:c>
      <x:c r="E105" t="inlineStr">
        <x:is>
          <x:t xml:space="preserve">def, theorem</x:t>
        </x:is>
      </x:c>
      <x:c r="F105" t="inlineStr">
        <x:is>
          <x:t xml:space="preserve">—</x:t>
        </x:is>
      </x:c>
      <x:c r="G105" t="inlineStr">
        <x:is>
          <x:t xml:space="preserve">HitRateDiscipline.lean</x:t>
        </x:is>
      </x:c>
      <x:c r="H105" t="inlineStr">
        <x:is>
          <x:t xml:space="preserve">def, theorem</x:t>
        </x:is>
      </x:c>
      <x:c r="I105" t="inlineStr">
        <x:is>
          <x:t xml:space="preserve">Audit rule compiles; open denominators block hit-rate claims</x:t>
        </x:is>
      </x:c>
      <x:c r="J105" t="inlineStr">
        <x:is>
          <x:t xml:space="preserve">That the framework's empirical claims have been fully audited in practice</x:t>
        </x:is>
      </x:c>
      <x:c r="K105" t="inlineStr">
        <x:is>
          <x:t xml:space="preserve">Integrity rule is built in</x:t>
        </x:is>
      </x:c>
      <x:c r="L105" t="inlineStr">
        <x:is>
          <x:t xml:space="preserve">It does not mean the audit has been completed.</x:t>
        </x:is>
      </x:c>
    </x:row>
    <x:row r="106">
      <x:c r="A106" t="inlineStr">
        <x:is>
          <x:t xml:space="preserve">LEAN-13</x:t>
        </x:is>
      </x:c>
      <x:c r="B106" t="inlineStr">
        <x:is>
          <x:t xml:space="preserve">JusticeMercyOperator.lean</x:t>
        </x:is>
      </x:c>
      <x:c r="C106" t="inlineStr">
        <x:is>
          <x:t xml:space="preserve">—</x:t>
        </x:is>
      </x:c>
      <x:c r="D106" t="inlineStr">
        <x:is>
          <x:t xml:space="preserve">Justice and Mercy share four components, differ by cost-bearer. Cross convergence unique within modeled constraints.</x:t>
        </x:is>
      </x:c>
      <x:c r="E106" t="inlineStr">
        <x:is>
          <x:t xml:space="preserve">structure, def, theorem</x:t>
        </x:is>
      </x:c>
      <x:c r="F106" t="inlineStr">
        <x:is>
          <x:t xml:space="preserve">A9.1, BC8</x:t>
        </x:is>
      </x:c>
      <x:c r="G106" t="inlineStr">
        <x:is>
          <x:t xml:space="preserve">JusticeMercyOperator.lean</x:t>
        </x:is>
      </x:c>
      <x:c r="H106" t="inlineStr">
        <x:is>
          <x:t xml:space="preserve">structure, def, theorem</x:t>
        </x:is>
      </x:c>
      <x:c r="I106" t="inlineStr">
        <x:is>
          <x:t xml:space="preserve">Five-component operator structure compiles; cross-convergence unique within explicitly modeled constraints</x:t>
        </x:is>
      </x:c>
      <x:c r="J106" t="inlineStr">
        <x:is>
          <x:t xml:space="preserve">That justice and mercy in reality work this way; that the Cross is a proven historical event</x:t>
        </x:is>
      </x:c>
      <x:c r="K106" t="inlineStr">
        <x:is>
          <x:t xml:space="preserve">Only one cost-bearer setting satisfies both simultaneously</x:t>
        </x:is>
      </x:c>
      <x:c r="L106" t="inlineStr">
        <x:is>
          <x:t xml:space="preserve">This is not a proof that the Cross happened — it is a proof that IF the model is right, only one thing could.</x:t>
        </x:is>
      </x:c>
    </x:row>
    <x:row r="107">
      <x:c r="A107" t="inlineStr">
        <x:is>
          <x:t xml:space="preserve">FINAL</x:t>
        </x:is>
      </x:c>
      <x:c r="B107" t="inlineStr">
        <x:is>
          <x:t xml:space="preserve">FINAL COMPRESSION</x:t>
        </x:is>
      </x:c>
    </x:row>
    <x:row r="108">
      <x:c r="A108" t="inlineStr">
        <x:is>
          <x:t xml:space="preserve">COMPRESS-1</x:t>
        </x:is>
      </x:c>
      <x:c r="B108" t="inlineStr">
        <x:is>
          <x:t xml:space="preserve">The Argument</x:t>
        </x:is>
      </x:c>
      <x:c r="C108" t="inlineStr">
        <x:is>
          <x:t xml:space="preserve">—</x:t>
        </x:is>
      </x:c>
      <x:c r="D108" t="inlineStr">
        <x:is>
          <x:t xml:space="preserve">Every worldview depends on coherence. Coherence requires a reference. The reference cannot be the broken system being measured. Therefore the source of coherence must be prior to the system. That source must be stable, generative, truth-bearing, good, authoritative, personal, and life-giving. That is the God-shape.</x:t>
        </x:is>
      </x:c>
      <x:c r="E108" t="inlineStr">
        <x:is>
          <x:t xml:space="preserve">Summary</x:t>
        </x:is>
      </x:c>
      <x:c r="F108" t="inlineStr">
        <x:is>
          <x:t xml:space="preserve">Lanes 1–7</x:t>
        </x:is>
      </x:c>
      <x:c r="G108" t="inlineStr">
        <x:is>
          <x:t xml:space="preserve">—</x:t>
        </x:is>
      </x:c>
      <x:c r="H108" t="inlineStr">
        <x:is>
          <x:t xml:space="preserve">—</x:t>
        </x:is>
      </x:c>
      <x:c r="I108" t="inlineStr">
        <x:is>
          <x:t xml:space="preserve">—</x:t>
        </x:is>
      </x:c>
      <x:c r="J108" t="inlineStr">
        <x:is>
          <x:t xml:space="preserve">—</x:t>
        </x:is>
      </x:c>
      <x:c r="K108" t="inlineStr">
        <x:is>
          <x:t xml:space="preserve">God-shaped source</x:t>
        </x:is>
      </x:c>
      <x:c r="L108" t="inlineStr">
        <x:is>
          <x:t xml:space="preserve">—</x:t>
        </x:is>
      </x:c>
    </x:row>
    <x:row r="109">
      <x:c r="A109" t="inlineStr">
        <x:is>
          <x:t xml:space="preserve">COMPRESS-2</x:t>
        </x:is>
      </x:c>
      <x:c r="B109" t="inlineStr">
        <x:is>
          <x:t xml:space="preserve">The Bridge</x:t>
        </x:is>
      </x:c>
      <x:c r="C109" t="inlineStr">
        <x:is>
          <x:t xml:space="preserve">—</x:t>
        </x:is>
      </x:c>
      <x:c r="D109" t="inlineStr">
        <x:is>
          <x:t xml:space="preserve">Perfect repair requires a cost-bearing judge. The judge must enter the system, bear the cost, preserve freedom, restore relation, honor the record, and validate repair through resurrection.</x:t>
        </x:is>
      </x:c>
      <x:c r="E109" t="inlineStr">
        <x:is>
          <x:t xml:space="preserve">Summary</x:t>
        </x:is>
      </x:c>
      <x:c r="F109" t="inlineStr">
        <x:is>
          <x:t xml:space="preserve">Lane 6</x:t>
        </x:is>
      </x:c>
      <x:c r="G109" t="inlineStr">
        <x:is>
          <x:t xml:space="preserve">JusticeMercyOperator.lean, ChristOperatorDiscipline.lean, MissionReturnOperator.lean</x:t>
        </x:is>
      </x:c>
      <x:c r="H109" t="inlineStr">
        <x:is>
          <x:t xml:space="preserve">—</x:t>
        </x:is>
      </x:c>
      <x:c r="I109" t="inlineStr">
        <x:is>
          <x:t xml:space="preserve">—</x:t>
        </x:is>
      </x:c>
      <x:c r="J109" t="inlineStr">
        <x:is>
          <x:t xml:space="preserve">—</x:t>
        </x:is>
      </x:c>
      <x:c r="K109" t="inlineStr">
        <x:is>
          <x:t xml:space="preserve">Cross-shaped repair</x:t>
        </x:is>
      </x:c>
      <x:c r="L109" t="inlineStr">
        <x:is>
          <x:t xml:space="preserve">The lock: God-shaped → Cross-shaped.</x:t>
        </x:is>
      </x:c>
    </x:row>
    <x:row r="110">
      <x:c r="A110" t="inlineStr">
        <x:is>
          <x:t xml:space="preserve">COMPRESS-3</x:t>
        </x:is>
      </x:c>
      <x:c r="B110" t="inlineStr">
        <x:is>
          <x:t xml:space="preserve">The Question</x:t>
        </x:is>
      </x:c>
      <x:c r="C110" t="inlineStr">
        <x:is>
          <x:t xml:space="preserve">—</x:t>
        </x:is>
      </x:c>
      <x:c r="D110" t="inlineStr">
        <x:is>
          <x:t xml:space="preserve">Can any worldview walk through all seven lanes and avoid that shape?</x:t>
        </x:is>
      </x:c>
      <x:c r="E110" t="inlineStr">
        <x:is>
          <x:t xml:space="preserve">Challenge</x:t>
        </x:is>
      </x:c>
      <x:c r="F110" t="inlineStr">
        <x:is>
          <x:t xml:space="preserve">—</x:t>
        </x:is>
      </x:c>
      <x:c r="G110" t="inlineStr">
        <x:is>
          <x:t xml:space="preserve">—</x:t>
        </x:is>
      </x:c>
      <x:c r="H110" t="inlineStr">
        <x:is>
          <x:t xml:space="preserve">—</x:t>
        </x:is>
      </x:c>
      <x:c r="I110" t="inlineStr">
        <x:is>
          <x:t xml:space="preserve">—</x:t>
        </x:is>
      </x:c>
      <x:c r="J110" t="inlineStr">
        <x:is>
          <x:t xml:space="preserve">—</x:t>
        </x:is>
      </x:c>
      <x:c r="K110" t="inlineStr">
        <x:is>
          <x:t xml:space="preserve">Open invitation</x:t>
        </x:is>
      </x:c>
      <x:c r="L110" t="inlineStr">
        <x:is>
          <x:t xml:space="preserve">Not because the questions are tricks. Because reality is coherent. And coherence is His.</x:t>
        </x:is>
      </x:c>
    </x:row>
    <x:row r="111">
      <x:c r="A111" t="inlineStr">
        <x:is>
          <x:t xml:space="preserve">COMPRESS-4</x:t>
        </x:is>
      </x:c>
      <x:c r="B111" t="inlineStr">
        <x:is>
          <x:t xml:space="preserve">The Honest Boundary</x:t>
        </x:is>
      </x:c>
      <x:c r="C111" t="inlineStr">
        <x:is>
          <x:t xml:space="preserve">—</x:t>
        </x:is>
      </x:c>
      <x:c r="D111" t="inlineStr">
        <x:is>
          <x:t xml:space="preserve">Lean proves the framework is internally consistent (287 theorems, 0 axioms, 0 sorry). Whether the model is the right model for the real world is a question Lean cannot answer. That question belongs to theology, physics, history, and honest argument.</x:t>
        </x:is>
      </x:c>
      <x:c r="E111" t="inlineStr">
        <x:is>
          <x:t xml:space="preserve">Boundary Disclosure</x:t>
        </x:is>
      </x:c>
      <x:c r="F111" t="inlineStr">
        <x:is>
          <x:t xml:space="preserve">—</x:t>
        </x:is>
      </x:c>
      <x:c r="G111" t="inlineStr">
        <x:is>
          <x:t xml:space="preserve">Full Lean4 package</x:t>
        </x:is>
      </x:c>
      <x:c r="H111" t="inlineStr">
        <x:is>
          <x:t xml:space="preserve">287 theorems</x:t>
        </x:is>
      </x:c>
      <x:c r="I111" t="inlineStr">
        <x:is>
          <x:t xml:space="preserve">Internal consistency</x:t>
        </x:is>
      </x:c>
      <x:c r="J111" t="inlineStr">
        <x:is>
          <x:t xml:space="preserve">Model truth</x:t>
        </x:is>
      </x:c>
      <x:c r="K111" t="inlineStr">
        <x:is>
          <x:t xml:space="preserve">—</x:t>
        </x:is>
      </x:c>
      <x:c r="L111" t="inlineStr">
        <x:is>
          <x:t xml:space="preserve">The honest summary from the Claim-Control Table.</x:t>
        </x:is>
      </x:c>
    </x:row>
    <x:row r="112">
      <x:c r="A112" t="inlineStr">
        <x:is>
          <x:t xml:space="preserve">LEAN-14</x:t>
        </x:is>
      </x:c>
      <x:c r="B112" t="inlineStr">
        <x:is>
          <x:t xml:space="preserve">DependencyLattice.lean</x:t>
        </x:is>
      </x:c>
      <x:c r="C112" t="inlineStr">
        <x:is>
          <x:t xml:space="preserve">—</x:t>
        </x:is>
      </x:c>
      <x:c r="D112" t="inlineStr">
        <x:is>
          <x:t xml:space="preserve">Dependency lattice: directed graph of strict prerequisites, parallel consequences, and multi-parent nodes. Fall branches to Death, Judgment, Promise as parallels. Energy and Momentum are siblings from symmetry, not parent-child. BoundState requires Excitation + Coupling. StateReclassification cannot precede BoundState. UnionBoundState branches to Justification AND Sanctification. Wrong orders rejected by name.</x:t>
        </x:is>
      </x:c>
      <x:c r="E112" t="inlineStr">
        <x:is>
          <x:t xml:space="preserve">inductive, structure, def, theorem</x:t>
        </x:is>
      </x:c>
      <x:c r="F112" t="inlineStr">
        <x:is>
          <x:t xml:space="preserve">Full chain: A1.1–OMEGA</x:t>
        </x:is>
      </x:c>
      <x:c r="G112" t="inlineStr">
        <x:is>
          <x:t xml:space="preserve">DependencyLattice.lean</x:t>
        </x:is>
      </x:c>
      <x:c r="H112" t="inlineStr">
        <x:is>
          <x:t xml:space="preserve">inductive, structure, def, theorem</x:t>
        </x:is>
      </x:c>
      <x:c r="I112" t="inlineStr">
        <x:is>
          <x:t xml:space="preserve">Graph prerequisites, parallel consequences, multi-parent dependencies, cross-domain witness records, and wrong-order rejections compile. 18 jobs, 0 sorry.</x:t>
        </x:is>
      </x:c>
      <x:c r="J112" t="inlineStr">
        <x:is>
          <x:t xml:space="preserve">That these dependencies match real conceptual or causal relationships in theology or physics. Graph topology only — external bridge is not automatically proven.</x:t>
        </x:is>
      </x:c>
      <x:c r="K112" t="inlineStr">
        <x:is>
          <x:t xml:space="preserve">Lattice supersedes the line. Correct shape, not just correct sequence.</x:t>
        </x:is>
      </x:c>
      <x:c r="L112" t="inlineStr">
        <x:is>
          <x:t xml:space="preserve">SUPERSEDES StageMachine.lean and Mapping.lean as the dependency proof. The line model is a teaching draft. The lattice is the proof spine.</x:t>
        </x:is>
      </x:c>
    </x:row>
    <x:row r="113">
      <x:c r="A113" t="inlineStr">
        <x:is>
          <x:t xml:space="preserve">LATTICE</x:t>
        </x:is>
      </x:c>
      <x:c r="B113" t="inlineStr">
        <x:is>
          <x:t xml:space="preserve">DEPENDENCY LATTICE — TOPOLOGY CLAIMS (PROVED IN LEAN)</x:t>
        </x:is>
      </x:c>
      <x:c r="D113" t="inlineStr">
        <x:is>
          <x:t xml:space="preserve">Every edge carries: formal claim, bridge claim, kill condition.</x:t>
        </x:is>
      </x:c>
    </x:row>
    <x:row r="114">
      <x:c r="A114" t="inlineStr">
        <x:is>
          <x:t xml:space="preserve">LAT-01</x:t>
        </x:is>
      </x:c>
      <x:c r="B114" t="inlineStr">
        <x:is>
          <x:t xml:space="preserve">Theology Lattice</x:t>
        </x:is>
      </x:c>
      <x:c r="C114" t="inlineStr">
        <x:is>
          <x:t xml:space="preserve">Parallel</x:t>
        </x:is>
      </x:c>
      <x:c r="D114" t="inlineStr">
        <x:is>
          <x:t xml:space="preserve">Fall → {Death, Judgment, Promise} as parallel consequences, NOT a sequence. Death is not the strict parent of Judgment.</x:t>
        </x:is>
      </x:c>
      <x:c r="E114" t="inlineStr">
        <x:is>
          <x:t xml:space="preserve">Theorem (lattice)</x:t>
        </x:is>
      </x:c>
      <x:c r="F114" t="inlineStr">
        <x:is>
          <x:t xml:space="preserve">A8.1, A8.2, A9.1</x:t>
        </x:is>
      </x:c>
      <x:c r="G114" t="inlineStr">
        <x:is>
          <x:t xml:space="preserve">DependencyLattice.lean</x:t>
        </x:is>
      </x:c>
      <x:c r="H114" t="inlineStr">
        <x:is>
          <x:t xml:space="preserve">theorem</x:t>
        </x:is>
      </x:c>
      <x:c r="I114" t="inlineStr">
        <x:is>
          <x:t xml:space="preserve">Parallel-consequence edges compile; Death→Judgment strict-prerequisite edge is NOT encoded</x:t>
        </x:is>
      </x:c>
      <x:c r="J114" t="inlineStr">
        <x:is>
          <x:t xml:space="preserve">Graph topology only. Does not prove the Fall is historical.</x:t>
        </x:is>
      </x:c>
      <x:c r="K114" t="inlineStr">
        <x:is>
          <x:t xml:space="preserve">Death and Judgment are siblings from Fall</x:t>
        </x:is>
      </x:c>
      <x:c r="L114" t="inlineStr">
        <x:is>
          <x:t xml:space="preserve">This fixes the old chain: Fall→Death→Judgment was too strict.</x:t>
        </x:is>
      </x:c>
    </x:row>
    <x:row r="115">
      <x:c r="A115" t="inlineStr">
        <x:is>
          <x:t xml:space="preserve">LAT-02</x:t>
        </x:is>
      </x:c>
      <x:c r="B115" t="inlineStr">
        <x:is>
          <x:t xml:space="preserve">Theology Lattice</x:t>
        </x:is>
      </x:c>
      <x:c r="C115" t="inlineStr">
        <x:is>
          <x:t xml:space="preserve">Multi-parent</x:t>
        </x:is>
      </x:c>
      <x:c r="D115" t="inlineStr">
        <x:is>
          <x:t xml:space="preserve">Image + Covenant → Fall. Fall-as-covenant-rupture requires both Image (capacity to reflect) AND Covenant (ordered relationship). Remove either and Fall changes meaning.</x:t>
        </x:is>
      </x:c>
      <x:c r="E115" t="inlineStr">
        <x:is>
          <x:t xml:space="preserve">Theorem (lattice)</x:t>
        </x:is>
      </x:c>
      <x:c r="F115" t="inlineStr">
        <x:is>
          <x:t xml:space="preserve">BC8, P2.2</x:t>
        </x:is>
      </x:c>
      <x:c r="G115" t="inlineStr">
        <x:is>
          <x:t xml:space="preserve">DependencyLattice.lean</x:t>
        </x:is>
      </x:c>
      <x:c r="H115" t="inlineStr">
        <x:is>
          <x:t xml:space="preserve">theorem</x:t>
        </x:is>
      </x:c>
      <x:c r="I115" t="inlineStr">
        <x:is>
          <x:t xml:space="preserve">Multi-parent edge compiles; removing Covenant breaks Fall-as-covenant-rupture</x:t>
        </x:is>
      </x:c>
      <x:c r="J115" t="inlineStr">
        <x:is>
          <x:t xml:space="preserve">Covenant-before-fall is strong if Fall means covenant rupture; weaker if Fall means any creaturely rebellion</x:t>
        </x:is>
      </x:c>
      <x:c r="K115" t="inlineStr">
        <x:is>
          <x:t xml:space="preserve">Fall is covenant rupture, not mere error</x:t>
        </x:is>
      </x:c>
      <x:c r="L115" t="inlineStr">
        <x:is>
          <x:t xml:space="preserve">Edge needing pressure: what if Fall means any creaturely rebellion, not specifically covenant violation?</x:t>
        </x:is>
      </x:c>
    </x:row>
    <x:row r="116">
      <x:c r="A116" t="inlineStr">
        <x:is>
          <x:t xml:space="preserve">LAT-03</x:t>
        </x:is>
      </x:c>
      <x:c r="B116" t="inlineStr">
        <x:is>
          <x:t xml:space="preserve">Theology Lattice</x:t>
        </x:is>
      </x:c>
      <x:c r="C116" t="inlineStr">
        <x:is>
          <x:t xml:space="preserve">Branch</x:t>
        </x:is>
      </x:c>
      <x:c r="D116" t="inlineStr">
        <x:is>
          <x:t xml:space="preserve">Union → {Justification, Sanctification} as parallel branches, NOT Justification → Sanctification as a sequence.</x:t>
        </x:is>
      </x:c>
      <x:c r="E116" t="inlineStr">
        <x:is>
          <x:t xml:space="preserve">Theorem (lattice)</x:t>
        </x:is>
      </x:c>
      <x:c r="F116" t="inlineStr">
        <x:is>
          <x:t xml:space="preserve">P9.4, P9.5</x:t>
        </x:is>
      </x:c>
      <x:c r="G116" t="inlineStr">
        <x:is>
          <x:t xml:space="preserve">DependencyLattice.lean</x:t>
        </x:is>
      </x:c>
      <x:c r="H116" t="inlineStr">
        <x:is>
          <x:t xml:space="preserve">theorem</x:t>
        </x:is>
      </x:c>
      <x:c r="I116" t="inlineStr">
        <x:is>
          <x:t xml:space="preserve">Union branches to both; Justification-before-Union, Sanctification-before-Union, and collapsed Justification→Sanctification orders all rejected</x:t>
        </x:is>
      </x:c>
      <x:c r="J116" t="inlineStr">
        <x:is>
          <x:t xml:space="preserve">Strong in Calvin/union-centric systems; contested across traditions. Not a problem if proof explicitly tests rival orders.</x:t>
        </x:is>
      </x:c>
      <x:c r="K116" t="inlineStr">
        <x:is>
          <x:t xml:space="preserve">Justification = declared state; Sanctification = progressive annealing. Both from Union.</x:t>
        </x:is>
      </x:c>
      <x:c r="L116" t="inlineStr">
        <x:is>
          <x:t xml:space="preserve">Better than Faith→Justification→Union→Sanctification because state classification cannot precede bound-state formation.</x:t>
        </x:is>
      </x:c>
    </x:row>
    <x:row r="117">
      <x:c r="A117" t="inlineStr">
        <x:is>
          <x:t xml:space="preserve">LAT-04</x:t>
        </x:is>
      </x:c>
      <x:c r="B117" t="inlineStr">
        <x:is>
          <x:t xml:space="preserve">Physics Lattice</x:t>
        </x:is>
      </x:c>
      <x:c r="C117" t="inlineStr">
        <x:is>
          <x:t xml:space="preserve">Sibling</x:t>
        </x:is>
      </x:c>
      <x:c r="D117" t="inlineStr">
        <x:is>
          <x:t xml:space="preserve">Energy and Momentum are sibling outputs from symmetry families (Noether), NOT parent-child. Time-translation → Energy. Spatial-translation → Momentum.</x:t>
        </x:is>
      </x:c>
      <x:c r="E117" t="inlineStr">
        <x:is>
          <x:t xml:space="preserve">Theorem (lattice)</x:t>
        </x:is>
      </x:c>
      <x:c r="F117" t="inlineStr">
        <x:is>
          <x:t xml:space="preserve">D19.1–D19.10</x:t>
        </x:is>
      </x:c>
      <x:c r="G117" t="inlineStr">
        <x:is>
          <x:t xml:space="preserve">DependencyLattice.lean</x:t>
        </x:is>
      </x:c>
      <x:c r="H117" t="inlineStr">
        <x:is>
          <x:t xml:space="preserve">theorem</x:t>
        </x:is>
      </x:c>
      <x:c r="I117" t="inlineStr">
        <x:is>
          <x:t xml:space="preserve">Sibling-output edges from symmetry families compile; Energy→Momentum strict edge NOT encoded</x:t>
        </x:is>
      </x:c>
      <x:c r="J117" t="inlineStr">
        <x:is>
          <x:t xml:space="preserve">Noether's theorem is standard physics. The lattice correctly represents it.</x:t>
        </x:is>
      </x:c>
      <x:c r="K117" t="inlineStr">
        <x:is>
          <x:t xml:space="preserve">Energy and Momentum are siblings, not sequential</x:t>
        </x:is>
      </x:c>
      <x:c r="L117" t="inlineStr">
        <x:is>
          <x:t xml:space="preserve">This fixes the old chain: Energy→Momentum→Action was wrong. Action/Lagrangian is upstream.</x:t>
        </x:is>
      </x:c>
    </x:row>
    <x:row r="118">
      <x:c r="A118" t="inlineStr">
        <x:is>
          <x:t xml:space="preserve">LAT-05</x:t>
        </x:is>
      </x:c>
      <x:c r="B118" t="inlineStr">
        <x:is>
          <x:t xml:space="preserve">Physics Lattice</x:t>
        </x:is>
      </x:c>
      <x:c r="C118" t="inlineStr">
        <x:is>
          <x:t xml:space="preserve">Prerequisite</x:t>
        </x:is>
      </x:c>
      <x:c r="D118" t="inlineStr">
        <x:is>
          <x:t xml:space="preserve">BoundState requires Excitation + Coupling. StateReclassification cannot precede BoundState.</x:t>
        </x:is>
      </x:c>
      <x:c r="E118" t="inlineStr">
        <x:is>
          <x:t xml:space="preserve">Theorem (lattice)</x:t>
        </x:is>
      </x:c>
      <x:c r="F118" t="inlineStr">
        <x:is>
          <x:t xml:space="preserve">A2.1, D2.1</x:t>
        </x:is>
      </x:c>
      <x:c r="G118" t="inlineStr">
        <x:is>
          <x:t xml:space="preserve">DependencyLattice.lean</x:t>
        </x:is>
      </x:c>
      <x:c r="H118" t="inlineStr">
        <x:is>
          <x:t xml:space="preserve">theorem</x:t>
        </x:is>
      </x:c>
      <x:c r="I118" t="inlineStr">
        <x:is>
          <x:t xml:space="preserve">Multi-parent edge compiles; removing Coupling breaks BoundState; StateReclassification-before-BoundState rejected</x:t>
        </x:is>
      </x:c>
      <x:c r="J118" t="inlineStr">
        <x:is>
          <x:t xml:space="preserve">Standard physics: bound states require interaction. Lattice correctly represents it.</x:t>
        </x:is>
      </x:c>
      <x:c r="K118" t="inlineStr">
        <x:is>
          <x:t xml:space="preserve">Coupling precedes Binding precedes State Classification</x:t>
        </x:is>
      </x:c>
      <x:c r="L118" t="inlineStr">
        <x:is>
          <x:t xml:space="preserve">CRITICAL for ordo salutis witness: Faith/Coupling → Union/BoundState → Justification/StateReclassification.</x:t>
        </x:is>
      </x:c>
    </x:row>
    <x:row r="119">
      <x:c r="A119" t="inlineStr">
        <x:is>
          <x:t xml:space="preserve">LAT-06</x:t>
        </x:is>
      </x:c>
      <x:c r="B119" t="inlineStr">
        <x:is>
          <x:t xml:space="preserve">Cross-Domain Witness</x:t>
        </x:is>
      </x:c>
      <x:c r="C119" t="inlineStr">
        <x:is>
          <x:t xml:space="preserve">Witness edge</x:t>
        </x:is>
      </x:c>
      <x:c r="D119" t="inlineStr">
        <x:is>
          <x:t xml:space="preserve">Ordo Salutis / Physics Witness: Grace/SpiritOperation → Faith/Coupling → Union/BoundState → {Justification/StateReclassification, Sanctification/Annealing} → Glorification/CompletedCoherence.</x:t>
        </x:is>
      </x:c>
      <x:c r="E119" t="inlineStr">
        <x:is>
          <x:t xml:space="preserve">Cross-domain witness record</x:t>
        </x:is>
      </x:c>
      <x:c r="F119" t="inlineStr">
        <x:is>
          <x:t xml:space="preserve">P9.1–P9.5</x:t>
        </x:is>
      </x:c>
      <x:c r="G119" t="inlineStr">
        <x:is>
          <x:t xml:space="preserve">DependencyLattice.lean</x:t>
        </x:is>
      </x:c>
      <x:c r="H119" t="inlineStr">
        <x:is>
          <x:t xml:space="preserve">def, theorem</x:t>
        </x:is>
      </x:c>
      <x:c r="I119" t="inlineStr">
        <x:is>
          <x:t xml:space="preserve">Cross-domain witness records connect Ordo edges to physics edges without claiming external bridge is automatically proven</x:t>
        </x:is>
      </x:c>
      <x:c r="J119" t="inlineStr">
        <x:is>
          <x:t xml:space="preserve">Witness records exist in the module. Whether the bridge is correct is the open question.</x:t>
        </x:is>
      </x:c>
      <x:c r="K119" t="inlineStr">
        <x:is>
          <x:t xml:space="preserve">Same topology, different domains</x:t>
        </x:is>
      </x:c>
      <x:c r="L119" t="inlineStr">
        <x:is>
          <x:t xml:space="preserve">Better than the old chain because: (1) Justification and Sanctification branch from Union, (2) physical state classification cannot precede bound-state formation.</x:t>
        </x:is>
      </x:c>
    </x:row>
    <x:row r="120">
      <x:c r="A120" t="inlineStr">
        <x:is>
          <x:t xml:space="preserve">LAT-07</x:t>
        </x:is>
      </x:c>
      <x:c r="B120" t="inlineStr">
        <x:is>
          <x:t xml:space="preserve">Bad Orders Rejected</x:t>
        </x:is>
      </x:c>
      <x:c r="C120" t="inlineStr">
        <x:is>
          <x:t xml:space="preserve">Rejection</x:t>
        </x:is>
      </x:c>
      <x:c r="D120" t="inlineStr">
        <x:is>
          <x:t xml:space="preserve">Named wrong orders all rejected: Justification-before-Union, Sanctification-before-Union, collapsed Justification→Sanctification, Energy→Momentum as parent-child, StateReclassification-before-BoundState.</x:t>
        </x:is>
      </x:c>
      <x:c r="E120" t="inlineStr">
        <x:is>
          <x:t xml:space="preserve">Theorem (rejection)</x:t>
        </x:is>
      </x:c>
      <x:c r="F120" t="inlineStr">
        <x:is>
          <x:t xml:space="preserve">—</x:t>
        </x:is>
      </x:c>
      <x:c r="G120" t="inlineStr">
        <x:is>
          <x:t xml:space="preserve">DependencyLattice.lean</x:t>
        </x:is>
      </x:c>
      <x:c r="H120" t="inlineStr">
        <x:is>
          <x:t xml:space="preserve">theorem</x:t>
        </x:is>
      </x:c>
      <x:c r="I120" t="inlineStr">
        <x:is>
          <x:t xml:space="preserve">All named wrong-order edges rejected by construction</x:t>
        </x:is>
      </x:c>
      <x:c r="J120" t="inlineStr">
        <x:is>
          <x:t xml:space="preserve">Wrong-order rejection is formal only. Does not prove the right order matches reality.</x:t>
        </x:is>
      </x:c>
      <x:c r="K120" t="inlineStr">
        <x:is>
          <x:t xml:space="preserve">Wrong shapes fail</x:t>
        </x:is>
      </x:c>
      <x:c r="L120" t="inlineStr">
        <x:is>
          <x:t xml:space="preserve">Same pattern as BridgeMatrix: define the right thing AND the wrong things, prove the wrong things fail.</x:t>
        </x:is>
      </x:c>
    </x:row>
    <x:row r="121">
      <x:c r="A121" t="inlineStr">
        <x:is>
          <x:t xml:space="preserve">3-SURF</x:t>
        </x:is>
      </x:c>
      <x:c r="B121" t="inlineStr">
        <x:is>
          <x:t xml:space="preserve">THREE-SURFACE REQUIREMENT FOR EVERY EDGE</x:t>
        </x:is>
      </x:c>
      <x:c r="D121" t="inlineStr">
        <x:is>
          <x:t xml:space="preserve">Every proposed edge must carry all three. Missing any one is an incomplete edge.</x:t>
        </x:is>
      </x:c>
    </x:row>
    <x:row r="122">
      <x:c r="A122" t="inlineStr">
        <x:is>
          <x:t xml:space="preserve">SURF-1</x:t>
        </x:is>
      </x:c>
      <x:c r="B122" t="inlineStr">
        <x:is>
          <x:t xml:space="preserve">Surface 1</x:t>
        </x:is>
      </x:c>
      <x:c r="C122" t="inlineStr">
        <x:is>
          <x:t xml:space="preserve">Formal</x:t>
        </x:is>
      </x:c>
      <x:c r="D122" t="inlineStr">
        <x:is>
          <x:t xml:space="preserve">FORMAL CLAIM: What Lean proves about the edge. Example: 'In the abstract transition system, Binding requires prior Coupling.'</x:t>
        </x:is>
      </x:c>
      <x:c r="E122" t="inlineStr">
        <x:is>
          <x:t xml:space="preserve">Requirement</x:t>
        </x:is>
      </x:c>
      <x:c r="F122" t="inlineStr">
        <x:is>
          <x:t xml:space="preserve">—</x:t>
        </x:is>
      </x:c>
      <x:c r="G122" t="inlineStr">
        <x:is>
          <x:t xml:space="preserve">All .lean files</x:t>
        </x:is>
      </x:c>
      <x:c r="H122" t="inlineStr">
        <x:is>
          <x:t xml:space="preserve">theorem</x:t>
        </x:is>
      </x:c>
      <x:c r="I122" t="inlineStr">
        <x:is>
          <x:t xml:space="preserve">The formal claim is what compiles.</x:t>
        </x:is>
      </x:c>
      <x:c r="J122" t="inlineStr">
        <x:is>
          <x:t xml:space="preserve">—</x:t>
        </x:is>
      </x:c>
      <x:c r="K122" t="inlineStr">
        <x:is>
          <x:t xml:space="preserve">What the code proves</x:t>
        </x:is>
      </x:c>
      <x:c r="L122" t="inlineStr">
        <x:is>
          <x:t xml:space="preserve">Narrow and precise. Never wider than what compiles.</x:t>
        </x:is>
      </x:c>
    </x:row>
    <x:row r="123">
      <x:c r="A123" t="inlineStr">
        <x:is>
          <x:t xml:space="preserve">SURF-2</x:t>
        </x:is>
      </x:c>
      <x:c r="B123" t="inlineStr">
        <x:is>
          <x:t xml:space="preserve">Surface 2</x:t>
        </x:is>
      </x:c>
      <x:c r="C123" t="inlineStr">
        <x:is>
          <x:t xml:space="preserve">Bridge</x:t>
        </x:is>
      </x:c>
      <x:c r="D123" t="inlineStr">
        <x:is>
          <x:t xml:space="preserve">BRIDGE CLAIM: Why the edge maps to physics/theology. Example: 'Physics witness: bound state formation requires nonzero coupling. Theology witness: union with Christ requires applied faith.'</x:t>
        </x:is>
      </x:c>
      <x:c r="E123" t="inlineStr">
        <x:is>
          <x:t xml:space="preserve">Requirement</x:t>
        </x:is>
      </x:c>
      <x:c r="F123" t="inlineStr">
        <x:is>
          <x:t xml:space="preserve">—</x:t>
        </x:is>
      </x:c>
      <x:c r="G123" t="inlineStr">
        <x:is>
          <x:t xml:space="preserve">—</x:t>
        </x:is>
      </x:c>
      <x:c r="H123" t="inlineStr">
        <x:is>
          <x:t xml:space="preserve">—</x:t>
        </x:is>
      </x:c>
      <x:c r="I123" t="inlineStr">
        <x:is>
          <x:t xml:space="preserve">—</x:t>
        </x:is>
      </x:c>
      <x:c r="J123" t="inlineStr">
        <x:is>
          <x:t xml:space="preserve">The bridge claim is the interpretive layer. It is NOT formally proved.</x:t>
        </x:is>
      </x:c>
      <x:c r="K123" t="inlineStr">
        <x:is>
          <x:t xml:space="preserve">Why the edge means something</x:t>
        </x:is>
      </x:c>
      <x:c r="L123" t="inlineStr">
        <x:is>
          <x:t xml:space="preserve">This is where the framework makes its real claim. Lean cannot prove this surface.</x:t>
        </x:is>
      </x:c>
    </x:row>
    <x:row r="124">
      <x:c r="A124" t="inlineStr">
        <x:is>
          <x:t xml:space="preserve">SURF-3</x:t>
        </x:is>
      </x:c>
      <x:c r="B124" t="inlineStr">
        <x:is>
          <x:t xml:space="preserve">Surface 3</x:t>
        </x:is>
      </x:c>
      <x:c r="C124" t="inlineStr">
        <x:is>
          <x:t xml:space="preserve">Kill</x:t>
        </x:is>
      </x:c>
      <x:c r="D124" t="inlineStr">
        <x:is>
          <x:t xml:space="preserve">KILL CONDITION: What would make the edge fail. Example: 'Show a coherent bound state formed without coupling, or show a soteriology where union is applied without reception and still preserves system semantics.'</x:t>
        </x:is>
      </x:c>
      <x:c r="E124" t="inlineStr">
        <x:is>
          <x:t xml:space="preserve">Requirement</x:t>
        </x:is>
      </x:c>
      <x:c r="F124" t="inlineStr">
        <x:is>
          <x:t xml:space="preserve">—</x:t>
        </x:is>
      </x:c>
      <x:c r="G124" t="inlineStr">
        <x:is>
          <x:t xml:space="preserve">—</x:t>
        </x:is>
      </x:c>
      <x:c r="H124" t="inlineStr">
        <x:is>
          <x:t xml:space="preserve">—</x:t>
        </x:is>
      </x:c>
      <x:c r="I124" t="inlineStr">
        <x:is>
          <x:t xml:space="preserve">—</x:t>
        </x:is>
      </x:c>
      <x:c r="J124" t="inlineStr">
        <x:is>
          <x:t xml:space="preserve">If the kill condition can be satisfied, the edge falls.</x:t>
        </x:is>
      </x:c>
      <x:c r="K124" t="inlineStr">
        <x:is>
          <x:t xml:space="preserve">What would break it</x:t>
        </x:is>
      </x:c>
      <x:c r="L124" t="inlineStr">
        <x:is>
          <x:t xml:space="preserve">Every edge must be falsifiable. Edges without kill conditions are not testable claims.</x:t>
        </x:is>
      </x:c>
    </x:row>
    <x:row r="125">
      <x:c r="A125" t="inlineStr">
        <x:is>
          <x:t xml:space="preserve">STATUS</x:t>
        </x:is>
      </x:c>
      <x:c r="B125" t="inlineStr">
        <x:is>
          <x:t xml:space="preserve">VERIFICATION STATUS — TRAFFIC LIGHT</x:t>
        </x:is>
      </x:c>
    </x:row>
    <x:row r="126">
      <x:c r="A126" t="inlineStr">
        <x:is>
          <x:t xml:space="preserve">GREEN</x:t>
        </x:is>
      </x:c>
      <x:c r="B126" t="inlineStr">
        <x:is>
          <x:t xml:space="preserve">Local Lean assets</x:t>
        </x:is>
      </x:c>
      <x:c r="C126" t="inlineStr">
        <x:is>
          <x:t xml:space="preserve">—</x:t>
        </x:is>
      </x:c>
      <x:c r="D126" t="inlineStr">
        <x:is>
          <x:t xml:space="preserve">18 jobs compiled. 0 sorry, 0 admit, 0 axiom, 0 unsafe. Gate surfaces, sign discipline, bridge matrix, Maxwell/Trinity, field controls, Christ operator, mission return, justice-mercy, hit-rate, dependency lattice — all compile clean.</x:t>
        </x:is>
      </x:c>
      <x:c r="E126" t="inlineStr">
        <x:is>
          <x:t xml:space="preserve">GREEN</x:t>
        </x:is>
      </x:c>
      <x:c r="F126" t="inlineStr">
        <x:is>
          <x:t xml:space="preserve">—</x:t>
        </x:is>
      </x:c>
      <x:c r="G126" t="inlineStr">
        <x:is>
          <x:t xml:space="preserve">Full package</x:t>
        </x:is>
      </x:c>
      <x:c r="H126" t="inlineStr">
        <x:is>
          <x:t xml:space="preserve">—</x:t>
        </x:is>
      </x:c>
      <x:c r="I126" t="inlineStr">
        <x:is>
          <x:t xml:space="preserve">All modules compile with no sorry/admit/axiom/unsafe</x:t>
        </x:is>
      </x:c>
      <x:c r="J126" t="inlineStr">
        <x:is>
          <x:t xml:space="preserve">—</x:t>
        </x:is>
      </x:c>
      <x:c r="K126" t="inlineStr">
        <x:is>
          <x:t xml:space="preserve">Compile-clean, no cheats</x:t>
        </x:is>
      </x:c>
      <x:c r="L126" t="inlineStr">
        <x:is>
          <x:t xml:space="preserve">This is the floor, not the ceiling.</x:t>
        </x:is>
      </x:c>
    </x:row>
    <x:row r="127">
      <x:c r="A127" t="inlineStr">
        <x:is>
          <x:t xml:space="preserve">YELLOW</x:t>
        </x:is>
      </x:c>
      <x:c r="B127" t="inlineStr">
        <x:is>
          <x:t xml:space="preserve">Global dependency proof</x:t>
        </x:is>
      </x:c>
      <x:c r="C127" t="inlineStr">
        <x:is>
          <x:t xml:space="preserve">—</x:t>
        </x:is>
      </x:c>
      <x:c r="D127" t="inlineStr">
        <x:is>
          <x:t xml:space="preserve">DependencyLattice.lean proves graph topology and wrong-order rejection. But the cross-domain bridge claims (physics edge X witnesses theology edge Y) are recorded, not proved. The lattice shape is correct; the bridge interpretation is the open question.</x:t>
        </x:is>
      </x:c>
      <x:c r="E127" t="inlineStr">
        <x:is>
          <x:t xml:space="preserve">YELLOW</x:t>
        </x:is>
      </x:c>
      <x:c r="F127" t="inlineStr">
        <x:is>
          <x:t xml:space="preserve">—</x:t>
        </x:is>
      </x:c>
      <x:c r="G127" t="inlineStr">
        <x:is>
          <x:t xml:space="preserve">DependencyLattice.lean</x:t>
        </x:is>
      </x:c>
      <x:c r="H127" t="inlineStr">
        <x:is>
          <x:t xml:space="preserve">—</x:t>
        </x:is>
      </x:c>
      <x:c r="I127" t="inlineStr">
        <x:is>
          <x:t xml:space="preserve">Topology proved; bridge interpretation not formally proved</x:t>
        </x:is>
      </x:c>
      <x:c r="J127" t="inlineStr">
        <x:is>
          <x:t xml:space="preserve">Bridge interpretation is the open question</x:t>
        </x:is>
      </x:c>
      <x:c r="K127" t="inlineStr">
        <x:is>
          <x:t xml:space="preserve">Shape is right; meaning is claimed, not proved</x:t>
        </x:is>
      </x:c>
      <x:c r="L127" t="inlineStr">
        <x:is>
          <x:t xml:space="preserve">This is where the next Lean work should focus.</x:t>
        </x:is>
      </x:c>
    </x:row>
    <x:row r="128">
      <x:c r="A128" t="inlineStr">
        <x:is>
          <x:t xml:space="preserve">RED</x:t>
        </x:is>
      </x:c>
      <x:c r="B128" t="inlineStr">
        <x:is>
          <x:t xml:space="preserve">Any line/chain treated as canon-locked proof</x:t>
        </x:is>
      </x:c>
      <x:c r="C128" t="inlineStr">
        <x:is>
          <x:t xml:space="preserve">—</x:t>
        </x:is>
      </x:c>
      <x:c r="D128" t="inlineStr">
        <x:is>
          <x:t xml:space="preserve">The old StageMachine + Mapping line model is demoted. The 21-term chain from the family paper is a strong macro correspondence witness, but it says every term strictly depends on all preceding terms — that is too strong. Death and Judgment may be parallel. Faith and Repentance may be co-emergent. Justification and Sanctification branch from Union.</x:t>
        </x:is>
      </x:c>
      <x:c r="E128" t="inlineStr">
        <x:is>
          <x:t xml:space="preserve">RED</x:t>
        </x:is>
      </x:c>
      <x:c r="F128" t="inlineStr">
        <x:is>
          <x:t xml:space="preserve">—</x:t>
        </x:is>
      </x:c>
      <x:c r="G128" t="inlineStr">
        <x:is>
          <x:t xml:space="preserve">StageMachine.lean, Mapping.lean</x:t>
        </x:is>
      </x:c>
      <x:c r="H128" t="inlineStr">
        <x:is>
          <x:t xml:space="preserve">—</x:t>
        </x:is>
      </x:c>
      <x:c r="I128" t="inlineStr">
        <x:is>
          <x:t xml:space="preserve">Line model is formally correct but structurally too weak for the real dependency</x:t>
        </x:is>
      </x:c>
      <x:c r="J128" t="inlineStr">
        <x:is>
          <x:t xml:space="preserve">Line model treated as canon-locked proof would be an overclaim</x:t>
        </x:is>
      </x:c>
      <x:c r="K128" t="inlineStr">
        <x:is>
          <x:t xml:space="preserve">DEMOTED: line → lattice</x:t>
        </x:is>
      </x:c>
      <x:c r="L128" t="inlineStr">
        <x:is>
          <x:t xml:space="preserve">Keep as teaching draft. Do not cite as the dependency proof.</x:t>
        </x:is>
      </x:c>
    </x:row>
    <x:row r="129">
      <x:c r="A129" t="inlineStr">
        <x:is>
          <x:t xml:space="preserve">PRESSURE</x:t>
        </x:is>
      </x:c>
      <x:c r="B129" t="inlineStr">
        <x:is>
          <x:t xml:space="preserve">EDGES NEEDING PRESSURE — CONTESTED OR UNDER-DEFENDED</x:t>
        </x:is>
      </x:c>
      <x:c r="D129" t="inlineStr">
        <x:is>
          <x:t xml:space="preserve">Honest accounting: where the lattice is weakest.</x:t>
        </x:is>
      </x:c>
    </x:row>
    <x:row r="130">
      <x:c r="A130" t="inlineStr">
        <x:is>
          <x:t xml:space="preserve">PRESS-1</x:t>
        </x:is>
      </x:c>
      <x:c r="B130" t="inlineStr">
        <x:is>
          <x:t xml:space="preserve">Image + Covenant → Fall</x:t>
        </x:is>
      </x:c>
      <x:c r="C130" t="inlineStr">
        <x:is>
          <x:t xml:space="preserve">Contested</x:t>
        </x:is>
      </x:c>
      <x:c r="D130" t="inlineStr">
        <x:is>
          <x:t xml:space="preserve">Strong if Fall means covenant rupture. Weaker if Fall means any creaturely rebellion. Must defend: Fall is specifically the rupture of an ordered relationship (covenant), not merely 'making a mistake.'</x:t>
        </x:is>
      </x:c>
      <x:c r="E130" t="inlineStr">
        <x:is>
          <x:t xml:space="preserve">Edge under pressure</x:t>
        </x:is>
      </x:c>
      <x:c r="F130" t="inlineStr">
        <x:is>
          <x:t xml:space="preserve">BC8, P2.2</x:t>
        </x:is>
      </x:c>
      <x:c r="G130" t="inlineStr">
        <x:is>
          <x:t xml:space="preserve">DependencyLattice.lean</x:t>
        </x:is>
      </x:c>
      <x:c r="H130" t="inlineStr">
        <x:is>
          <x:t xml:space="preserve">theorem</x:t>
        </x:is>
      </x:c>
      <x:c r="I130" t="inlineStr">
        <x:is>
          <x:t xml:space="preserve">Multi-parent edge compiles</x:t>
        </x:is>
      </x:c>
      <x:c r="J130" t="inlineStr">
        <x:is>
          <x:t xml:space="preserve">Theological interpretation of Fall varies across traditions</x:t>
        </x:is>
      </x:c>
      <x:c r="K130" t="inlineStr">
        <x:is>
          <x:t xml:space="preserve">Fall = covenant rupture needs defense</x:t>
        </x:is>
      </x:c>
      <x:c r="L130" t="inlineStr">
        <x:is>
          <x:t xml:space="preserve">Kill condition: show a coherent Fall concept that does not require prior covenant/ordered relationship.</x:t>
        </x:is>
      </x:c>
    </x:row>
    <x:row r="131">
      <x:c r="A131" t="inlineStr">
        <x:is>
          <x:t xml:space="preserve">PRESS-2</x:t>
        </x:is>
      </x:c>
      <x:c r="B131" t="inlineStr">
        <x:is>
          <x:t xml:space="preserve">Faith → Union</x:t>
        </x:is>
      </x:c>
      <x:c r="C131" t="inlineStr">
        <x:is>
          <x:t xml:space="preserve">Contested</x:t>
        </x:is>
      </x:c>
      <x:c r="D131" t="inlineStr">
        <x:is>
          <x:t xml:space="preserve">Strong in application-of-salvation framing. But the Spirit's agency should be represented as an upstream grace/operator node. Faith alone as the sole input to Union understates pneumatology.</x:t>
        </x:is>
      </x:c>
      <x:c r="E131" t="inlineStr">
        <x:is>
          <x:t xml:space="preserve">Edge under pressure</x:t>
        </x:is>
      </x:c>
      <x:c r="F131" t="inlineStr">
        <x:is>
          <x:t xml:space="preserve">P9.2, P9.4</x:t>
        </x:is>
      </x:c>
      <x:c r="G131" t="inlineStr">
        <x:is>
          <x:t xml:space="preserve">DependencyLattice.lean</x:t>
        </x:is>
      </x:c>
      <x:c r="H131" t="inlineStr">
        <x:is>
          <x:t xml:space="preserve">def</x:t>
        </x:is>
      </x:c>
      <x:c r="I131" t="inlineStr">
        <x:is>
          <x:t xml:space="preserve">Edge compiles</x:t>
        </x:is>
      </x:c>
      <x:c r="J131" t="inlineStr">
        <x:is>
          <x:t xml:space="preserve">Spirit's agency as upstream operator is not yet formally encoded</x:t>
        </x:is>
      </x:c>
      <x:c r="K131" t="inlineStr">
        <x:is>
          <x:t xml:space="preserve">Grace/Spirit must be upstream of Faith→Union</x:t>
        </x:is>
      </x:c>
      <x:c r="L131" t="inlineStr">
        <x:is>
          <x:t xml:space="preserve">Kill condition: show a coherent soteriology where union is applied without any reception/coupling and preserves system semantics.</x:t>
        </x:is>
      </x:c>
    </x:row>
    <x:row r="132">
      <x:c r="A132" t="inlineStr">
        <x:is>
          <x:t xml:space="preserve">PRESS-3</x:t>
        </x:is>
      </x:c>
      <x:c r="B132" t="inlineStr">
        <x:is>
          <x:t xml:space="preserve">Union → Justification</x:t>
        </x:is>
      </x:c>
      <x:c r="C132" t="inlineStr">
        <x:is>
          <x:t xml:space="preserve">Contested</x:t>
        </x:is>
      </x:c>
      <x:c r="D132" t="inlineStr">
        <x:is>
          <x:t xml:space="preserve">Strong in Calvin/union-centric systems. Contested across traditions (Lutheran order: Justification first, then Union). Not a problem if the proof explicitly tests rival orders and shows which ones preserve the physics witness.</x:t>
        </x:is>
      </x:c>
      <x:c r="E132" t="inlineStr">
        <x:is>
          <x:t xml:space="preserve">Edge under pressure</x:t>
        </x:is>
      </x:c>
      <x:c r="F132" t="inlineStr">
        <x:is>
          <x:t xml:space="preserve">P9.4, P9.5</x:t>
        </x:is>
      </x:c>
      <x:c r="G132" t="inlineStr">
        <x:is>
          <x:t xml:space="preserve">DependencyLattice.lean</x:t>
        </x:is>
      </x:c>
      <x:c r="H132" t="inlineStr">
        <x:is>
          <x:t xml:space="preserve">theorem</x:t>
        </x:is>
      </x:c>
      <x:c r="I132" t="inlineStr">
        <x:is>
          <x:t xml:space="preserve">Justification-before-Union rejected in current module</x:t>
        </x:is>
      </x:c>
      <x:c r="J132" t="inlineStr">
        <x:is>
          <x:t xml:space="preserve">Lutheran tradition places Justification before Union. Test explicitly.</x:t>
        </x:is>
      </x:c>
      <x:c r="K132" t="inlineStr">
        <x:is>
          <x:t xml:space="preserve">Physics witness favors Union-first (binding before reclassification)</x:t>
        </x:is>
      </x:c>
      <x:c r="L132" t="inlineStr">
        <x:is>
          <x:t xml:space="preserve">Kill condition: show a coherent bound-state reclassification that precedes bound-state formation.</x:t>
        </x:is>
      </x:c>
    </x:row>
    <x:row r="133">
      <x:c r="A133" t="inlineStr">
        <x:is>
          <x:t xml:space="preserve">PRESS-4</x:t>
        </x:is>
      </x:c>
      <x:c r="B133" t="inlineStr">
        <x:is>
          <x:t xml:space="preserve">Faith and Repentance</x:t>
        </x:is>
      </x:c>
      <x:c r="C133" t="inlineStr">
        <x:is>
          <x:t xml:space="preserve">Under-specified</x:t>
        </x:is>
      </x:c>
      <x:c r="D133" t="inlineStr">
        <x:is>
          <x:t xml:space="preserve">Probably co-emergent under one conversion/coupling gate unless a stricter edge is defended. Currently not separately encoded in the lattice.</x:t>
        </x:is>
      </x:c>
      <x:c r="E133" t="inlineStr">
        <x:is>
          <x:t xml:space="preserve">Edge missing</x:t>
        </x:is>
      </x:c>
      <x:c r="F133" t="inlineStr">
        <x:is>
          <x:t xml:space="preserve">—</x:t>
        </x:is>
      </x:c>
      <x:c r="G133" t="inlineStr">
        <x:is>
          <x:t xml:space="preserve">—</x:t>
        </x:is>
      </x:c>
      <x:c r="H133" t="inlineStr">
        <x:is>
          <x:t xml:space="preserve">—</x:t>
        </x:is>
      </x:c>
      <x:c r="I133" t="inlineStr">
        <x:is>
          <x:t xml:space="preserve">Not yet encoded</x:t>
        </x:is>
      </x:c>
      <x:c r="J133" t="inlineStr">
        <x:is>
          <x:t xml:space="preserve">Co-emergence vs sequential is an open design decision</x:t>
        </x:is>
      </x:c>
      <x:c r="K133" t="inlineStr">
        <x:is>
          <x:t xml:space="preserve">Faith/Repentance relationship needs encoding</x:t>
        </x:is>
      </x:c>
      <x:c r="L133" t="inlineStr">
        <x:is>
          <x:t xml:space="preserve">Next Lean module should address: are they two inputs to the same coupling gate, or sequential?</x:t>
        </x:is>
      </x:c>
    </x:row>
  </x:sheetData>
  <x:pageMargins left="0.7" right="0.7" top="0.75" bottom="0.75" header="0.3" footer="0.3"/>
</x:worksheet>
</file>

<file path=xl/worksheets/sheet34.xml><?xml version="1.0" encoding="utf-8"?>
<x:worksheet xmlns:x="http://schemas.openxmlformats.org/spreadsheetml/2006/main">
  <x:sheetFormatPr baseColWidth="8" defaultRowHeight="15"/>
  <x:sheetData>
    <x:row r="1">
      <x:c r="A1" t="inlineStr">
        <x:is>
          <x:t xml:space="preserve">Source File</x:t>
        </x:is>
      </x:c>
      <x:c r="B1" t="inlineStr">
        <x:is>
          <x:t xml:space="preserve">Bucket</x:t>
        </x:is>
      </x:c>
      <x:c r="C1" t="inlineStr">
        <x:is>
          <x:t xml:space="preserve">Proposed Sheet</x:t>
        </x:is>
      </x:c>
      <x:c r="D1" t="inlineStr">
        <x:is>
          <x:t xml:space="preserve">Lane/Stage</x:t>
        </x:is>
      </x:c>
      <x:c r="E1" t="inlineStr">
        <x:is>
          <x:t xml:space="preserve">Role / What It Adds</x:t>
        </x:is>
      </x:c>
      <x:c r="F1" t="inlineStr">
        <x:is>
          <x:t xml:space="preserve">Claim Type</x:t>
        </x:is>
      </x:c>
      <x:c r="G1" t="inlineStr">
        <x:is>
          <x:t xml:space="preserve">Status / Strength</x:t>
        </x:is>
      </x:c>
      <x:c r="H1" t="inlineStr">
        <x:is>
          <x:t xml:space="preserve">Overclaim Guard</x:t>
        </x:is>
      </x:c>
      <x:c r="I1" t="inlineStr">
        <x:is>
          <x:t xml:space="preserve">Next Action</x:t>
        </x:is>
      </x:c>
      <x:c r="J1" t="inlineStr">
        <x:is>
          <x:t xml:space="preserve">Priority</x:t>
        </x:is>
      </x:c>
    </x:row>
    <x:row r="2">
      <x:c r="A2" t="inlineStr">
        <x:is>
          <x:t xml:space="preserve">TEN_LAWS_CANONICAL_EQUATIONS_v2 (1).md</x:t>
        </x:is>
      </x:c>
      <x:c r="B2" t="inlineStr">
        <x:is>
          <x:t xml:space="preserve">Formal Bridge</x:t>
        </x:is>
      </x:c>
      <x:c r="C2" t="inlineStr">
        <x:is>
          <x:t xml:space="preserve">SOURCE_REGISTER / GAUNTLET_ARCHITECTURE</x:t>
        </x:is>
      </x:c>
      <x:c r="D2" t="inlineStr">
        <x:is>
          <x:t xml:space="preserve">Ten Laws / All Lanes</x:t>
        </x:is>
      </x:c>
      <x:c r="E2" t="inlineStr">
        <x:is>
          <x:t xml:space="preserve">Canonical physical-to-spiritual equation map; each law has physical equation, spiritual equation, free-will asymmetry.</x:t>
        </x:is>
      </x:c>
      <x:c r="F2" t="inlineStr">
        <x:is>
          <x:t xml:space="preserve">Structural concordance / mathematical model</x:t>
        </x:is>
      </x:c>
      <x:c r="G2" t="inlineStr">
        <x:is>
          <x:t xml:space="preserve">Core reference; Wolfram-verified per file</x:t>
        </x:is>
      </x:c>
      <x:c r="H2" t="inlineStr">
        <x:is>
          <x:t xml:space="preserve">Structural identity under defined mappings, not 'physics proves theology'.</x:t>
        </x:is>
      </x:c>
      <x:c r="I2" t="inlineStr">
        <x:is>
          <x:t xml:space="preserve">Add each law row to architecture; map to proof boundaries and false-positive tests.</x:t>
        </x:is>
      </x:c>
      <x:c r="J2" t="inlineStr">
        <x:is>
          <x:t xml:space="preserve">Critical</x:t>
        </x:is>
      </x:c>
    </x:row>
    <x:row r="3">
      <x:c r="A3" t="inlineStr">
        <x:is>
          <x:t xml:space="preserve">REFERENCE_OPUS.md</x:t>
        </x:is>
      </x:c>
      <x:c r="B3" t="inlineStr">
        <x:is>
          <x:t xml:space="preserve">Formal Core</x:t>
        </x:is>
      </x:c>
      <x:c r="C3" t="inlineStr">
        <x:is>
          <x:t xml:space="preserve">SOURCE_REGISTER</x:t>
        </x:is>
      </x:c>
      <x:c r="D3" t="inlineStr">
        <x:is>
          <x:t xml:space="preserve">Master Equation Core</x:t>
        </x:is>
      </x:c>
      <x:c r="E3" t="inlineStr">
        <x:is>
          <x:t xml:space="preserve">Canonical chi reference: variable map, product/ratio/dynamic forms, disambiguation issues.</x:t>
        </x:is>
      </x:c>
      <x:c r="F3" t="inlineStr">
        <x:is>
          <x:t xml:space="preserve">Formal model / canonical reference</x:t>
        </x:is>
      </x:c>
      <x:c r="G3" t="inlineStr">
        <x:is>
          <x:t xml:space="preserve">Core reference</x:t>
        </x:is>
      </x:c>
      <x:c r="H3" t="inlineStr">
        <x:is>
          <x:t xml:space="preserve">chi is a meta-theoretical coherence measure, not a replacement physics field by itself.</x:t>
        </x:is>
      </x:c>
      <x:c r="I3" t="inlineStr">
        <x:is>
          <x:t xml:space="preserve">Use as canonical variable and equation reference for all future sheets.</x:t>
        </x:is>
      </x:c>
      <x:c r="J3" t="inlineStr">
        <x:is>
          <x:t xml:space="preserve">Critical</x:t>
        </x:is>
      </x:c>
    </x:row>
    <x:row r="4">
      <x:c r="A4" t="inlineStr">
        <x:is>
          <x:t xml:space="preserve">SUBMISSION_INTAKE_SYSTEM (3).md</x:t>
        </x:is>
      </x:c>
      <x:c r="B4" t="inlineStr">
        <x:is>
          <x:t xml:space="preserve">Implementation</x:t>
        </x:is>
      </x:c>
      <x:c r="C4" t="inlineStr">
        <x:is>
          <x:t xml:space="preserve">INFRA_PUBLICATION</x:t>
        </x:is>
      </x:c>
      <x:c r="D4" t="inlineStr">
        <x:is>
          <x:t xml:space="preserve">Evidence pipeline</x:t>
        </x:is>
      </x:c>
      <x:c r="E4" t="inlineStr">
        <x:is>
          <x:t xml:space="preserve">Submission forms, LLM extraction, pattern matching, routing, review queues.</x:t>
        </x:is>
      </x:c>
      <x:c r="F4" t="inlineStr">
        <x:is>
          <x:t xml:space="preserve">Implementation / evidence intake</x:t>
        </x:is>
      </x:c>
      <x:c r="G4" t="inlineStr">
        <x:is>
          <x:t xml:space="preserve">Useful platform architecture</x:t>
        </x:is>
      </x:c>
      <x:c r="H4" t="inlineStr">
        <x:is>
          <x:t xml:space="preserve">Infrastructure for collecting/testing claims, not proof of claims.</x:t>
        </x:is>
      </x:c>
      <x:c r="I4" t="inlineStr">
        <x:is>
          <x:t xml:space="preserve">Add to Forge/website implementation roadmap.</x:t>
        </x:is>
      </x:c>
      <x:c r="J4" t="inlineStr">
        <x:is>
          <x:t xml:space="preserve">Medium</x:t>
        </x:is>
      </x:c>
    </x:row>
    <x:row r="5">
      <x:c r="A5" t="inlineStr">
        <x:is>
          <x:t xml:space="preserve">CONTENT_TIERS (3).md</x:t>
        </x:is>
      </x:c>
      <x:c r="B5" t="inlineStr">
        <x:is>
          <x:t xml:space="preserve">Publication</x:t>
        </x:is>
      </x:c>
      <x:c r="C5" t="inlineStr">
        <x:is>
          <x:t xml:space="preserve">INFRA_PUBLICATION</x:t>
        </x:is>
      </x:c>
      <x:c r="D5" t="inlineStr">
        <x:is>
          <x:t xml:space="preserve">Public rollout</x:t>
        </x:is>
      </x:c>
      <x:c r="E5" t="inlineStr">
        <x:is>
          <x:t xml:space="preserve">Three content depths: Article, Primer, Deep Dive; max 2 paragraphs before visual break.</x:t>
        </x:is>
      </x:c>
      <x:c r="F5" t="inlineStr">
        <x:is>
          <x:t xml:space="preserve">Publication system</x:t>
        </x:is>
      </x:c>
      <x:c r="G5" t="inlineStr">
        <x:is>
          <x:t xml:space="preserve">High delivery value</x:t>
        </x:is>
      </x:c>
      <x:c r="H5" t="inlineStr">
        <x:is>
          <x:t xml:space="preserve">Presentation system, not evidence.</x:t>
        </x:is>
      </x:c>
      <x:c r="I5" t="inlineStr">
        <x:is>
          <x:t xml:space="preserve">Use for public essay and axiom pages.</x:t>
        </x:is>
      </x:c>
      <x:c r="J5" t="inlineStr">
        <x:is>
          <x:t xml:space="preserve">Medium</x:t>
        </x:is>
      </x:c>
    </x:row>
    <x:row r="6">
      <x:c r="A6" t="inlineStr">
        <x:is>
          <x:t xml:space="preserve">LLM_INSTRUCTIONS (3).md</x:t>
        </x:is>
      </x:c>
      <x:c r="B6" t="inlineStr">
        <x:is>
          <x:t xml:space="preserve">Publication</x:t>
        </x:is>
      </x:c>
      <x:c r="C6" t="inlineStr">
        <x:is>
          <x:t xml:space="preserve">INFRA_PUBLICATION</x:t>
        </x:is>
      </x:c>
      <x:c r="D6" t="inlineStr">
        <x:is>
          <x:t xml:space="preserve">Article generation</x:t>
        </x:is>
      </x:c>
      <x:c r="E6" t="inlineStr">
        <x:is>
          <x:t xml:space="preserve">LLM generation rules for polished HTML articles using design system.</x:t>
        </x:is>
      </x:c>
      <x:c r="F6" t="inlineStr">
        <x:is>
          <x:t xml:space="preserve">Publication automation</x:t>
        </x:is>
      </x:c>
      <x:c r="G6" t="inlineStr">
        <x:is>
          <x:t xml:space="preserve">High delivery value</x:t>
        </x:is>
      </x:c>
      <x:c r="H6" t="inlineStr">
        <x:is>
          <x:t xml:space="preserve">Instruction template, not proof.</x:t>
        </x:is>
      </x:c>
      <x:c r="I6" t="inlineStr">
        <x:is>
          <x:t xml:space="preserve">Connect to content tier templates.</x:t>
        </x:is>
      </x:c>
      <x:c r="J6" t="inlineStr">
        <x:is>
          <x:t xml:space="preserve">Medium</x:t>
        </x:is>
      </x:c>
    </x:row>
    <x:row r="7">
      <x:c r="A7" t="inlineStr">
        <x:is>
          <x:t xml:space="preserve">DESIGN_SYSTEM (3).md</x:t>
        </x:is>
      </x:c>
      <x:c r="B7" t="inlineStr">
        <x:is>
          <x:t xml:space="preserve">Publication</x:t>
        </x:is>
      </x:c>
      <x:c r="C7" t="inlineStr">
        <x:is>
          <x:t xml:space="preserve">INFRA_PUBLICATION</x:t>
        </x:is>
      </x:c>
      <x:c r="D7" t="inlineStr">
        <x:is>
          <x:t xml:space="preserve">Visual system</x:t>
        </x:is>
      </x:c>
      <x:c r="E7" t="inlineStr">
        <x:is>
          <x:t xml:space="preserve">Dark theme/gold accent, fonts, components, charts, responsive design.</x:t>
        </x:is>
      </x:c>
      <x:c r="F7" t="inlineStr">
        <x:is>
          <x:t xml:space="preserve">Design system</x:t>
        </x:is>
      </x:c>
      <x:c r="G7" t="inlineStr">
        <x:is>
          <x:t xml:space="preserve">High delivery value</x:t>
        </x:is>
      </x:c>
      <x:c r="H7" t="inlineStr">
        <x:is>
          <x:t xml:space="preserve">Design quality, not evidence.</x:t>
        </x:is>
      </x:c>
      <x:c r="I7" t="inlineStr">
        <x:is>
          <x:t xml:space="preserve">Use for website/Forge article pages.</x:t>
        </x:is>
      </x:c>
      <x:c r="J7" t="inlineStr">
        <x:is>
          <x:t xml:space="preserve">Medium</x:t>
        </x:is>
      </x:c>
    </x:row>
    <x:row r="8">
      <x:c r="A8" t="inlineStr">
        <x:is>
          <x:t xml:space="preserve">README (4).md</x:t>
        </x:is>
      </x:c>
      <x:c r="B8" t="inlineStr">
        <x:is>
          <x:t xml:space="preserve">Project Packaging</x:t>
        </x:is>
      </x:c>
      <x:c r="C8" t="inlineStr">
        <x:is>
          <x:t xml:space="preserve">INFRA_PUBLICATION</x:t>
        </x:is>
      </x:c>
      <x:c r="D8" t="inlineStr">
        <x:is>
          <x:t xml:space="preserve">Repository orientation</x:t>
        </x:is>
      </x:c>
      <x:c r="E8" t="inlineStr">
        <x:is>
          <x:t xml:space="preserve">Theophysics Mathematical Framework repo overview; folders for Lagrangian, Maxwell, product form, Lindblad, fixed point, symplectic, gauge groups, consistency tests.</x:t>
        </x:is>
      </x:c>
      <x:c r="F8" t="inlineStr">
        <x:is>
          <x:t xml:space="preserve">Computational verification roadmap</x:t>
        </x:is>
      </x:c>
      <x:c r="G8" t="inlineStr">
        <x:is>
          <x:t xml:space="preserve">Strong work-program overview</x:t>
        </x:is>
      </x:c>
      <x:c r="H8" t="inlineStr">
        <x:is>
          <x:t xml:space="preserve">Computationally checked models, not all reality proven.</x:t>
        </x:is>
      </x:c>
      <x:c r="I8" t="inlineStr">
        <x:is>
          <x:t xml:space="preserve">Add as repository/package reference.</x:t>
        </x:is>
      </x:c>
      <x:c r="J8" t="inlineStr">
        <x:is>
          <x:t xml:space="preserve">High</x:t>
        </x:is>
      </x:c>
    </x:row>
    <x:row r="9">
      <x:c r="A9" t="inlineStr">
        <x:is>
          <x:t xml:space="preserve">FIRST_PRINCIPLES_TREE.md</x:t>
        </x:is>
      </x:c>
      <x:c r="B9" t="inlineStr">
        <x:is>
          <x:t xml:space="preserve">Logic Lane</x:t>
        </x:is>
      </x:c>
      <x:c r="C9" t="inlineStr">
        <x:is>
          <x:t xml:space="preserve">LOGIC_TANGENTS</x:t>
        </x:is>
      </x:c>
      <x:c r="D9" t="inlineStr">
        <x:is>
          <x:t xml:space="preserve">Lane 3 / First Principles</x:t>
        </x:is>
      </x:c>
      <x:c r="E9" t="inlineStr">
        <x:is>
          <x:t xml:space="preserve">Question tree with forks, survive/collapse branches, and locked conclusions from existence to self-grounding substrate.</x:t>
        </x:is>
      </x:c>
      <x:c r="F9" t="inlineStr">
        <x:is>
          <x:t xml:space="preserve">Philosophical/logical derivation</x:t>
        </x:is>
      </x:c>
      <x:c r="G9" t="inlineStr">
        <x:is>
          <x:t xml:space="preserve">Core logic lane</x:t>
        </x:is>
      </x:c>
      <x:c r="H9" t="inlineStr">
        <x:is>
          <x:t xml:space="preserve">Some steps are abductive, not pure deduction; mark branch type.</x:t>
        </x:is>
      </x:c>
      <x:c r="I9" t="inlineStr">
        <x:is>
          <x:t xml:space="preserve">Map Q1-Q22 to lane rows and proof boundaries.</x:t>
        </x:is>
      </x:c>
      <x:c r="J9" t="inlineStr">
        <x:is>
          <x:t xml:space="preserve">Critical</x:t>
        </x:is>
      </x:c>
    </x:row>
    <x:row r="10">
      <x:c r="A10" t="inlineStr">
        <x:is>
          <x:t xml:space="preserve">CONJECTURE_4_2_FIXED_POINT.md</x:t>
        </x:is>
      </x:c>
      <x:c r="B10" t="inlineStr">
        <x:is>
          <x:t xml:space="preserve">Formal/Open Problem</x:t>
        </x:is>
      </x:c>
      <x:c r="C10" t="inlineStr">
        <x:is>
          <x:t xml:space="preserve">OPEN_PROBLEMS</x:t>
        </x:is>
      </x:c>
      <x:c r="D10" t="inlineStr">
        <x:is>
          <x:t xml:space="preserve">Product-form / dynamics</x:t>
        </x:is>
      </x:c>
      <x:c r="E10" t="inlineStr">
        <x:is>
          <x:t xml:space="preserve">Fixed-point existence under gamma_up &gt; gamma_down; stability analysis; uniqueness/global case open.</x:t>
        </x:is>
      </x:c>
      <x:c r="F10" t="inlineStr">
        <x:is>
          <x:t xml:space="preserve">Partial formal result</x:t>
        </x:is>
      </x:c>
      <x:c r="G10" t="inlineStr">
        <x:is>
          <x:t xml:space="preserve">Partial result; important</x:t>
        </x:is>
      </x:c>
      <x:c r="H10" t="inlineStr">
        <x:is>
          <x:t xml:space="preserve">Existence under conditions, not full global uniqueness.</x:t>
        </x:is>
      </x:c>
      <x:c r="I10" t="inlineStr">
        <x:is>
          <x:t xml:space="preserve">Add to gap inventory and future worklist.</x:t>
        </x:is>
      </x:c>
      <x:c r="J10" t="inlineStr">
        <x:is>
          <x:t xml:space="preserve">High</x:t>
        </x:is>
      </x:c>
    </x:row>
    <x:row r="11">
      <x:c r="A11" t="inlineStr">
        <x:is>
          <x:t xml:space="preserve">TIMESTAMP_LOCKDOWN.md</x:t>
        </x:is>
      </x:c>
      <x:c r="B11" t="inlineStr">
        <x:is>
          <x:t xml:space="preserve">Evidence Chain</x:t>
        </x:is>
      </x:c>
      <x:c r="C11" t="inlineStr">
        <x:is>
          <x:t xml:space="preserve">EVIDENCE_CHAIN</x:t>
        </x:is>
      </x:c>
      <x:c r="D11" t="inlineStr">
        <x:is>
          <x:t xml:space="preserve">Credibility / timestamp</x:t>
        </x:is>
      </x:c>
      <x:c r="E11" t="inlineStr">
        <x:is>
          <x:t xml:space="preserve">Hashing, OpenTimestamps, Zenodo DOI, Wayback, local backup procedure.</x:t>
        </x:is>
      </x:c>
      <x:c r="F11" t="inlineStr">
        <x:is>
          <x:t xml:space="preserve">Evidence provenance</x:t>
        </x:is>
      </x:c>
      <x:c r="G11" t="inlineStr">
        <x:is>
          <x:t xml:space="preserve">High credibility infrastructure</x:t>
        </x:is>
      </x:c>
      <x:c r="H11" t="inlineStr">
        <x:is>
          <x:t xml:space="preserve">Timestamp proves existence/date, not truth.</x:t>
        </x:is>
      </x:c>
      <x:c r="I11" t="inlineStr">
        <x:is>
          <x:t xml:space="preserve">Add to evidence chain roadmap.</x:t>
        </x:is>
      </x:c>
      <x:c r="J11" t="inlineStr">
        <x:is>
          <x:t xml:space="preserve">Medium</x:t>
        </x:is>
      </x:c>
    </x:row>
    <x:row r="12">
      <x:c r="A12" t="inlineStr">
        <x:is>
          <x:t xml:space="preserve">WEBSITE_EVIDENCE_PAGE.md</x:t>
        </x:is>
      </x:c>
      <x:c r="B12" t="inlineStr">
        <x:is>
          <x:t xml:space="preserve">Evidence Chain</x:t>
        </x:is>
      </x:c>
      <x:c r="C12" t="inlineStr">
        <x:is>
          <x:t xml:space="preserve">EVIDENCE_CHAIN</x:t>
        </x:is>
      </x:c>
      <x:c r="D12" t="inlineStr">
        <x:is>
          <x:t xml:space="preserve">Public verification</x:t>
        </x:is>
      </x:c>
      <x:c r="E12" t="inlineStr">
        <x:is>
          <x:t xml:space="preserve">Public evidence page with hash, review findings, architecture gap.</x:t>
        </x:is>
      </x:c>
      <x:c r="F12" t="inlineStr">
        <x:is>
          <x:t xml:space="preserve">Evidence/provenance</x:t>
        </x:is>
      </x:c>
      <x:c r="G12" t="inlineStr">
        <x:is>
          <x:t xml:space="preserve">High credibility infrastructure</x:t>
        </x:is>
      </x:c>
      <x:c r="H12" t="inlineStr">
        <x:is>
          <x:t xml:space="preserve">Public summary of review, not itself a proof.</x:t>
        </x:is>
      </x:c>
      <x:c r="I12" t="inlineStr">
        <x:is>
          <x:t xml:space="preserve">Use as public verification page.</x:t>
        </x:is>
      </x:c>
      <x:c r="J12" t="inlineStr">
        <x:is>
          <x:t xml:space="preserve">Medium</x:t>
        </x:is>
      </x:c>
    </x:row>
    <x:row r="13">
      <x:c r="A13" t="inlineStr">
        <x:is>
          <x:t xml:space="preserve">INDEPENDENT_REVIEW_CLAUDE_OPUS_2026-03-28.md</x:t>
        </x:is>
      </x:c>
      <x:c r="B13" t="inlineStr">
        <x:is>
          <x:t xml:space="preserve">Adversarial Review</x:t>
        </x:is>
      </x:c>
      <x:c r="C13" t="inlineStr">
        <x:is>
          <x:t xml:space="preserve">ADVERSARIAL_REVIEW</x:t>
        </x:is>
      </x:c>
      <x:c r="D13" t="inlineStr">
        <x:is>
          <x:t xml:space="preserve">Stress test</x:t>
        </x:is>
      </x:c>
      <x:c r="E13" t="inlineStr">
        <x:is>
          <x:t xml:space="preserve">Cold review: strengths, failures, dimensional issue, Lagrangian strength, product-form gap.</x:t>
        </x:is>
      </x:c>
      <x:c r="F13" t="inlineStr">
        <x:is>
          <x:t xml:space="preserve">Adversarial audit</x:t>
        </x:is>
      </x:c>
      <x:c r="G13" t="inlineStr">
        <x:is>
          <x:t xml:space="preserve">Critical credibility asset</x:t>
        </x:is>
      </x:c>
      <x:c r="H13" t="inlineStr">
        <x:is>
          <x:t xml:space="preserve">Review findings need reproducible source files and code.</x:t>
        </x:is>
      </x:c>
      <x:c r="I13" t="inlineStr">
        <x:is>
          <x:t xml:space="preserve">Use as front-facing review/gap evidence.</x:t>
        </x:is>
      </x:c>
      <x:c r="J13" t="inlineStr">
        <x:is>
          <x:t xml:space="preserve">Critical</x:t>
        </x:is>
      </x:c>
    </x:row>
    <x:row r="14">
      <x:c r="A14" t="inlineStr">
        <x:is>
          <x:t xml:space="preserve">OPEN_PROBLEM_001_LAGRANGIAN_TO_PRODUCT_FORM.md</x:t>
        </x:is>
      </x:c>
      <x:c r="B14" t="inlineStr">
        <x:is>
          <x:t xml:space="preserve">Critical Open Problem</x:t>
        </x:is>
      </x:c>
      <x:c r="C14" t="inlineStr">
        <x:is>
          <x:t xml:space="preserve">OPEN_PROBLEMS</x:t>
        </x:is>
      </x:c>
      <x:c r="D14" t="inlineStr">
        <x:is>
          <x:t xml:space="preserve">Core formal gap</x:t>
        </x:is>
      </x:c>
      <x:c r="E14" t="inlineStr">
        <x:is>
          <x:t xml:space="preserve">Defines gap between chi-field Lagrangian and 10-variable product form; either derive bridge or treat product as axiom.</x:t>
        </x:is>
      </x:c>
      <x:c r="F14" t="inlineStr">
        <x:is>
          <x:t xml:space="preserve">Gap inventory</x:t>
        </x:is>
      </x:c>
      <x:c r="G14" t="inlineStr">
        <x:is>
          <x:t xml:space="preserve">Critical</x:t>
        </x:is>
      </x:c>
      <x:c r="H14" t="inlineStr">
        <x:is>
          <x:t xml:space="preserve">Product form remains conditional/postulated until bridge is closed.</x:t>
        </x:is>
      </x:c>
      <x:c r="I14" t="inlineStr">
        <x:is>
          <x:t xml:space="preserve">Put on page 2 of serious packet.</x:t>
        </x:is>
      </x:c>
      <x:c r="J14" t="inlineStr">
        <x:is>
          <x:t xml:space="preserve">Critical</x:t>
        </x:is>
      </x:c>
    </x:row>
    <x:row r="15">
      <x:c r="A15" t="inlineStr">
        <x:is>
          <x:t xml:space="preserve">2026-03-27-enriched-knowledge-graph-design (3).md</x:t>
        </x:is>
      </x:c>
      <x:c r="B15" t="inlineStr">
        <x:is>
          <x:t xml:space="preserve">Research Infrastructure</x:t>
        </x:is>
      </x:c>
      <x:c r="C15" t="inlineStr">
        <x:is>
          <x:t xml:space="preserve">INFRA_PUBLICATION</x:t>
        </x:is>
      </x:c>
      <x:c r="D15" t="inlineStr">
        <x:is>
          <x:t xml:space="preserve">Knowledge graph / Research Mode</x:t>
        </x:is>
      </x:c>
      <x:c r="E15" t="inlineStr">
        <x:is>
          <x:t xml:space="preserve">~800+ node enriched research graph from 7Q/CKG data with claims, evidence, predictions, failure points.</x:t>
        </x:is>
      </x:c>
      <x:c r="F15" t="inlineStr">
        <x:is>
          <x:t xml:space="preserve">Tooling / audit infrastructure</x:t>
        </x:is>
      </x:c>
      <x:c r="G15" t="inlineStr">
        <x:is>
          <x:t xml:space="preserve">High implementation value</x:t>
        </x:is>
      </x:c>
      <x:c r="H15" t="inlineStr">
        <x:is>
          <x:t xml:space="preserve">Graph organizes claims; it does not prove claims.</x:t>
        </x:is>
      </x:c>
      <x:c r="I15" t="inlineStr">
        <x:is>
          <x:t xml:space="preserve">Add to Forge/website research mode roadmap.</x:t>
        </x:is>
      </x:c>
      <x:c r="J15" t="inlineStr">
        <x:is>
          <x:t xml:space="preserve">Medium</x:t>
        </x:is>
      </x:c>
    </x:row>
    <x:row r="16">
      <x:c r="A16" t="inlineStr">
        <x:is>
          <x:t xml:space="preserve">README (7).md</x:t>
        </x:is>
      </x:c>
      <x:c r="B16" t="inlineStr">
        <x:is>
          <x:t xml:space="preserve">Empirical Testing</x:t>
        </x:is>
      </x:c>
      <x:c r="C16" t="inlineStr">
        <x:is>
          <x:t xml:space="preserve">EMPIRICAL_TESTS</x:t>
        </x:is>
      </x:c>
      <x:c r="D16" t="inlineStr">
        <x:is>
          <x:t xml:space="preserve">Testing layer</x:t>
        </x:is>
      </x:c>
      <x:c r="E16" t="inlineStr">
        <x:is>
          <x:t xml:space="preserve">16 independent tests against biblical/historical data; 8 confirmed, 1 failed, future tests; reproducible seed.</x:t>
        </x:is>
      </x:c>
      <x:c r="F16" t="inlineStr">
        <x:is>
          <x:t xml:space="preserve">Computational empirical suite</x:t>
        </x:is>
      </x:c>
      <x:c r="G16" t="inlineStr">
        <x:is>
          <x:t xml:space="preserve">High if reproducible</x:t>
        </x:is>
      </x:c>
      <x:c r="H16" t="inlineStr">
        <x:is>
          <x:t xml:space="preserve">Scoring/coding must be independently audited.</x:t>
        </x:is>
      </x:c>
      <x:c r="I16" t="inlineStr">
        <x:is>
          <x:t xml:space="preserve">Add as testing suite overview.</x:t>
        </x:is>
      </x:c>
      <x:c r="J16" t="inlineStr">
        <x:is>
          <x:t xml:space="preserve">Critical</x:t>
        </x:is>
      </x:c>
    </x:row>
    <x:row r="17">
      <x:c r="A17" t="inlineStr">
        <x:is>
          <x:t xml:space="preserve">TEST04_Grace_Response_Time.md</x:t>
        </x:is>
      </x:c>
      <x:c r="B17" t="inlineStr">
        <x:is>
          <x:t xml:space="preserve">Empirical Test</x:t>
        </x:is>
      </x:c>
      <x:c r="C17" t="inlineStr">
        <x:is>
          <x:t xml:space="preserve">EMPIRICAL_TESTS</x:t>
        </x:is>
      </x:c>
      <x:c r="D17" t="inlineStr">
        <x:is>
          <x:t xml:space="preserve">P(t) / Grace response</x:t>
        </x:is>
      </x:c>
      <x:c r="E17" t="inlineStr">
        <x:is>
          <x:t xml:space="preserve">Tests G→C response delay vs P(t); reported failed in suite with p=0.91.</x:t>
        </x:is>
      </x:c>
      <x:c r="F17" t="inlineStr">
        <x:is>
          <x:t xml:space="preserve">Empirical test</x:t>
        </x:is>
      </x:c>
      <x:c r="G17" t="inlineStr">
        <x:is>
          <x:t xml:space="preserve">Failed test; credibility boost</x:t>
        </x:is>
      </x:c>
      <x:c r="H17" t="inlineStr">
        <x:is>
          <x:t xml:space="preserve">Do not bury; failure may imply nonlinear/complexity model instead of linear response.</x:t>
        </x:is>
      </x:c>
      <x:c r="I17" t="inlineStr">
        <x:is>
          <x:t xml:space="preserve">Keep as honest failure and revise hypothesis.</x:t>
        </x:is>
      </x:c>
      <x:c r="J17" t="inlineStr">
        <x:is>
          <x:t xml:space="preserve">High</x:t>
        </x:is>
      </x:c>
    </x:row>
    <x:row r="18">
      <x:c r="A18" t="inlineStr">
        <x:is>
          <x:t xml:space="preserve">TEST05_Prophecy_Precision_Growth.md</x:t>
        </x:is>
      </x:c>
      <x:c r="B18" t="inlineStr">
        <x:is>
          <x:t xml:space="preserve">Empirical Test</x:t>
        </x:is>
      </x:c>
      <x:c r="C18" t="inlineStr">
        <x:is>
          <x:t xml:space="preserve">EMPIRICAL_TESTS</x:t>
        </x:is>
      </x:c>
      <x:c r="D18" t="inlineStr">
        <x:is>
          <x:t xml:space="preserve">P(t) / Prophecy</x:t>
        </x:is>
      </x:c>
      <x:c r="E18" t="inlineStr">
        <x:is>
          <x:t xml:space="preserve">Prophetic specificity increases with preparation function; Shannon channel framing.</x:t>
        </x:is>
      </x:c>
      <x:c r="F18" t="inlineStr">
        <x:is>
          <x:t xml:space="preserve">Empirical / biblical information theory</x:t>
        </x:is>
      </x:c>
      <x:c r="G18" t="inlineStr">
        <x:is>
          <x:t xml:space="preserve">Promising</x:t>
        </x:is>
      </x:c>
      <x:c r="H18" t="inlineStr">
        <x:is>
          <x:t xml:space="preserve">Prophecy detail scoring needs public coding rulebook.</x:t>
        </x:is>
      </x:c>
      <x:c r="I18" t="inlineStr">
        <x:is>
          <x:t xml:space="preserve">Add to P(t) validation rows.</x:t>
        </x:is>
      </x:c>
      <x:c r="J18" t="inlineStr">
        <x:is>
          <x:t xml:space="preserve">High</x:t>
        </x:is>
      </x:c>
    </x:row>
    <x:row r="19">
      <x:c r="A19" t="inlineStr">
        <x:is>
          <x:t xml:space="preserve">TEST07_Community_Coherence_Scaling.md</x:t>
        </x:is>
      </x:c>
      <x:c r="B19" t="inlineStr">
        <x:is>
          <x:t xml:space="preserve">Empirical Test</x:t>
        </x:is>
      </x:c>
      <x:c r="C19" t="inlineStr">
        <x:is>
          <x:t xml:space="preserve">EMPIRICAL_TESTS</x:t>
        </x:is>
      </x:c>
      <x:c r="D19" t="inlineStr">
        <x:is>
          <x:t xml:space="preserve">P(t) / Community scale</x:t>
        </x:is>
      </x:c>
      <x:c r="E19" t="inlineStr">
        <x:is>
          <x:t xml:space="preserve">Covenant community scale tracks preparation level; remnant anomaly as compression.</x:t>
        </x:is>
      </x:c>
      <x:c r="F19" t="inlineStr">
        <x:is>
          <x:t xml:space="preserve">Empirical / social coherence</x:t>
        </x:is>
      </x:c>
      <x:c r="G19" t="inlineStr">
        <x:is>
          <x:t xml:space="preserve">Promising qualitative</x:t>
        </x:is>
      </x:c>
      <x:c r="H19" t="inlineStr">
        <x:is>
          <x:t xml:space="preserve">Membership/bandwidth scores need validation.</x:t>
        </x:is>
      </x:c>
      <x:c r="I19" t="inlineStr">
        <x:is>
          <x:t xml:space="preserve">Add to social coherence tests.</x:t>
        </x:is>
      </x:c>
      <x:c r="J19" t="inlineStr">
        <x:is>
          <x:t xml:space="preserve">Medium</x:t>
        </x:is>
      </x:c>
    </x:row>
    <x:row r="20">
      <x:c r="A20" t="inlineStr">
        <x:is>
          <x:t xml:space="preserve">TEST08_Revelation_Density_S_Curve.md</x:t>
        </x:is>
      </x:c>
      <x:c r="B20" t="inlineStr">
        <x:is>
          <x:t xml:space="preserve">Empirical Test</x:t>
        </x:is>
      </x:c>
      <x:c r="C20" t="inlineStr">
        <x:is>
          <x:t xml:space="preserve">EMPIRICAL_TESTS</x:t>
        </x:is>
      </x:c>
      <x:c r="D20" t="inlineStr">
        <x:is>
          <x:t xml:space="preserve">P(t) / Revelation density</x:t>
        </x:is>
      </x:c>
      <x:c r="E20" t="inlineStr">
        <x:is>
          <x:t xml:space="preserve">Novel theological concept density follows S-curve; incarnation spike; post-apostolic leveling.</x:t>
        </x:is>
      </x:c>
      <x:c r="F20" t="inlineStr">
        <x:is>
          <x:t xml:space="preserve">Empirical / revelation information flow</x:t>
        </x:is>
      </x:c>
      <x:c r="G20" t="inlineStr">
        <x:is>
          <x:t xml:space="preserve">Strong if coding is rigorous</x:t>
        </x:is>
      </x:c>
      <x:c r="H20" t="inlineStr">
        <x:is>
          <x:t xml:space="preserve">Novel concept count requires public coding rulebook and controls.</x:t>
        </x:is>
      </x:c>
      <x:c r="I20" t="inlineStr">
        <x:is>
          <x:t xml:space="preserve">Add to P(t) validation; build coding appendix.</x:t>
        </x:is>
      </x:c>
      <x:c r="J20" t="inlineStr">
        <x:is>
          <x:t xml:space="preserve">High</x:t>
        </x:is>
      </x:c>
    </x:row>
    <x:row r="21">
      <x:c r="A21" t="inlineStr">
        <x:is>
          <x:t xml:space="preserve">TANGENT_08_The_Pride_Glitch (2).md</x:t>
        </x:is>
      </x:c>
      <x:c r="B21" t="inlineStr">
        <x:is>
          <x:t xml:space="preserve">Lane 4 / Decoherence</x:t>
        </x:is>
      </x:c>
      <x:c r="C21" t="inlineStr">
        <x:is>
          <x:t xml:space="preserve">LANE4_DOSSIER</x:t>
        </x:is>
      </x:c>
      <x:c r="D21" t="inlineStr">
        <x:is>
          <x:t xml:space="preserve">Origin of rupture</x:t>
        </x:is>
      </x:c>
      <x:c r="E21" t="inlineStr">
        <x:is>
          <x:t xml:space="preserve">First decoherence as self-sourcing error; pride as misattributed coherence source.</x:t>
        </x:is>
      </x:c>
      <x:c r="F21" t="inlineStr">
        <x:is>
          <x:t xml:space="preserve">Philosophical/theological model</x:t>
        </x:is>
      </x:c>
      <x:c r="G21" t="inlineStr">
        <x:is>
          <x:t xml:space="preserve">Strong explanatory piece</x:t>
        </x:is>
      </x:c>
      <x:c r="H21" t="inlineStr">
        <x:is>
          <x:t xml:space="preserve">Not empirical proof; relies on orientation model.</x:t>
        </x:is>
      </x:c>
      <x:c r="I21" t="inlineStr">
        <x:is>
          <x:t xml:space="preserve">Add before generational entropy in Lane 4 sequence.</x:t>
        </x:is>
      </x:c>
      <x:c r="J21" t="inlineStr">
        <x:is>
          <x:t xml:space="preserve">High</x:t>
        </x:is>
      </x:c>
    </x:row>
    <x:row r="22">
      <x:c r="A22" t="inlineStr">
        <x:is>
          <x:t xml:space="preserve">TANGENT_09_Generational_Entropy (2).md</x:t>
        </x:is>
      </x:c>
      <x:c r="B22" t="inlineStr">
        <x:is>
          <x:t xml:space="preserve">Lane 4 / Propagation</x:t>
        </x:is>
      </x:c>
      <x:c r="C22" t="inlineStr">
        <x:is>
          <x:t xml:space="preserve">LANE4_DOSSIER</x:t>
        </x:is>
      </x:c>
      <x:c r="D22" t="inlineStr">
        <x:is>
          <x:t xml:space="preserve">Consequences cascade</x:t>
        </x:is>
      </x:c>
      <x:c r="E22" t="inlineStr">
        <x:is>
          <x:t xml:space="preserve">Consequences transfer, not guilt; templates, epigenetics, culture, environment.</x:t>
        </x:is>
      </x:c>
      <x:c r="F22" t="inlineStr">
        <x:is>
          <x:t xml:space="preserve">Theological/social model</x:t>
        </x:is>
      </x:c>
      <x:c r="G22" t="inlineStr">
        <x:is>
          <x:t xml:space="preserve">Strong if cited</x:t>
        </x:is>
      </x:c>
      <x:c r="H22" t="inlineStr">
        <x:is>
          <x:t xml:space="preserve">Epigenetic claims need careful citations and limits.</x:t>
        </x:is>
      </x:c>
      <x:c r="I22" t="inlineStr">
        <x:is>
          <x:t xml:space="preserve">Add to cascade/record section.</x:t>
        </x:is>
      </x:c>
      <x:c r="J22" t="inlineStr">
        <x:is>
          <x:t xml:space="preserve">High</x:t>
        </x:is>
      </x:c>
    </x:row>
    <x:row r="23">
      <x:c r="A23" t="inlineStr">
        <x:is>
          <x:t xml:space="preserve">TANGENT_10_The_Sign_Theorem (2).md</x:t>
        </x:is>
      </x:c>
      <x:c r="B23" t="inlineStr">
        <x:is>
          <x:t xml:space="preserve">Lane 4 / Repair</x:t>
        </x:is>
      </x:c>
      <x:c r="C23" t="inlineStr">
        <x:is>
          <x:t xml:space="preserve">LANE4_DOSSIER</x:t>
        </x:is>
      </x:c>
      <x:c r="D23" t="inlineStr">
        <x:is>
          <x:t xml:space="preserve">Self-repair impossibility</x:t>
        </x:is>
      </x:c>
      <x:c r="E23" t="inlineStr">
        <x:is>
          <x:t xml:space="preserve">Self-generated operators preserve sign; external grace operator required.</x:t>
        </x:is>
      </x:c>
      <x:c r="F23" t="inlineStr">
        <x:is>
          <x:t xml:space="preserve">Formal/philosophical theorem</x:t>
        </x:is>
      </x:c>
      <x:c r="G23" t="inlineStr">
        <x:is>
          <x:t xml:space="preserve">Very strong Lane 4 piece</x:t>
        </x:is>
      </x:c>
      <x:c r="H23" t="inlineStr">
        <x:is>
          <x:t xml:space="preserve">Depends on sign-operator definitions; not universal physics proof.</x:t>
        </x:is>
      </x:c>
      <x:c r="I23" t="inlineStr">
        <x:is>
          <x:t xml:space="preserve">Add to repair constraint chain.</x:t>
        </x:is>
      </x:c>
      <x:c r="J23" t="inlineStr">
        <x:is>
          <x:t xml:space="preserve">Critical</x:t>
        </x:is>
      </x:c>
    </x:row>
    <x:row r="24">
      <x:c r="A24" t="inlineStr">
        <x:is>
          <x:t xml:space="preserve">TANGENT_11_The_Constraint_Fork (2).md</x:t>
        </x:is>
      </x:c>
      <x:c r="B24" t="inlineStr">
        <x:is>
          <x:t xml:space="preserve">Lane 4 / Objections</x:t>
        </x:is>
      </x:c>
      <x:c r="C24" t="inlineStr">
        <x:is>
          <x:t xml:space="preserve">LANE4_DOSSIER</x:t>
        </x:is>
      </x:c>
      <x:c r="D24" t="inlineStr">
        <x:is>
          <x:t xml:space="preserve">Alternative strategies drop constraints</x:t>
        </x:is>
      </x:c>
      <x:c r="E24" t="inlineStr">
        <x:is>
          <x:t xml:space="preserve">Tests 'God should have done X' by whether it drops free will, grace, or justice.</x:t>
        </x:is>
      </x:c>
      <x:c r="F24" t="inlineStr">
        <x:is>
          <x:t xml:space="preserve">Objection engine / constraint model</x:t>
        </x:is>
      </x:c>
      <x:c r="G24" t="inlineStr">
        <x:is>
          <x:t xml:space="preserve">Very strong public tool</x:t>
        </x:is>
      </x:c>
      <x:c r="H24" t="inlineStr">
        <x:is>
          <x:t xml:space="preserve">Softens 'every objection' to 'every tested objection so far'.</x:t>
        </x:is>
      </x:c>
      <x:c r="I24" t="inlineStr">
        <x:is>
          <x:t xml:space="preserve">Use as central Lane 4 objection tool.</x:t>
        </x:is>
      </x:c>
      <x:c r="J24" t="inlineStr">
        <x:is>
          <x:t xml:space="preserve">Critical</x:t>
        </x:is>
      </x:c>
    </x:row>
    <x:row r="25">
      <x:c r="A25" t="inlineStr">
        <x:is>
          <x:t xml:space="preserve">TANGENT_12_The_Pt_Function (2).md</x:t>
        </x:is>
      </x:c>
      <x:c r="B25" t="inlineStr">
        <x:is>
          <x:t xml:space="preserve">Empirical / P(t)</x:t>
        </x:is>
      </x:c>
      <x:c r="C25" t="inlineStr">
        <x:is>
          <x:t xml:space="preserve">EMPIRICAL_TESTS</x:t>
        </x:is>
      </x:c>
      <x:c r="D25" t="inlineStr">
        <x:is>
          <x:t xml:space="preserve">Preparation function</x:t>
        </x:is>
      </x:c>
      <x:c r="E25" t="inlineStr">
        <x:is>
          <x:t xml:space="preserve">Five textual metrics; P(t) as pedagogical S-curve; control tests pending.</x:t>
        </x:is>
      </x:c>
      <x:c r="F25" t="inlineStr">
        <x:is>
          <x:t xml:space="preserve">Empirical/theological information model</x:t>
        </x:is>
      </x:c>
      <x:c r="G25" t="inlineStr">
        <x:is>
          <x:t xml:space="preserve">Strong if reproducible</x:t>
        </x:is>
      </x:c>
      <x:c r="H25" t="inlineStr">
        <x:is>
          <x:t xml:space="preserve">Needs corpus methods, controls: Quran, Vedas, Pali Canon.</x:t>
        </x:is>
      </x:c>
      <x:c r="I25" t="inlineStr">
        <x:is>
          <x:t xml:space="preserve">Add to methodology and future controls.</x:t>
        </x:is>
      </x:c>
      <x:c r="J25" t="inlineStr">
        <x:is>
          <x:t xml:space="preserve">Critical</x:t>
        </x:is>
      </x:c>
    </x:row>
    <x:row r="26">
      <x:c r="A26" t="inlineStr">
        <x:is>
          <x:t xml:space="preserve">TANGENT_13_The_Entropy_Crossover (2).md</x:t>
        </x:is>
      </x:c>
      <x:c r="B26" t="inlineStr">
        <x:is>
          <x:t xml:space="preserve">Lane 4 / Cross necessity</x:t>
        </x:is>
      </x:c>
      <x:c r="C26" t="inlineStr">
        <x:is>
          <x:t xml:space="preserve">LANE4_DOSSIER</x:t>
        </x:is>
      </x:c>
      <x:c r="D26" t="inlineStr">
        <x:is>
          <x:t xml:space="preserve">Cross needed above entropy threshold</x:t>
        </x:is>
      </x:c>
      <x:c r="E26" t="inlineStr">
        <x:is>
          <x:t xml:space="preserve">Progressive grace wins low entropy; Biblical/cross strategy wins at S≈0.28+.</x:t>
        </x:is>
      </x:c>
      <x:c r="F26" t="inlineStr">
        <x:is>
          <x:t xml:space="preserve">Simulation / constraint model</x:t>
        </x:is>
      </x:c>
      <x:c r="G26" t="inlineStr">
        <x:is>
          <x:t xml:space="preserve">Very high if reproducible</x:t>
        </x:is>
      </x:c>
      <x:c r="H26" t="inlineStr">
        <x:is>
          <x:t xml:space="preserve">'This universe S&gt;&gt;0.28' needs empirical justification.</x:t>
        </x:is>
      </x:c>
      <x:c r="I26" t="inlineStr">
        <x:is>
          <x:t xml:space="preserve">Add next to Justice-Mercy / Cross unique.</x:t>
        </x:is>
      </x:c>
      <x:c r="J26" t="inlineStr">
        <x:is>
          <x:t xml:space="preserve">Critical</x:t>
        </x:is>
      </x:c>
    </x:row>
    <x:row r="27">
      <x:c r="A27" t="inlineStr">
        <x:is>
          <x:t xml:space="preserve">THE CROSS UNIQUE SOLUTION (2).md</x:t>
        </x:is>
      </x:c>
      <x:c r="B27" t="inlineStr">
        <x:is>
          <x:t xml:space="preserve">Lane 4 / Cross uniqueness</x:t>
        </x:is>
      </x:c>
      <x:c r="C27" t="inlineStr">
        <x:is>
          <x:t xml:space="preserve">LANE4_DOSSIER</x:t>
        </x:is>
      </x:c>
      <x:c r="D27" t="inlineStr">
        <x:is>
          <x:t xml:space="preserve">Rival-model elimination</x:t>
        </x:is>
      </x:c>
      <x:c r="E27" t="inlineStr">
        <x:is>
          <x:t xml:space="preserve">Monte Carlo and named alternatives; Cross satisfies six-force model, alternatives fail constraints.</x:t>
        </x:is>
      </x:c>
      <x:c r="F27" t="inlineStr">
        <x:is>
          <x:t xml:space="preserve">Simulation / rival repair models</x:t>
        </x:is>
      </x:c>
      <x:c r="G27" t="inlineStr">
        <x:is>
          <x:t xml:space="preserve">Central Lane 4 claim</x:t>
        </x:is>
      </x:c>
      <x:c r="H27" t="inlineStr">
        <x:is>
          <x:t xml:space="preserve">Uniqueness depends on force definitions/scoring rules; compare respectfully.</x:t>
        </x:is>
      </x:c>
      <x:c r="I27" t="inlineStr">
        <x:is>
          <x:t xml:space="preserve">Build 10 wrong-before-right table from this.</x:t>
        </x:is>
      </x:c>
      <x:c r="J27" t="inlineStr">
        <x:is>
          <x:t xml:space="preserve">Critical</x:t>
        </x:is>
      </x:c>
    </x:row>
    <x:row r="28">
      <x:c r="A28" t="inlineStr">
        <x:is>
          <x:t xml:space="preserve">TANGENT_01_The_Nothing_Problem (1).md</x:t>
        </x:is>
      </x:c>
      <x:c r="B28" t="inlineStr">
        <x:is>
          <x:t xml:space="preserve">Logic Tangent</x:t>
        </x:is>
      </x:c>
      <x:c r="C28" t="inlineStr">
        <x:is>
          <x:t xml:space="preserve">LOGIC_TANGENTS</x:t>
        </x:is>
      </x:c>
      <x:c r="D28" t="inlineStr">
        <x:is>
          <x:t xml:space="preserve">Q1 / Existence</x:t>
        </x:is>
      </x:c>
      <x:c r="E28" t="inlineStr">
        <x:is>
          <x:t xml:space="preserve">Absolute nothing may be incoherent; 'something exists' may be necessary rather than contingent.</x:t>
        </x:is>
      </x:c>
      <x:c r="F28" t="inlineStr">
        <x:is>
          <x:t xml:space="preserve">Philosophical derivation</x:t>
        </x:is>
      </x:c>
      <x:c r="G28" t="inlineStr">
        <x:is>
          <x:t xml:space="preserve">Useful support</x:t>
        </x:is>
      </x:c>
      <x:c r="H28" t="inlineStr">
        <x:is>
          <x:t xml:space="preserve">Do not overstate as settled metaphysical proof; distinguish physical vacuum from absolute nothing.</x:t>
        </x:is>
      </x:c>
      <x:c r="I28" t="inlineStr">
        <x:is>
          <x:t xml:space="preserve">Add as Q1 tangent/support row.</x:t>
        </x:is>
      </x:c>
      <x:c r="J28" t="inlineStr">
        <x:is>
          <x:t xml:space="preserve">High</x:t>
        </x:is>
      </x:c>
    </x:row>
    <x:row r="29">
      <x:c r="A29" t="inlineStr">
        <x:is>
          <x:t xml:space="preserve">TANGENT_02_Wheelers_It_From_Bit (1).md</x:t>
        </x:is>
      </x:c>
      <x:c r="B29" t="inlineStr">
        <x:is>
          <x:t xml:space="preserve">Logic Tangent</x:t>
        </x:is>
      </x:c>
      <x:c r="C29" t="inlineStr">
        <x:is>
          <x:t xml:space="preserve">LOGIC_TANGENTS</x:t>
        </x:is>
      </x:c>
      <x:c r="D29" t="inlineStr">
        <x:is>
          <x:t xml:space="preserve">Q3 / Information Primacy</x:t>
        </x:is>
      </x:c>
      <x:c r="E29" t="inlineStr">
        <x:is>
          <x:t xml:space="preserve">Wheeler's It-from-Bit as independent physics-side support for information primacy.</x:t>
        </x:is>
      </x:c>
      <x:c r="F29" t="inlineStr">
        <x:is>
          <x:t xml:space="preserve">Physics/philosophy support</x:t>
        </x:is>
      </x:c>
      <x:c r="G29" t="inlineStr">
        <x:is>
          <x:t xml:space="preserve">Strong support if cited</x:t>
        </x:is>
      </x:c>
      <x:c r="H29" t="inlineStr">
        <x:is>
          <x:t xml:space="preserve">Wheeler supports information primacy; not direct proof of Logos.</x:t>
        </x:is>
      </x:c>
      <x:c r="I29" t="inlineStr">
        <x:is>
          <x:t xml:space="preserve">Add as independent convergence support.</x:t>
        </x:is>
      </x:c>
      <x:c r="J29" t="inlineStr">
        <x:is>
          <x:t xml:space="preserve">High</x:t>
        </x:is>
      </x:c>
    </x:row>
    <x:row r="30">
      <x:c r="A30" t="inlineStr">
        <x:is>
          <x:t xml:space="preserve">TANGENT_03_Kolmogorov_and_Gods_Compression (1).md</x:t>
        </x:is>
      </x:c>
      <x:c r="B30" t="inlineStr">
        <x:is>
          <x:t xml:space="preserve">Logic Tangent</x:t>
        </x:is>
      </x:c>
      <x:c r="C30" t="inlineStr">
        <x:is>
          <x:t xml:space="preserve">LOGIC_TANGENTS</x:t>
        </x:is>
      </x:c>
      <x:c r="D30" t="inlineStr">
        <x:is>
          <x:t xml:space="preserve">Q3 / Compression</x:t>
        </x:is>
      </x:c>
      <x:c r="E30" t="inlineStr">
        <x:is>
          <x:t xml:space="preserve">Physical laws as low-K programs; Logos as compression operator; dK/dt = -alpha chi(t).</x:t>
        </x:is>
      </x:c>
      <x:c r="F30" t="inlineStr">
        <x:is>
          <x:t xml:space="preserve">Information theory / explanatory model</x:t>
        </x:is>
      </x:c>
      <x:c r="G30" t="inlineStr">
        <x:is>
          <x:t xml:space="preserve">Strong conceptual bridge</x:t>
        </x:is>
      </x:c>
      <x:c r="H30" t="inlineStr">
        <x:is>
          <x:t xml:space="preserve">Kolmogorov analogy needs careful separation from proof of design.</x:t>
        </x:is>
      </x:c>
      <x:c r="I30" t="inlineStr">
        <x:is>
          <x:t xml:space="preserve">Add to Law 6 / Logos support.</x:t>
        </x:is>
      </x:c>
      <x:c r="J30" t="inlineStr">
        <x:is>
          <x:t xml:space="preserve">High</x:t>
        </x:is>
      </x:c>
    </x:row>
    <x:row r="31">
      <x:c r="A31" t="inlineStr">
        <x:is>
          <x:t xml:space="preserve">TANGENT_04_Godels_Echo (1).md</x:t>
        </x:is>
      </x:c>
      <x:c r="B31" t="inlineStr">
        <x:is>
          <x:t xml:space="preserve">Logic Tangent</x:t>
        </x:is>
      </x:c>
      <x:c r="C31" t="inlineStr">
        <x:is>
          <x:t xml:space="preserve">LOGIC_TANGENTS</x:t>
        </x:is>
      </x:c>
      <x:c r="D31" t="inlineStr">
        <x:is>
          <x:t xml:space="preserve">Q5 / Ground</x:t>
        </x:is>
      </x:c>
      <x:c r="E31" t="inlineStr">
        <x:is>
          <x:t xml:space="preserve">Godel/Tarski/Church as echoes that truth exceeds formal systems, language, computation.</x:t>
        </x:is>
      </x:c>
      <x:c r="F31" t="inlineStr">
        <x:is>
          <x:t xml:space="preserve">Mathematical philosophy support</x:t>
        </x:is>
      </x:c>
      <x:c r="G31" t="inlineStr">
        <x:is>
          <x:t xml:space="preserve">Strong but delicate</x:t>
        </x:is>
      </x:c>
      <x:c r="H31" t="inlineStr">
        <x:is>
          <x:t xml:space="preserve">Do not claim Godel alone proves God; use as transcendence-of-system support.</x:t>
        </x:is>
      </x:c>
      <x:c r="I31" t="inlineStr">
        <x:is>
          <x:t xml:space="preserve">Add as Q5 grounding tangent.</x:t>
        </x:is>
      </x:c>
      <x:c r="J31" t="inlineStr">
        <x:is>
          <x:t xml:space="preserve">High</x:t>
        </x:is>
      </x:c>
    </x:row>
    <x:row r="32">
      <x:c r="A32" t="inlineStr">
        <x:is>
          <x:t xml:space="preserve">TANGENT_05_The_Low_Entropy_Beginning (1).md</x:t>
        </x:is>
      </x:c>
      <x:c r="B32" t="inlineStr">
        <x:is>
          <x:t xml:space="preserve">Logic Tangent</x:t>
        </x:is>
      </x:c>
      <x:c r="C32" t="inlineStr">
        <x:is>
          <x:t xml:space="preserve">LOGIC_TANGENTS</x:t>
        </x:is>
      </x:c>
      <x:c r="D32" t="inlineStr">
        <x:is>
          <x:t xml:space="preserve">Q7 / Initial order</x:t>
        </x:is>
      </x:c>
      <x:c r="E32" t="inlineStr">
        <x:is>
          <x:t xml:space="preserve">Penrose low-entropy beginning as evidence that order is fundamental, not random emergence.</x:t>
        </x:is>
      </x:c>
      <x:c r="F32" t="inlineStr">
        <x:is>
          <x:t xml:space="preserve">Cosmology/fine-tuning support</x:t>
        </x:is>
      </x:c>
      <x:c r="G32" t="inlineStr">
        <x:is>
          <x:t xml:space="preserve">Strong if citations are precise</x:t>
        </x:is>
      </x:c>
      <x:c r="H32" t="inlineStr">
        <x:is>
          <x:t xml:space="preserve">Penrose number supports low-entropy puzzle, not direct proof of intentional Logos.</x:t>
        </x:is>
      </x:c>
      <x:c r="I32" t="inlineStr">
        <x:is>
          <x:t xml:space="preserve">Add as Q7 tangent and citation check.</x:t>
        </x:is>
      </x:c>
      <x:c r="J32" t="inlineStr">
        <x:is>
          <x:t xml:space="preserve">High</x:t>
        </x:is>
      </x:c>
    </x:row>
    <x:row r="33">
      <x:c r="A33" t="inlineStr">
        <x:is>
          <x:t xml:space="preserve">TANGENT_06_The_Hard_Problem (1).md</x:t>
        </x:is>
      </x:c>
      <x:c r="B33" t="inlineStr">
        <x:is>
          <x:t xml:space="preserve">Consciousness Lane</x:t>
        </x:is>
      </x:c>
      <x:c r="C33" t="inlineStr">
        <x:is>
          <x:t xml:space="preserve">LOGIC_TANGENTS</x:t>
        </x:is>
      </x:c>
      <x:c r="D33" t="inlineStr">
        <x:is>
          <x:t xml:space="preserve">Q8 / Consciousness</x:t>
        </x:is>
      </x:c>
      <x:c r="E33" t="inlineStr">
        <x:is>
          <x:t xml:space="preserve">Hard problem, materialism gap, Φ/IIT as observer capacity measure.</x:t>
        </x:is>
      </x:c>
      <x:c r="F33" t="inlineStr">
        <x:is>
          <x:t xml:space="preserve">Philosophy of mind / consciousness model</x:t>
        </x:is>
      </x:c>
      <x:c r="G33" t="inlineStr">
        <x:is>
          <x:t xml:space="preserve">Strong lane support</x:t>
        </x:is>
      </x:c>
      <x:c r="H33" t="inlineStr">
        <x:is>
          <x:t xml:space="preserve">IIT is debated; present as adopted formalism, not settled consensus.</x:t>
        </x:is>
      </x:c>
      <x:c r="I33" t="inlineStr">
        <x:is>
          <x:t xml:space="preserve">Add to Lane 4/Consciousness row and objection guard.</x:t>
        </x:is>
      </x:c>
      <x:c r="J33" t="inlineStr">
        <x:is>
          <x:t xml:space="preserve">High</x:t>
        </x:is>
      </x:c>
    </x:row>
    <x:row r="34">
      <x:c r="A34" t="inlineStr">
        <x:is>
          <x:t xml:space="preserve">TANGENT_07_Quantum_Measurement (1).md</x:t>
        </x:is>
      </x:c>
      <x:c r="B34" t="inlineStr">
        <x:is>
          <x:t xml:space="preserve">Quantum / Observer Lane</x:t>
        </x:is>
      </x:c>
      <x:c r="C34" t="inlineStr">
        <x:is>
          <x:t xml:space="preserve">LOGIC_TANGENTS</x:t>
        </x:is>
      </x:c>
      <x:c r="D34" t="inlineStr">
        <x:is>
          <x:t xml:space="preserve">Q9 / Participatory universe</x:t>
        </x:is>
      </x:c>
      <x:c r="E34" t="inlineStr">
        <x:is>
          <x:t xml:space="preserve">Bell, Aspect, measurement problem; observer-participation interpretation selected over alternatives.</x:t>
        </x:is>
      </x:c>
      <x:c r="F34" t="inlineStr">
        <x:is>
          <x:t xml:space="preserve">Quantum foundations support</x:t>
        </x:is>
      </x:c>
      <x:c r="G34" t="inlineStr">
        <x:is>
          <x:t xml:space="preserve">Useful but interpretation-sensitive</x:t>
        </x:is>
      </x:c>
      <x:c r="H34" t="inlineStr">
        <x:is>
          <x:t xml:space="preserve">Bell rules out local hidden variables, not all non-participatory interpretations.</x:t>
        </x:is>
      </x:c>
      <x:c r="I34" t="inlineStr">
        <x:is>
          <x:t xml:space="preserve">Add interpretation guard and alternatives table.</x:t>
        </x:is>
      </x:c>
      <x:c r="J34" t="inlineStr">
        <x:is>
          <x:t xml:space="preserve">High</x:t>
        </x:is>
      </x:c>
    </x:row>
    <x:row r="35">
      <x:c r="A35" t="inlineStr">
        <x:is>
          <x:t xml:space="preserve">01_THE GOD STORY — Narrative Map.md</x:t>
        </x:is>
      </x:c>
      <x:c r="B35" t="inlineStr">
        <x:is>
          <x:t xml:space="preserve">Narrative Engine</x:t>
        </x:is>
      </x:c>
      <x:c r="C35" t="inlineStr">
        <x:is>
          <x:t xml:space="preserve">LANE4_DOSSIER</x:t>
        </x:is>
      </x:c>
      <x:c r="D35" t="inlineStr">
        <x:is>
          <x:t xml:space="preserve">God-builder / Story</x:t>
        </x:is>
      </x:c>
      <x:c r="E35" t="inlineStr">
        <x:is>
          <x:t xml:space="preserve">First-person gospel narrative map Q1-Q12; maps story beats to axioms; creation, free will, fall, adversary, grace.</x:t>
        </x:is>
      </x:c>
      <x:c r="F35" t="inlineStr">
        <x:is>
          <x:t xml:space="preserve">Narrative / teaching layer</x:t>
        </x:is>
      </x:c>
      <x:c r="G35" t="inlineStr">
        <x:is>
          <x:t xml:space="preserve">Core public narrative</x:t>
        </x:is>
      </x:c>
      <x:c r="H35" t="inlineStr">
        <x:is>
          <x:t xml:space="preserve">Narrative derives shape; not formal proof by itself.</x:t>
        </x:is>
      </x:c>
      <x:c r="I35" t="inlineStr">
        <x:is>
          <x:t xml:space="preserve">Use as human-facing Lane 4/story version.</x:t>
        </x:is>
      </x:c>
      <x:c r="J35" t="inlineStr">
        <x:is>
          <x:t xml:space="preserve">High</x:t>
        </x:is>
      </x:c>
    </x:row>
    <x:row r="36">
      <x:c r="A36" t="inlineStr">
        <x:is>
          <x:t xml:space="preserve">071_C8.1_Self-Flip-Impossible.md</x:t>
        </x:is>
      </x:c>
      <x:c r="B36" t="inlineStr">
        <x:is>
          <x:t xml:space="preserve">Axiom Detail</x:t>
        </x:is>
      </x:c>
      <x:c r="C36" t="inlineStr">
        <x:is>
          <x:t xml:space="preserve">LANE4_DOSSIER</x:t>
        </x:is>
      </x:c>
      <x:c r="D36" t="inlineStr">
        <x:is>
          <x:t xml:space="preserve">C8.1 / Self-flip</x:t>
        </x:is>
      </x:c>
      <x:c r="E36" t="inlineStr">
        <x:is>
          <x:t xml:space="preserve">Formal corollary: self-operations cannot flip sign; collapse if self-salvation possible.</x:t>
        </x:is>
      </x:c>
      <x:c r="F36" t="inlineStr">
        <x:is>
          <x:t xml:space="preserve">Axiom / formal corollary</x:t>
        </x:is>
      </x:c>
      <x:c r="G36" t="inlineStr">
        <x:is>
          <x:t xml:space="preserve">Critical support</x:t>
        </x:is>
      </x:c>
      <x:c r="H36" t="inlineStr">
        <x:is>
          <x:t xml:space="preserve">Depends on T8.1 and sign model; not empirical proof of conversion.</x:t>
        </x:is>
      </x:c>
      <x:c r="I36" t="inlineStr">
        <x:is>
          <x:t xml:space="preserve">Link to Sign Theorem and Lean rows.</x:t>
        </x:is>
      </x:c>
      <x:c r="J36" t="inlineStr">
        <x:is>
          <x:t xml:space="preserve">Critical</x:t>
        </x:is>
      </x:c>
    </x:row>
    <x:row r="37">
      <x:c r="A37" t="inlineStr">
        <x:is>
          <x:t xml:space="preserve">174_BRIDGE-PHI-CHI_Individual-Phi-To-Social-Chi.md</x:t>
        </x:is>
      </x:c>
      <x:c r="B37" t="inlineStr">
        <x:is>
          <x:t xml:space="preserve">Scale Bridge</x:t>
        </x:is>
      </x:c>
      <x:c r="C37" t="inlineStr">
        <x:is>
          <x:t xml:space="preserve">EMPIRICAL_TESTS</x:t>
        </x:is>
      </x:c>
      <x:c r="D37" t="inlineStr">
        <x:is>
          <x:t xml:space="preserve">Individual to social coherence</x:t>
        </x:is>
      </x:c>
      <x:c r="E37" t="inlineStr">
        <x:is>
          <x:t xml:space="preserve">Social chi as weighted/integrated sum of individual Phi and relational alignment; scale bridge for society/history.</x:t>
        </x:is>
      </x:c>
      <x:c r="F37" t="inlineStr">
        <x:is>
          <x:t xml:space="preserve">Bridge / social coherence model</x:t>
        </x:is>
      </x:c>
      <x:c r="G37" t="inlineStr">
        <x:is>
          <x:t xml:space="preserve">Important but high-risk</x:t>
        </x:is>
      </x:c>
      <x:c r="H37" t="inlineStr">
        <x:is>
          <x:t xml:space="preserve">IIT/social aggregation bridge needs rigorous definition and empirical validation.</x:t>
        </x:is>
      </x:c>
      <x:c r="I37" t="inlineStr">
        <x:is>
          <x:t xml:space="preserve">Add to social coherence methodology and coding rulebook.</x:t>
        </x:is>
      </x:c>
      <x:c r="J37" t="inlineStr">
        <x:is>
          <x:t xml:space="preserve">Critical</x:t>
        </x:is>
      </x:c>
    </x:row>
    <x:row r="38">
      <x:c r="A38" t="inlineStr">
        <x:is>
          <x:t xml:space="preserve">PRINCIPIA_A11_REVISION_DRAFT.md</x:t>
        </x:is>
      </x:c>
      <x:c r="B38" t="inlineStr">
        <x:is>
          <x:t xml:space="preserve">Principia Revision</x:t>
        </x:is>
      </x:c>
      <x:c r="C38" t="inlineStr">
        <x:is>
          <x:t xml:space="preserve">OPEN_PROBLEMS</x:t>
        </x:is>
      </x:c>
      <x:c r="D38" t="inlineStr">
        <x:is>
          <x:t xml:space="preserve">A11 / Moral source</x:t>
        </x:is>
      </x:c>
      <x:c r="E38" t="inlineStr">
        <x:is>
          <x:t xml:space="preserve">Fixes prior AI-flagged weakness by deriving moral property from design/audience/relationship rather than non-deception premise.</x:t>
        </x:is>
      </x:c>
      <x:c r="F38" t="inlineStr">
        <x:is>
          <x:t xml:space="preserve">Philosophical/theological revision</x:t>
        </x:is>
      </x:c>
      <x:c r="G38" t="inlineStr">
        <x:is>
          <x:t xml:space="preserve">Very important correction</x:t>
        </x:is>
      </x:c>
      <x:c r="H38" t="inlineStr">
        <x:is>
          <x:t xml:space="preserve">Design-to-moral-character step must be defended; avoid smuggling agency.</x:t>
        </x:is>
      </x:c>
      <x:c r="I38" t="inlineStr">
        <x:is>
          <x:t xml:space="preserve">Add to claim boundary and revised Principia sheet.</x:t>
        </x:is>
      </x:c>
      <x:c r="J38" t="inlineStr">
        <x:is>
          <x:t xml:space="preserve">Critical</x:t>
        </x:is>
      </x:c>
    </x:row>
    <x:row r="39">
      <x:c r="A39" t="inlineStr">
        <x:is>
          <x:t xml:space="preserve">README (19).md</x:t>
        </x:is>
      </x:c>
      <x:c r="B39" t="inlineStr">
        <x:is>
          <x:t xml:space="preserve">App / Engine</x:t>
        </x:is>
      </x:c>
      <x:c r="C39" t="inlineStr">
        <x:is>
          <x:t xml:space="preserve">INFRA_PUBLICATION</x:t>
        </x:is>
      </x:c>
      <x:c r="D39" t="inlineStr">
        <x:is>
          <x:t xml:space="preserve">Theophysics Engine v2</x:t>
        </x:is>
      </x:c>
      <x:c r="E39" t="inlineStr">
        <x:is>
          <x:t xml:space="preserve">Modular knowledge platform: audience tiers, graph, rigor cards, AI chat, questions explorer.</x:t>
        </x:is>
      </x:c>
      <x:c r="F39" t="inlineStr">
        <x:is>
          <x:t xml:space="preserve">Implementation platform</x:t>
        </x:is>
      </x:c>
      <x:c r="G39" t="inlineStr">
        <x:is>
          <x:t xml:space="preserve">High rollout value</x:t>
        </x:is>
      </x:c>
      <x:c r="H39" t="inlineStr">
        <x:is>
          <x:t xml:space="preserve">Platform does not validate claims.</x:t>
        </x:is>
      </x:c>
      <x:c r="I39" t="inlineStr">
        <x:is>
          <x:t xml:space="preserve">Add to implementation roadmap.</x:t>
        </x:is>
      </x:c>
      <x:c r="J39" t="inlineStr">
        <x:is>
          <x:t xml:space="preserve">Medium</x:t>
        </x:is>
      </x:c>
    </x:row>
    <x:row r="40">
      <x:c r="A40" t="inlineStr">
        <x:is>
          <x:t xml:space="preserve">TEMPLATE.md</x:t>
        </x:is>
      </x:c>
      <x:c r="B40" t="inlineStr">
        <x:is>
          <x:t xml:space="preserve">App / Engine</x:t>
        </x:is>
      </x:c>
      <x:c r="C40" t="inlineStr">
        <x:is>
          <x:t xml:space="preserve">INFRA_PUBLICATION</x:t>
        </x:is>
      </x:c>
      <x:c r="D40" t="inlineStr">
        <x:is>
          <x:t xml:space="preserve">Cloudflare template</x:t>
        </x:is>
      </x:c>
      <x:c r="E40" t="inlineStr">
        <x:is>
          <x:t xml:space="preserve">Project structure and Shell/Audience Tier system for 200+ page deployment.</x:t>
        </x:is>
      </x:c>
      <x:c r="F40" t="inlineStr">
        <x:is>
          <x:t xml:space="preserve">Implementation template</x:t>
        </x:is>
      </x:c>
      <x:c r="G40" t="inlineStr">
        <x:is>
          <x:t xml:space="preserve">High rollout value</x:t>
        </x:is>
      </x:c>
      <x:c r="H40" t="inlineStr">
        <x:is>
          <x:t xml:space="preserve">Template only.</x:t>
        </x:is>
      </x:c>
      <x:c r="I40" t="inlineStr">
        <x:is>
          <x:t xml:space="preserve">Add to deployment checklist.</x:t>
        </x:is>
      </x:c>
      <x:c r="J40" t="inlineStr">
        <x:is>
          <x:t xml:space="preserve">Medium</x:t>
        </x:is>
      </x:c>
    </x:row>
    <x:row r="41">
      <x:c r="A41" t="inlineStr">
        <x:is>
          <x:t xml:space="preserve">info (4).md</x:t>
        </x:is>
      </x:c>
      <x:c r="B41" t="inlineStr">
        <x:is>
          <x:t xml:space="preserve">App Setup</x:t>
        </x:is>
      </x:c>
      <x:c r="C41" t="inlineStr">
        <x:is>
          <x:t xml:space="preserve">INFRA_PUBLICATION</x:t>
        </x:is>
      </x:c>
      <x:c r="D41" t="inlineStr">
        <x:is>
          <x:t xml:space="preserve">Technical setup</x:t>
        </x:is>
      </x:c>
      <x:c r="E41" t="inlineStr">
        <x:is>
          <x:t xml:space="preserve">Node/Tailwind/Vite/shadcn component inventory and project structure.</x:t>
        </x:is>
      </x:c>
      <x:c r="F41" t="inlineStr">
        <x:is>
          <x:t xml:space="preserve">Technical environment</x:t>
        </x:is>
      </x:c>
      <x:c r="G41" t="inlineStr">
        <x:is>
          <x:t xml:space="preserve">Useful install note</x:t>
        </x:is>
      </x:c>
      <x:c r="H41" t="inlineStr">
        <x:is>
          <x:t xml:space="preserve">Setup log only.</x:t>
        </x:is>
      </x:c>
      <x:c r="I41" t="inlineStr">
        <x:is>
          <x:t xml:space="preserve">Archive as technical metadata.</x:t>
        </x:is>
      </x:c>
      <x:c r="J41" t="inlineStr">
        <x:is>
          <x:t xml:space="preserve">Low</x:t>
        </x:is>
      </x:c>
    </x:row>
    <x:row r="42">
      <x:c r="A42" t="inlineStr">
        <x:is>
          <x:t xml:space="preserve">SORT_PLAN (1).md</x:t>
        </x:is>
      </x:c>
      <x:c r="B42" t="inlineStr">
        <x:is>
          <x:t xml:space="preserve">Data Management</x:t>
        </x:is>
      </x:c>
      <x:c r="C42" t="inlineStr">
        <x:is>
          <x:t xml:space="preserve">INFRA_PUBLICATION</x:t>
        </x:is>
      </x:c>
      <x:c r="D42" t="inlineStr">
        <x:is>
          <x:t xml:space="preserve">Data vault sorting</x:t>
        </x:is>
      </x:c>
      <x:c r="E42" t="inlineStr">
        <x:is>
          <x:t xml:space="preserve">Data vault archive sort plan: content to score, structured data, duplicate archive.</x:t>
        </x:is>
      </x:c>
      <x:c r="F42" t="inlineStr">
        <x:is>
          <x:t xml:space="preserve">Data governance</x:t>
        </x:is>
      </x:c>
      <x:c r="G42" t="inlineStr">
        <x:is>
          <x:t xml:space="preserve">High hygiene value</x:t>
        </x:is>
      </x:c>
      <x:c r="H42" t="inlineStr">
        <x:is>
          <x:t xml:space="preserve">Not evidence; keeps pipeline clean.</x:t>
        </x:is>
      </x:c>
      <x:c r="I42" t="inlineStr">
        <x:is>
          <x:t xml:space="preserve">Add to data governance/workflow.</x:t>
        </x:is>
      </x:c>
      <x:c r="J42" t="inlineStr">
        <x:is>
          <x:t xml:space="preserve">Medium</x:t>
        </x:is>
      </x:c>
    </x:row>
    <x:row r="43">
      <x:c r="A43" t="inlineStr">
        <x:is>
          <x:t xml:space="preserve">CHANGELOG (35).md</x:t>
        </x:is>
      </x:c>
      <x:c r="B43" t="inlineStr">
        <x:is>
          <x:t xml:space="preserve">Dependency Noise</x:t>
        </x:is>
      </x:c>
      <x:c r="C43" t="inlineStr">
        <x:is>
          <x:t xml:space="preserve">IGNORE_OR_ARCHIVE</x:t>
        </x:is>
      </x:c>
      <x:c r="D43" t="inlineStr">
        <x:is>
          <x:t xml:space="preserve">Package changelog</x:t>
        </x:is>
      </x:c>
      <x:c r="E43" t="inlineStr">
        <x:is>
          <x:t xml:space="preserve">Looks like dependency/package changelog, likely not project signal.</x:t>
        </x:is>
      </x:c>
      <x:c r="F43" t="inlineStr">
        <x:is>
          <x:t xml:space="preserve">Noise / archive</x:t>
        </x:is>
      </x:c>
      <x:c r="G43" t="inlineStr">
        <x:is>
          <x:t xml:space="preserve">Low</x:t>
        </x:is>
      </x:c>
      <x:c r="H43" t="inlineStr">
        <x:is>
          <x:t xml:space="preserve">Do not treat as Theophysics evidence.</x:t>
        </x:is>
      </x:c>
      <x:c r="I43" t="inlineStr">
        <x:is>
          <x:t xml:space="preserve">Archive/ignore unless dependency provenance needed.</x:t>
        </x:is>
      </x:c>
      <x:c r="J43" t="inlineStr">
        <x:is>
          <x:t xml:space="preserve">Low</x:t>
        </x:is>
      </x:c>
    </x:row>
  </x:sheetData>
  <x:pageMargins left="0.7" right="0.7" top="0.75" bottom="0.75" header="0.3" footer="0.3"/>
</x:worksheet>
</file>

<file path=xl/worksheets/sheet35.xml><?xml version="1.0" encoding="utf-8"?>
<x:worksheet xmlns:x="http://schemas.openxmlformats.org/spreadsheetml/2006/main">
  <x:sheetFormatPr baseColWidth="8" defaultRowHeight="15"/>
  <x:sheetData>
    <x:row r="1">
      <x:c r="A1" t="inlineStr">
        <x:is>
          <x:t xml:space="preserve">Source File</x:t>
        </x:is>
      </x:c>
      <x:c r="B1" t="inlineStr">
        <x:is>
          <x:t xml:space="preserve">Bucket</x:t>
        </x:is>
      </x:c>
      <x:c r="C1" t="inlineStr">
        <x:is>
          <x:t xml:space="preserve">Proposed Sheet</x:t>
        </x:is>
      </x:c>
      <x:c r="D1" t="inlineStr">
        <x:is>
          <x:t xml:space="preserve">Lane/Stage</x:t>
        </x:is>
      </x:c>
      <x:c r="E1" t="inlineStr">
        <x:is>
          <x:t xml:space="preserve">Role / What It Adds</x:t>
        </x:is>
      </x:c>
      <x:c r="F1" t="inlineStr">
        <x:is>
          <x:t xml:space="preserve">Claim Type</x:t>
        </x:is>
      </x:c>
      <x:c r="G1" t="inlineStr">
        <x:is>
          <x:t xml:space="preserve">Status / Strength</x:t>
        </x:is>
      </x:c>
      <x:c r="H1" t="inlineStr">
        <x:is>
          <x:t xml:space="preserve">Overclaim Guard</x:t>
        </x:is>
      </x:c>
      <x:c r="I1" t="inlineStr">
        <x:is>
          <x:t xml:space="preserve">Next Action</x:t>
        </x:is>
      </x:c>
      <x:c r="J1" t="inlineStr">
        <x:is>
          <x:t xml:space="preserve">Priority</x:t>
        </x:is>
      </x:c>
    </x:row>
    <x:row r="2">
      <x:c r="A2" t="inlineStr">
        <x:is>
          <x:t xml:space="preserve">TANGENT_08_The_Pride_Glitch (2).md</x:t>
        </x:is>
      </x:c>
      <x:c r="B2" t="inlineStr">
        <x:is>
          <x:t xml:space="preserve">Lane 4 / Decoherence</x:t>
        </x:is>
      </x:c>
      <x:c r="C2" t="inlineStr">
        <x:is>
          <x:t xml:space="preserve">LANE4_DOSSIER</x:t>
        </x:is>
      </x:c>
      <x:c r="D2" t="inlineStr">
        <x:is>
          <x:t xml:space="preserve">01. Origin of rupture</x:t>
        </x:is>
      </x:c>
      <x:c r="E2" t="inlineStr">
        <x:is>
          <x:t xml:space="preserve">First decoherence as self-sourcing error; pride as misattributed coherence source.</x:t>
        </x:is>
      </x:c>
      <x:c r="F2" t="inlineStr">
        <x:is>
          <x:t xml:space="preserve">Philosophical/theological model</x:t>
        </x:is>
      </x:c>
      <x:c r="G2" t="inlineStr">
        <x:is>
          <x:t xml:space="preserve">Strong explanatory piece</x:t>
        </x:is>
      </x:c>
      <x:c r="H2" t="inlineStr">
        <x:is>
          <x:t xml:space="preserve">Not empirical proof; relies on orientation model.</x:t>
        </x:is>
      </x:c>
      <x:c r="I2" t="inlineStr">
        <x:is>
          <x:t xml:space="preserve">Add before generational entropy in Lane 4 sequence.</x:t>
        </x:is>
      </x:c>
      <x:c r="J2" t="inlineStr">
        <x:is>
          <x:t xml:space="preserve">High</x:t>
        </x:is>
      </x:c>
    </x:row>
    <x:row r="3">
      <x:c r="A3" t="inlineStr">
        <x:is>
          <x:t xml:space="preserve">TANGENT_09_Generational_Entropy (2).md</x:t>
        </x:is>
      </x:c>
      <x:c r="B3" t="inlineStr">
        <x:is>
          <x:t xml:space="preserve">Lane 4 / Propagation</x:t>
        </x:is>
      </x:c>
      <x:c r="C3" t="inlineStr">
        <x:is>
          <x:t xml:space="preserve">LANE4_DOSSIER</x:t>
        </x:is>
      </x:c>
      <x:c r="D3" t="inlineStr">
        <x:is>
          <x:t xml:space="preserve">02. Consequences cascade</x:t>
        </x:is>
      </x:c>
      <x:c r="E3" t="inlineStr">
        <x:is>
          <x:t xml:space="preserve">Consequences transfer, not guilt; templates, epigenetics, culture, environment.</x:t>
        </x:is>
      </x:c>
      <x:c r="F3" t="inlineStr">
        <x:is>
          <x:t xml:space="preserve">Theological/social model</x:t>
        </x:is>
      </x:c>
      <x:c r="G3" t="inlineStr">
        <x:is>
          <x:t xml:space="preserve">Strong if cited</x:t>
        </x:is>
      </x:c>
      <x:c r="H3" t="inlineStr">
        <x:is>
          <x:t xml:space="preserve">Epigenetic claims need careful citations and limits.</x:t>
        </x:is>
      </x:c>
      <x:c r="I3" t="inlineStr">
        <x:is>
          <x:t xml:space="preserve">Add to cascade/record section.</x:t>
        </x:is>
      </x:c>
      <x:c r="J3" t="inlineStr">
        <x:is>
          <x:t xml:space="preserve">High</x:t>
        </x:is>
      </x:c>
    </x:row>
    <x:row r="4">
      <x:c r="A4" t="inlineStr">
        <x:is>
          <x:t xml:space="preserve">TANGENT_10_The_Sign_Theorem (2).md</x:t>
        </x:is>
      </x:c>
      <x:c r="B4" t="inlineStr">
        <x:is>
          <x:t xml:space="preserve">Lane 4 / Repair</x:t>
        </x:is>
      </x:c>
      <x:c r="C4" t="inlineStr">
        <x:is>
          <x:t xml:space="preserve">LANE4_DOSSIER</x:t>
        </x:is>
      </x:c>
      <x:c r="D4" t="inlineStr">
        <x:is>
          <x:t xml:space="preserve">03. Self-repair impossibility</x:t>
        </x:is>
      </x:c>
      <x:c r="E4" t="inlineStr">
        <x:is>
          <x:t xml:space="preserve">Self-generated operators preserve sign; external grace operator required.</x:t>
        </x:is>
      </x:c>
      <x:c r="F4" t="inlineStr">
        <x:is>
          <x:t xml:space="preserve">Formal/philosophical theorem</x:t>
        </x:is>
      </x:c>
      <x:c r="G4" t="inlineStr">
        <x:is>
          <x:t xml:space="preserve">Very strong Lane 4 piece</x:t>
        </x:is>
      </x:c>
      <x:c r="H4" t="inlineStr">
        <x:is>
          <x:t xml:space="preserve">Depends on sign-operator definitions; not universal physics proof.</x:t>
        </x:is>
      </x:c>
      <x:c r="I4" t="inlineStr">
        <x:is>
          <x:t xml:space="preserve">Add to repair constraint chain.</x:t>
        </x:is>
      </x:c>
      <x:c r="J4" t="inlineStr">
        <x:is>
          <x:t xml:space="preserve">Critical</x:t>
        </x:is>
      </x:c>
    </x:row>
    <x:row r="5">
      <x:c r="A5" t="inlineStr">
        <x:is>
          <x:t xml:space="preserve">TANGENT_11_The_Constraint_Fork (2).md</x:t>
        </x:is>
      </x:c>
      <x:c r="B5" t="inlineStr">
        <x:is>
          <x:t xml:space="preserve">Lane 4 / Objections</x:t>
        </x:is>
      </x:c>
      <x:c r="C5" t="inlineStr">
        <x:is>
          <x:t xml:space="preserve">LANE4_DOSSIER</x:t>
        </x:is>
      </x:c>
      <x:c r="D5" t="inlineStr">
        <x:is>
          <x:t xml:space="preserve">04. Alternative strategies drop constraints</x:t>
        </x:is>
      </x:c>
      <x:c r="E5" t="inlineStr">
        <x:is>
          <x:t xml:space="preserve">Tests 'God should have done X' by whether it drops free will, grace, or justice.</x:t>
        </x:is>
      </x:c>
      <x:c r="F5" t="inlineStr">
        <x:is>
          <x:t xml:space="preserve">Objection engine / constraint model</x:t>
        </x:is>
      </x:c>
      <x:c r="G5" t="inlineStr">
        <x:is>
          <x:t xml:space="preserve">Very strong public tool</x:t>
        </x:is>
      </x:c>
      <x:c r="H5" t="inlineStr">
        <x:is>
          <x:t xml:space="preserve">Softens 'every objection' to 'every tested objection so far'.</x:t>
        </x:is>
      </x:c>
      <x:c r="I5" t="inlineStr">
        <x:is>
          <x:t xml:space="preserve">Use as central Lane 4 objection tool.</x:t>
        </x:is>
      </x:c>
      <x:c r="J5" t="inlineStr">
        <x:is>
          <x:t xml:space="preserve">Critical</x:t>
        </x:is>
      </x:c>
    </x:row>
    <x:row r="6">
      <x:c r="A6" t="inlineStr">
        <x:is>
          <x:t xml:space="preserve">TANGENT_13_The_Entropy_Crossover (2).md</x:t>
        </x:is>
      </x:c>
      <x:c r="B6" t="inlineStr">
        <x:is>
          <x:t xml:space="preserve">Lane 4 / Cross necessity</x:t>
        </x:is>
      </x:c>
      <x:c r="C6" t="inlineStr">
        <x:is>
          <x:t xml:space="preserve">LANE4_DOSSIER</x:t>
        </x:is>
      </x:c>
      <x:c r="D6" t="inlineStr">
        <x:is>
          <x:t xml:space="preserve">05. Cross needed above entropy threshold</x:t>
        </x:is>
      </x:c>
      <x:c r="E6" t="inlineStr">
        <x:is>
          <x:t xml:space="preserve">Progressive grace wins low entropy; Biblical/cross strategy wins at S≈0.28+.</x:t>
        </x:is>
      </x:c>
      <x:c r="F6" t="inlineStr">
        <x:is>
          <x:t xml:space="preserve">Simulation / constraint model</x:t>
        </x:is>
      </x:c>
      <x:c r="G6" t="inlineStr">
        <x:is>
          <x:t xml:space="preserve">Very high if reproducible</x:t>
        </x:is>
      </x:c>
      <x:c r="H6" t="inlineStr">
        <x:is>
          <x:t xml:space="preserve">'This universe S&gt;&gt;0.28' needs empirical justification.</x:t>
        </x:is>
      </x:c>
      <x:c r="I6" t="inlineStr">
        <x:is>
          <x:t xml:space="preserve">Add next to Justice-Mercy / Cross unique.</x:t>
        </x:is>
      </x:c>
      <x:c r="J6" t="inlineStr">
        <x:is>
          <x:t xml:space="preserve">Critical</x:t>
        </x:is>
      </x:c>
    </x:row>
    <x:row r="7">
      <x:c r="A7" t="inlineStr">
        <x:is>
          <x:t xml:space="preserve">THE CROSS UNIQUE SOLUTION (2).md</x:t>
        </x:is>
      </x:c>
      <x:c r="B7" t="inlineStr">
        <x:is>
          <x:t xml:space="preserve">Lane 4 / Cross uniqueness</x:t>
        </x:is>
      </x:c>
      <x:c r="C7" t="inlineStr">
        <x:is>
          <x:t xml:space="preserve">LANE4_DOSSIER</x:t>
        </x:is>
      </x:c>
      <x:c r="D7" t="inlineStr">
        <x:is>
          <x:t xml:space="preserve">06. Rival-model elimination</x:t>
        </x:is>
      </x:c>
      <x:c r="E7" t="inlineStr">
        <x:is>
          <x:t xml:space="preserve">Monte Carlo and named alternatives; Cross satisfies six-force model, alternatives fail constraints.</x:t>
        </x:is>
      </x:c>
      <x:c r="F7" t="inlineStr">
        <x:is>
          <x:t xml:space="preserve">Simulation / rival repair models</x:t>
        </x:is>
      </x:c>
      <x:c r="G7" t="inlineStr">
        <x:is>
          <x:t xml:space="preserve">Central Lane 4 claim</x:t>
        </x:is>
      </x:c>
      <x:c r="H7" t="inlineStr">
        <x:is>
          <x:t xml:space="preserve">Uniqueness depends on force definitions/scoring rules; compare respectfully.</x:t>
        </x:is>
      </x:c>
      <x:c r="I7" t="inlineStr">
        <x:is>
          <x:t xml:space="preserve">Build 10 wrong-before-right table from this.</x:t>
        </x:is>
      </x:c>
      <x:c r="J7" t="inlineStr">
        <x:is>
          <x:t xml:space="preserve">Critical</x:t>
        </x:is>
      </x:c>
    </x:row>
    <x:row r="8">
      <x:c r="A8" t="inlineStr">
        <x:is>
          <x:t xml:space="preserve">01_THE GOD STORY — Narrative Map.md</x:t>
        </x:is>
      </x:c>
      <x:c r="B8" t="inlineStr">
        <x:is>
          <x:t xml:space="preserve">Narrative Engine</x:t>
        </x:is>
      </x:c>
      <x:c r="C8" t="inlineStr">
        <x:is>
          <x:t xml:space="preserve">LANE4_DOSSIER</x:t>
        </x:is>
      </x:c>
      <x:c r="D8" t="inlineStr">
        <x:is>
          <x:t xml:space="preserve">07. God-builder / Story</x:t>
        </x:is>
      </x:c>
      <x:c r="E8" t="inlineStr">
        <x:is>
          <x:t xml:space="preserve">First-person gospel narrative map Q1-Q12; maps story beats to axioms; creation, free will, fall, adversary, grace.</x:t>
        </x:is>
      </x:c>
      <x:c r="F8" t="inlineStr">
        <x:is>
          <x:t xml:space="preserve">Narrative / teaching layer</x:t>
        </x:is>
      </x:c>
      <x:c r="G8" t="inlineStr">
        <x:is>
          <x:t xml:space="preserve">Core public narrative</x:t>
        </x:is>
      </x:c>
      <x:c r="H8" t="inlineStr">
        <x:is>
          <x:t xml:space="preserve">Narrative derives shape; not formal proof by itself.</x:t>
        </x:is>
      </x:c>
      <x:c r="I8" t="inlineStr">
        <x:is>
          <x:t xml:space="preserve">Use as human-facing Lane 4/story version.</x:t>
        </x:is>
      </x:c>
      <x:c r="J8" t="inlineStr">
        <x:is>
          <x:t xml:space="preserve">High</x:t>
        </x:is>
      </x:c>
    </x:row>
    <x:row r="9">
      <x:c r="A9" t="inlineStr">
        <x:is>
          <x:t xml:space="preserve">071_C8.1_Self-Flip-Impossible.md</x:t>
        </x:is>
      </x:c>
      <x:c r="B9" t="inlineStr">
        <x:is>
          <x:t xml:space="preserve">Axiom Detail</x:t>
        </x:is>
      </x:c>
      <x:c r="C9" t="inlineStr">
        <x:is>
          <x:t xml:space="preserve">LANE4_DOSSIER</x:t>
        </x:is>
      </x:c>
      <x:c r="D9" t="inlineStr">
        <x:is>
          <x:t xml:space="preserve">08. C8.1 / Self-flip</x:t>
        </x:is>
      </x:c>
      <x:c r="E9" t="inlineStr">
        <x:is>
          <x:t xml:space="preserve">Formal corollary: self-operations cannot flip sign; collapse if self-salvation possible.</x:t>
        </x:is>
      </x:c>
      <x:c r="F9" t="inlineStr">
        <x:is>
          <x:t xml:space="preserve">Axiom / formal corollary</x:t>
        </x:is>
      </x:c>
      <x:c r="G9" t="inlineStr">
        <x:is>
          <x:t xml:space="preserve">Critical support</x:t>
        </x:is>
      </x:c>
      <x:c r="H9" t="inlineStr">
        <x:is>
          <x:t xml:space="preserve">Depends on T8.1 and sign model; not empirical proof of conversion.</x:t>
        </x:is>
      </x:c>
      <x:c r="I9" t="inlineStr">
        <x:is>
          <x:t xml:space="preserve">Link to Sign Theorem and Lean rows.</x:t>
        </x:is>
      </x:c>
      <x:c r="J9" t="inlineStr">
        <x:is>
          <x:t xml:space="preserve">Critical</x:t>
        </x:is>
      </x:c>
    </x:row>
  </x:sheetData>
  <x:pageMargins left="0.7" right="0.7" top="0.75" bottom="0.75" header="0.3" footer="0.3"/>
</x:worksheet>
</file>

<file path=xl/worksheets/sheet36.xml><?xml version="1.0" encoding="utf-8"?>
<x:worksheet xmlns:x="http://schemas.openxmlformats.org/spreadsheetml/2006/main">
  <x:sheetFormatPr baseColWidth="8" defaultRowHeight="15"/>
  <x:sheetData>
    <x:row r="1">
      <x:c r="A1" t="inlineStr">
        <x:is>
          <x:t xml:space="preserve">Source File</x:t>
        </x:is>
      </x:c>
      <x:c r="B1" t="inlineStr">
        <x:is>
          <x:t xml:space="preserve">Bucket</x:t>
        </x:is>
      </x:c>
      <x:c r="C1" t="inlineStr">
        <x:is>
          <x:t xml:space="preserve">Proposed Sheet</x:t>
        </x:is>
      </x:c>
      <x:c r="D1" t="inlineStr">
        <x:is>
          <x:t xml:space="preserve">Lane/Stage</x:t>
        </x:is>
      </x:c>
      <x:c r="E1" t="inlineStr">
        <x:is>
          <x:t xml:space="preserve">Role / What It Adds</x:t>
        </x:is>
      </x:c>
      <x:c r="F1" t="inlineStr">
        <x:is>
          <x:t xml:space="preserve">Claim Type</x:t>
        </x:is>
      </x:c>
      <x:c r="G1" t="inlineStr">
        <x:is>
          <x:t xml:space="preserve">Status / Strength</x:t>
        </x:is>
      </x:c>
      <x:c r="H1" t="inlineStr">
        <x:is>
          <x:t xml:space="preserve">Overclaim Guard</x:t>
        </x:is>
      </x:c>
      <x:c r="I1" t="inlineStr">
        <x:is>
          <x:t xml:space="preserve">Next Action</x:t>
        </x:is>
      </x:c>
      <x:c r="J1" t="inlineStr">
        <x:is>
          <x:t xml:space="preserve">Priority</x:t>
        </x:is>
      </x:c>
    </x:row>
    <x:row r="2">
      <x:c r="A2" t="inlineStr">
        <x:is>
          <x:t xml:space="preserve">README (7).md</x:t>
        </x:is>
      </x:c>
      <x:c r="B2" t="inlineStr">
        <x:is>
          <x:t xml:space="preserve">Empirical Testing</x:t>
        </x:is>
      </x:c>
      <x:c r="C2" t="inlineStr">
        <x:is>
          <x:t xml:space="preserve">EMPIRICAL_TESTS</x:t>
        </x:is>
      </x:c>
      <x:c r="D2" t="inlineStr">
        <x:is>
          <x:t xml:space="preserve">Testing layer</x:t>
        </x:is>
      </x:c>
      <x:c r="E2" t="inlineStr">
        <x:is>
          <x:t xml:space="preserve">16 independent tests against biblical/historical data; 8 confirmed, 1 failed, future tests; reproducible seed.</x:t>
        </x:is>
      </x:c>
      <x:c r="F2" t="inlineStr">
        <x:is>
          <x:t xml:space="preserve">Computational empirical suite</x:t>
        </x:is>
      </x:c>
      <x:c r="G2" t="inlineStr">
        <x:is>
          <x:t xml:space="preserve">High if reproducible</x:t>
        </x:is>
      </x:c>
      <x:c r="H2" t="inlineStr">
        <x:is>
          <x:t xml:space="preserve">Scoring/coding must be independently audited.</x:t>
        </x:is>
      </x:c>
      <x:c r="I2" t="inlineStr">
        <x:is>
          <x:t xml:space="preserve">Add as testing suite overview.</x:t>
        </x:is>
      </x:c>
      <x:c r="J2" t="inlineStr">
        <x:is>
          <x:t xml:space="preserve">Critical</x:t>
        </x:is>
      </x:c>
    </x:row>
    <x:row r="3">
      <x:c r="A3" t="inlineStr">
        <x:is>
          <x:t xml:space="preserve">TEST04_Grace_Response_Time.md</x:t>
        </x:is>
      </x:c>
      <x:c r="B3" t="inlineStr">
        <x:is>
          <x:t xml:space="preserve">Empirical Test</x:t>
        </x:is>
      </x:c>
      <x:c r="C3" t="inlineStr">
        <x:is>
          <x:t xml:space="preserve">EMPIRICAL_TESTS</x:t>
        </x:is>
      </x:c>
      <x:c r="D3" t="inlineStr">
        <x:is>
          <x:t xml:space="preserve">P(t) / Grace response</x:t>
        </x:is>
      </x:c>
      <x:c r="E3" t="inlineStr">
        <x:is>
          <x:t xml:space="preserve">Tests G→C response delay vs P(t); reported failed in suite with p=0.91.</x:t>
        </x:is>
      </x:c>
      <x:c r="F3" t="inlineStr">
        <x:is>
          <x:t xml:space="preserve">Empirical test</x:t>
        </x:is>
      </x:c>
      <x:c r="G3" t="inlineStr">
        <x:is>
          <x:t xml:space="preserve">Failed test; credibility boost</x:t>
        </x:is>
      </x:c>
      <x:c r="H3" t="inlineStr">
        <x:is>
          <x:t xml:space="preserve">Do not bury; failure may imply nonlinear/complexity model instead of linear response.</x:t>
        </x:is>
      </x:c>
      <x:c r="I3" t="inlineStr">
        <x:is>
          <x:t xml:space="preserve">Keep as honest failure and revise hypothesis.</x:t>
        </x:is>
      </x:c>
      <x:c r="J3" t="inlineStr">
        <x:is>
          <x:t xml:space="preserve">High</x:t>
        </x:is>
      </x:c>
    </x:row>
    <x:row r="4">
      <x:c r="A4" t="inlineStr">
        <x:is>
          <x:t xml:space="preserve">TEST05_Prophecy_Precision_Growth.md</x:t>
        </x:is>
      </x:c>
      <x:c r="B4" t="inlineStr">
        <x:is>
          <x:t xml:space="preserve">Empirical Test</x:t>
        </x:is>
      </x:c>
      <x:c r="C4" t="inlineStr">
        <x:is>
          <x:t xml:space="preserve">EMPIRICAL_TESTS</x:t>
        </x:is>
      </x:c>
      <x:c r="D4" t="inlineStr">
        <x:is>
          <x:t xml:space="preserve">P(t) / Prophecy</x:t>
        </x:is>
      </x:c>
      <x:c r="E4" t="inlineStr">
        <x:is>
          <x:t xml:space="preserve">Prophetic specificity increases with preparation function; Shannon channel framing.</x:t>
        </x:is>
      </x:c>
      <x:c r="F4" t="inlineStr">
        <x:is>
          <x:t xml:space="preserve">Empirical / biblical information theory</x:t>
        </x:is>
      </x:c>
      <x:c r="G4" t="inlineStr">
        <x:is>
          <x:t xml:space="preserve">Promising</x:t>
        </x:is>
      </x:c>
      <x:c r="H4" t="inlineStr">
        <x:is>
          <x:t xml:space="preserve">Prophecy detail scoring needs public coding rulebook.</x:t>
        </x:is>
      </x:c>
      <x:c r="I4" t="inlineStr">
        <x:is>
          <x:t xml:space="preserve">Add to P(t) validation rows.</x:t>
        </x:is>
      </x:c>
      <x:c r="J4" t="inlineStr">
        <x:is>
          <x:t xml:space="preserve">High</x:t>
        </x:is>
      </x:c>
    </x:row>
    <x:row r="5">
      <x:c r="A5" t="inlineStr">
        <x:is>
          <x:t xml:space="preserve">TEST07_Community_Coherence_Scaling.md</x:t>
        </x:is>
      </x:c>
      <x:c r="B5" t="inlineStr">
        <x:is>
          <x:t xml:space="preserve">Empirical Test</x:t>
        </x:is>
      </x:c>
      <x:c r="C5" t="inlineStr">
        <x:is>
          <x:t xml:space="preserve">EMPIRICAL_TESTS</x:t>
        </x:is>
      </x:c>
      <x:c r="D5" t="inlineStr">
        <x:is>
          <x:t xml:space="preserve">P(t) / Community scale</x:t>
        </x:is>
      </x:c>
      <x:c r="E5" t="inlineStr">
        <x:is>
          <x:t xml:space="preserve">Covenant community scale tracks preparation level; remnant anomaly as compression.</x:t>
        </x:is>
      </x:c>
      <x:c r="F5" t="inlineStr">
        <x:is>
          <x:t xml:space="preserve">Empirical / social coherence</x:t>
        </x:is>
      </x:c>
      <x:c r="G5" t="inlineStr">
        <x:is>
          <x:t xml:space="preserve">Promising qualitative</x:t>
        </x:is>
      </x:c>
      <x:c r="H5" t="inlineStr">
        <x:is>
          <x:t xml:space="preserve">Membership/bandwidth scores need validation.</x:t>
        </x:is>
      </x:c>
      <x:c r="I5" t="inlineStr">
        <x:is>
          <x:t xml:space="preserve">Add to social coherence tests.</x:t>
        </x:is>
      </x:c>
      <x:c r="J5" t="inlineStr">
        <x:is>
          <x:t xml:space="preserve">Medium</x:t>
        </x:is>
      </x:c>
    </x:row>
    <x:row r="6">
      <x:c r="A6" t="inlineStr">
        <x:is>
          <x:t xml:space="preserve">TEST08_Revelation_Density_S_Curve.md</x:t>
        </x:is>
      </x:c>
      <x:c r="B6" t="inlineStr">
        <x:is>
          <x:t xml:space="preserve">Empirical Test</x:t>
        </x:is>
      </x:c>
      <x:c r="C6" t="inlineStr">
        <x:is>
          <x:t xml:space="preserve">EMPIRICAL_TESTS</x:t>
        </x:is>
      </x:c>
      <x:c r="D6" t="inlineStr">
        <x:is>
          <x:t xml:space="preserve">P(t) / Revelation density</x:t>
        </x:is>
      </x:c>
      <x:c r="E6" t="inlineStr">
        <x:is>
          <x:t xml:space="preserve">Novel theological concept density follows S-curve; incarnation spike; post-apostolic leveling.</x:t>
        </x:is>
      </x:c>
      <x:c r="F6" t="inlineStr">
        <x:is>
          <x:t xml:space="preserve">Empirical / revelation information flow</x:t>
        </x:is>
      </x:c>
      <x:c r="G6" t="inlineStr">
        <x:is>
          <x:t xml:space="preserve">Strong if coding is rigorous</x:t>
        </x:is>
      </x:c>
      <x:c r="H6" t="inlineStr">
        <x:is>
          <x:t xml:space="preserve">Novel concept count requires public coding rulebook and controls.</x:t>
        </x:is>
      </x:c>
      <x:c r="I6" t="inlineStr">
        <x:is>
          <x:t xml:space="preserve">Add to P(t) validation; build coding appendix.</x:t>
        </x:is>
      </x:c>
      <x:c r="J6" t="inlineStr">
        <x:is>
          <x:t xml:space="preserve">High</x:t>
        </x:is>
      </x:c>
    </x:row>
    <x:row r="7">
      <x:c r="A7" t="inlineStr">
        <x:is>
          <x:t xml:space="preserve">TANGENT_12_The_Pt_Function (2).md</x:t>
        </x:is>
      </x:c>
      <x:c r="B7" t="inlineStr">
        <x:is>
          <x:t xml:space="preserve">Empirical / P(t)</x:t>
        </x:is>
      </x:c>
      <x:c r="C7" t="inlineStr">
        <x:is>
          <x:t xml:space="preserve">EMPIRICAL_TESTS</x:t>
        </x:is>
      </x:c>
      <x:c r="D7" t="inlineStr">
        <x:is>
          <x:t xml:space="preserve">Preparation function</x:t>
        </x:is>
      </x:c>
      <x:c r="E7" t="inlineStr">
        <x:is>
          <x:t xml:space="preserve">Five textual metrics; P(t) as pedagogical S-curve; control tests pending.</x:t>
        </x:is>
      </x:c>
      <x:c r="F7" t="inlineStr">
        <x:is>
          <x:t xml:space="preserve">Empirical/theological information model</x:t>
        </x:is>
      </x:c>
      <x:c r="G7" t="inlineStr">
        <x:is>
          <x:t xml:space="preserve">Strong if reproducible</x:t>
        </x:is>
      </x:c>
      <x:c r="H7" t="inlineStr">
        <x:is>
          <x:t xml:space="preserve">Needs corpus methods, controls: Quran, Vedas, Pali Canon.</x:t>
        </x:is>
      </x:c>
      <x:c r="I7" t="inlineStr">
        <x:is>
          <x:t xml:space="preserve">Add to methodology and future controls.</x:t>
        </x:is>
      </x:c>
      <x:c r="J7" t="inlineStr">
        <x:is>
          <x:t xml:space="preserve">Critical</x:t>
        </x:is>
      </x:c>
    </x:row>
    <x:row r="8">
      <x:c r="A8" t="inlineStr">
        <x:is>
          <x:t xml:space="preserve">174_BRIDGE-PHI-CHI_Individual-Phi-To-Social-Chi.md</x:t>
        </x:is>
      </x:c>
      <x:c r="B8" t="inlineStr">
        <x:is>
          <x:t xml:space="preserve">Scale Bridge</x:t>
        </x:is>
      </x:c>
      <x:c r="C8" t="inlineStr">
        <x:is>
          <x:t xml:space="preserve">EMPIRICAL_TESTS</x:t>
        </x:is>
      </x:c>
      <x:c r="D8" t="inlineStr">
        <x:is>
          <x:t xml:space="preserve">Individual to social coherence</x:t>
        </x:is>
      </x:c>
      <x:c r="E8" t="inlineStr">
        <x:is>
          <x:t xml:space="preserve">Social chi as weighted/integrated sum of individual Phi and relational alignment; scale bridge for society/history.</x:t>
        </x:is>
      </x:c>
      <x:c r="F8" t="inlineStr">
        <x:is>
          <x:t xml:space="preserve">Bridge / social coherence model</x:t>
        </x:is>
      </x:c>
      <x:c r="G8" t="inlineStr">
        <x:is>
          <x:t xml:space="preserve">Important but high-risk</x:t>
        </x:is>
      </x:c>
      <x:c r="H8" t="inlineStr">
        <x:is>
          <x:t xml:space="preserve">IIT/social aggregation bridge needs rigorous definition and empirical validation.</x:t>
        </x:is>
      </x:c>
      <x:c r="I8" t="inlineStr">
        <x:is>
          <x:t xml:space="preserve">Add to social coherence methodology and coding rulebook.</x:t>
        </x:is>
      </x:c>
      <x:c r="J8" t="inlineStr">
        <x:is>
          <x:t xml:space="preserve">Critical</x:t>
        </x:is>
      </x:c>
    </x:row>
  </x:sheetData>
  <x:pageMargins left="0.7" right="0.7" top="0.75" bottom="0.75" header="0.3" footer="0.3"/>
</x:worksheet>
</file>

<file path=xl/worksheets/sheet37.xml><?xml version="1.0" encoding="utf-8"?>
<x:worksheet xmlns:x="http://schemas.openxmlformats.org/spreadsheetml/2006/main">
  <x:sheetFormatPr baseColWidth="8" defaultRowHeight="15"/>
  <x:sheetData>
    <x:row r="1">
      <x:c r="A1" t="inlineStr">
        <x:is>
          <x:t xml:space="preserve">Source File</x:t>
        </x:is>
      </x:c>
      <x:c r="B1" t="inlineStr">
        <x:is>
          <x:t xml:space="preserve">Bucket</x:t>
        </x:is>
      </x:c>
      <x:c r="C1" t="inlineStr">
        <x:is>
          <x:t xml:space="preserve">Proposed Sheet</x:t>
        </x:is>
      </x:c>
      <x:c r="D1" t="inlineStr">
        <x:is>
          <x:t xml:space="preserve">Lane/Stage</x:t>
        </x:is>
      </x:c>
      <x:c r="E1" t="inlineStr">
        <x:is>
          <x:t xml:space="preserve">Role / What It Adds</x:t>
        </x:is>
      </x:c>
      <x:c r="F1" t="inlineStr">
        <x:is>
          <x:t xml:space="preserve">Claim Type</x:t>
        </x:is>
      </x:c>
      <x:c r="G1" t="inlineStr">
        <x:is>
          <x:t xml:space="preserve">Status / Strength</x:t>
        </x:is>
      </x:c>
      <x:c r="H1" t="inlineStr">
        <x:is>
          <x:t xml:space="preserve">Overclaim Guard</x:t>
        </x:is>
      </x:c>
      <x:c r="I1" t="inlineStr">
        <x:is>
          <x:t xml:space="preserve">Next Action</x:t>
        </x:is>
      </x:c>
      <x:c r="J1" t="inlineStr">
        <x:is>
          <x:t xml:space="preserve">Priority</x:t>
        </x:is>
      </x:c>
    </x:row>
    <x:row r="2">
      <x:c r="A2" t="inlineStr">
        <x:is>
          <x:t xml:space="preserve">FIRST_PRINCIPLES_TREE.md</x:t>
        </x:is>
      </x:c>
      <x:c r="B2" t="inlineStr">
        <x:is>
          <x:t xml:space="preserve">Logic Lane</x:t>
        </x:is>
      </x:c>
      <x:c r="C2" t="inlineStr">
        <x:is>
          <x:t xml:space="preserve">LOGIC_TANGENTS</x:t>
        </x:is>
      </x:c>
      <x:c r="D2" t="inlineStr">
        <x:is>
          <x:t xml:space="preserve">Lane 3 / First Principles</x:t>
        </x:is>
      </x:c>
      <x:c r="E2" t="inlineStr">
        <x:is>
          <x:t xml:space="preserve">Question tree with forks, survive/collapse branches, and locked conclusions from existence to self-grounding substrate.</x:t>
        </x:is>
      </x:c>
      <x:c r="F2" t="inlineStr">
        <x:is>
          <x:t xml:space="preserve">Philosophical/logical derivation</x:t>
        </x:is>
      </x:c>
      <x:c r="G2" t="inlineStr">
        <x:is>
          <x:t xml:space="preserve">Core logic lane</x:t>
        </x:is>
      </x:c>
      <x:c r="H2" t="inlineStr">
        <x:is>
          <x:t xml:space="preserve">Some steps are abductive, not pure deduction; mark branch type.</x:t>
        </x:is>
      </x:c>
      <x:c r="I2" t="inlineStr">
        <x:is>
          <x:t xml:space="preserve">Map Q1-Q22 to lane rows and proof boundaries.</x:t>
        </x:is>
      </x:c>
      <x:c r="J2" t="inlineStr">
        <x:is>
          <x:t xml:space="preserve">Critical</x:t>
        </x:is>
      </x:c>
    </x:row>
    <x:row r="3">
      <x:c r="A3" t="inlineStr">
        <x:is>
          <x:t xml:space="preserve">TANGENT_01_The_Nothing_Problem (1).md</x:t>
        </x:is>
      </x:c>
      <x:c r="B3" t="inlineStr">
        <x:is>
          <x:t xml:space="preserve">Logic Tangent</x:t>
        </x:is>
      </x:c>
      <x:c r="C3" t="inlineStr">
        <x:is>
          <x:t xml:space="preserve">LOGIC_TANGENTS</x:t>
        </x:is>
      </x:c>
      <x:c r="D3" t="inlineStr">
        <x:is>
          <x:t xml:space="preserve">Q1 / Existence</x:t>
        </x:is>
      </x:c>
      <x:c r="E3" t="inlineStr">
        <x:is>
          <x:t xml:space="preserve">Absolute nothing may be incoherent; 'something exists' may be necessary rather than contingent.</x:t>
        </x:is>
      </x:c>
      <x:c r="F3" t="inlineStr">
        <x:is>
          <x:t xml:space="preserve">Philosophical derivation</x:t>
        </x:is>
      </x:c>
      <x:c r="G3" t="inlineStr">
        <x:is>
          <x:t xml:space="preserve">Useful support</x:t>
        </x:is>
      </x:c>
      <x:c r="H3" t="inlineStr">
        <x:is>
          <x:t xml:space="preserve">Do not overstate as settled metaphysical proof; distinguish physical vacuum from absolute nothing.</x:t>
        </x:is>
      </x:c>
      <x:c r="I3" t="inlineStr">
        <x:is>
          <x:t xml:space="preserve">Add as Q1 tangent/support row.</x:t>
        </x:is>
      </x:c>
      <x:c r="J3" t="inlineStr">
        <x:is>
          <x:t xml:space="preserve">High</x:t>
        </x:is>
      </x:c>
    </x:row>
    <x:row r="4">
      <x:c r="A4" t="inlineStr">
        <x:is>
          <x:t xml:space="preserve">TANGENT_02_Wheelers_It_From_Bit (1).md</x:t>
        </x:is>
      </x:c>
      <x:c r="B4" t="inlineStr">
        <x:is>
          <x:t xml:space="preserve">Logic Tangent</x:t>
        </x:is>
      </x:c>
      <x:c r="C4" t="inlineStr">
        <x:is>
          <x:t xml:space="preserve">LOGIC_TANGENTS</x:t>
        </x:is>
      </x:c>
      <x:c r="D4" t="inlineStr">
        <x:is>
          <x:t xml:space="preserve">Q3 / Information Primacy</x:t>
        </x:is>
      </x:c>
      <x:c r="E4" t="inlineStr">
        <x:is>
          <x:t xml:space="preserve">Wheeler's It-from-Bit as independent physics-side support for information primacy.</x:t>
        </x:is>
      </x:c>
      <x:c r="F4" t="inlineStr">
        <x:is>
          <x:t xml:space="preserve">Physics/philosophy support</x:t>
        </x:is>
      </x:c>
      <x:c r="G4" t="inlineStr">
        <x:is>
          <x:t xml:space="preserve">Strong support if cited</x:t>
        </x:is>
      </x:c>
      <x:c r="H4" t="inlineStr">
        <x:is>
          <x:t xml:space="preserve">Wheeler supports information primacy; not direct proof of Logos.</x:t>
        </x:is>
      </x:c>
      <x:c r="I4" t="inlineStr">
        <x:is>
          <x:t xml:space="preserve">Add as independent convergence support.</x:t>
        </x:is>
      </x:c>
      <x:c r="J4" t="inlineStr">
        <x:is>
          <x:t xml:space="preserve">High</x:t>
        </x:is>
      </x:c>
    </x:row>
    <x:row r="5">
      <x:c r="A5" t="inlineStr">
        <x:is>
          <x:t xml:space="preserve">TANGENT_03_Kolmogorov_and_Gods_Compression (1).md</x:t>
        </x:is>
      </x:c>
      <x:c r="B5" t="inlineStr">
        <x:is>
          <x:t xml:space="preserve">Logic Tangent</x:t>
        </x:is>
      </x:c>
      <x:c r="C5" t="inlineStr">
        <x:is>
          <x:t xml:space="preserve">LOGIC_TANGENTS</x:t>
        </x:is>
      </x:c>
      <x:c r="D5" t="inlineStr">
        <x:is>
          <x:t xml:space="preserve">Q3 / Compression</x:t>
        </x:is>
      </x:c>
      <x:c r="E5" t="inlineStr">
        <x:is>
          <x:t xml:space="preserve">Physical laws as low-K programs; Logos as compression operator; dK/dt = -alpha chi(t).</x:t>
        </x:is>
      </x:c>
      <x:c r="F5" t="inlineStr">
        <x:is>
          <x:t xml:space="preserve">Information theory / explanatory model</x:t>
        </x:is>
      </x:c>
      <x:c r="G5" t="inlineStr">
        <x:is>
          <x:t xml:space="preserve">Strong conceptual bridge</x:t>
        </x:is>
      </x:c>
      <x:c r="H5" t="inlineStr">
        <x:is>
          <x:t xml:space="preserve">Kolmogorov analogy needs careful separation from proof of design.</x:t>
        </x:is>
      </x:c>
      <x:c r="I5" t="inlineStr">
        <x:is>
          <x:t xml:space="preserve">Add to Law 6 / Logos support.</x:t>
        </x:is>
      </x:c>
      <x:c r="J5" t="inlineStr">
        <x:is>
          <x:t xml:space="preserve">High</x:t>
        </x:is>
      </x:c>
    </x:row>
    <x:row r="6">
      <x:c r="A6" t="inlineStr">
        <x:is>
          <x:t xml:space="preserve">TANGENT_04_Godels_Echo (1).md</x:t>
        </x:is>
      </x:c>
      <x:c r="B6" t="inlineStr">
        <x:is>
          <x:t xml:space="preserve">Logic Tangent</x:t>
        </x:is>
      </x:c>
      <x:c r="C6" t="inlineStr">
        <x:is>
          <x:t xml:space="preserve">LOGIC_TANGENTS</x:t>
        </x:is>
      </x:c>
      <x:c r="D6" t="inlineStr">
        <x:is>
          <x:t xml:space="preserve">Q5 / Ground</x:t>
        </x:is>
      </x:c>
      <x:c r="E6" t="inlineStr">
        <x:is>
          <x:t xml:space="preserve">Godel/Tarski/Church as echoes that truth exceeds formal systems, language, computation.</x:t>
        </x:is>
      </x:c>
      <x:c r="F6" t="inlineStr">
        <x:is>
          <x:t xml:space="preserve">Mathematical philosophy support</x:t>
        </x:is>
      </x:c>
      <x:c r="G6" t="inlineStr">
        <x:is>
          <x:t xml:space="preserve">Strong but delicate</x:t>
        </x:is>
      </x:c>
      <x:c r="H6" t="inlineStr">
        <x:is>
          <x:t xml:space="preserve">Do not claim Godel alone proves God; use as transcendence-of-system support.</x:t>
        </x:is>
      </x:c>
      <x:c r="I6" t="inlineStr">
        <x:is>
          <x:t xml:space="preserve">Add as Q5 grounding tangent.</x:t>
        </x:is>
      </x:c>
      <x:c r="J6" t="inlineStr">
        <x:is>
          <x:t xml:space="preserve">High</x:t>
        </x:is>
      </x:c>
    </x:row>
    <x:row r="7">
      <x:c r="A7" t="inlineStr">
        <x:is>
          <x:t xml:space="preserve">TANGENT_05_The_Low_Entropy_Beginning (1).md</x:t>
        </x:is>
      </x:c>
      <x:c r="B7" t="inlineStr">
        <x:is>
          <x:t xml:space="preserve">Logic Tangent</x:t>
        </x:is>
      </x:c>
      <x:c r="C7" t="inlineStr">
        <x:is>
          <x:t xml:space="preserve">LOGIC_TANGENTS</x:t>
        </x:is>
      </x:c>
      <x:c r="D7" t="inlineStr">
        <x:is>
          <x:t xml:space="preserve">Q7 / Initial order</x:t>
        </x:is>
      </x:c>
      <x:c r="E7" t="inlineStr">
        <x:is>
          <x:t xml:space="preserve">Penrose low-entropy beginning as evidence that order is fundamental, not random emergence.</x:t>
        </x:is>
      </x:c>
      <x:c r="F7" t="inlineStr">
        <x:is>
          <x:t xml:space="preserve">Cosmology/fine-tuning support</x:t>
        </x:is>
      </x:c>
      <x:c r="G7" t="inlineStr">
        <x:is>
          <x:t xml:space="preserve">Strong if citations are precise</x:t>
        </x:is>
      </x:c>
      <x:c r="H7" t="inlineStr">
        <x:is>
          <x:t xml:space="preserve">Penrose number supports low-entropy puzzle, not direct proof of intentional Logos.</x:t>
        </x:is>
      </x:c>
      <x:c r="I7" t="inlineStr">
        <x:is>
          <x:t xml:space="preserve">Add as Q7 tangent and citation check.</x:t>
        </x:is>
      </x:c>
      <x:c r="J7" t="inlineStr">
        <x:is>
          <x:t xml:space="preserve">High</x:t>
        </x:is>
      </x:c>
    </x:row>
    <x:row r="8">
      <x:c r="A8" t="inlineStr">
        <x:is>
          <x:t xml:space="preserve">TANGENT_06_The_Hard_Problem (1).md</x:t>
        </x:is>
      </x:c>
      <x:c r="B8" t="inlineStr">
        <x:is>
          <x:t xml:space="preserve">Consciousness Lane</x:t>
        </x:is>
      </x:c>
      <x:c r="C8" t="inlineStr">
        <x:is>
          <x:t xml:space="preserve">LOGIC_TANGENTS</x:t>
        </x:is>
      </x:c>
      <x:c r="D8" t="inlineStr">
        <x:is>
          <x:t xml:space="preserve">Q8 / Consciousness</x:t>
        </x:is>
      </x:c>
      <x:c r="E8" t="inlineStr">
        <x:is>
          <x:t xml:space="preserve">Hard problem, materialism gap, Φ/IIT as observer capacity measure.</x:t>
        </x:is>
      </x:c>
      <x:c r="F8" t="inlineStr">
        <x:is>
          <x:t xml:space="preserve">Philosophy of mind / consciousness model</x:t>
        </x:is>
      </x:c>
      <x:c r="G8" t="inlineStr">
        <x:is>
          <x:t xml:space="preserve">Strong lane support</x:t>
        </x:is>
      </x:c>
      <x:c r="H8" t="inlineStr">
        <x:is>
          <x:t xml:space="preserve">IIT is debated; present as adopted formalism, not settled consensus.</x:t>
        </x:is>
      </x:c>
      <x:c r="I8" t="inlineStr">
        <x:is>
          <x:t xml:space="preserve">Add to Lane 4/Consciousness row and objection guard.</x:t>
        </x:is>
      </x:c>
      <x:c r="J8" t="inlineStr">
        <x:is>
          <x:t xml:space="preserve">High</x:t>
        </x:is>
      </x:c>
    </x:row>
    <x:row r="9">
      <x:c r="A9" t="inlineStr">
        <x:is>
          <x:t xml:space="preserve">TANGENT_07_Quantum_Measurement (1).md</x:t>
        </x:is>
      </x:c>
      <x:c r="B9" t="inlineStr">
        <x:is>
          <x:t xml:space="preserve">Quantum / Observer Lane</x:t>
        </x:is>
      </x:c>
      <x:c r="C9" t="inlineStr">
        <x:is>
          <x:t xml:space="preserve">LOGIC_TANGENTS</x:t>
        </x:is>
      </x:c>
      <x:c r="D9" t="inlineStr">
        <x:is>
          <x:t xml:space="preserve">Q9 / Participatory universe</x:t>
        </x:is>
      </x:c>
      <x:c r="E9" t="inlineStr">
        <x:is>
          <x:t xml:space="preserve">Bell, Aspect, measurement problem; observer-participation interpretation selected over alternatives.</x:t>
        </x:is>
      </x:c>
      <x:c r="F9" t="inlineStr">
        <x:is>
          <x:t xml:space="preserve">Quantum foundations support</x:t>
        </x:is>
      </x:c>
      <x:c r="G9" t="inlineStr">
        <x:is>
          <x:t xml:space="preserve">Useful but interpretation-sensitive</x:t>
        </x:is>
      </x:c>
      <x:c r="H9" t="inlineStr">
        <x:is>
          <x:t xml:space="preserve">Bell rules out local hidden variables, not all non-participatory interpretations.</x:t>
        </x:is>
      </x:c>
      <x:c r="I9" t="inlineStr">
        <x:is>
          <x:t xml:space="preserve">Add interpretation guard and alternatives table.</x:t>
        </x:is>
      </x:c>
      <x:c r="J9" t="inlineStr">
        <x:is>
          <x:t xml:space="preserve">High</x:t>
        </x:is>
      </x:c>
    </x:row>
  </x:sheetData>
  <x:pageMargins left="0.7" right="0.7" top="0.75" bottom="0.75" header="0.3" footer="0.3"/>
</x:worksheet>
</file>

<file path=xl/worksheets/sheet38.xml><?xml version="1.0" encoding="utf-8"?>
<x:worksheet xmlns:x="http://schemas.openxmlformats.org/spreadsheetml/2006/main">
  <x:sheetFormatPr baseColWidth="8" defaultRowHeight="15"/>
  <x:sheetData>
    <x:row r="1">
      <x:c r="A1" t="inlineStr">
        <x:is>
          <x:t xml:space="preserve">Source File</x:t>
        </x:is>
      </x:c>
      <x:c r="B1" t="inlineStr">
        <x:is>
          <x:t xml:space="preserve">Bucket</x:t>
        </x:is>
      </x:c>
      <x:c r="C1" t="inlineStr">
        <x:is>
          <x:t xml:space="preserve">Proposed Sheet</x:t>
        </x:is>
      </x:c>
      <x:c r="D1" t="inlineStr">
        <x:is>
          <x:t xml:space="preserve">Lane/Stage</x:t>
        </x:is>
      </x:c>
      <x:c r="E1" t="inlineStr">
        <x:is>
          <x:t xml:space="preserve">Role / What It Adds</x:t>
        </x:is>
      </x:c>
      <x:c r="F1" t="inlineStr">
        <x:is>
          <x:t xml:space="preserve">Claim Type</x:t>
        </x:is>
      </x:c>
      <x:c r="G1" t="inlineStr">
        <x:is>
          <x:t xml:space="preserve">Status / Strength</x:t>
        </x:is>
      </x:c>
      <x:c r="H1" t="inlineStr">
        <x:is>
          <x:t xml:space="preserve">Overclaim Guard</x:t>
        </x:is>
      </x:c>
      <x:c r="I1" t="inlineStr">
        <x:is>
          <x:t xml:space="preserve">Next Action</x:t>
        </x:is>
      </x:c>
      <x:c r="J1" t="inlineStr">
        <x:is>
          <x:t xml:space="preserve">Priority</x:t>
        </x:is>
      </x:c>
    </x:row>
    <x:row r="2">
      <x:c r="A2" t="inlineStr">
        <x:is>
          <x:t xml:space="preserve">SUBMISSION_INTAKE_SYSTEM (3).md</x:t>
        </x:is>
      </x:c>
      <x:c r="B2" t="inlineStr">
        <x:is>
          <x:t xml:space="preserve">Implementation</x:t>
        </x:is>
      </x:c>
      <x:c r="C2" t="inlineStr">
        <x:is>
          <x:t xml:space="preserve">INFRA_PUBLICATION</x:t>
        </x:is>
      </x:c>
      <x:c r="D2" t="inlineStr">
        <x:is>
          <x:t xml:space="preserve">Evidence pipeline</x:t>
        </x:is>
      </x:c>
      <x:c r="E2" t="inlineStr">
        <x:is>
          <x:t xml:space="preserve">Submission forms, LLM extraction, pattern matching, routing, review queues.</x:t>
        </x:is>
      </x:c>
      <x:c r="F2" t="inlineStr">
        <x:is>
          <x:t xml:space="preserve">Implementation / evidence intake</x:t>
        </x:is>
      </x:c>
      <x:c r="G2" t="inlineStr">
        <x:is>
          <x:t xml:space="preserve">Useful platform architecture</x:t>
        </x:is>
      </x:c>
      <x:c r="H2" t="inlineStr">
        <x:is>
          <x:t xml:space="preserve">Infrastructure for collecting/testing claims, not proof of claims.</x:t>
        </x:is>
      </x:c>
      <x:c r="I2" t="inlineStr">
        <x:is>
          <x:t xml:space="preserve">Add to Forge/website implementation roadmap.</x:t>
        </x:is>
      </x:c>
      <x:c r="J2" t="inlineStr">
        <x:is>
          <x:t xml:space="preserve">Medium</x:t>
        </x:is>
      </x:c>
    </x:row>
    <x:row r="3">
      <x:c r="A3" t="inlineStr">
        <x:is>
          <x:t xml:space="preserve">CONTENT_TIERS (3).md</x:t>
        </x:is>
      </x:c>
      <x:c r="B3" t="inlineStr">
        <x:is>
          <x:t xml:space="preserve">Publication</x:t>
        </x:is>
      </x:c>
      <x:c r="C3" t="inlineStr">
        <x:is>
          <x:t xml:space="preserve">INFRA_PUBLICATION</x:t>
        </x:is>
      </x:c>
      <x:c r="D3" t="inlineStr">
        <x:is>
          <x:t xml:space="preserve">Public rollout</x:t>
        </x:is>
      </x:c>
      <x:c r="E3" t="inlineStr">
        <x:is>
          <x:t xml:space="preserve">Three content depths: Article, Primer, Deep Dive; max 2 paragraphs before visual break.</x:t>
        </x:is>
      </x:c>
      <x:c r="F3" t="inlineStr">
        <x:is>
          <x:t xml:space="preserve">Publication system</x:t>
        </x:is>
      </x:c>
      <x:c r="G3" t="inlineStr">
        <x:is>
          <x:t xml:space="preserve">High delivery value</x:t>
        </x:is>
      </x:c>
      <x:c r="H3" t="inlineStr">
        <x:is>
          <x:t xml:space="preserve">Presentation system, not evidence.</x:t>
        </x:is>
      </x:c>
      <x:c r="I3" t="inlineStr">
        <x:is>
          <x:t xml:space="preserve">Use for public essay and axiom pages.</x:t>
        </x:is>
      </x:c>
      <x:c r="J3" t="inlineStr">
        <x:is>
          <x:t xml:space="preserve">Medium</x:t>
        </x:is>
      </x:c>
    </x:row>
    <x:row r="4">
      <x:c r="A4" t="inlineStr">
        <x:is>
          <x:t xml:space="preserve">LLM_INSTRUCTIONS (3).md</x:t>
        </x:is>
      </x:c>
      <x:c r="B4" t="inlineStr">
        <x:is>
          <x:t xml:space="preserve">Publication</x:t>
        </x:is>
      </x:c>
      <x:c r="C4" t="inlineStr">
        <x:is>
          <x:t xml:space="preserve">INFRA_PUBLICATION</x:t>
        </x:is>
      </x:c>
      <x:c r="D4" t="inlineStr">
        <x:is>
          <x:t xml:space="preserve">Article generation</x:t>
        </x:is>
      </x:c>
      <x:c r="E4" t="inlineStr">
        <x:is>
          <x:t xml:space="preserve">LLM generation rules for polished HTML articles using design system.</x:t>
        </x:is>
      </x:c>
      <x:c r="F4" t="inlineStr">
        <x:is>
          <x:t xml:space="preserve">Publication automation</x:t>
        </x:is>
      </x:c>
      <x:c r="G4" t="inlineStr">
        <x:is>
          <x:t xml:space="preserve">High delivery value</x:t>
        </x:is>
      </x:c>
      <x:c r="H4" t="inlineStr">
        <x:is>
          <x:t xml:space="preserve">Instruction template, not proof.</x:t>
        </x:is>
      </x:c>
      <x:c r="I4" t="inlineStr">
        <x:is>
          <x:t xml:space="preserve">Connect to content tier templates.</x:t>
        </x:is>
      </x:c>
      <x:c r="J4" t="inlineStr">
        <x:is>
          <x:t xml:space="preserve">Medium</x:t>
        </x:is>
      </x:c>
    </x:row>
    <x:row r="5">
      <x:c r="A5" t="inlineStr">
        <x:is>
          <x:t xml:space="preserve">DESIGN_SYSTEM (3).md</x:t>
        </x:is>
      </x:c>
      <x:c r="B5" t="inlineStr">
        <x:is>
          <x:t xml:space="preserve">Publication</x:t>
        </x:is>
      </x:c>
      <x:c r="C5" t="inlineStr">
        <x:is>
          <x:t xml:space="preserve">INFRA_PUBLICATION</x:t>
        </x:is>
      </x:c>
      <x:c r="D5" t="inlineStr">
        <x:is>
          <x:t xml:space="preserve">Visual system</x:t>
        </x:is>
      </x:c>
      <x:c r="E5" t="inlineStr">
        <x:is>
          <x:t xml:space="preserve">Dark theme/gold accent, fonts, components, charts, responsive design.</x:t>
        </x:is>
      </x:c>
      <x:c r="F5" t="inlineStr">
        <x:is>
          <x:t xml:space="preserve">Design system</x:t>
        </x:is>
      </x:c>
      <x:c r="G5" t="inlineStr">
        <x:is>
          <x:t xml:space="preserve">High delivery value</x:t>
        </x:is>
      </x:c>
      <x:c r="H5" t="inlineStr">
        <x:is>
          <x:t xml:space="preserve">Design quality, not evidence.</x:t>
        </x:is>
      </x:c>
      <x:c r="I5" t="inlineStr">
        <x:is>
          <x:t xml:space="preserve">Use for website/Forge article pages.</x:t>
        </x:is>
      </x:c>
      <x:c r="J5" t="inlineStr">
        <x:is>
          <x:t xml:space="preserve">Medium</x:t>
        </x:is>
      </x:c>
    </x:row>
    <x:row r="6">
      <x:c r="A6" t="inlineStr">
        <x:is>
          <x:t xml:space="preserve">README (4).md</x:t>
        </x:is>
      </x:c>
      <x:c r="B6" t="inlineStr">
        <x:is>
          <x:t xml:space="preserve">Project Packaging</x:t>
        </x:is>
      </x:c>
      <x:c r="C6" t="inlineStr">
        <x:is>
          <x:t xml:space="preserve">INFRA_PUBLICATION</x:t>
        </x:is>
      </x:c>
      <x:c r="D6" t="inlineStr">
        <x:is>
          <x:t xml:space="preserve">Repository orientation</x:t>
        </x:is>
      </x:c>
      <x:c r="E6" t="inlineStr">
        <x:is>
          <x:t xml:space="preserve">Theophysics Mathematical Framework repo overview; folders for Lagrangian, Maxwell, product form, Lindblad, fixed point, symplectic, gauge groups, consistency tests.</x:t>
        </x:is>
      </x:c>
      <x:c r="F6" t="inlineStr">
        <x:is>
          <x:t xml:space="preserve">Computational verification roadmap</x:t>
        </x:is>
      </x:c>
      <x:c r="G6" t="inlineStr">
        <x:is>
          <x:t xml:space="preserve">Strong work-program overview</x:t>
        </x:is>
      </x:c>
      <x:c r="H6" t="inlineStr">
        <x:is>
          <x:t xml:space="preserve">Computationally checked models, not all reality proven.</x:t>
        </x:is>
      </x:c>
      <x:c r="I6" t="inlineStr">
        <x:is>
          <x:t xml:space="preserve">Add as repository/package reference.</x:t>
        </x:is>
      </x:c>
      <x:c r="J6" t="inlineStr">
        <x:is>
          <x:t xml:space="preserve">High</x:t>
        </x:is>
      </x:c>
    </x:row>
    <x:row r="7">
      <x:c r="A7" t="inlineStr">
        <x:is>
          <x:t xml:space="preserve">2026-03-27-enriched-knowledge-graph-design (3).md</x:t>
        </x:is>
      </x:c>
      <x:c r="B7" t="inlineStr">
        <x:is>
          <x:t xml:space="preserve">Research Infrastructure</x:t>
        </x:is>
      </x:c>
      <x:c r="C7" t="inlineStr">
        <x:is>
          <x:t xml:space="preserve">INFRA_PUBLICATION</x:t>
        </x:is>
      </x:c>
      <x:c r="D7" t="inlineStr">
        <x:is>
          <x:t xml:space="preserve">Knowledge graph / Research Mode</x:t>
        </x:is>
      </x:c>
      <x:c r="E7" t="inlineStr">
        <x:is>
          <x:t xml:space="preserve">~800+ node enriched research graph from 7Q/CKG data with claims, evidence, predictions, failure points.</x:t>
        </x:is>
      </x:c>
      <x:c r="F7" t="inlineStr">
        <x:is>
          <x:t xml:space="preserve">Tooling / audit infrastructure</x:t>
        </x:is>
      </x:c>
      <x:c r="G7" t="inlineStr">
        <x:is>
          <x:t xml:space="preserve">High implementation value</x:t>
        </x:is>
      </x:c>
      <x:c r="H7" t="inlineStr">
        <x:is>
          <x:t xml:space="preserve">Graph organizes claims; it does not prove claims.</x:t>
        </x:is>
      </x:c>
      <x:c r="I7" t="inlineStr">
        <x:is>
          <x:t xml:space="preserve">Add to Forge/website research mode roadmap.</x:t>
        </x:is>
      </x:c>
      <x:c r="J7" t="inlineStr">
        <x:is>
          <x:t xml:space="preserve">Medium</x:t>
        </x:is>
      </x:c>
    </x:row>
    <x:row r="8">
      <x:c r="A8" t="inlineStr">
        <x:is>
          <x:t xml:space="preserve">README (19).md</x:t>
        </x:is>
      </x:c>
      <x:c r="B8" t="inlineStr">
        <x:is>
          <x:t xml:space="preserve">App / Engine</x:t>
        </x:is>
      </x:c>
      <x:c r="C8" t="inlineStr">
        <x:is>
          <x:t xml:space="preserve">INFRA_PUBLICATION</x:t>
        </x:is>
      </x:c>
      <x:c r="D8" t="inlineStr">
        <x:is>
          <x:t xml:space="preserve">Theophysics Engine v2</x:t>
        </x:is>
      </x:c>
      <x:c r="E8" t="inlineStr">
        <x:is>
          <x:t xml:space="preserve">Modular knowledge platform: audience tiers, graph, rigor cards, AI chat, questions explorer.</x:t>
        </x:is>
      </x:c>
      <x:c r="F8" t="inlineStr">
        <x:is>
          <x:t xml:space="preserve">Implementation platform</x:t>
        </x:is>
      </x:c>
      <x:c r="G8" t="inlineStr">
        <x:is>
          <x:t xml:space="preserve">High rollout value</x:t>
        </x:is>
      </x:c>
      <x:c r="H8" t="inlineStr">
        <x:is>
          <x:t xml:space="preserve">Platform does not validate claims.</x:t>
        </x:is>
      </x:c>
      <x:c r="I8" t="inlineStr">
        <x:is>
          <x:t xml:space="preserve">Add to implementation roadmap.</x:t>
        </x:is>
      </x:c>
      <x:c r="J8" t="inlineStr">
        <x:is>
          <x:t xml:space="preserve">Medium</x:t>
        </x:is>
      </x:c>
    </x:row>
    <x:row r="9">
      <x:c r="A9" t="inlineStr">
        <x:is>
          <x:t xml:space="preserve">TEMPLATE.md</x:t>
        </x:is>
      </x:c>
      <x:c r="B9" t="inlineStr">
        <x:is>
          <x:t xml:space="preserve">App / Engine</x:t>
        </x:is>
      </x:c>
      <x:c r="C9" t="inlineStr">
        <x:is>
          <x:t xml:space="preserve">INFRA_PUBLICATION</x:t>
        </x:is>
      </x:c>
      <x:c r="D9" t="inlineStr">
        <x:is>
          <x:t xml:space="preserve">Cloudflare template</x:t>
        </x:is>
      </x:c>
      <x:c r="E9" t="inlineStr">
        <x:is>
          <x:t xml:space="preserve">Project structure and Shell/Audience Tier system for 200+ page deployment.</x:t>
        </x:is>
      </x:c>
      <x:c r="F9" t="inlineStr">
        <x:is>
          <x:t xml:space="preserve">Implementation template</x:t>
        </x:is>
      </x:c>
      <x:c r="G9" t="inlineStr">
        <x:is>
          <x:t xml:space="preserve">High rollout value</x:t>
        </x:is>
      </x:c>
      <x:c r="H9" t="inlineStr">
        <x:is>
          <x:t xml:space="preserve">Template only.</x:t>
        </x:is>
      </x:c>
      <x:c r="I9" t="inlineStr">
        <x:is>
          <x:t xml:space="preserve">Add to deployment checklist.</x:t>
        </x:is>
      </x:c>
      <x:c r="J9" t="inlineStr">
        <x:is>
          <x:t xml:space="preserve">Medium</x:t>
        </x:is>
      </x:c>
    </x:row>
    <x:row r="10">
      <x:c r="A10" t="inlineStr">
        <x:is>
          <x:t xml:space="preserve">info (4).md</x:t>
        </x:is>
      </x:c>
      <x:c r="B10" t="inlineStr">
        <x:is>
          <x:t xml:space="preserve">App Setup</x:t>
        </x:is>
      </x:c>
      <x:c r="C10" t="inlineStr">
        <x:is>
          <x:t xml:space="preserve">INFRA_PUBLICATION</x:t>
        </x:is>
      </x:c>
      <x:c r="D10" t="inlineStr">
        <x:is>
          <x:t xml:space="preserve">Technical setup</x:t>
        </x:is>
      </x:c>
      <x:c r="E10" t="inlineStr">
        <x:is>
          <x:t xml:space="preserve">Node/Tailwind/Vite/shadcn component inventory and project structure.</x:t>
        </x:is>
      </x:c>
      <x:c r="F10" t="inlineStr">
        <x:is>
          <x:t xml:space="preserve">Technical environment</x:t>
        </x:is>
      </x:c>
      <x:c r="G10" t="inlineStr">
        <x:is>
          <x:t xml:space="preserve">Useful install note</x:t>
        </x:is>
      </x:c>
      <x:c r="H10" t="inlineStr">
        <x:is>
          <x:t xml:space="preserve">Setup log only.</x:t>
        </x:is>
      </x:c>
      <x:c r="I10" t="inlineStr">
        <x:is>
          <x:t xml:space="preserve">Archive as technical metadata.</x:t>
        </x:is>
      </x:c>
      <x:c r="J10" t="inlineStr">
        <x:is>
          <x:t xml:space="preserve">Low</x:t>
        </x:is>
      </x:c>
    </x:row>
    <x:row r="11">
      <x:c r="A11" t="inlineStr">
        <x:is>
          <x:t xml:space="preserve">SORT_PLAN (1).md</x:t>
        </x:is>
      </x:c>
      <x:c r="B11" t="inlineStr">
        <x:is>
          <x:t xml:space="preserve">Data Management</x:t>
        </x:is>
      </x:c>
      <x:c r="C11" t="inlineStr">
        <x:is>
          <x:t xml:space="preserve">INFRA_PUBLICATION</x:t>
        </x:is>
      </x:c>
      <x:c r="D11" t="inlineStr">
        <x:is>
          <x:t xml:space="preserve">Data vault sorting</x:t>
        </x:is>
      </x:c>
      <x:c r="E11" t="inlineStr">
        <x:is>
          <x:t xml:space="preserve">Data vault archive sort plan: content to score, structured data, duplicate archive.</x:t>
        </x:is>
      </x:c>
      <x:c r="F11" t="inlineStr">
        <x:is>
          <x:t xml:space="preserve">Data governance</x:t>
        </x:is>
      </x:c>
      <x:c r="G11" t="inlineStr">
        <x:is>
          <x:t xml:space="preserve">High hygiene value</x:t>
        </x:is>
      </x:c>
      <x:c r="H11" t="inlineStr">
        <x:is>
          <x:t xml:space="preserve">Not evidence; keeps pipeline clean.</x:t>
        </x:is>
      </x:c>
      <x:c r="I11" t="inlineStr">
        <x:is>
          <x:t xml:space="preserve">Add to data governance/workflow.</x:t>
        </x:is>
      </x:c>
      <x:c r="J11" t="inlineStr">
        <x:is>
          <x:t xml:space="preserve">Medium</x:t>
        </x:is>
      </x:c>
    </x:row>
    <x:row r="12">
      <x:c r="A12" t="inlineStr">
        <x:is>
          <x:t xml:space="preserve">CHANGELOG (35).md</x:t>
        </x:is>
      </x:c>
      <x:c r="B12" t="inlineStr">
        <x:is>
          <x:t xml:space="preserve">Dependency Noise</x:t>
        </x:is>
      </x:c>
      <x:c r="C12" t="inlineStr">
        <x:is>
          <x:t xml:space="preserve">IGNORE_OR_ARCHIVE</x:t>
        </x:is>
      </x:c>
      <x:c r="D12" t="inlineStr">
        <x:is>
          <x:t xml:space="preserve">Package changelog</x:t>
        </x:is>
      </x:c>
      <x:c r="E12" t="inlineStr">
        <x:is>
          <x:t xml:space="preserve">Looks like dependency/package changelog, likely not project signal.</x:t>
        </x:is>
      </x:c>
      <x:c r="F12" t="inlineStr">
        <x:is>
          <x:t xml:space="preserve">Noise / archive</x:t>
        </x:is>
      </x:c>
      <x:c r="G12" t="inlineStr">
        <x:is>
          <x:t xml:space="preserve">Low</x:t>
        </x:is>
      </x:c>
      <x:c r="H12" t="inlineStr">
        <x:is>
          <x:t xml:space="preserve">Do not treat as Theophysics evidence.</x:t>
        </x:is>
      </x:c>
      <x:c r="I12" t="inlineStr">
        <x:is>
          <x:t xml:space="preserve">Archive/ignore unless dependency provenance needed.</x:t>
        </x:is>
      </x:c>
      <x:c r="J12" t="inlineStr">
        <x:is>
          <x:t xml:space="preserve">Low</x:t>
        </x:is>
      </x:c>
    </x:row>
  </x:sheetData>
  <x:pageMargins left="0.7" right="0.7" top="0.75" bottom="0.75" header="0.3" footer="0.3"/>
</x:worksheet>
</file>

<file path=xl/worksheets/sheet39.xml><?xml version="1.0" encoding="utf-8"?>
<x:worksheet xmlns:x="http://schemas.openxmlformats.org/spreadsheetml/2006/main">
  <x:sheetFormatPr baseColWidth="8" defaultRowHeight="15"/>
  <x:sheetData>
    <x:row r="1">
      <x:c r="A1" t="inlineStr">
        <x:is>
          <x:t xml:space="preserve">Source File</x:t>
        </x:is>
      </x:c>
      <x:c r="B1" t="inlineStr">
        <x:is>
          <x:t xml:space="preserve">Bucket</x:t>
        </x:is>
      </x:c>
      <x:c r="C1" t="inlineStr">
        <x:is>
          <x:t xml:space="preserve">Proposed Sheet</x:t>
        </x:is>
      </x:c>
      <x:c r="D1" t="inlineStr">
        <x:is>
          <x:t xml:space="preserve">Lane/Stage</x:t>
        </x:is>
      </x:c>
      <x:c r="E1" t="inlineStr">
        <x:is>
          <x:t xml:space="preserve">Role / What It Adds</x:t>
        </x:is>
      </x:c>
      <x:c r="F1" t="inlineStr">
        <x:is>
          <x:t xml:space="preserve">Claim Type</x:t>
        </x:is>
      </x:c>
      <x:c r="G1" t="inlineStr">
        <x:is>
          <x:t xml:space="preserve">Status / Strength</x:t>
        </x:is>
      </x:c>
      <x:c r="H1" t="inlineStr">
        <x:is>
          <x:t xml:space="preserve">Overclaim Guard</x:t>
        </x:is>
      </x:c>
      <x:c r="I1" t="inlineStr">
        <x:is>
          <x:t xml:space="preserve">Next Action</x:t>
        </x:is>
      </x:c>
      <x:c r="J1" t="inlineStr">
        <x:is>
          <x:t xml:space="preserve">Priority</x:t>
        </x:is>
      </x:c>
    </x:row>
    <x:row r="2">
      <x:c r="A2" t="inlineStr">
        <x:is>
          <x:t xml:space="preserve">CONJECTURE_4_2_FIXED_POINT.md</x:t>
        </x:is>
      </x:c>
      <x:c r="B2" t="inlineStr">
        <x:is>
          <x:t xml:space="preserve">Formal/Open Problem</x:t>
        </x:is>
      </x:c>
      <x:c r="C2" t="inlineStr">
        <x:is>
          <x:t xml:space="preserve">OPEN_PROBLEMS</x:t>
        </x:is>
      </x:c>
      <x:c r="D2" t="inlineStr">
        <x:is>
          <x:t xml:space="preserve">Product-form / dynamics</x:t>
        </x:is>
      </x:c>
      <x:c r="E2" t="inlineStr">
        <x:is>
          <x:t xml:space="preserve">Fixed-point existence under gamma_up &gt; gamma_down; stability analysis; uniqueness/global case open.</x:t>
        </x:is>
      </x:c>
      <x:c r="F2" t="inlineStr">
        <x:is>
          <x:t xml:space="preserve">Partial formal result</x:t>
        </x:is>
      </x:c>
      <x:c r="G2" t="inlineStr">
        <x:is>
          <x:t xml:space="preserve">Partial result; important</x:t>
        </x:is>
      </x:c>
      <x:c r="H2" t="inlineStr">
        <x:is>
          <x:t xml:space="preserve">Existence under conditions, not full global uniqueness.</x:t>
        </x:is>
      </x:c>
      <x:c r="I2" t="inlineStr">
        <x:is>
          <x:t xml:space="preserve">Add to gap inventory and future worklist.</x:t>
        </x:is>
      </x:c>
      <x:c r="J2" t="inlineStr">
        <x:is>
          <x:t xml:space="preserve">High</x:t>
        </x:is>
      </x:c>
    </x:row>
    <x:row r="3">
      <x:c r="A3" t="inlineStr">
        <x:is>
          <x:t xml:space="preserve">TIMESTAMP_LOCKDOWN.md</x:t>
        </x:is>
      </x:c>
      <x:c r="B3" t="inlineStr">
        <x:is>
          <x:t xml:space="preserve">Evidence Chain</x:t>
        </x:is>
      </x:c>
      <x:c r="C3" t="inlineStr">
        <x:is>
          <x:t xml:space="preserve">EVIDENCE_CHAIN</x:t>
        </x:is>
      </x:c>
      <x:c r="D3" t="inlineStr">
        <x:is>
          <x:t xml:space="preserve">Credibility / timestamp</x:t>
        </x:is>
      </x:c>
      <x:c r="E3" t="inlineStr">
        <x:is>
          <x:t xml:space="preserve">Hashing, OpenTimestamps, Zenodo DOI, Wayback, local backup procedure.</x:t>
        </x:is>
      </x:c>
      <x:c r="F3" t="inlineStr">
        <x:is>
          <x:t xml:space="preserve">Evidence provenance</x:t>
        </x:is>
      </x:c>
      <x:c r="G3" t="inlineStr">
        <x:is>
          <x:t xml:space="preserve">High credibility infrastructure</x:t>
        </x:is>
      </x:c>
      <x:c r="H3" t="inlineStr">
        <x:is>
          <x:t xml:space="preserve">Timestamp proves existence/date, not truth.</x:t>
        </x:is>
      </x:c>
      <x:c r="I3" t="inlineStr">
        <x:is>
          <x:t xml:space="preserve">Add to evidence chain roadmap.</x:t>
        </x:is>
      </x:c>
      <x:c r="J3" t="inlineStr">
        <x:is>
          <x:t xml:space="preserve">Medium</x:t>
        </x:is>
      </x:c>
    </x:row>
    <x:row r="4">
      <x:c r="A4" t="inlineStr">
        <x:is>
          <x:t xml:space="preserve">WEBSITE_EVIDENCE_PAGE.md</x:t>
        </x:is>
      </x:c>
      <x:c r="B4" t="inlineStr">
        <x:is>
          <x:t xml:space="preserve">Evidence Chain</x:t>
        </x:is>
      </x:c>
      <x:c r="C4" t="inlineStr">
        <x:is>
          <x:t xml:space="preserve">EVIDENCE_CHAIN</x:t>
        </x:is>
      </x:c>
      <x:c r="D4" t="inlineStr">
        <x:is>
          <x:t xml:space="preserve">Public verification</x:t>
        </x:is>
      </x:c>
      <x:c r="E4" t="inlineStr">
        <x:is>
          <x:t xml:space="preserve">Public evidence page with hash, review findings, architecture gap.</x:t>
        </x:is>
      </x:c>
      <x:c r="F4" t="inlineStr">
        <x:is>
          <x:t xml:space="preserve">Evidence/provenance</x:t>
        </x:is>
      </x:c>
      <x:c r="G4" t="inlineStr">
        <x:is>
          <x:t xml:space="preserve">High credibility infrastructure</x:t>
        </x:is>
      </x:c>
      <x:c r="H4" t="inlineStr">
        <x:is>
          <x:t xml:space="preserve">Public summary of review, not itself a proof.</x:t>
        </x:is>
      </x:c>
      <x:c r="I4" t="inlineStr">
        <x:is>
          <x:t xml:space="preserve">Use as public verification page.</x:t>
        </x:is>
      </x:c>
      <x:c r="J4" t="inlineStr">
        <x:is>
          <x:t xml:space="preserve">Medium</x:t>
        </x:is>
      </x:c>
    </x:row>
    <x:row r="5">
      <x:c r="A5" t="inlineStr">
        <x:is>
          <x:t xml:space="preserve">INDEPENDENT_REVIEW_CLAUDE_OPUS_2026-03-28.md</x:t>
        </x:is>
      </x:c>
      <x:c r="B5" t="inlineStr">
        <x:is>
          <x:t xml:space="preserve">Adversarial Review</x:t>
        </x:is>
      </x:c>
      <x:c r="C5" t="inlineStr">
        <x:is>
          <x:t xml:space="preserve">ADVERSARIAL_REVIEW</x:t>
        </x:is>
      </x:c>
      <x:c r="D5" t="inlineStr">
        <x:is>
          <x:t xml:space="preserve">Stress test</x:t>
        </x:is>
      </x:c>
      <x:c r="E5" t="inlineStr">
        <x:is>
          <x:t xml:space="preserve">Cold review: strengths, failures, dimensional issue, Lagrangian strength, product-form gap.</x:t>
        </x:is>
      </x:c>
      <x:c r="F5" t="inlineStr">
        <x:is>
          <x:t xml:space="preserve">Adversarial audit</x:t>
        </x:is>
      </x:c>
      <x:c r="G5" t="inlineStr">
        <x:is>
          <x:t xml:space="preserve">Critical credibility asset</x:t>
        </x:is>
      </x:c>
      <x:c r="H5" t="inlineStr">
        <x:is>
          <x:t xml:space="preserve">Review findings need reproducible source files and code.</x:t>
        </x:is>
      </x:c>
      <x:c r="I5" t="inlineStr">
        <x:is>
          <x:t xml:space="preserve">Use as front-facing review/gap evidence.</x:t>
        </x:is>
      </x:c>
      <x:c r="J5" t="inlineStr">
        <x:is>
          <x:t xml:space="preserve">Critical</x:t>
        </x:is>
      </x:c>
    </x:row>
    <x:row r="6">
      <x:c r="A6" t="inlineStr">
        <x:is>
          <x:t xml:space="preserve">OPEN_PROBLEM_001_LAGRANGIAN_TO_PRODUCT_FORM.md</x:t>
        </x:is>
      </x:c>
      <x:c r="B6" t="inlineStr">
        <x:is>
          <x:t xml:space="preserve">Critical Open Problem</x:t>
        </x:is>
      </x:c>
      <x:c r="C6" t="inlineStr">
        <x:is>
          <x:t xml:space="preserve">OPEN_PROBLEMS</x:t>
        </x:is>
      </x:c>
      <x:c r="D6" t="inlineStr">
        <x:is>
          <x:t xml:space="preserve">Core formal gap</x:t>
        </x:is>
      </x:c>
      <x:c r="E6" t="inlineStr">
        <x:is>
          <x:t xml:space="preserve">Defines gap between chi-field Lagrangian and 10-variable product form; either derive bridge or treat product as axiom.</x:t>
        </x:is>
      </x:c>
      <x:c r="F6" t="inlineStr">
        <x:is>
          <x:t xml:space="preserve">Gap inventory</x:t>
        </x:is>
      </x:c>
      <x:c r="G6" t="inlineStr">
        <x:is>
          <x:t xml:space="preserve">Critical</x:t>
        </x:is>
      </x:c>
      <x:c r="H6" t="inlineStr">
        <x:is>
          <x:t xml:space="preserve">Product form remains conditional/postulated until bridge is closed.</x:t>
        </x:is>
      </x:c>
      <x:c r="I6" t="inlineStr">
        <x:is>
          <x:t xml:space="preserve">Put on page 2 of serious packet.</x:t>
        </x:is>
      </x:c>
      <x:c r="J6" t="inlineStr">
        <x:is>
          <x:t xml:space="preserve">Critical</x:t>
        </x:is>
      </x:c>
    </x:row>
    <x:row r="7">
      <x:c r="A7" t="inlineStr">
        <x:is>
          <x:t xml:space="preserve">PRINCIPIA_A11_REVISION_DRAFT.md</x:t>
        </x:is>
      </x:c>
      <x:c r="B7" t="inlineStr">
        <x:is>
          <x:t xml:space="preserve">Principia Revision</x:t>
        </x:is>
      </x:c>
      <x:c r="C7" t="inlineStr">
        <x:is>
          <x:t xml:space="preserve">OPEN_PROBLEMS</x:t>
        </x:is>
      </x:c>
      <x:c r="D7" t="inlineStr">
        <x:is>
          <x:t xml:space="preserve">A11 / Moral source</x:t>
        </x:is>
      </x:c>
      <x:c r="E7" t="inlineStr">
        <x:is>
          <x:t xml:space="preserve">Fixes prior AI-flagged weakness by deriving moral property from design/audience/relationship rather than non-deception premise.</x:t>
        </x:is>
      </x:c>
      <x:c r="F7" t="inlineStr">
        <x:is>
          <x:t xml:space="preserve">Philosophical/theological revision</x:t>
        </x:is>
      </x:c>
      <x:c r="G7" t="inlineStr">
        <x:is>
          <x:t xml:space="preserve">Very important correction</x:t>
        </x:is>
      </x:c>
      <x:c r="H7" t="inlineStr">
        <x:is>
          <x:t xml:space="preserve">Design-to-moral-character step must be defended; avoid smuggling agency.</x:t>
        </x:is>
      </x:c>
      <x:c r="I7" t="inlineStr">
        <x:is>
          <x:t xml:space="preserve">Add to claim boundary and revised Principia sheet.</x:t>
        </x:is>
      </x:c>
      <x:c r="J7" t="inlineStr">
        <x:is>
          <x:t xml:space="preserve">Critical</x:t>
        </x:is>
      </x:c>
    </x:row>
  </x:sheetData>
  <x:pageMargins left="0.7" right="0.7" top="0.75" bottom="0.75" header="0.3" footer="0.3"/>
</x:worksheet>
</file>

<file path=xl/worksheets/sheet40.xml><?xml version="1.0" encoding="utf-8"?>
<x:worksheet xmlns:x="http://schemas.openxmlformats.org/spreadsheetml/2006/main">
  <x:sheetFormatPr baseColWidth="8" defaultRowHeight="15"/>
  <x:sheetData>
    <x:row r="1">
      <x:c r="A1" t="inlineStr">
        <x:is>
          <x:t xml:space="preserve">Right Claim</x:t>
        </x:is>
      </x:c>
      <x:c r="B1" t="inlineStr">
        <x:is>
          <x:t xml:space="preserve">Wrong Model #</x:t>
        </x:is>
      </x:c>
      <x:c r="C1" t="inlineStr">
        <x:is>
          <x:t xml:space="preserve">Wrong / Rival Model</x:t>
        </x:is>
      </x:c>
      <x:c r="D1" t="inlineStr">
        <x:is>
          <x:t xml:space="preserve">Why It Seems Plausible</x:t>
        </x:is>
      </x:c>
      <x:c r="E1" t="inlineStr">
        <x:is>
          <x:t xml:space="preserve">Constraint Failed</x:t>
        </x:is>
      </x:c>
      <x:c r="F1" t="inlineStr">
        <x:is>
          <x:t xml:space="preserve">Lean/Test Anchor</x:t>
        </x:is>
      </x:c>
      <x:c r="G1" t="inlineStr">
        <x:is>
          <x:t xml:space="preserve">Result / Needed Work</x:t>
        </x:is>
      </x:c>
      <x:c r="H1" t="inlineStr">
        <x:is>
          <x:t xml:space="preserve">Status</x:t>
        </x:is>
      </x:c>
    </x:row>
    <x:row r="2">
      <x:c r="A2" t="inlineStr">
        <x:is>
          <x:t xml:space="preserve">Cost-bearing judge repair</x:t>
        </x:is>
      </x:c>
      <x:c r="B2" t="n">
        <x:v>1</x:v>
      </x:c>
      <x:c r="C2" t="inlineStr">
        <x:is>
          <x:t xml:space="preserve">Offender pays full cost</x:t>
        </x:is>
      </x:c>
      <x:c r="D2" t="inlineStr">
        <x:is>
          <x:t xml:space="preserve">Satisfies consequence/justice intuitively</x:t>
        </x:is>
      </x:c>
      <x:c r="E2" t="inlineStr">
        <x:is>
          <x:t xml:space="preserve">Mercy fails</x:t>
        </x:is>
      </x:c>
      <x:c r="F2" t="inlineStr">
        <x:is>
          <x:t xml:space="preserve">JusticeMercyOperator / THE CROSS UNIQUE SOLUTION</x:t>
        </x:is>
      </x:c>
      <x:c r="G2" t="inlineStr">
        <x:is>
          <x:t xml:space="preserve">Already modeled as failure</x:t>
        </x:is>
      </x:c>
      <x:c r="H2" t="inlineStr">
        <x:is>
          <x:t xml:space="preserve">Need formal table row</x:t>
        </x:is>
      </x:c>
    </x:row>
    <x:row r="3">
      <x:c r="A3" t="inlineStr">
        <x:is>
          <x:t xml:space="preserve">Cost-bearing judge repair</x:t>
        </x:is>
      </x:c>
      <x:c r="B3" t="n">
        <x:v>2</x:v>
      </x:c>
      <x:c r="C3" t="inlineStr">
        <x:is>
          <x:t xml:space="preserve">Debt simply waived</x:t>
        </x:is>
      </x:c>
      <x:c r="D3" t="inlineStr">
        <x:is>
          <x:t xml:space="preserve">Sounds merciful and forgiving</x:t>
        </x:is>
      </x:c>
      <x:c r="E3" t="inlineStr">
        <x:is>
          <x:t xml:space="preserve">Justice/record unresolved</x:t>
        </x:is>
      </x:c>
      <x:c r="F3" t="inlineStr">
        <x:is>
          <x:t xml:space="preserve">JusticeMercyOperator</x:t>
        </x:is>
      </x:c>
      <x:c r="G3" t="inlineStr">
        <x:is>
          <x:t xml:space="preserve">Already modeled as failure</x:t>
        </x:is>
      </x:c>
      <x:c r="H3" t="inlineStr">
        <x:is>
          <x:t xml:space="preserve">Need formal table row</x:t>
        </x:is>
      </x:c>
    </x:row>
    <x:row r="4">
      <x:c r="A4" t="inlineStr">
        <x:is>
          <x:t xml:space="preserve">Cost-bearing judge repair</x:t>
        </x:is>
      </x:c>
      <x:c r="B4" t="n">
        <x:v>3</x:v>
      </x:c>
      <x:c r="C4" t="inlineStr">
        <x:is>
          <x:t xml:space="preserve">Coerced third party pays</x:t>
        </x:is>
      </x:c>
      <x:c r="D4" t="inlineStr">
        <x:is>
          <x:t xml:space="preserve">Substitution appears to cover cost</x:t>
        </x:is>
      </x:c>
      <x:c r="E4" t="inlineStr">
        <x:is>
          <x:t xml:space="preserve">Voluntariness fails</x:t>
        </x:is>
      </x:c>
      <x:c r="F4" t="inlineStr">
        <x:is>
          <x:t xml:space="preserve">JusticeMercyOperator</x:t>
        </x:is>
      </x:c>
      <x:c r="G4" t="inlineStr">
        <x:is>
          <x:t xml:space="preserve">Already modeled as failure</x:t>
        </x:is>
      </x:c>
      <x:c r="H4" t="inlineStr">
        <x:is>
          <x:t xml:space="preserve">Need formal table row</x:t>
        </x:is>
      </x:c>
    </x:row>
    <x:row r="5">
      <x:c r="A5" t="inlineStr">
        <x:is>
          <x:t xml:space="preserve">Cost-bearing judge repair</x:t>
        </x:is>
      </x:c>
      <x:c r="B5" t="n">
        <x:v>4</x:v>
      </x:c>
      <x:c r="C5" t="inlineStr">
        <x:is>
          <x:t xml:space="preserve">Finite human third party pays</x:t>
        </x:is>
      </x:c>
      <x:c r="D5" t="inlineStr">
        <x:is>
          <x:t xml:space="preserve">Martyrdom/substitution intuition</x:t>
        </x:is>
      </x:c>
      <x:c r="E5" t="inlineStr">
        <x:is>
          <x:t xml:space="preserve">Authority/universality fails</x:t>
        </x:is>
      </x:c>
      <x:c r="F5" t="inlineStr">
        <x:is>
          <x:t xml:space="preserve">JusticeMercyOperator</x:t>
        </x:is>
      </x:c>
      <x:c r="G5" t="inlineStr">
        <x:is>
          <x:t xml:space="preserve">Already modeled as failure</x:t>
        </x:is>
      </x:c>
      <x:c r="H5" t="inlineStr">
        <x:is>
          <x:t xml:space="preserve">Need formal table row</x:t>
        </x:is>
      </x:c>
    </x:row>
    <x:row r="6">
      <x:c r="A6" t="inlineStr">
        <x:is>
          <x:t xml:space="preserve">Cost-bearing judge repair</x:t>
        </x:is>
      </x:c>
      <x:c r="B6" t="n">
        <x:v>5</x:v>
      </x:c>
      <x:c r="C6" t="inlineStr">
        <x:is>
          <x:t xml:space="preserve">Shared cost</x:t>
        </x:is>
      </x:c>
      <x:c r="D6" t="inlineStr">
        <x:is>
          <x:t xml:space="preserve">Balances justice and mercy</x:t>
        </x:is>
      </x:c>
      <x:c r="E6" t="inlineStr">
        <x:is>
          <x:t xml:space="preserve">Maximal mercy fails</x:t>
        </x:is>
      </x:c>
      <x:c r="F6" t="inlineStr">
        <x:is>
          <x:t xml:space="preserve">JusticeMercyOperator</x:t>
        </x:is>
      </x:c>
      <x:c r="G6" t="inlineStr">
        <x:is>
          <x:t xml:space="preserve">Already modeled as failure</x:t>
        </x:is>
      </x:c>
      <x:c r="H6" t="inlineStr">
        <x:is>
          <x:t xml:space="preserve">Need formal table row</x:t>
        </x:is>
      </x:c>
    </x:row>
    <x:row r="7">
      <x:c r="A7" t="inlineStr">
        <x:is>
          <x:t xml:space="preserve">Cross necessity</x:t>
        </x:is>
      </x:c>
      <x:c r="B7" t="n">
        <x:v>6</x:v>
      </x:c>
      <x:c r="C7" t="inlineStr">
        <x:is>
          <x:t xml:space="preserve">Progressive grace only</x:t>
        </x:is>
      </x:c>
      <x:c r="D7" t="inlineStr">
        <x:is>
          <x:t xml:space="preserve">Gradual repair feels less violent</x:t>
        </x:is>
      </x:c>
      <x:c r="E7" t="inlineStr">
        <x:is>
          <x:t xml:space="preserve">Fails above entropy threshold</x:t>
        </x:is>
      </x:c>
      <x:c r="F7" t="inlineStr">
        <x:is>
          <x:t xml:space="preserve">TANGENT_13_Entropy_Crossover</x:t>
        </x:is>
      </x:c>
      <x:c r="G7" t="inlineStr">
        <x:is>
          <x:t xml:space="preserve">Wins only below S≈0.28</x:t>
        </x:is>
      </x:c>
      <x:c r="H7" t="inlineStr">
        <x:is>
          <x:t xml:space="preserve">Needs reproducible simulation</x:t>
        </x:is>
      </x:c>
    </x:row>
    <x:row r="8">
      <x:c r="A8" t="inlineStr">
        <x:is>
          <x:t xml:space="preserve">Cross uniqueness</x:t>
        </x:is>
      </x:c>
      <x:c r="B8" t="n">
        <x:v>7</x:v>
      </x:c>
      <x:c r="C8" t="inlineStr">
        <x:is>
          <x:t xml:space="preserve">Universal pardon</x:t>
        </x:is>
      </x:c>
      <x:c r="D8" t="inlineStr">
        <x:is>
          <x:t xml:space="preserve">Maximizes forgiveness</x:t>
        </x:is>
      </x:c>
      <x:c r="E8" t="inlineStr">
        <x:is>
          <x:t xml:space="preserve">Justice/love/entropy/holiness fail per model</x:t>
        </x:is>
      </x:c>
      <x:c r="F8" t="inlineStr">
        <x:is>
          <x:t xml:space="preserve">THE CROSS UNIQUE SOLUTION</x:t>
        </x:is>
      </x:c>
      <x:c r="G8" t="inlineStr">
        <x:is>
          <x:t xml:space="preserve">Named alternative 2/6</x:t>
        </x:is>
      </x:c>
      <x:c r="H8" t="inlineStr">
        <x:is>
          <x:t xml:space="preserve">Needs respectful public framing</x:t>
        </x:is>
      </x:c>
    </x:row>
    <x:row r="9">
      <x:c r="A9" t="inlineStr">
        <x:is>
          <x:t xml:space="preserve">Cross uniqueness</x:t>
        </x:is>
      </x:c>
      <x:c r="B9" t="n">
        <x:v>8</x:v>
      </x:c>
      <x:c r="C9" t="inlineStr">
        <x:is>
          <x:t xml:space="preserve">Divine override</x:t>
        </x:is>
      </x:c>
      <x:c r="D9" t="inlineStr">
        <x:is>
          <x:t xml:space="preserve">Maximizes immediate coherence</x:t>
        </x:is>
      </x:c>
      <x:c r="E9" t="inlineStr">
        <x:is>
          <x:t xml:space="preserve">Free will and love fail</x:t>
        </x:is>
      </x:c>
      <x:c r="F9" t="inlineStr">
        <x:is>
          <x:t xml:space="preserve">THE CROSS UNIQUE SOLUTION / Constraint Fork</x:t>
        </x:is>
      </x:c>
      <x:c r="G9" t="inlineStr">
        <x:is>
          <x:t xml:space="preserve">Named alternative 4/6</x:t>
        </x:is>
      </x:c>
      <x:c r="H9" t="inlineStr">
        <x:is>
          <x:t xml:space="preserve">Needs public version</x:t>
        </x:is>
      </x:c>
    </x:row>
    <x:row r="10">
      <x:c r="A10" t="inlineStr">
        <x:is>
          <x:t xml:space="preserve">Self-repair impossibility</x:t>
        </x:is>
      </x:c>
      <x:c r="B10" t="n">
        <x:v>9</x:v>
      </x:c>
      <x:c r="C10" t="inlineStr">
        <x:is>
          <x:t xml:space="preserve">Works-based self-improvement</x:t>
        </x:is>
      </x:c>
      <x:c r="D10" t="inlineStr">
        <x:is>
          <x:t xml:space="preserve">People visibly improve behavior</x:t>
        </x:is>
      </x:c>
      <x:c r="E10" t="inlineStr">
        <x:is>
          <x:t xml:space="preserve">Sign flip vs magnitude change confused</x:t>
        </x:is>
      </x:c>
      <x:c r="F10" t="inlineStr">
        <x:is>
          <x:t xml:space="preserve">TANGENT_10 / C8.1</x:t>
        </x:is>
      </x:c>
      <x:c r="G10" t="inlineStr">
        <x:is>
          <x:t xml:space="preserve">Fails sign-flip claim</x:t>
        </x:is>
      </x:c>
      <x:c r="H10" t="inlineStr">
        <x:is>
          <x:t xml:space="preserve">Need empirical signature plan</x:t>
        </x:is>
      </x:c>
    </x:row>
    <x:row r="11">
      <x:c r="A11" t="inlineStr">
        <x:is>
          <x:t xml:space="preserve">Polarity structure</x:t>
        </x:is>
      </x:c>
      <x:c r="B11" t="n">
        <x:v>10</x:v>
      </x:c>
      <x:c r="C11" t="inlineStr">
        <x:is>
          <x:t xml:space="preserve">Evil is merely less-good</x:t>
        </x:is>
      </x:c>
      <x:c r="D11" t="inlineStr">
        <x:is>
          <x:t xml:space="preserve">Explains immaturity/imperfection</x:t>
        </x:is>
      </x:c>
      <x:c r="E11" t="inlineStr">
        <x:is>
          <x:t xml:space="preserve">Cannot explain inversion/betrayal/malice</x:t>
        </x:is>
      </x:c>
      <x:c r="F11" t="inlineStr">
        <x:is>
          <x:t xml:space="preserve">Duality Project / Polarity Lane</x:t>
        </x:is>
      </x:c>
      <x:c r="G11" t="inlineStr">
        <x:is>
          <x:t xml:space="preserve">Needs Lean polarity module</x:t>
        </x:is>
      </x:c>
      <x:c r="H11" t="inlineStr">
        <x:is>
          <x:t xml:space="preserve">Open</x:t>
        </x:is>
      </x:c>
    </x:row>
  </x:sheetData>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baseColWidth="8" defaultRowHeight="15"/>
  <x:cols>
    <x:col min="1" max="1" width="34" customWidth="1"/>
    <x:col min="2" max="2" width="14" customWidth="1"/>
    <x:col min="3" max="3" width="8" customWidth="1"/>
    <x:col min="4" max="4" width="32" customWidth="1"/>
    <x:col min="5" max="5" width="72" customWidth="1"/>
  </x:cols>
  <x:sheetData>
    <x:row r="1">
      <x:c r="A1" s="97" t="inlineStr">
        <x:is>
          <x:t xml:space="preserve">One-Axiom Probe Production Ledger Addendum</x:t>
        </x:is>
      </x:c>
      <x:c r="E1" s="97" t="n"/>
    </x:row>
    <x:row r="2">
      <x:c r="A2" s="98" t="inlineStr">
        <x:is>
          <x:t xml:space="preserve">Updated</x:t>
        </x:is>
      </x:c>
      <x:c r="B2" t="inlineStr">
        <x:is>
          <x:t xml:space="preserve">2026-08-15 06:32:59</x:t>
        </x:is>
      </x:c>
    </x:row>
    <x:row r="3">
      <x:c r="A3" s="98" t="inlineStr">
        <x:is>
          <x:t xml:space="preserve">Production Lean package</x:t>
        </x:is>
      </x:c>
      <x:c r="B3" t="inlineStr">
        <x:is>
          <x:t xml:space="preserve">D:\CHI PARTS\Math\theophysics-lean-main</x:t>
        </x:is>
      </x:c>
    </x:row>
    <x:row r="4">
      <x:c r="A4" s="98" t="inlineStr">
        <x:is>
          <x:t xml:space="preserve">Lean file</x:t>
        </x:is>
      </x:c>
      <x:c r="B4" t="inlineStr">
        <x:is>
          <x:t xml:space="preserve">D:\CHI PARTS\Math\theophysics-lean-main\CanonOneAxiomProbe.lean</x:t>
        </x:is>
      </x:c>
    </x:row>
    <x:row r="5">
      <x:c r="A5" s="98" t="inlineStr">
        <x:is>
          <x:t xml:space="preserve">Workbook backup</x:t>
        </x:is>
      </x:c>
      <x:c r="B5" t="inlineStr">
        <x:is>
          <x:t xml:space="preserve">\\192.168.2.50\h_hp\Desktop\Master EXCEL\Lean 4 - CANONICAL_LEDGER_MERGED.backup_before_one_axiom_20260815-063258.xlsx</x:t>
        </x:is>
      </x:c>
    </x:row>
    <x:row r="6">
      <x:c r="A6" s="98" t="inlineStr">
        <x:is>
          <x:t xml:space="preserve">Validation</x:t>
        </x:is>
      </x:c>
      <x:c r="B6" t="inlineStr">
        <x:is>
          <x:t xml:space="preserve">lake build passed; lake env lean CanonOneAxiomProbe.lean passed</x:t>
        </x:is>
      </x:c>
    </x:row>
    <x:row r="7">
      <x:c r="A7" s="98" t="inlineStr">
        <x:is>
          <x:t xml:space="preserve">Boundary</x:t>
        </x:is>
      </x:c>
      <x:c r="B7" t="inlineStr">
        <x:is>
          <x:t xml:space="preserve">Lean verifies dependency shape from one admitted root; it does not prove the theological root exists.</x:t>
        </x:is>
      </x:c>
    </x:row>
    <x:row r="9">
      <x:c r="A9" s="99" t="inlineStr">
        <x:is>
          <x:t xml:space="preserve">declaration_name</x:t>
        </x:is>
      </x:c>
      <x:c r="B9" s="99" t="inlineStr">
        <x:is>
          <x:t xml:space="preserve">kind</x:t>
        </x:is>
      </x:c>
      <x:c r="C9" s="99" t="inlineStr">
        <x:is>
          <x:t xml:space="preserve">line</x:t>
        </x:is>
      </x:c>
      <x:c r="D9" s="99" t="inlineStr">
        <x:is>
          <x:t xml:space="preserve">ledger_status</x:t>
        </x:is>
      </x:c>
      <x:c r="E9" s="99" t="inlineStr">
        <x:is>
          <x:t xml:space="preserve">overclaim_guard</x:t>
        </x:is>
      </x:c>
    </x:row>
    <x:row r="10">
      <x:c r="A10" s="12" t="inlineStr">
        <x:is>
          <x:t xml:space="preserve">Person</x:t>
        </x:is>
      </x:c>
      <x:c r="B10" s="12" t="inlineStr">
        <x:is>
          <x:t xml:space="preserve">structure</x:t>
        </x:is>
      </x:c>
      <x:c r="C10" s="12" t="n">
        <x:v>14</x:v>
      </x:c>
      <x:c r="D10" s="12" t="inlineStr">
        <x:is>
          <x:t xml:space="preserve">STRUCTURE_DECLARATION</x:t>
        </x:is>
      </x:c>
      <x:c r="E10" s="12" t="inlineStr">
        <x:is>
          <x:t xml:space="preserve">Scaffolding/projection; do not count as public proof without mapping.</x:t>
        </x:is>
      </x:c>
    </x:row>
    <x:row r="11">
      <x:c r="A11" s="12" t="inlineStr">
        <x:is>
          <x:t xml:space="preserve">CreatedMirror</x:t>
        </x:is>
      </x:c>
      <x:c r="B11" s="12" t="inlineStr">
        <x:is>
          <x:t xml:space="preserve">structure</x:t>
        </x:is>
      </x:c>
      <x:c r="C11" s="12" t="n">
        <x:v>18</x:v>
      </x:c>
      <x:c r="D11" s="12" t="inlineStr">
        <x:is>
          <x:t xml:space="preserve">STRUCTURE_DECLARATION</x:t>
        </x:is>
      </x:c>
      <x:c r="E11" s="12" t="inlineStr">
        <x:is>
          <x:t xml:space="preserve">Scaffolding/projection; do not count as public proof without mapping.</x:t>
        </x:is>
      </x:c>
    </x:row>
    <x:row r="12">
      <x:c r="A12" s="12" t="inlineStr">
        <x:is>
          <x:t xml:space="preserve">TrinitarianRoot</x:t>
        </x:is>
      </x:c>
      <x:c r="B12" s="12" t="inlineStr">
        <x:is>
          <x:t xml:space="preserve">structure</x:t>
        </x:is>
      </x:c>
      <x:c r="C12" s="12" t="n">
        <x:v>22</x:v>
      </x:c>
      <x:c r="D12" s="12" t="inlineStr">
        <x:is>
          <x:t xml:space="preserve">ROOT_STRUCTURE_DECLARATION</x:t>
        </x:is>
      </x:c>
      <x:c r="E12" s="12" t="inlineStr">
        <x:is>
          <x:t xml:space="preserve">Scaffolding/projection; do not count as public proof without mapping.</x:t>
        </x:is>
      </x:c>
    </x:row>
    <x:row r="13">
      <x:c r="A13" s="12" t="inlineStr">
        <x:is>
          <x:t xml:space="preserve">God</x:t>
        </x:is>
      </x:c>
      <x:c r="B13" s="12" t="inlineStr">
        <x:is>
          <x:t xml:space="preserve">axiom</x:t>
        </x:is>
      </x:c>
      <x:c r="C13" s="12" t="n">
        <x:v>40</x:v>
      </x:c>
      <x:c r="D13" s="12" t="inlineStr">
        <x:is>
          <x:t xml:space="preserve">ROOT_AXIOM_ADMITTED</x:t>
        </x:is>
      </x:c>
      <x:c r="E13" s="12" t="inlineStr">
        <x:is>
          <x:t xml:space="preserve">Single admitted root; Lean does not prove existence of root.</x:t>
        </x:is>
      </x:c>
    </x:row>
    <x:row r="14">
      <x:c r="A14" s="12" t="inlineStr">
        <x:is>
          <x:t xml:space="preserve">ExistenceDebtPaid</x:t>
        </x:is>
      </x:c>
      <x:c r="B14" s="12" t="inlineStr">
        <x:is>
          <x:t xml:space="preserve">def</x:t>
        </x:is>
      </x:c>
      <x:c r="C14" s="12" t="n">
        <x:v>44</x:v>
      </x:c>
      <x:c r="D14" s="12" t="inlineStr">
        <x:is>
          <x:t xml:space="preserve">DEFINITIONAL_PROJECTION</x:t>
        </x:is>
      </x:c>
      <x:c r="E14" s="12" t="inlineStr">
        <x:is>
          <x:t xml:space="preserve">Scaffolding/projection; do not count as public proof without mapping.</x:t>
        </x:is>
      </x:c>
    </x:row>
    <x:row r="15">
      <x:c r="A15" s="12" t="inlineStr">
        <x:is>
          <x:t xml:space="preserve">DistinctionDebtPaid</x:t>
        </x:is>
      </x:c>
      <x:c r="B15" s="12" t="inlineStr">
        <x:is>
          <x:t xml:space="preserve">def</x:t>
        </x:is>
      </x:c>
      <x:c r="C15" s="12" t="n">
        <x:v>45</x:v>
      </x:c>
      <x:c r="D15" s="12" t="inlineStr">
        <x:is>
          <x:t xml:space="preserve">DEFINITIONAL_PROJECTION</x:t>
        </x:is>
      </x:c>
      <x:c r="E15" s="12" t="inlineStr">
        <x:is>
          <x:t xml:space="preserve">Scaffolding/projection; do not count as public proof without mapping.</x:t>
        </x:is>
      </x:c>
    </x:row>
    <x:row r="16">
      <x:c r="A16" s="12" t="inlineStr">
        <x:is>
          <x:t xml:space="preserve">RelationDebtPaid</x:t>
        </x:is>
      </x:c>
      <x:c r="B16" s="12" t="inlineStr">
        <x:is>
          <x:t xml:space="preserve">def</x:t>
        </x:is>
      </x:c>
      <x:c r="C16" s="12" t="n">
        <x:v>46</x:v>
      </x:c>
      <x:c r="D16" s="12" t="inlineStr">
        <x:is>
          <x:t xml:space="preserve">DEFINITIONAL_PROJECTION</x:t>
        </x:is>
      </x:c>
      <x:c r="E16" s="12" t="inlineStr">
        <x:is>
          <x:t xml:space="preserve">Scaffolding/projection; do not count as public proof without mapping.</x:t>
        </x:is>
      </x:c>
    </x:row>
    <x:row r="17">
      <x:c r="A17" s="12" t="inlineStr">
        <x:is>
          <x:t xml:space="preserve">OrientationDebtPaid</x:t>
        </x:is>
      </x:c>
      <x:c r="B17" s="12" t="inlineStr">
        <x:is>
          <x:t xml:space="preserve">def</x:t>
        </x:is>
      </x:c>
      <x:c r="C17" s="12" t="n">
        <x:v>47</x:v>
      </x:c>
      <x:c r="D17" s="12" t="inlineStr">
        <x:is>
          <x:t xml:space="preserve">DEFINITIONAL_PROJECTION</x:t>
        </x:is>
      </x:c>
      <x:c r="E17" s="12" t="inlineStr">
        <x:is>
          <x:t xml:space="preserve">Scaffolding/projection; do not count as public proof without mapping.</x:t>
        </x:is>
      </x:c>
    </x:row>
    <x:row r="18">
      <x:c r="A18" s="12" t="inlineStr">
        <x:is>
          <x:t xml:space="preserve">ConsciousnessDerivative</x:t>
        </x:is>
      </x:c>
      <x:c r="B18" s="12" t="inlineStr">
        <x:is>
          <x:t xml:space="preserve">def</x:t>
        </x:is>
      </x:c>
      <x:c r="C18" s="12" t="n">
        <x:v>49</x:v>
      </x:c>
      <x:c r="D18" s="12" t="inlineStr">
        <x:is>
          <x:t xml:space="preserve">DEFINITIONAL_PROJECTION</x:t>
        </x:is>
      </x:c>
      <x:c r="E18" s="12" t="inlineStr">
        <x:is>
          <x:t xml:space="preserve">Scaffolding/projection; do not count as public proof without mapping.</x:t>
        </x:is>
      </x:c>
    </x:row>
    <x:row r="19">
      <x:c r="A19" s="12" t="inlineStr">
        <x:is>
          <x:t xml:space="preserve">existence_from_one_axiom</x:t>
        </x:is>
      </x:c>
      <x:c r="B19" s="12" t="inlineStr">
        <x:is>
          <x:t xml:space="preserve">theorem</x:t>
        </x:is>
      </x:c>
      <x:c r="C19" s="12" t="n">
        <x:v>51</x:v>
      </x:c>
      <x:c r="D19" s="12" t="inlineStr">
        <x:is>
          <x:t xml:space="preserve">THEOREM_FROM_SINGLE_ROOT_AXIOM</x:t>
        </x:is>
      </x:c>
      <x:c r="E19" s="12" t="inlineStr">
        <x:is>
          <x:t xml:space="preserve">Formal dependency extraction only; not an independent proof of God.</x:t>
        </x:is>
      </x:c>
    </x:row>
    <x:row r="20">
      <x:c r="A20" s="12" t="inlineStr">
        <x:is>
          <x:t xml:space="preserve">distinction_from_one_axiom</x:t>
        </x:is>
      </x:c>
      <x:c r="B20" s="12" t="inlineStr">
        <x:is>
          <x:t xml:space="preserve">theorem</x:t>
        </x:is>
      </x:c>
      <x:c r="C20" s="12" t="n">
        <x:v>55</x:v>
      </x:c>
      <x:c r="D20" s="12" t="inlineStr">
        <x:is>
          <x:t xml:space="preserve">THEOREM_FROM_SINGLE_ROOT_AXIOM</x:t>
        </x:is>
      </x:c>
      <x:c r="E20" s="12" t="inlineStr">
        <x:is>
          <x:t xml:space="preserve">Formal dependency extraction only; public claim requires boundary text.</x:t>
        </x:is>
      </x:c>
    </x:row>
    <x:row r="21">
      <x:c r="A21" s="12" t="inlineStr">
        <x:is>
          <x:t xml:space="preserve">relation_from_one_axiom</x:t>
        </x:is>
      </x:c>
      <x:c r="B21" s="12" t="inlineStr">
        <x:is>
          <x:t xml:space="preserve">theorem</x:t>
        </x:is>
      </x:c>
      <x:c r="C21" s="12" t="n">
        <x:v>58</x:v>
      </x:c>
      <x:c r="D21" s="12" t="inlineStr">
        <x:is>
          <x:t xml:space="preserve">THEOREM_FROM_SINGLE_ROOT_AXIOM</x:t>
        </x:is>
      </x:c>
      <x:c r="E21" s="12" t="inlineStr">
        <x:is>
          <x:t xml:space="preserve">Formal dependency extraction only; public claim requires boundary text.</x:t>
        </x:is>
      </x:c>
    </x:row>
    <x:row r="22">
      <x:c r="A22" s="12" t="inlineStr">
        <x:is>
          <x:t xml:space="preserve">orientation_from_one_axiom</x:t>
        </x:is>
      </x:c>
      <x:c r="B22" s="12" t="inlineStr">
        <x:is>
          <x:t xml:space="preserve">theorem</x:t>
        </x:is>
      </x:c>
      <x:c r="C22" s="12" t="n">
        <x:v>61</x:v>
      </x:c>
      <x:c r="D22" s="12" t="inlineStr">
        <x:is>
          <x:t xml:space="preserve">THEOREM_FROM_SINGLE_ROOT_AXIOM</x:t>
        </x:is>
      </x:c>
      <x:c r="E22" s="12" t="inlineStr">
        <x:is>
          <x:t xml:space="preserve">Formal dependency extraction only; public claim requires boundary text.</x:t>
        </x:is>
      </x:c>
    </x:row>
    <x:row r="23">
      <x:c r="A23" s="12" t="inlineStr">
        <x:is>
          <x:t xml:space="preserve">consciousness_not_second_axiom</x:t>
        </x:is>
      </x:c>
      <x:c r="B23" s="12" t="inlineStr">
        <x:is>
          <x:t xml:space="preserve">theorem</x:t>
        </x:is>
      </x:c>
      <x:c r="C23" s="12" t="n">
        <x:v>64</x:v>
      </x:c>
      <x:c r="D23" s="12" t="inlineStr">
        <x:is>
          <x:t xml:space="preserve">THEOREM_FROM_SINGLE_ROOT_AXIOM</x:t>
        </x:is>
      </x:c>
      <x:c r="E23" s="12" t="inlineStr">
        <x:is>
          <x:t xml:space="preserve">Shows mirror/consciousness fields project from root, not a separate axiom.</x:t>
        </x:is>
      </x:c>
    </x:row>
    <x:row r="24">
      <x:c r="A24" s="12" t="inlineStr">
        <x:is>
          <x:t xml:space="preserve">no_extra_root_needed_for_mirror</x:t>
        </x:is>
      </x:c>
      <x:c r="B24" s="12" t="inlineStr">
        <x:is>
          <x:t xml:space="preserve">theorem</x:t>
        </x:is>
      </x:c>
      <x:c r="C24" s="12" t="n">
        <x:v>68</x:v>
      </x:c>
      <x:c r="D24" s="12" t="inlineStr">
        <x:is>
          <x:t xml:space="preserve">THEOREM_FROM_SINGLE_ROOT_AXIOM</x:t>
        </x:is>
      </x:c>
      <x:c r="E24" s="12" t="inlineStr">
        <x:is>
          <x:t xml:space="preserve">Existential mirror witness comes from admitted root fields.</x:t>
        </x:is>
      </x:c>
    </x:row>
    <x:row r="25">
      <x:c r="A25" s="12" t="inlineStr">
        <x:is>
          <x:t xml:space="preserve">three_persons_pairwise_distinct</x:t>
        </x:is>
      </x:c>
      <x:c r="B25" s="12" t="inlineStr">
        <x:is>
          <x:t xml:space="preserve">theorem</x:t>
        </x:is>
      </x:c>
      <x:c r="C25" s="12" t="n">
        <x:v>72</x:v>
      </x:c>
      <x:c r="D25" s="12" t="inlineStr">
        <x:is>
          <x:t xml:space="preserve">THEOREM_FROM_SINGLE_ROOT_AXIOM</x:t>
        </x:is>
      </x:c>
      <x:c r="E25" s="12" t="inlineStr">
        <x:is>
          <x:t xml:space="preserve">Three-person distinctness is encoded in the admitted root structure.</x:t>
        </x:is>
      </x:c>
    </x:row>
  </x:sheetData>
  <x:mergeCells>
    <x:mergeCell ref="A1:D1"/>
  </x:mergeCells>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defaultRowHeight="15"/>
  <x:cols>
    <x:col min="1" max="1" width="27" hidden="0" customWidth="1"/>
    <x:col min="2" max="2" width="20" hidden="0" customWidth="1"/>
    <x:col min="3" max="3" width="35" hidden="0" customWidth="1"/>
    <x:col min="4" max="4" width="22" hidden="0" customWidth="1"/>
    <x:col min="5" max="5" width="33" hidden="0" customWidth="1"/>
    <x:col min="6" max="6" width="44" hidden="0" customWidth="1"/>
    <x:col min="7" max="7" width="34" hidden="0" customWidth="1"/>
    <x:col min="8" max="8" width="40" hidden="0" customWidth="1"/>
  </x:cols>
  <x:sheetData>
    <x:row r="1" ht="28" customHeight="1">
      <x:c r="A1" s="130" t="str">
        <x:v>August 18 Formal Checkpoint: Assumptions, Negative Controls, and Test Queue</x:v>
      </x:c>
      <x:c r="B1" s="130"/>
      <x:c r="C1" s="130"/>
      <x:c r="D1" s="130"/>
      <x:c r="E1" s="130"/>
      <x:c r="F1" s="130"/>
      <x:c r="G1" s="130"/>
      <x:c r="H1" s="130"/>
    </x:row>
    <x:row r="3">
      <x:c r="A3" s="136" t="str">
        <x:v>Checkpoint scope</x:v>
      </x:c>
      <x:c r="B3" s="137" t="str">
        <x:v>New August 18 formal additions only. Kept separate from the earlier One-Axiom Probe.</x:v>
      </x:c>
    </x:row>
    <x:row r="4">
      <x:c r="A4" s="136" t="str">
        <x:v>Bare assumptions / candidate claims</x:v>
      </x:c>
      <x:c r="B4" s="137" t="n">
        <x:v>4</x:v>
      </x:c>
    </x:row>
    <x:row r="5">
      <x:c r="A5" s="136" t="str">
        <x:v>Direct negative controls coded</x:v>
      </x:c>
      <x:c r="B5" s="137" t="n">
        <x:v>4</x:v>
      </x:c>
    </x:row>
    <x:row r="6">
      <x:c r="A6" s="136" t="str">
        <x:v>Previously admitted root axioms</x:v>
      </x:c>
      <x:c r="B6" s="137" t="n">
        <x:v>1</x:v>
      </x:c>
    </x:row>
    <x:row r="7">
      <x:c r="A7" s="136" t="str">
        <x:v>GitHub Lean CI status</x:v>
      </x:c>
      <x:c r="B7" s="137" t="str">
        <x:v>FAILED on Aug 18. The four new modules do not compile yet; no formal theorem from this checkpoint is build-verified.</x:v>
      </x:c>
    </x:row>
    <x:row r="9" ht="15" hidden="0" customHeight="1">
      <x:c r="A9" s="142" t="str">
        <x:v>Item</x:v>
      </x:c>
      <x:c r="B9" s="142" t="str">
        <x:v>Kind</x:v>
      </x:c>
      <x:c r="C9" s="142" t="str">
        <x:v>Formal location</x:v>
      </x:c>
      <x:c r="D9" s="142" t="str">
        <x:v>Status</x:v>
      </x:c>
      <x:c r="E9" s="142" t="str">
        <x:v>Bare assumption / candidate</x:v>
      </x:c>
      <x:c r="F9" s="142" t="str">
        <x:v>Negative result or control</x:v>
      </x:c>
      <x:c r="G9" s="142" t="str">
        <x:v>What it establishes</x:v>
      </x:c>
      <x:c r="H9" s="142" t="str">
        <x:v>What it does NOT establish</x:v>
      </x:c>
    </x:row>
    <x:row r="10" ht="26.399999618530273" hidden="0" customHeight="1">
      <x:c r="A10" s="118" t="str">
        <x:v>Membership requires existence</x:v>
      </x:c>
      <x:c r="B10" s="118" t="str">
        <x:v>Candidate condition</x:v>
      </x:c>
      <x:c r="C10" s="118" t="str">
        <x:v>Theophysics_OntologicalMeasurement.lean</x:v>
      </x:c>
      <x:c r="D10" s="118" t="str">
        <x:v>Coded; CI failed</x:v>
      </x:c>
      <x:c r="E10" s="118" t="str">
        <x:v>memberOf x y -&gt; Exists x and Exists y</x:v>
      </x:c>
      <x:c r="F10" s="118" t="str">
        <x:v>Ghost-member countermodel: membership can hold while Exists is false unless this condition is supplied.</x:v>
      </x:c>
      <x:c r="G10" s="118" t="str">
        <x:v>Makes the ontology dependency explicit.</x:v>
      </x:c>
      <x:c r="H10" s="118" t="str">
        <x:v>Does not prove real-world membership is ontological.</x:v>
      </x:c>
    </x:row>
    <x:row r="11" ht="26.399999618530273" hidden="0" customHeight="1">
      <x:c r="A11" s="118" t="str">
        <x:v>Approximation has one determinate target</x:v>
      </x:c>
      <x:c r="B11" s="118" t="str">
        <x:v>Candidate condition</x:v>
      </x:c>
      <x:c r="C11" s="118" t="str">
        <x:v>Theophysics_OntologicalMeasurement.lean</x:v>
      </x:c>
      <x:c r="D11" s="118" t="str">
        <x:v>Coded; CI failed</x:v>
      </x:c>
      <x:c r="E11" s="118" t="str">
        <x:v>There exists exactly one admissible target.</x:v>
      </x:c>
      <x:c r="F11" s="118" t="str">
        <x:v>Two-target countermodel: if 0 and 1 are admissible, uniqueness fails.</x:v>
      </x:c>
      <x:c r="G11" s="118" t="str">
        <x:v>Separates approximation from determinate measurement.</x:v>
      </x:c>
      <x:c r="H11" s="118" t="str">
        <x:v>Does not prove all measurements have a unique target.</x:v>
      </x:c>
    </x:row>
    <x:row r="12" ht="39.599998474121094" hidden="0" customHeight="1">
      <x:c r="A12" s="118" t="str">
        <x:v>Perfect accounting / perfect justice</x:v>
      </x:c>
      <x:c r="B12" s="118" t="str">
        <x:v>Candidate condition</x:v>
      </x:c>
      <x:c r="C12" s="118" t="str">
        <x:v>Theophysics_PerfectJustice.lean</x:v>
      </x:c>
      <x:c r="D12" s="118" t="str">
        <x:v>Coded; CI failed</x:v>
      </x:c>
      <x:c r="E12" s="118" t="str">
        <x:v>A settled record has zero outstanding balance while its original debt record remains present.</x:v>
      </x:c>
      <x:c r="F12" s="118" t="str">
        <x:v>Modulo collision blocks the stronger false statement that math never loses information under any operation.</x:v>
      </x:c>
      <x:c r="G12" s="118" t="str">
        <x:v>Formalizes settlement without pretending the history never existed.</x:v>
      </x:c>
      <x:c r="H12" s="118" t="str">
        <x:v>Does not prove a theological doctrine of justice or grace.</x:v>
      </x:c>
    </x:row>
    <x:row r="13" ht="26.399999618530273" hidden="0" customHeight="1">
      <x:c r="A13" s="118" t="str">
        <x:v>Delta Triangle operator triple</x:v>
      </x:c>
      <x:c r="B13" s="118" t="str">
        <x:v>Candidate model claim</x:v>
      </x:c>
      <x:c r="C13" s="118" t="str">
        <x:v>Theophysics_PrecisionMatrix.lean</x:v>
      </x:c>
      <x:c r="D13" s="118" t="str">
        <x:v>Coded toy model; CI failed</x:v>
      </x:c>
      <x:c r="E13" s="118" t="str">
        <x:v>Ledger, actuation, and evaluation structures can be related by an operator isomorphism.</x:v>
      </x:c>
      <x:c r="F13" s="118" t="str">
        <x:v>No real cross-domain preservation test yet; current three instances share the same toy Nat shape.</x:v>
      </x:c>
      <x:c r="G13" s="118" t="str">
        <x:v>Provides a rigorous specification for a future triple-isomorphism test.</x:v>
      </x:c>
      <x:c r="H13" s="118" t="str">
        <x:v>Does not establish an actual Math-God-Physics isomorphism.</x:v>
      </x:c>
    </x:row>
    <x:row r="14" ht="15" hidden="0" customHeight="1">
      <x:c r="A14" s="118" t="str">
        <x:v>Membership without existence</x:v>
      </x:c>
      <x:c r="B14" s="118" t="str">
        <x:v>Negative control</x:v>
      </x:c>
      <x:c r="C14" s="118" t="str">
        <x:v>Theophysics_OntologicalMeasurement.lean</x:v>
      </x:c>
      <x:c r="D14" s="118" t="str">
        <x:v>Coded</x:v>
      </x:c>
      <x:c r="E14" s="118" t="str">
        <x:v>None</x:v>
      </x:c>
      <x:c r="F14" s="118" t="str">
        <x:v>A ghost entity belongs to a set but has Exists = false.</x:v>
      </x:c>
      <x:c r="G14" s="118" t="str">
        <x:v>Membership alone is insufficient.</x:v>
      </x:c>
      <x:c r="H14" s="118" t="str">
        <x:v>Does not refute the strengthened candidate condition.</x:v>
      </x:c>
    </x:row>
    <x:row r="15" ht="26.399999618530273" hidden="0" customHeight="1">
      <x:c r="A15" s="118" t="str">
        <x:v>Existence without membership</x:v>
      </x:c>
      <x:c r="B15" s="118" t="str">
        <x:v>Negative control</x:v>
      </x:c>
      <x:c r="C15" s="118" t="str">
        <x:v>Theophysics_OntologicalMeasurement.lean</x:v>
      </x:c>
      <x:c r="D15" s="118" t="str">
        <x:v>Coded</x:v>
      </x:c>
      <x:c r="E15" s="118" t="str">
        <x:v>None</x:v>
      </x:c>
      <x:c r="F15" s="118" t="str">
        <x:v>Existing sets need not stand in membership relation.</x:v>
      </x:c>
      <x:c r="G15" s="118" t="str">
        <x:v>Existence alone is insufficient.</x:v>
      </x:c>
      <x:c r="H15" s="118" t="str">
        <x:v>Does not refute membership when separately asserted.</x:v>
      </x:c>
    </x:row>
    <x:row r="16" ht="26.399999618530273" hidden="0" customHeight="1">
      <x:c r="A16" s="118" t="str">
        <x:v>Non-unique approximation</x:v>
      </x:c>
      <x:c r="B16" s="118" t="str">
        <x:v>Negative control</x:v>
      </x:c>
      <x:c r="C16" s="118" t="str">
        <x:v>Theophysics_OntologicalMeasurement.lean</x:v>
      </x:c>
      <x:c r="D16" s="118" t="str">
        <x:v>Coded</x:v>
      </x:c>
      <x:c r="E16" s="118" t="str">
        <x:v>None</x:v>
      </x:c>
      <x:c r="F16" s="118" t="str">
        <x:v>Two admissible values (0 and 1) defeat unique determinacy.</x:v>
      </x:c>
      <x:c r="G16" s="118" t="str">
        <x:v>Weak approximation is not automatically a measurement.</x:v>
      </x:c>
      <x:c r="H16" s="118" t="str">
        <x:v>Does not deny useful approximation.</x:v>
      </x:c>
    </x:row>
    <x:row r="17" ht="26.399999618530273" hidden="0" customHeight="1">
      <x:c r="A17" s="118" t="str">
        <x:v>Modulo collision</x:v>
      </x:c>
      <x:c r="B17" s="118" t="str">
        <x:v>Negative control</x:v>
      </x:c>
      <x:c r="C17" s="118" t="str">
        <x:v>Theophysics_FormalLimits.lean</x:v>
      </x:c>
      <x:c r="D17" s="118" t="str">
        <x:v>Coded</x:v>
      </x:c>
      <x:c r="E17" s="118" t="str">
        <x:v>None</x:v>
      </x:c>
      <x:c r="F17" s="118" t="str">
        <x:v>7 and 2 become equal modulo 5 despite being distinct naturals.</x:v>
      </x:c>
      <x:c r="G17" s="118" t="str">
        <x:v>The slogan 'no operation erases a debt' needs the refined accounting boundary.</x:v>
      </x:c>
      <x:c r="H17" s="118" t="str">
        <x:v>Does not show all accounting structures lose history.</x:v>
      </x:c>
    </x:row>
    <x:row r="18"/>
    <x:row r="19"/>
    <x:row r="20" ht="15" hidden="0" customHeight="1">
      <x:c r="A20" s="149" t="str">
        <x:v>Unrun / required before any final claim</x:v>
      </x:c>
      <x:c r="B20" s="149"/>
      <x:c r="C20" s="149"/>
      <x:c r="D20" s="149"/>
      <x:c r="E20" s="149"/>
      <x:c r="F20" s="149"/>
      <x:c r="G20" s="149"/>
      <x:c r="H20" s="149"/>
    </x:row>
    <x:row r="21" ht="15" hidden="0" customHeight="1">
      <x:c r="A21" s="150" t="str">
        <x:v>1. Repair the compilation errors, then rerun direct Lean checks for all four modules.</x:v>
      </x:c>
      <x:c r="B21" s="150"/>
      <x:c r="C21" s="150"/>
      <x:c r="D21" s="150"/>
      <x:c r="E21" s="150"/>
      <x:c r="F21" s="150"/>
      <x:c r="G21" s="150"/>
      <x:c r="H21" s="150"/>
    </x:row>
    <x:row r="22" ht="15" hidden="0" customHeight="1">
      <x:c r="A22" s="150" t="str">
        <x:v>2. Audit Type-level existence versus the explicit Exists predicate.</x:v>
      </x:c>
      <x:c r="B22" s="150"/>
      <x:c r="C22" s="150"/>
      <x:c r="D22" s="150"/>
      <x:c r="E22" s="150"/>
      <x:c r="F22" s="150"/>
      <x:c r="G22" s="150"/>
      <x:c r="H22" s="150"/>
    </x:row>
    <x:row r="23" ht="15" hidden="0" customHeight="1">
      <x:c r="A23" s="150" t="str">
        <x:v>3. Search for contradiction/explosion paths and unintended axioms.</x:v>
      </x:c>
      <x:c r="B23" s="150"/>
      <x:c r="C23" s="150"/>
      <x:c r="D23" s="150"/>
      <x:c r="E23" s="150"/>
      <x:c r="F23" s="150"/>
      <x:c r="G23" s="150"/>
      <x:c r="H23" s="150"/>
    </x:row>
    <x:row r="24" ht="15" hidden="0" customHeight="1">
      <x:c r="A24" s="150" t="str">
        <x:v>4. Replace the Precision Matrix toy Nat instances with independently specified math, physics, and theology models, then test preservation and reflection in both directions.</x:v>
      </x:c>
      <x:c r="B24" s="150"/>
      <x:c r="C24" s="150"/>
      <x:c r="D24" s="150"/>
      <x:c r="E24" s="150"/>
      <x:c r="F24" s="150"/>
      <x:c r="G24" s="150"/>
      <x:c r="H24" s="150"/>
    </x:row>
  </x:sheetData>
  <x:mergeCells>
    <x:mergeCell ref="A1:H1"/>
    <x:mergeCell ref="A20:H20"/>
    <x:mergeCell ref="A21:H21"/>
    <x:mergeCell ref="A22:H22"/>
    <x:mergeCell ref="A23:H23"/>
    <x:mergeCell ref="A24:H24"/>
  </x:mergeCells>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defaultRowHeight="15"/>
  <x:cols>
    <x:col min="1" max="1" width="25" hidden="0" customWidth="1"/>
    <x:col min="2" max="2" width="35" hidden="0" customWidth="1"/>
    <x:col min="3" max="3" width="24" hidden="0" customWidth="1"/>
    <x:col min="4" max="4" width="18" hidden="0" customWidth="1"/>
    <x:col min="5" max="5" width="20" hidden="0" customWidth="1"/>
    <x:col min="6" max="6" width="48" hidden="0" customWidth="1"/>
  </x:cols>
  <x:sheetData>
    <x:row r="1" ht="19.200000762939453" hidden="0" customHeight="1">
      <x:c r="A1" s="201" t="str">
        <x:v>LEAN 4 CANON AUDIT — ONE-ROOT AXIOM CHAIN</x:v>
      </x:c>
      <x:c r="B1" s="202"/>
      <x:c r="C1" s="202"/>
      <x:c r="D1" s="202"/>
      <x:c r="E1" s="202"/>
      <x:c r="F1" s="203"/>
    </x:row>
    <x:row r="2" ht="15" hidden="0" customHeight="1">
      <x:c r="A2" s="162"/>
      <x:c r="B2" s="163"/>
      <x:c r="C2" s="163"/>
      <x:c r="D2" s="163"/>
      <x:c r="E2" s="163"/>
      <x:c r="F2" s="164"/>
    </x:row>
    <x:row r="3" ht="15" hidden="0" customHeight="1">
      <x:c r="A3" s="204" t="str">
        <x:v>Field</x:v>
      </x:c>
      <x:c r="B3" s="205" t="str">
        <x:v>Current result</x:v>
      </x:c>
      <x:c r="C3" s="118"/>
      <x:c r="D3" s="205" t="str">
        <x:v>Canon lock</x:v>
      </x:c>
      <x:c r="E3" s="205" t="str">
        <x:v>OPEN</x:v>
      </x:c>
      <x:c r="F3" s="206" t="str">
        <x:v>Reason</x:v>
      </x:c>
    </x:row>
    <x:row r="4" ht="15" hidden="0" customHeight="1">
      <x:c r="A4" s="173" t="str">
        <x:v>Audit date</x:v>
      </x:c>
      <x:c r="B4" s="175" t="n">
        <x:v>46256</x:v>
      </x:c>
      <x:c r="C4" s="118"/>
      <x:c r="D4" s="174" t="str">
        <x:v>Structural graph</x:v>
      </x:c>
      <x:c r="E4" s="118" t="str">
        <x:v>PASS</x:v>
      </x:c>
      <x:c r="F4" s="169" t="str">
        <x:v>197 claims / 262 edges / zero Lean axiom dependencies</x:v>
      </x:c>
    </x:row>
    <x:row r="5" ht="15" hidden="0" customHeight="1">
      <x:c r="A5" s="173" t="str">
        <x:v>Lean version</x:v>
      </x:c>
      <x:c r="B5" s="118" t="str">
        <x:v>4.33.0</x:v>
      </x:c>
      <x:c r="C5" s="118"/>
      <x:c r="D5" s="174" t="str">
        <x:v>Grade gate</x:v>
      </x:c>
      <x:c r="E5" s="118" t="str">
        <x:v>PASS</x:v>
      </x:c>
      <x:c r="F5" s="169" t="str">
        <x:v>AX_DERIVED remains live with zero current members</x:v>
      </x:c>
    </x:row>
    <x:row r="6" ht="26.399999618530273" hidden="0" customHeight="1">
      <x:c r="A6" s="173" t="str">
        <x:v>Parsed audit rows (SC-* collapsed)</x:v>
      </x:c>
      <x:c r="B6" s="118" t="n">
        <x:v>191</x:v>
      </x:c>
      <x:c r="C6" s="118"/>
      <x:c r="D6" s="174" t="str">
        <x:v>Semantic BC2</x:v>
      </x:c>
      <x:c r="E6" s="118" t="str">
        <x:v>PARTIAL</x:v>
      </x:c>
      <x:c r="F6" s="169" t="str">
        <x:v>External cause follows only with added causal completeness</x:v>
      </x:c>
    </x:row>
    <x:row r="7" ht="26.399999618530273" hidden="0" customHeight="1">
      <x:c r="A7" s="173" t="str">
        <x:v>Kept entries after six-scale expansion</x:v>
      </x:c>
      <x:c r="B7" s="118" t="n">
        <x:v>196</x:v>
      </x:c>
      <x:c r="C7" s="118"/>
      <x:c r="D7" s="174" t="str">
        <x:v>Grace identification</x:v>
      </x:c>
      <x:c r="E7" s="118" t="str">
        <x:v>BRIDGE</x:v>
      </x:c>
      <x:c r="F7" s="169" t="str">
        <x:v>Not a strict logical consequence</x:v>
      </x:c>
    </x:row>
    <x:row r="8" ht="15" hidden="0" customHeight="1">
      <x:c r="A8" s="173" t="str">
        <x:v>Formal claims (A0 added)</x:v>
      </x:c>
      <x:c r="B8" s="118" t="n">
        <x:v>197</x:v>
      </x:c>
      <x:c r="C8" s="118"/>
      <x:c r="D8" s="174" t="str">
        <x:v>Count reconciliation</x:v>
      </x:c>
      <x:c r="E8" s="118" t="str">
        <x:v>PASS</x:v>
      </x:c>
      <x:c r="F8" s="169" t="str">
        <x:v>196 kept + 1 dropped duplicate = 197 bookkeeping rows</x:v>
      </x:c>
    </x:row>
    <x:row r="9" ht="26.399999618530273" hidden="0" customHeight="1">
      <x:c r="A9" s="173" t="str">
        <x:v>Typed declared edges</x:v>
      </x:c>
      <x:c r="B9" s="118" t="n">
        <x:v>262</x:v>
      </x:c>
      <x:c r="C9" s="118"/>
      <x:c r="D9" s="174" t="str">
        <x:v>Version seal</x:v>
      </x:c>
      <x:c r="E9" s="118" t="str">
        <x:v>PENDING</x:v>
      </x:c>
      <x:c r="F9" s="169" t="str">
        <x:v>VERSION_REGISTRY.yaml not found; do not stamp v2.3/v3.1 blindly</x:v>
      </x:c>
    </x:row>
    <x:row r="10" ht="15" hidden="0" customHeight="1">
      <x:c r="A10" s="173" t="str">
        <x:v>AX_CORE</x:v>
      </x:c>
      <x:c r="B10" s="118" t="n">
        <x:v>4</x:v>
      </x:c>
      <x:c r="C10" s="118"/>
      <x:c r="D10" s="118"/>
      <x:c r="E10" s="118"/>
      <x:c r="F10" s="169"/>
    </x:row>
    <x:row r="11" ht="15" hidden="0" customHeight="1">
      <x:c r="A11" s="173" t="str">
        <x:v>AX_DERIVED</x:v>
      </x:c>
      <x:c r="B11" s="118" t="n">
        <x:v>0</x:v>
      </x:c>
      <x:c r="C11" s="118"/>
      <x:c r="D11" s="118"/>
      <x:c r="E11" s="118"/>
      <x:c r="F11" s="169"/>
    </x:row>
    <x:row r="12" ht="15" hidden="0" customHeight="1">
      <x:c r="A12" s="173" t="str">
        <x:v>AX_SCAFFOLD</x:v>
      </x:c>
      <x:c r="B12" s="118" t="n">
        <x:v>43</x:v>
      </x:c>
      <x:c r="C12" s="118"/>
      <x:c r="D12" s="118"/>
      <x:c r="E12" s="118"/>
      <x:c r="F12" s="169"/>
    </x:row>
    <x:row r="13" ht="15" hidden="0" customHeight="1">
      <x:c r="A13" s="173" t="str">
        <x:v>FW_EXTENDED</x:v>
      </x:c>
      <x:c r="B13" s="118" t="n">
        <x:v>114</x:v>
      </x:c>
      <x:c r="C13" s="118"/>
      <x:c r="D13" s="118"/>
      <x:c r="E13" s="118"/>
      <x:c r="F13" s="169"/>
    </x:row>
    <x:row r="14" ht="15" hidden="0" customHeight="1">
      <x:c r="A14" s="173" t="str">
        <x:v>HY_EVIDENCE</x:v>
      </x:c>
      <x:c r="B14" s="118" t="n">
        <x:v>35</x:v>
      </x:c>
      <x:c r="C14" s="118"/>
      <x:c r="D14" s="118"/>
      <x:c r="E14" s="118"/>
      <x:c r="F14" s="169"/>
    </x:row>
    <x:row r="15" ht="15" hidden="0" customHeight="1">
      <x:c r="A15" s="173" t="str">
        <x:v>Logical axiom dependencies</x:v>
      </x:c>
      <x:c r="B15" s="118" t="n">
        <x:v>0</x:v>
      </x:c>
      <x:c r="C15" s="118"/>
      <x:c r="D15" s="118"/>
      <x:c r="E15" s="118"/>
      <x:c r="F15" s="169"/>
    </x:row>
    <x:row r="16" ht="15" hidden="0" customHeight="1">
      <x:c r="A16" s="173" t="str">
        <x:v>Exactly one graph root</x:v>
      </x:c>
      <x:c r="B16" s="118" t="str">
        <x:v>PASS — A0: God is</x:v>
      </x:c>
      <x:c r="C16" s="118"/>
      <x:c r="D16" s="118"/>
      <x:c r="E16" s="118"/>
      <x:c r="F16" s="169"/>
    </x:row>
    <x:row r="17" ht="15" hidden="0" customHeight="1">
      <x:c r="A17" s="173" t="str">
        <x:v>Endpoint validity</x:v>
      </x:c>
      <x:c r="B17" s="118" t="str">
        <x:v>PASS</x:v>
      </x:c>
      <x:c r="C17" s="118"/>
      <x:c r="D17" s="118"/>
      <x:c r="E17" s="118"/>
      <x:c r="F17" s="169"/>
    </x:row>
    <x:row r="18" ht="15" hidden="0" customHeight="1">
      <x:c r="A18" s="173" t="str">
        <x:v>Entailment acyclicity</x:v>
      </x:c>
      <x:c r="B18" s="118" t="str">
        <x:v>PASS</x:v>
      </x:c>
      <x:c r="C18" s="118"/>
      <x:c r="D18" s="118"/>
      <x:c r="E18" s="118"/>
      <x:c r="F18" s="169"/>
    </x:row>
    <x:row r="19" ht="26.399999618530273" hidden="0" customHeight="1">
      <x:c r="A19" s="173" t="str">
        <x:v>Weakest-premise grade propagation</x:v>
      </x:c>
      <x:c r="B19" s="118" t="str">
        <x:v>PASS — four former derived nodes demoted</x:v>
      </x:c>
      <x:c r="C19" s="118"/>
      <x:c r="D19" s="118"/>
      <x:c r="E19" s="118"/>
      <x:c r="F19" s="169"/>
    </x:row>
    <x:row r="20" ht="26.399999618530273" hidden="0" customHeight="1">
      <x:c r="A20" s="173" t="str">
        <x:v>T3.1 + T3.2 semantically entails BC2</x:v>
      </x:c>
      <x:c r="B20" s="118" t="str">
        <x:v>REFUTED — countermodel verified</x:v>
      </x:c>
      <x:c r="C20" s="118"/>
      <x:c r="D20" s="118"/>
      <x:c r="E20" s="118"/>
      <x:c r="F20" s="169"/>
    </x:row>
    <x:row r="21" ht="26.399999618530273" hidden="0" customHeight="1">
      <x:c r="A21" s="173" t="str">
        <x:v>External restorer with causal exhaustiveness</x:v>
      </x:c>
      <x:c r="B21" s="118" t="str">
        <x:v>PROVED</x:v>
      </x:c>
      <x:c r="C21" s="118"/>
      <x:c r="D21" s="118"/>
      <x:c r="E21" s="118"/>
      <x:c r="F21" s="169"/>
    </x:row>
    <x:row r="22" ht="26.399999618530273" hidden="0" customHeight="1">
      <x:c r="A22" s="173" t="str">
        <x:v>External restorer identified as Grace</x:v>
      </x:c>
      <x:c r="B22" s="118" t="str">
        <x:v>BRIDGE PREMISE REQUIRED</x:v>
      </x:c>
      <x:c r="C22" s="118"/>
      <x:c r="D22" s="118"/>
      <x:c r="E22" s="118"/>
      <x:c r="F22" s="169"/>
    </x:row>
    <x:row r="23" ht="15" hidden="0" customHeight="1">
      <x:c r="A23" s="168"/>
      <x:c r="B23" s="118"/>
      <x:c r="C23" s="118"/>
      <x:c r="D23" s="118"/>
      <x:c r="E23" s="118"/>
      <x:c r="F23" s="169"/>
    </x:row>
    <x:row r="24" ht="15" hidden="0" customHeight="1">
      <x:c r="A24" s="204" t="str">
        <x:v>Rule</x:v>
      </x:c>
      <x:c r="B24" s="205" t="str">
        <x:v>Source</x:v>
      </x:c>
      <x:c r="C24" s="205" t="str">
        <x:v>Target</x:v>
      </x:c>
      <x:c r="D24" s="205" t="str">
        <x:v>Edge</x:v>
      </x:c>
      <x:c r="E24" s="205" t="str">
        <x:v>Result</x:v>
      </x:c>
      <x:c r="F24" s="206" t="str">
        <x:v>Required action</x:v>
      </x:c>
    </x:row>
    <x:row r="25" ht="26.399999618530273" hidden="0" customHeight="1">
      <x:c r="A25" s="173" t="str">
        <x:v>Weakest premise</x:v>
      </x:c>
      <x:c r="B25" s="118" t="str">
        <x:v>A2.2</x:v>
      </x:c>
      <x:c r="C25" s="118" t="str">
        <x:v>T3.1</x:v>
      </x:c>
      <x:c r="D25" s="118" t="str">
        <x:v>assumes</x:v>
      </x:c>
      <x:c r="E25" s="118" t="str">
        <x:v>PASS</x:v>
      </x:c>
      <x:c r="F25" s="169" t="str">
        <x:v>T3.1 is FW_EXTENDED; re-entry to AX_DERIVED requires core-grade premises</x:v>
      </x:c>
    </x:row>
    <x:row r="26" ht="26.399999618530273" hidden="0" customHeight="1">
      <x:c r="A26" s="173" t="str">
        <x:v>Weakest premise</x:v>
      </x:c>
      <x:c r="B26" s="118" t="str">
        <x:v>BC6</x:v>
      </x:c>
      <x:c r="C26" s="118" t="str">
        <x:v>BC7 / BC8</x:v>
      </x:c>
      <x:c r="D26" s="118" t="str">
        <x:v>assumes</x:v>
      </x:c>
      <x:c r="E26" s="118" t="str">
        <x:v>PASS</x:v>
      </x:c>
      <x:c r="F26" s="169" t="str">
        <x:v>Both are FW_EXTENDED; derivations retained without inflated grade</x:v>
      </x:c>
    </x:row>
    <x:row r="27" ht="15" hidden="0" customHeight="1">
      <x:c r="A27" s="173" t="str">
        <x:v>Semantic entailment</x:v>
      </x:c>
      <x:c r="B27" s="118" t="str">
        <x:v>T3.1 + T3.2</x:v>
      </x:c>
      <x:c r="C27" s="118" t="str">
        <x:v>BC2</x:v>
      </x:c>
      <x:c r="D27" s="118" t="str">
        <x:v>content</x:v>
      </x:c>
      <x:c r="E27" s="118" t="str">
        <x:v>INSUFFICIENT</x:v>
      </x:c>
      <x:c r="F27" s="169" t="str">
        <x:v>Add restoration occurrence and exhaustive causal alternatives</x:v>
      </x:c>
    </x:row>
    <x:row r="28" ht="15" hidden="0" customHeight="1">
      <x:c r="A28" s="173" t="str">
        <x:v>Formal conclusion</x:v>
      </x:c>
      <x:c r="B28" s="118" t="str">
        <x:v>T3.1 + restoration + exhaustive causes</x:v>
      </x:c>
      <x:c r="C28" s="118" t="str">
        <x:v>external restorer</x:v>
      </x:c>
      <x:c r="D28" s="118" t="str">
        <x:v>theorem</x:v>
      </x:c>
      <x:c r="E28" s="118" t="str">
        <x:v>PROVED</x:v>
      </x:c>
      <x:c r="F28" s="169" t="str">
        <x:v>Keep conclusion at external-restorer level</x:v>
      </x:c>
    </x:row>
    <x:row r="29" ht="15" hidden="0" customHeight="1">
      <x:c r="A29" s="173" t="str">
        <x:v>Theological identification</x:v>
      </x:c>
      <x:c r="B29" s="118" t="str">
        <x:v>external restorer</x:v>
      </x:c>
      <x:c r="C29" s="118" t="str">
        <x:v>Grace</x:v>
      </x:c>
      <x:c r="D29" s="118" t="str">
        <x:v>identifies</x:v>
      </x:c>
      <x:c r="E29" s="118" t="str">
        <x:v>BRIDGE</x:v>
      </x:c>
      <x:c r="F29" s="169" t="str">
        <x:v>Declare and defend identification separately</x:v>
      </x:c>
    </x:row>
    <x:row r="30" ht="15" hidden="0" customHeight="1">
      <x:c r="A30" s="173" t="str">
        <x:v>Personhood ID</x:v>
      </x:c>
      <x:c r="B30" s="118" t="str">
        <x:v>PERSONHOOD</x:v>
      </x:c>
      <x:c r="C30" s="118" t="str">
        <x:v>ID7.2</x:v>
      </x:c>
      <x:c r="D30" s="118" t="str">
        <x:v>rename</x:v>
      </x:c>
      <x:c r="E30" s="118" t="str">
        <x:v>PASS</x:v>
      </x:c>
      <x:c r="F30" s="169" t="str">
        <x:v>Axiomatic-gap flag retained</x:v>
      </x:c>
    </x:row>
    <x:row r="31" ht="15" hidden="0" customHeight="1">
      <x:c r="A31" s="168"/>
      <x:c r="B31" s="118"/>
      <x:c r="C31" s="118"/>
      <x:c r="D31" s="118"/>
      <x:c r="E31" s="118"/>
      <x:c r="F31" s="169"/>
    </x:row>
    <x:row r="32" ht="15" hidden="0" customHeight="1">
      <x:c r="A32" s="204" t="str">
        <x:v>Source files</x:v>
      </x:c>
      <x:c r="B32" s="205" t="str">
        <x:v>Path</x:v>
      </x:c>
      <x:c r="C32" s="205" t="str">
        <x:v>Status</x:v>
      </x:c>
      <x:c r="D32" s="205" t="str">
        <x:v>Commit</x:v>
      </x:c>
      <x:c r="E32" s="205" t="str">
        <x:v>Generated by</x:v>
      </x:c>
      <x:c r="F32" s="206" t="str">
        <x:v>Notes</x:v>
      </x:c>
    </x:row>
    <x:row r="33" ht="15" hidden="0" customHeight="1">
      <x:c r="A33" s="168" t="str">
        <x:v>Lean firewall</x:v>
      </x:c>
      <x:c r="B33" s="118" t="str">
        <x:v>lean/EpistemicFirewall.lean</x:v>
      </x:c>
      <x:c r="C33" s="118" t="str">
        <x:v>PASS</x:v>
      </x:c>
      <x:c r="D33" s="118" t="str">
        <x:v>pending</x:v>
      </x:c>
      <x:c r="E33" s="118" t="str">
        <x:v>Lean 4.33.0</x:v>
      </x:c>
      <x:c r="F33" s="169" t="str">
        <x:v>No axiom dependencies</x:v>
      </x:c>
    </x:row>
    <x:row r="34" ht="15" hidden="0" customHeight="1">
      <x:c r="A34" s="168" t="str">
        <x:v>T3 semantics</x:v>
      </x:c>
      <x:c r="B34" s="118" t="str">
        <x:v>lean/T3GraceSemantics.lean</x:v>
      </x:c>
      <x:c r="C34" s="118" t="str">
        <x:v>PASS</x:v>
      </x:c>
      <x:c r="D34" s="118" t="str">
        <x:v>pending</x:v>
      </x:c>
      <x:c r="E34" s="118" t="str">
        <x:v>Lean 4.33.0</x:v>
      </x:c>
      <x:c r="F34" s="169" t="str">
        <x:v>Countermodel plus strengthened theorem</x:v>
      </x:c>
    </x:row>
    <x:row r="35" ht="15" hidden="0" customHeight="1">
      <x:c r="A35" s="170" t="str">
        <x:v>Graph audit</x:v>
      </x:c>
      <x:c r="B35" s="171" t="str">
        <x:v>docs/canonical/axiom_chain_v3_audit.csv</x:v>
      </x:c>
      <x:c r="C35" s="171" t="str">
        <x:v>PASS</x:v>
      </x:c>
      <x:c r="D35" s="171" t="str">
        <x:v>pending</x:v>
      </x:c>
      <x:c r="E35" s="171" t="str">
        <x:v>191 parsed rows</x:v>
      </x:c>
      <x:c r="F35" s="172" t="str">
        <x:v>Full blast-radius and reachability audit</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15.380000114440918" hidden="0" customWidth="1"/>
    <x:col min="2" max="2" width="11.880000114440918" hidden="0" customWidth="1"/>
    <x:col min="3" max="3" width="3.25" hidden="0" customWidth="1"/>
    <x:col min="4" max="4" width="13.630000114440918" hidden="0" customWidth="1"/>
    <x:col min="5" max="5" width="52.880001068115234" hidden="0" customWidth="1"/>
    <x:col min="6" max="6" width="9.880000114440918" hidden="0" customWidth="1"/>
    <x:col min="7" max="7" width="11.880000114440918" hidden="0" customWidth="1"/>
    <x:col min="8" max="8" width="10.630000114440918" hidden="0" customWidth="1"/>
  </x:cols>
  <x:sheetData>
    <x:row r="1">
      <x:c r="A1" s="193" t="str">
        <x:v>id</x:v>
      </x:c>
      <x:c r="B1" s="193" t="str">
        <x:v>mode</x:v>
      </x:c>
      <x:c r="C1" s="193" t="str">
        <x:v>tier</x:v>
      </x:c>
      <x:c r="D1" s="193" t="str">
        <x:v>edge_type</x:v>
      </x:c>
      <x:c r="E1" s="193" t="str">
        <x:v>depends_on_or_tests</x:v>
      </x:c>
      <x:c r="F1" s="193" t="str">
        <x:v>blast_radius</x:v>
      </x:c>
      <x:c r="G1" s="193" t="str">
        <x:v>stance_tainted</x:v>
      </x:c>
      <x:c r="H1" s="193" t="str">
        <x:v>reaches_core</x:v>
      </x:c>
    </x:row>
    <x:row r="2">
      <x:c r="A2" s="115" t="str">
        <x:v>A1.0</x:v>
      </x:c>
      <x:c r="B2" s="115" t="str">
        <x:v>AX_CORE</x:v>
      </x:c>
      <x:c r="C2" s="115" t="str">
        <x:v>0</x:v>
      </x:c>
      <x:c r="D2" s="115" t="str">
        <x:v>depends_on</x:v>
      </x:c>
      <x:c r="E2" s="115" t="str"/>
      <x:c r="F2" s="115" t="str">
        <x:v>65</x:v>
      </x:c>
      <x:c r="G2" s="115" t="str">
        <x:v>False</x:v>
      </x:c>
      <x:c r="H2" s="115" t="str">
        <x:v>True</x:v>
      </x:c>
    </x:row>
    <x:row r="3">
      <x:c r="A3" s="115" t="str">
        <x:v>A1.1</x:v>
      </x:c>
      <x:c r="B3" s="115" t="str">
        <x:v>AX_CORE</x:v>
      </x:c>
      <x:c r="C3" s="115" t="str">
        <x:v>0</x:v>
      </x:c>
      <x:c r="D3" s="115" t="str">
        <x:v>depends_on</x:v>
      </x:c>
      <x:c r="E3" s="115" t="str"/>
      <x:c r="F3" s="115" t="str">
        <x:v>5</x:v>
      </x:c>
      <x:c r="G3" s="115" t="str">
        <x:v>False</x:v>
      </x:c>
      <x:c r="H3" s="115" t="str">
        <x:v>True</x:v>
      </x:c>
    </x:row>
    <x:row r="4">
      <x:c r="A4" s="115" t="str">
        <x:v>A1.2</x:v>
      </x:c>
      <x:c r="B4" s="115" t="str">
        <x:v>AX_CORE</x:v>
      </x:c>
      <x:c r="C4" s="115" t="str">
        <x:v>0</x:v>
      </x:c>
      <x:c r="D4" s="115" t="str">
        <x:v>depends_on</x:v>
      </x:c>
      <x:c r="E4" s="115" t="str"/>
      <x:c r="F4" s="115" t="str">
        <x:v>4</x:v>
      </x:c>
      <x:c r="G4" s="115" t="str">
        <x:v>False</x:v>
      </x:c>
      <x:c r="H4" s="115" t="str">
        <x:v>True</x:v>
      </x:c>
    </x:row>
    <x:row r="5">
      <x:c r="A5" s="115" t="str">
        <x:v>A1.3</x:v>
      </x:c>
      <x:c r="B5" s="115" t="str">
        <x:v>AX_SCAFFOLD</x:v>
      </x:c>
      <x:c r="C5" s="115" t="str">
        <x:v>1</x:v>
      </x:c>
      <x:c r="D5" s="115" t="str">
        <x:v>depends_on</x:v>
      </x:c>
      <x:c r="E5" s="115" t="str">
        <x:v>A1.0</x:v>
      </x:c>
      <x:c r="F5" s="115" t="str">
        <x:v>3</x:v>
      </x:c>
      <x:c r="G5" s="115" t="str">
        <x:v>False</x:v>
      </x:c>
      <x:c r="H5" s="115" t="str">
        <x:v>True</x:v>
      </x:c>
    </x:row>
    <x:row r="6">
      <x:c r="A6" s="115" t="str">
        <x:v>D1.1</x:v>
      </x:c>
      <x:c r="B6" s="115" t="str">
        <x:v>AX_SCAFFOLD</x:v>
      </x:c>
      <x:c r="C6" s="115" t="str">
        <x:v>1</x:v>
      </x:c>
      <x:c r="D6" s="115" t="str">
        <x:v>depends_on</x:v>
      </x:c>
      <x:c r="E6" s="115" t="str">
        <x:v>A1.1|A1.2</x:v>
      </x:c>
      <x:c r="F6" s="115" t="str">
        <x:v>0</x:v>
      </x:c>
      <x:c r="G6" s="115" t="str">
        <x:v>False</x:v>
      </x:c>
      <x:c r="H6" s="115" t="str">
        <x:v>True</x:v>
      </x:c>
    </x:row>
    <x:row r="7">
      <x:c r="A7" s="115" t="str">
        <x:v>D1.2</x:v>
      </x:c>
      <x:c r="B7" s="115" t="str">
        <x:v>AX_SCAFFOLD</x:v>
      </x:c>
      <x:c r="C7" s="115" t="str">
        <x:v>1</x:v>
      </x:c>
      <x:c r="D7" s="115" t="str">
        <x:v>depends_on</x:v>
      </x:c>
      <x:c r="E7" s="115" t="str">
        <x:v>A1.1|A1.2</x:v>
      </x:c>
      <x:c r="F7" s="115" t="str">
        <x:v>0</x:v>
      </x:c>
      <x:c r="G7" s="115" t="str">
        <x:v>False</x:v>
      </x:c>
      <x:c r="H7" s="115" t="str">
        <x:v>True</x:v>
      </x:c>
    </x:row>
    <x:row r="8">
      <x:c r="A8" s="115" t="str">
        <x:v>LN1.1</x:v>
      </x:c>
      <x:c r="B8" s="115" t="str">
        <x:v>FW_EXTENDED</x:v>
      </x:c>
      <x:c r="C8" s="115" t="str">
        <x:v>1</x:v>
      </x:c>
      <x:c r="D8" s="115" t="str">
        <x:v>depends_on</x:v>
      </x:c>
      <x:c r="E8" s="115" t="str">
        <x:v>A1.1|A1.2</x:v>
      </x:c>
      <x:c r="F8" s="115" t="str">
        <x:v>0</x:v>
      </x:c>
      <x:c r="G8" s="115" t="str">
        <x:v>False</x:v>
      </x:c>
      <x:c r="H8" s="115" t="str">
        <x:v>True</x:v>
      </x:c>
    </x:row>
    <x:row r="9">
      <x:c r="A9" s="115" t="str">
        <x:v>LN1.2</x:v>
      </x:c>
      <x:c r="B9" s="115" t="str">
        <x:v>FW_EXTENDED</x:v>
      </x:c>
      <x:c r="C9" s="115" t="str">
        <x:v>1</x:v>
      </x:c>
      <x:c r="D9" s="115" t="str">
        <x:v>depends_on</x:v>
      </x:c>
      <x:c r="E9" s="115" t="str">
        <x:v>A1.1|A1.2</x:v>
      </x:c>
      <x:c r="F9" s="115" t="str">
        <x:v>0</x:v>
      </x:c>
      <x:c r="G9" s="115" t="str">
        <x:v>False</x:v>
      </x:c>
      <x:c r="H9" s="115" t="str">
        <x:v>True</x:v>
      </x:c>
    </x:row>
    <x:row r="10">
      <x:c r="A10" s="115" t="str">
        <x:v>A2.1</x:v>
      </x:c>
      <x:c r="B10" s="115" t="str">
        <x:v>AX_CORE</x:v>
      </x:c>
      <x:c r="C10" s="115" t="str">
        <x:v>2</x:v>
      </x:c>
      <x:c r="D10" s="115" t="str">
        <x:v>depends_on</x:v>
      </x:c>
      <x:c r="E10" s="115" t="str">
        <x:v>A1.0</x:v>
      </x:c>
      <x:c r="F10" s="115" t="str">
        <x:v>61</x:v>
      </x:c>
      <x:c r="G10" s="115" t="str">
        <x:v>False</x:v>
      </x:c>
      <x:c r="H10" s="115" t="str">
        <x:v>True</x:v>
      </x:c>
    </x:row>
    <x:row r="11">
      <x:c r="A11" s="115" t="str">
        <x:v>A2.2</x:v>
      </x:c>
      <x:c r="B11" s="115" t="str">
        <x:v>FW_EXTENDED</x:v>
      </x:c>
      <x:c r="C11" s="115" t="str">
        <x:v>2</x:v>
      </x:c>
      <x:c r="D11" s="115" t="str">
        <x:v>depends_on</x:v>
      </x:c>
      <x:c r="E11" s="115" t="str">
        <x:v>A2.1</x:v>
      </x:c>
      <x:c r="F11" s="115" t="str">
        <x:v>60</x:v>
      </x:c>
      <x:c r="G11" s="115" t="str">
        <x:v>False</x:v>
      </x:c>
      <x:c r="H11" s="115" t="str">
        <x:v>True</x:v>
      </x:c>
    </x:row>
    <x:row r="12">
      <x:c r="A12" s="115" t="str">
        <x:v>D2.1</x:v>
      </x:c>
      <x:c r="B12" s="115" t="str">
        <x:v>AX_SCAFFOLD</x:v>
      </x:c>
      <x:c r="C12" s="115" t="str">
        <x:v>3</x:v>
      </x:c>
      <x:c r="D12" s="115" t="str">
        <x:v>depends_on</x:v>
      </x:c>
      <x:c r="E12" s="115" t="str">
        <x:v>A2.2</x:v>
      </x:c>
      <x:c r="F12" s="115" t="str">
        <x:v>4</x:v>
      </x:c>
      <x:c r="G12" s="115" t="str">
        <x:v>True</x:v>
      </x:c>
      <x:c r="H12" s="115" t="str">
        <x:v>True</x:v>
      </x:c>
    </x:row>
    <x:row r="13">
      <x:c r="A13" s="115" t="str">
        <x:v>D2.2</x:v>
      </x:c>
      <x:c r="B13" s="115" t="str">
        <x:v>AX_SCAFFOLD</x:v>
      </x:c>
      <x:c r="C13" s="115" t="str">
        <x:v>3</x:v>
      </x:c>
      <x:c r="D13" s="115" t="str">
        <x:v>depends_on</x:v>
      </x:c>
      <x:c r="E13" s="115" t="str">
        <x:v>A2.2</x:v>
      </x:c>
      <x:c r="F13" s="115" t="str">
        <x:v>1</x:v>
      </x:c>
      <x:c r="G13" s="115" t="str">
        <x:v>True</x:v>
      </x:c>
      <x:c r="H13" s="115" t="str">
        <x:v>True</x:v>
      </x:c>
    </x:row>
    <x:row r="14">
      <x:c r="A14" s="115" t="str">
        <x:v>E2.1</x:v>
      </x:c>
      <x:c r="B14" s="115" t="str">
        <x:v>AX_SCAFFOLD</x:v>
      </x:c>
      <x:c r="C14" s="115" t="str">
        <x:v>3</x:v>
      </x:c>
      <x:c r="D14" s="115" t="str">
        <x:v>depends_on</x:v>
      </x:c>
      <x:c r="E14" s="115" t="str">
        <x:v>A2.2</x:v>
      </x:c>
      <x:c r="F14" s="115" t="str">
        <x:v>4</x:v>
      </x:c>
      <x:c r="G14" s="115" t="str">
        <x:v>True</x:v>
      </x:c>
      <x:c r="H14" s="115" t="str">
        <x:v>True</x:v>
      </x:c>
    </x:row>
    <x:row r="15">
      <x:c r="A15" s="115" t="str">
        <x:v>P2.1</x:v>
      </x:c>
      <x:c r="B15" s="115" t="str">
        <x:v>FW_EXTENDED</x:v>
      </x:c>
      <x:c r="C15" s="115" t="str">
        <x:v>3</x:v>
      </x:c>
      <x:c r="D15" s="115" t="str">
        <x:v>depends_on</x:v>
      </x:c>
      <x:c r="E15" s="115" t="str">
        <x:v>A2.2</x:v>
      </x:c>
      <x:c r="F15" s="115" t="str">
        <x:v>0</x:v>
      </x:c>
      <x:c r="G15" s="115" t="str">
        <x:v>True</x:v>
      </x:c>
      <x:c r="H15" s="115" t="str">
        <x:v>True</x:v>
      </x:c>
    </x:row>
    <x:row r="16">
      <x:c r="A16" s="115" t="str">
        <x:v>P2.2</x:v>
      </x:c>
      <x:c r="B16" s="115" t="str">
        <x:v>FW_EXTENDED</x:v>
      </x:c>
      <x:c r="C16" s="115" t="str">
        <x:v>3</x:v>
      </x:c>
      <x:c r="D16" s="115" t="str">
        <x:v>depends_on</x:v>
      </x:c>
      <x:c r="E16" s="115" t="str">
        <x:v>A2.2</x:v>
      </x:c>
      <x:c r="F16" s="115" t="str">
        <x:v>0</x:v>
      </x:c>
      <x:c r="G16" s="115" t="str">
        <x:v>True</x:v>
      </x:c>
      <x:c r="H16" s="115" t="str">
        <x:v>True</x:v>
      </x:c>
    </x:row>
    <x:row r="17">
      <x:c r="A17" s="115" t="str">
        <x:v>LN2.1</x:v>
      </x:c>
      <x:c r="B17" s="115" t="str">
        <x:v>FW_EXTENDED</x:v>
      </x:c>
      <x:c r="C17" s="115" t="str">
        <x:v>3</x:v>
      </x:c>
      <x:c r="D17" s="115" t="str">
        <x:v>depends_on</x:v>
      </x:c>
      <x:c r="E17" s="115" t="str">
        <x:v>A2.2</x:v>
      </x:c>
      <x:c r="F17" s="115" t="str">
        <x:v>0</x:v>
      </x:c>
      <x:c r="G17" s="115" t="str">
        <x:v>True</x:v>
      </x:c>
      <x:c r="H17" s="115" t="str">
        <x:v>True</x:v>
      </x:c>
    </x:row>
    <x:row r="18">
      <x:c r="A18" s="115" t="str">
        <x:v>A3.1</x:v>
      </x:c>
      <x:c r="B18" s="115" t="str">
        <x:v>FW_EXTENDED</x:v>
      </x:c>
      <x:c r="C18" s="115" t="str">
        <x:v>4</x:v>
      </x:c>
      <x:c r="D18" s="115" t="str">
        <x:v>depends_on</x:v>
      </x:c>
      <x:c r="E18" s="115" t="str">
        <x:v>A2.2</x:v>
      </x:c>
      <x:c r="F18" s="115" t="str">
        <x:v>0</x:v>
      </x:c>
      <x:c r="G18" s="115" t="str">
        <x:v>True</x:v>
      </x:c>
      <x:c r="H18" s="115" t="str">
        <x:v>True</x:v>
      </x:c>
    </x:row>
    <x:row r="19">
      <x:c r="A19" s="115" t="str">
        <x:v>A3.2</x:v>
      </x:c>
      <x:c r="B19" s="115" t="str">
        <x:v>FW_EXTENDED</x:v>
      </x:c>
      <x:c r="C19" s="115" t="str">
        <x:v>4</x:v>
      </x:c>
      <x:c r="D19" s="115" t="str">
        <x:v>depends_on</x:v>
      </x:c>
      <x:c r="E19" s="115" t="str">
        <x:v>A2.2</x:v>
      </x:c>
      <x:c r="F19" s="115" t="str">
        <x:v>5</x:v>
      </x:c>
      <x:c r="G19" s="115" t="str">
        <x:v>True</x:v>
      </x:c>
      <x:c r="H19" s="115" t="str">
        <x:v>True</x:v>
      </x:c>
    </x:row>
    <x:row r="20">
      <x:c r="A20" s="115" t="str">
        <x:v>D3.1</x:v>
      </x:c>
      <x:c r="B20" s="115" t="str">
        <x:v>AX_SCAFFOLD</x:v>
      </x:c>
      <x:c r="C20" s="115" t="str">
        <x:v>4</x:v>
      </x:c>
      <x:c r="D20" s="115" t="str">
        <x:v>depends_on</x:v>
      </x:c>
      <x:c r="E20" s="115" t="str">
        <x:v>A2.2</x:v>
      </x:c>
      <x:c r="F20" s="115" t="str">
        <x:v>0</x:v>
      </x:c>
      <x:c r="G20" s="115" t="str">
        <x:v>True</x:v>
      </x:c>
      <x:c r="H20" s="115" t="str">
        <x:v>True</x:v>
      </x:c>
    </x:row>
    <x:row r="21">
      <x:c r="A21" s="115" t="str">
        <x:v>D3.2</x:v>
      </x:c>
      <x:c r="B21" s="115" t="str">
        <x:v>AX_SCAFFOLD</x:v>
      </x:c>
      <x:c r="C21" s="115" t="str">
        <x:v>4</x:v>
      </x:c>
      <x:c r="D21" s="115" t="str">
        <x:v>depends_on</x:v>
      </x:c>
      <x:c r="E21" s="115" t="str">
        <x:v>A2.2</x:v>
      </x:c>
      <x:c r="F21" s="115" t="str">
        <x:v>0</x:v>
      </x:c>
      <x:c r="G21" s="115" t="str">
        <x:v>True</x:v>
      </x:c>
      <x:c r="H21" s="115" t="str">
        <x:v>True</x:v>
      </x:c>
    </x:row>
    <x:row r="22">
      <x:c r="A22" s="115" t="str">
        <x:v>D3.3</x:v>
      </x:c>
      <x:c r="B22" s="115" t="str">
        <x:v>AX_SCAFFOLD</x:v>
      </x:c>
      <x:c r="C22" s="115" t="str">
        <x:v>4</x:v>
      </x:c>
      <x:c r="D22" s="115" t="str">
        <x:v>depends_on</x:v>
      </x:c>
      <x:c r="E22" s="115" t="str">
        <x:v>A2.2</x:v>
      </x:c>
      <x:c r="F22" s="115" t="str">
        <x:v>3</x:v>
      </x:c>
      <x:c r="G22" s="115" t="str">
        <x:v>True</x:v>
      </x:c>
      <x:c r="H22" s="115" t="str">
        <x:v>True</x:v>
      </x:c>
    </x:row>
    <x:row r="23">
      <x:c r="A23" s="115" t="str">
        <x:v>E3.1</x:v>
      </x:c>
      <x:c r="B23" s="115" t="str">
        <x:v>AX_SCAFFOLD</x:v>
      </x:c>
      <x:c r="C23" s="115" t="str">
        <x:v>4</x:v>
      </x:c>
      <x:c r="D23" s="115" t="str">
        <x:v>depends_on</x:v>
      </x:c>
      <x:c r="E23" s="115" t="str">
        <x:v>A2.2</x:v>
      </x:c>
      <x:c r="F23" s="115" t="str">
        <x:v>1</x:v>
      </x:c>
      <x:c r="G23" s="115" t="str">
        <x:v>True</x:v>
      </x:c>
      <x:c r="H23" s="115" t="str">
        <x:v>True</x:v>
      </x:c>
    </x:row>
    <x:row r="24">
      <x:c r="A24" s="115" t="str">
        <x:v>E3.2</x:v>
      </x:c>
      <x:c r="B24" s="115" t="str">
        <x:v>AX_SCAFFOLD</x:v>
      </x:c>
      <x:c r="C24" s="115" t="str">
        <x:v>4</x:v>
      </x:c>
      <x:c r="D24" s="115" t="str">
        <x:v>depends_on</x:v>
      </x:c>
      <x:c r="E24" s="115" t="str">
        <x:v>A2.2</x:v>
      </x:c>
      <x:c r="F24" s="115" t="str">
        <x:v>3</x:v>
      </x:c>
      <x:c r="G24" s="115" t="str">
        <x:v>True</x:v>
      </x:c>
      <x:c r="H24" s="115" t="str">
        <x:v>True</x:v>
      </x:c>
    </x:row>
    <x:row r="25">
      <x:c r="A25" s="115" t="str">
        <x:v>P3.1</x:v>
      </x:c>
      <x:c r="B25" s="115" t="str">
        <x:v>FW_EXTENDED</x:v>
      </x:c>
      <x:c r="C25" s="115" t="str">
        <x:v>4</x:v>
      </x:c>
      <x:c r="D25" s="115" t="str">
        <x:v>depends_on</x:v>
      </x:c>
      <x:c r="E25" s="115" t="str">
        <x:v>A2.2</x:v>
      </x:c>
      <x:c r="F25" s="115" t="str">
        <x:v>0</x:v>
      </x:c>
      <x:c r="G25" s="115" t="str">
        <x:v>True</x:v>
      </x:c>
      <x:c r="H25" s="115" t="str">
        <x:v>True</x:v>
      </x:c>
    </x:row>
    <x:row r="26">
      <x:c r="A26" s="115" t="str">
        <x:v>P3.2</x:v>
      </x:c>
      <x:c r="B26" s="115" t="str">
        <x:v>FW_EXTENDED</x:v>
      </x:c>
      <x:c r="C26" s="115" t="str">
        <x:v>4</x:v>
      </x:c>
      <x:c r="D26" s="115" t="str">
        <x:v>depends_on</x:v>
      </x:c>
      <x:c r="E26" s="115" t="str">
        <x:v>A2.2</x:v>
      </x:c>
      <x:c r="F26" s="115" t="str">
        <x:v>3</x:v>
      </x:c>
      <x:c r="G26" s="115" t="str">
        <x:v>True</x:v>
      </x:c>
      <x:c r="H26" s="115" t="str">
        <x:v>True</x:v>
      </x:c>
    </x:row>
    <x:row r="27">
      <x:c r="A27" s="115" t="str">
        <x:v>T3.1</x:v>
      </x:c>
      <x:c r="B27" s="115" t="str">
        <x:v>AX_DERIVED</x:v>
      </x:c>
      <x:c r="C27" s="115" t="str">
        <x:v>4</x:v>
      </x:c>
      <x:c r="D27" s="115" t="str">
        <x:v>depends_on</x:v>
      </x:c>
      <x:c r="E27" s="115" t="str">
        <x:v>A2.2</x:v>
      </x:c>
      <x:c r="F27" s="115" t="str">
        <x:v>12</x:v>
      </x:c>
      <x:c r="G27" s="115" t="str">
        <x:v>True</x:v>
      </x:c>
      <x:c r="H27" s="115" t="str">
        <x:v>True</x:v>
      </x:c>
    </x:row>
    <x:row r="28">
      <x:c r="A28" s="115" t="str">
        <x:v>T3.2</x:v>
      </x:c>
      <x:c r="B28" s="115" t="str">
        <x:v>FW_EXTENDED</x:v>
      </x:c>
      <x:c r="C28" s="115" t="str">
        <x:v>4</x:v>
      </x:c>
      <x:c r="D28" s="115" t="str">
        <x:v>depends_on</x:v>
      </x:c>
      <x:c r="E28" s="115" t="str">
        <x:v>T3.1</x:v>
      </x:c>
      <x:c r="F28" s="115" t="str">
        <x:v>5</x:v>
      </x:c>
      <x:c r="G28" s="115" t="str">
        <x:v>True</x:v>
      </x:c>
      <x:c r="H28" s="115" t="str">
        <x:v>True</x:v>
      </x:c>
    </x:row>
    <x:row r="29">
      <x:c r="A29" s="115" t="str">
        <x:v>LN3.1</x:v>
      </x:c>
      <x:c r="B29" s="115" t="str">
        <x:v>FW_EXTENDED</x:v>
      </x:c>
      <x:c r="C29" s="115" t="str">
        <x:v>4</x:v>
      </x:c>
      <x:c r="D29" s="115" t="str">
        <x:v>depends_on</x:v>
      </x:c>
      <x:c r="E29" s="115" t="str">
        <x:v>A2.2</x:v>
      </x:c>
      <x:c r="F29" s="115" t="str">
        <x:v>0</x:v>
      </x:c>
      <x:c r="G29" s="115" t="str">
        <x:v>True</x:v>
      </x:c>
      <x:c r="H29" s="115" t="str">
        <x:v>True</x:v>
      </x:c>
    </x:row>
    <x:row r="30">
      <x:c r="A30" s="115" t="str">
        <x:v>A4.1</x:v>
      </x:c>
      <x:c r="B30" s="115" t="str">
        <x:v>FW_EXTENDED</x:v>
      </x:c>
      <x:c r="C30" s="115" t="str">
        <x:v>5</x:v>
      </x:c>
      <x:c r="D30" s="115" t="str">
        <x:v>depends_on</x:v>
      </x:c>
      <x:c r="E30" s="115" t="str">
        <x:v>A2.2</x:v>
      </x:c>
      <x:c r="F30" s="115" t="str">
        <x:v>0</x:v>
      </x:c>
      <x:c r="G30" s="115" t="str">
        <x:v>True</x:v>
      </x:c>
      <x:c r="H30" s="115" t="str">
        <x:v>True</x:v>
      </x:c>
    </x:row>
    <x:row r="31">
      <x:c r="A31" s="115" t="str">
        <x:v>A4.2</x:v>
      </x:c>
      <x:c r="B31" s="115" t="str">
        <x:v>FW_EXTENDED</x:v>
      </x:c>
      <x:c r="C31" s="115" t="str">
        <x:v>5</x:v>
      </x:c>
      <x:c r="D31" s="115" t="str">
        <x:v>depends_on</x:v>
      </x:c>
      <x:c r="E31" s="115" t="str">
        <x:v>A2.2</x:v>
      </x:c>
      <x:c r="F31" s="115" t="str">
        <x:v>0</x:v>
      </x:c>
      <x:c r="G31" s="115" t="str">
        <x:v>True</x:v>
      </x:c>
      <x:c r="H31" s="115" t="str">
        <x:v>True</x:v>
      </x:c>
    </x:row>
    <x:row r="32">
      <x:c r="A32" s="115" t="str">
        <x:v>D4.1</x:v>
      </x:c>
      <x:c r="B32" s="115" t="str">
        <x:v>AX_SCAFFOLD</x:v>
      </x:c>
      <x:c r="C32" s="115" t="str">
        <x:v>5</x:v>
      </x:c>
      <x:c r="D32" s="115" t="str">
        <x:v>depends_on</x:v>
      </x:c>
      <x:c r="E32" s="115" t="str">
        <x:v>A2.2</x:v>
      </x:c>
      <x:c r="F32" s="115" t="str">
        <x:v>0</x:v>
      </x:c>
      <x:c r="G32" s="115" t="str">
        <x:v>True</x:v>
      </x:c>
      <x:c r="H32" s="115" t="str">
        <x:v>True</x:v>
      </x:c>
    </x:row>
    <x:row r="33">
      <x:c r="A33" s="115" t="str">
        <x:v>D4.2</x:v>
      </x:c>
      <x:c r="B33" s="115" t="str">
        <x:v>AX_SCAFFOLD</x:v>
      </x:c>
      <x:c r="C33" s="115" t="str">
        <x:v>5</x:v>
      </x:c>
      <x:c r="D33" s="115" t="str">
        <x:v>depends_on</x:v>
      </x:c>
      <x:c r="E33" s="115" t="str">
        <x:v>A2.2</x:v>
      </x:c>
      <x:c r="F33" s="115" t="str">
        <x:v>0</x:v>
      </x:c>
      <x:c r="G33" s="115" t="str">
        <x:v>True</x:v>
      </x:c>
      <x:c r="H33" s="115" t="str">
        <x:v>True</x:v>
      </x:c>
    </x:row>
    <x:row r="34">
      <x:c r="A34" s="115" t="str">
        <x:v>E4.1</x:v>
      </x:c>
      <x:c r="B34" s="115" t="str">
        <x:v>AX_SCAFFOLD</x:v>
      </x:c>
      <x:c r="C34" s="115" t="str">
        <x:v>5</x:v>
      </x:c>
      <x:c r="D34" s="115" t="str">
        <x:v>depends_on</x:v>
      </x:c>
      <x:c r="E34" s="115" t="str">
        <x:v>A2.2</x:v>
      </x:c>
      <x:c r="F34" s="115" t="str">
        <x:v>0</x:v>
      </x:c>
      <x:c r="G34" s="115" t="str">
        <x:v>True</x:v>
      </x:c>
      <x:c r="H34" s="115" t="str">
        <x:v>True</x:v>
      </x:c>
    </x:row>
    <x:row r="35">
      <x:c r="A35" s="115" t="str">
        <x:v>T4.1</x:v>
      </x:c>
      <x:c r="B35" s="115" t="str">
        <x:v>FW_EXTENDED</x:v>
      </x:c>
      <x:c r="C35" s="115" t="str">
        <x:v>5</x:v>
      </x:c>
      <x:c r="D35" s="115" t="str">
        <x:v>depends_on</x:v>
      </x:c>
      <x:c r="E35" s="115" t="str">
        <x:v>A2.2</x:v>
      </x:c>
      <x:c r="F35" s="115" t="str">
        <x:v>0</x:v>
      </x:c>
      <x:c r="G35" s="115" t="str">
        <x:v>True</x:v>
      </x:c>
      <x:c r="H35" s="115" t="str">
        <x:v>True</x:v>
      </x:c>
    </x:row>
    <x:row r="36">
      <x:c r="A36" s="115" t="str">
        <x:v>T4.2</x:v>
      </x:c>
      <x:c r="B36" s="115" t="str">
        <x:v>FW_EXTENDED</x:v>
      </x:c>
      <x:c r="C36" s="115" t="str">
        <x:v>5</x:v>
      </x:c>
      <x:c r="D36" s="115" t="str">
        <x:v>depends_on</x:v>
      </x:c>
      <x:c r="E36" s="115" t="str">
        <x:v>A2.2</x:v>
      </x:c>
      <x:c r="F36" s="115" t="str">
        <x:v>0</x:v>
      </x:c>
      <x:c r="G36" s="115" t="str">
        <x:v>True</x:v>
      </x:c>
      <x:c r="H36" s="115" t="str">
        <x:v>True</x:v>
      </x:c>
    </x:row>
    <x:row r="37">
      <x:c r="A37" s="115" t="str">
        <x:v>LN4.1</x:v>
      </x:c>
      <x:c r="B37" s="115" t="str">
        <x:v>FW_EXTENDED</x:v>
      </x:c>
      <x:c r="C37" s="115" t="str">
        <x:v>5</x:v>
      </x:c>
      <x:c r="D37" s="115" t="str">
        <x:v>depends_on</x:v>
      </x:c>
      <x:c r="E37" s="115" t="str">
        <x:v>A2.2</x:v>
      </x:c>
      <x:c r="F37" s="115" t="str">
        <x:v>0</x:v>
      </x:c>
      <x:c r="G37" s="115" t="str">
        <x:v>True</x:v>
      </x:c>
      <x:c r="H37" s="115" t="str">
        <x:v>True</x:v>
      </x:c>
    </x:row>
    <x:row r="38">
      <x:c r="A38" s="115" t="str">
        <x:v>A5.1</x:v>
      </x:c>
      <x:c r="B38" s="115" t="str">
        <x:v>FW_EXTENDED</x:v>
      </x:c>
      <x:c r="C38" s="115" t="str">
        <x:v>6</x:v>
      </x:c>
      <x:c r="D38" s="115" t="str">
        <x:v>depends_on</x:v>
      </x:c>
      <x:c r="E38" s="115" t="str"/>
      <x:c r="F38" s="115" t="str">
        <x:v>50</x:v>
      </x:c>
      <x:c r="G38" s="115" t="str">
        <x:v>False</x:v>
      </x:c>
      <x:c r="H38" s="115" t="str">
        <x:v>False</x:v>
      </x:c>
    </x:row>
    <x:row r="39">
      <x:c r="A39" s="115" t="str">
        <x:v>A5.2</x:v>
      </x:c>
      <x:c r="B39" s="115" t="str">
        <x:v>FW_EXTENDED</x:v>
      </x:c>
      <x:c r="C39" s="115" t="str">
        <x:v>6</x:v>
      </x:c>
      <x:c r="D39" s="115" t="str">
        <x:v>depends_on</x:v>
      </x:c>
      <x:c r="E39" s="115" t="str">
        <x:v>A5.1</x:v>
      </x:c>
      <x:c r="F39" s="115" t="str">
        <x:v>3</x:v>
      </x:c>
      <x:c r="G39" s="115" t="str">
        <x:v>True</x:v>
      </x:c>
      <x:c r="H39" s="115" t="str">
        <x:v>False</x:v>
      </x:c>
    </x:row>
    <x:row r="40">
      <x:c r="A40" s="115" t="str">
        <x:v>D5.1</x:v>
      </x:c>
      <x:c r="B40" s="115" t="str">
        <x:v>AX_SCAFFOLD</x:v>
      </x:c>
      <x:c r="C40" s="115" t="str">
        <x:v>6</x:v>
      </x:c>
      <x:c r="D40" s="115" t="str">
        <x:v>depends_on</x:v>
      </x:c>
      <x:c r="E40" s="115" t="str">
        <x:v>A5.1</x:v>
      </x:c>
      <x:c r="F40" s="115" t="str">
        <x:v>0</x:v>
      </x:c>
      <x:c r="G40" s="115" t="str">
        <x:v>True</x:v>
      </x:c>
      <x:c r="H40" s="115" t="str">
        <x:v>False</x:v>
      </x:c>
    </x:row>
    <x:row r="41">
      <x:c r="A41" s="115" t="str">
        <x:v>D5.2</x:v>
      </x:c>
      <x:c r="B41" s="115" t="str">
        <x:v>AX_SCAFFOLD</x:v>
      </x:c>
      <x:c r="C41" s="115" t="str">
        <x:v>6</x:v>
      </x:c>
      <x:c r="D41" s="115" t="str">
        <x:v>depends_on</x:v>
      </x:c>
      <x:c r="E41" s="115" t="str">
        <x:v>A5.1</x:v>
      </x:c>
      <x:c r="F41" s="115" t="str">
        <x:v>10</x:v>
      </x:c>
      <x:c r="G41" s="115" t="str">
        <x:v>True</x:v>
      </x:c>
      <x:c r="H41" s="115" t="str">
        <x:v>False</x:v>
      </x:c>
    </x:row>
    <x:row r="42">
      <x:c r="A42" s="115" t="str">
        <x:v>D5.3</x:v>
      </x:c>
      <x:c r="B42" s="115" t="str">
        <x:v>AX_SCAFFOLD</x:v>
      </x:c>
      <x:c r="C42" s="115" t="str">
        <x:v>6</x:v>
      </x:c>
      <x:c r="D42" s="115" t="str">
        <x:v>depends_on</x:v>
      </x:c>
      <x:c r="E42" s="115" t="str">
        <x:v>A5.1</x:v>
      </x:c>
      <x:c r="F42" s="115" t="str">
        <x:v>0</x:v>
      </x:c>
      <x:c r="G42" s="115" t="str">
        <x:v>True</x:v>
      </x:c>
      <x:c r="H42" s="115" t="str">
        <x:v>False</x:v>
      </x:c>
    </x:row>
    <x:row r="43">
      <x:c r="A43" s="115" t="str">
        <x:v>P5.1</x:v>
      </x:c>
      <x:c r="B43" s="115" t="str">
        <x:v>FW_EXTENDED</x:v>
      </x:c>
      <x:c r="C43" s="115" t="str">
        <x:v>6</x:v>
      </x:c>
      <x:c r="D43" s="115" t="str">
        <x:v>depends_on</x:v>
      </x:c>
      <x:c r="E43" s="115" t="str">
        <x:v>A5.1</x:v>
      </x:c>
      <x:c r="F43" s="115" t="str">
        <x:v>0</x:v>
      </x:c>
      <x:c r="G43" s="115" t="str">
        <x:v>True</x:v>
      </x:c>
      <x:c r="H43" s="115" t="str">
        <x:v>False</x:v>
      </x:c>
    </x:row>
    <x:row r="44">
      <x:c r="A44" s="115" t="str">
        <x:v>P5.2</x:v>
      </x:c>
      <x:c r="B44" s="115" t="str">
        <x:v>FW_EXTENDED</x:v>
      </x:c>
      <x:c r="C44" s="115" t="str">
        <x:v>6</x:v>
      </x:c>
      <x:c r="D44" s="115" t="str">
        <x:v>depends_on</x:v>
      </x:c>
      <x:c r="E44" s="115" t="str">
        <x:v>A5.1</x:v>
      </x:c>
      <x:c r="F44" s="115" t="str">
        <x:v>3</x:v>
      </x:c>
      <x:c r="G44" s="115" t="str">
        <x:v>True</x:v>
      </x:c>
      <x:c r="H44" s="115" t="str">
        <x:v>False</x:v>
      </x:c>
    </x:row>
    <x:row r="45">
      <x:c r="A45" s="115" t="str">
        <x:v>EXP5.1</x:v>
      </x:c>
      <x:c r="B45" s="115" t="str">
        <x:v>HY_EVIDENCE</x:v>
      </x:c>
      <x:c r="C45" s="115" t="str">
        <x:v>6</x:v>
      </x:c>
      <x:c r="D45" s="115" t="str">
        <x:v>depends_on</x:v>
      </x:c>
      <x:c r="E45" s="115" t="str">
        <x:v>A5.1</x:v>
      </x:c>
      <x:c r="F45" s="115" t="str">
        <x:v>0</x:v>
      </x:c>
      <x:c r="G45" s="115" t="str">
        <x:v>True</x:v>
      </x:c>
      <x:c r="H45" s="115" t="str">
        <x:v>False</x:v>
      </x:c>
    </x:row>
    <x:row r="46">
      <x:c r="A46" s="115" t="str">
        <x:v>EXP5.2</x:v>
      </x:c>
      <x:c r="B46" s="115" t="str">
        <x:v>HY_EVIDENCE</x:v>
      </x:c>
      <x:c r="C46" s="115" t="str">
        <x:v>6</x:v>
      </x:c>
      <x:c r="D46" s="115" t="str">
        <x:v>depends_on</x:v>
      </x:c>
      <x:c r="E46" s="115" t="str">
        <x:v>A5.1</x:v>
      </x:c>
      <x:c r="F46" s="115" t="str">
        <x:v>0</x:v>
      </x:c>
      <x:c r="G46" s="115" t="str">
        <x:v>True</x:v>
      </x:c>
      <x:c r="H46" s="115" t="str">
        <x:v>False</x:v>
      </x:c>
    </x:row>
    <x:row r="47">
      <x:c r="A47" s="115" t="str">
        <x:v>LN5.1</x:v>
      </x:c>
      <x:c r="B47" s="115" t="str">
        <x:v>FW_EXTENDED</x:v>
      </x:c>
      <x:c r="C47" s="115" t="str">
        <x:v>6</x:v>
      </x:c>
      <x:c r="D47" s="115" t="str">
        <x:v>depends_on</x:v>
      </x:c>
      <x:c r="E47" s="115" t="str">
        <x:v>A5.1</x:v>
      </x:c>
      <x:c r="F47" s="115" t="str">
        <x:v>3</x:v>
      </x:c>
      <x:c r="G47" s="115" t="str">
        <x:v>True</x:v>
      </x:c>
      <x:c r="H47" s="115" t="str">
        <x:v>False</x:v>
      </x:c>
    </x:row>
    <x:row r="48">
      <x:c r="A48" s="115" t="str">
        <x:v>A6.1</x:v>
      </x:c>
      <x:c r="B48" s="115" t="str">
        <x:v>FW_EXTENDED</x:v>
      </x:c>
      <x:c r="C48" s="115" t="str">
        <x:v>7</x:v>
      </x:c>
      <x:c r="D48" s="115" t="str">
        <x:v>depends_on</x:v>
      </x:c>
      <x:c r="E48" s="115" t="str">
        <x:v>A5.1</x:v>
      </x:c>
      <x:c r="F48" s="115" t="str">
        <x:v>0</x:v>
      </x:c>
      <x:c r="G48" s="115" t="str">
        <x:v>True</x:v>
      </x:c>
      <x:c r="H48" s="115" t="str">
        <x:v>False</x:v>
      </x:c>
    </x:row>
    <x:row r="49">
      <x:c r="A49" s="115" t="str">
        <x:v>A6.2</x:v>
      </x:c>
      <x:c r="B49" s="115" t="str">
        <x:v>FW_EXTENDED</x:v>
      </x:c>
      <x:c r="C49" s="115" t="str">
        <x:v>7</x:v>
      </x:c>
      <x:c r="D49" s="115" t="str">
        <x:v>depends_on</x:v>
      </x:c>
      <x:c r="E49" s="115" t="str">
        <x:v>A5.1</x:v>
      </x:c>
      <x:c r="F49" s="115" t="str">
        <x:v>16</x:v>
      </x:c>
      <x:c r="G49" s="115" t="str">
        <x:v>True</x:v>
      </x:c>
      <x:c r="H49" s="115" t="str">
        <x:v>False</x:v>
      </x:c>
    </x:row>
    <x:row r="50">
      <x:c r="A50" s="115" t="str">
        <x:v>A6.3</x:v>
      </x:c>
      <x:c r="B50" s="115" t="str">
        <x:v>FW_EXTENDED</x:v>
      </x:c>
      <x:c r="C50" s="115" t="str">
        <x:v>7</x:v>
      </x:c>
      <x:c r="D50" s="115" t="str">
        <x:v>depends_on</x:v>
      </x:c>
      <x:c r="E50" s="115" t="str">
        <x:v>A5.1</x:v>
      </x:c>
      <x:c r="F50" s="115" t="str">
        <x:v>1</x:v>
      </x:c>
      <x:c r="G50" s="115" t="str">
        <x:v>True</x:v>
      </x:c>
      <x:c r="H50" s="115" t="str">
        <x:v>False</x:v>
      </x:c>
    </x:row>
    <x:row r="51">
      <x:c r="A51" s="115" t="str">
        <x:v>D6.1</x:v>
      </x:c>
      <x:c r="B51" s="115" t="str">
        <x:v>AX_SCAFFOLD</x:v>
      </x:c>
      <x:c r="C51" s="115" t="str">
        <x:v>7</x:v>
      </x:c>
      <x:c r="D51" s="115" t="str">
        <x:v>depends_on</x:v>
      </x:c>
      <x:c r="E51" s="115" t="str">
        <x:v>A5.1</x:v>
      </x:c>
      <x:c r="F51" s="115" t="str">
        <x:v>0</x:v>
      </x:c>
      <x:c r="G51" s="115" t="str">
        <x:v>True</x:v>
      </x:c>
      <x:c r="H51" s="115" t="str">
        <x:v>False</x:v>
      </x:c>
    </x:row>
    <x:row r="52">
      <x:c r="A52" s="115" t="str">
        <x:v>D6.2</x:v>
      </x:c>
      <x:c r="B52" s="115" t="str">
        <x:v>AX_SCAFFOLD</x:v>
      </x:c>
      <x:c r="C52" s="115" t="str">
        <x:v>7</x:v>
      </x:c>
      <x:c r="D52" s="115" t="str">
        <x:v>depends_on</x:v>
      </x:c>
      <x:c r="E52" s="115" t="str">
        <x:v>A5.1</x:v>
      </x:c>
      <x:c r="F52" s="115" t="str">
        <x:v>0</x:v>
      </x:c>
      <x:c r="G52" s="115" t="str">
        <x:v>True</x:v>
      </x:c>
      <x:c r="H52" s="115" t="str">
        <x:v>False</x:v>
      </x:c>
    </x:row>
    <x:row r="53">
      <x:c r="A53" s="115" t="str">
        <x:v>E6.1</x:v>
      </x:c>
      <x:c r="B53" s="115" t="str">
        <x:v>FW_EXTENDED</x:v>
      </x:c>
      <x:c r="C53" s="115" t="str">
        <x:v>7</x:v>
      </x:c>
      <x:c r="D53" s="115" t="str">
        <x:v>depends_on</x:v>
      </x:c>
      <x:c r="E53" s="115" t="str">
        <x:v>A5.1</x:v>
      </x:c>
      <x:c r="F53" s="115" t="str">
        <x:v>0</x:v>
      </x:c>
      <x:c r="G53" s="115" t="str">
        <x:v>True</x:v>
      </x:c>
      <x:c r="H53" s="115" t="str">
        <x:v>False</x:v>
      </x:c>
    </x:row>
    <x:row r="54">
      <x:c r="A54" s="115" t="str">
        <x:v>E6.2</x:v>
      </x:c>
      <x:c r="B54" s="115" t="str">
        <x:v>AX_SCAFFOLD</x:v>
      </x:c>
      <x:c r="C54" s="115" t="str">
        <x:v>7</x:v>
      </x:c>
      <x:c r="D54" s="115" t="str">
        <x:v>depends_on</x:v>
      </x:c>
      <x:c r="E54" s="115" t="str">
        <x:v>A5.1|D5.2|A6.2</x:v>
      </x:c>
      <x:c r="F54" s="115" t="str">
        <x:v>1</x:v>
      </x:c>
      <x:c r="G54" s="115" t="str">
        <x:v>True</x:v>
      </x:c>
      <x:c r="H54" s="115" t="str">
        <x:v>False</x:v>
      </x:c>
    </x:row>
    <x:row r="55">
      <x:c r="A55" s="115" t="str">
        <x:v>P6.1</x:v>
      </x:c>
      <x:c r="B55" s="115" t="str">
        <x:v>FW_EXTENDED</x:v>
      </x:c>
      <x:c r="C55" s="115" t="str">
        <x:v>7</x:v>
      </x:c>
      <x:c r="D55" s="115" t="str">
        <x:v>depends_on</x:v>
      </x:c>
      <x:c r="E55" s="115" t="str">
        <x:v>A6.2</x:v>
      </x:c>
      <x:c r="F55" s="115" t="str">
        <x:v>0</x:v>
      </x:c>
      <x:c r="G55" s="115" t="str">
        <x:v>True</x:v>
      </x:c>
      <x:c r="H55" s="115" t="str">
        <x:v>False</x:v>
      </x:c>
    </x:row>
    <x:row r="56">
      <x:c r="A56" s="115" t="str">
        <x:v>P6.2</x:v>
      </x:c>
      <x:c r="B56" s="115" t="str">
        <x:v>FW_EXTENDED</x:v>
      </x:c>
      <x:c r="C56" s="115" t="str">
        <x:v>7</x:v>
      </x:c>
      <x:c r="D56" s="115" t="str">
        <x:v>depends_on</x:v>
      </x:c>
      <x:c r="E56" s="115" t="str">
        <x:v>A6.3</x:v>
      </x:c>
      <x:c r="F56" s="115" t="str">
        <x:v>0</x:v>
      </x:c>
      <x:c r="G56" s="115" t="str">
        <x:v>True</x:v>
      </x:c>
      <x:c r="H56" s="115" t="str">
        <x:v>False</x:v>
      </x:c>
    </x:row>
    <x:row r="57">
      <x:c r="A57" s="115" t="str">
        <x:v>T6.1</x:v>
      </x:c>
      <x:c r="B57" s="115" t="str">
        <x:v>FW_EXTENDED</x:v>
      </x:c>
      <x:c r="C57" s="115" t="str">
        <x:v>7</x:v>
      </x:c>
      <x:c r="D57" s="115" t="str">
        <x:v>depends_on</x:v>
      </x:c>
      <x:c r="E57" s="115" t="str">
        <x:v>A5.1|A6.2</x:v>
      </x:c>
      <x:c r="F57" s="115" t="str">
        <x:v>11</x:v>
      </x:c>
      <x:c r="G57" s="115" t="str">
        <x:v>True</x:v>
      </x:c>
      <x:c r="H57" s="115" t="str">
        <x:v>False</x:v>
      </x:c>
    </x:row>
    <x:row r="58">
      <x:c r="A58" s="115" t="str">
        <x:v>LN6.1</x:v>
      </x:c>
      <x:c r="B58" s="115" t="str">
        <x:v>FW_EXTENDED</x:v>
      </x:c>
      <x:c r="C58" s="115" t="str">
        <x:v>7</x:v>
      </x:c>
      <x:c r="D58" s="115" t="str">
        <x:v>depends_on</x:v>
      </x:c>
      <x:c r="E58" s="115" t="str">
        <x:v>T6.1</x:v>
      </x:c>
      <x:c r="F58" s="115" t="str">
        <x:v>10</x:v>
      </x:c>
      <x:c r="G58" s="115" t="str">
        <x:v>True</x:v>
      </x:c>
      <x:c r="H58" s="115" t="str">
        <x:v>False</x:v>
      </x:c>
    </x:row>
    <x:row r="59">
      <x:c r="A59" s="115" t="str">
        <x:v>A7.1</x:v>
      </x:c>
      <x:c r="B59" s="115" t="str">
        <x:v>FW_EXTENDED</x:v>
      </x:c>
      <x:c r="C59" s="115" t="str">
        <x:v>8</x:v>
      </x:c>
      <x:c r="D59" s="115" t="str">
        <x:v>depends_on</x:v>
      </x:c>
      <x:c r="E59" s="115" t="str">
        <x:v>LN6.1</x:v>
      </x:c>
      <x:c r="F59" s="115" t="str">
        <x:v>9</x:v>
      </x:c>
      <x:c r="G59" s="115" t="str">
        <x:v>True</x:v>
      </x:c>
      <x:c r="H59" s="115" t="str">
        <x:v>False</x:v>
      </x:c>
    </x:row>
    <x:row r="60">
      <x:c r="A60" s="115" t="str">
        <x:v>A7.2</x:v>
      </x:c>
      <x:c r="B60" s="115" t="str">
        <x:v>FW_EXTENDED</x:v>
      </x:c>
      <x:c r="C60" s="115" t="str">
        <x:v>8</x:v>
      </x:c>
      <x:c r="D60" s="115" t="str">
        <x:v>depends_on</x:v>
      </x:c>
      <x:c r="E60" s="115" t="str">
        <x:v>A7.1</x:v>
      </x:c>
      <x:c r="F60" s="115" t="str">
        <x:v>1</x:v>
      </x:c>
      <x:c r="G60" s="115" t="str">
        <x:v>True</x:v>
      </x:c>
      <x:c r="H60" s="115" t="str">
        <x:v>False</x:v>
      </x:c>
    </x:row>
    <x:row r="61">
      <x:c r="A61" s="115" t="str">
        <x:v>BC1</x:v>
      </x:c>
      <x:c r="B61" s="115" t="str">
        <x:v>FW_EXTENDED</x:v>
      </x:c>
      <x:c r="C61" s="115" t="str">
        <x:v>8</x:v>
      </x:c>
      <x:c r="D61" s="115" t="str">
        <x:v>depends_on</x:v>
      </x:c>
      <x:c r="E61" s="115" t="str">
        <x:v>LN6.1|A7.1</x:v>
      </x:c>
      <x:c r="F61" s="115" t="str">
        <x:v>5</x:v>
      </x:c>
      <x:c r="G61" s="115" t="str">
        <x:v>True</x:v>
      </x:c>
      <x:c r="H61" s="115" t="str">
        <x:v>False</x:v>
      </x:c>
    </x:row>
    <x:row r="62">
      <x:c r="A62" s="115" t="str">
        <x:v>BC2</x:v>
      </x:c>
      <x:c r="B62" s="115" t="str">
        <x:v>AX_DERIVED</x:v>
      </x:c>
      <x:c r="C62" s="115" t="str">
        <x:v>8</x:v>
      </x:c>
      <x:c r="D62" s="115" t="str">
        <x:v>depends_on</x:v>
      </x:c>
      <x:c r="E62" s="115" t="str">
        <x:v>T3.1|T3.2</x:v>
      </x:c>
      <x:c r="F62" s="115" t="str">
        <x:v>4</x:v>
      </x:c>
      <x:c r="G62" s="115" t="str">
        <x:v>True</x:v>
      </x:c>
      <x:c r="H62" s="115" t="str">
        <x:v>True</x:v>
      </x:c>
    </x:row>
    <x:row r="63">
      <x:c r="A63" s="115" t="str">
        <x:v>BC3</x:v>
      </x:c>
      <x:c r="B63" s="115" t="str">
        <x:v>FW_EXTENDED</x:v>
      </x:c>
      <x:c r="C63" s="115" t="str">
        <x:v>8</x:v>
      </x:c>
      <x:c r="D63" s="115" t="str">
        <x:v>depends_on</x:v>
      </x:c>
      <x:c r="E63" s="115" t="str">
        <x:v>A5.1|A6.2</x:v>
      </x:c>
      <x:c r="F63" s="115" t="str">
        <x:v>4</x:v>
      </x:c>
      <x:c r="G63" s="115" t="str">
        <x:v>True</x:v>
      </x:c>
      <x:c r="H63" s="115" t="str">
        <x:v>False</x:v>
      </x:c>
    </x:row>
    <x:row r="64">
      <x:c r="A64" s="115" t="str">
        <x:v>BC4a</x:v>
      </x:c>
      <x:c r="B64" s="115" t="str">
        <x:v>FW_EXTENDED</x:v>
      </x:c>
      <x:c r="C64" s="115" t="str">
        <x:v>8</x:v>
      </x:c>
      <x:c r="D64" s="115" t="str">
        <x:v>depends_on</x:v>
      </x:c>
      <x:c r="E64" s="115" t="str"/>
      <x:c r="F64" s="115" t="str">
        <x:v>13</x:v>
      </x:c>
      <x:c r="G64" s="115" t="str">
        <x:v>False</x:v>
      </x:c>
      <x:c r="H64" s="115" t="str">
        <x:v>False</x:v>
      </x:c>
    </x:row>
    <x:row r="65">
      <x:c r="A65" s="115" t="str">
        <x:v>BC4b</x:v>
      </x:c>
      <x:c r="B65" s="115" t="str">
        <x:v>FW_EXTENDED</x:v>
      </x:c>
      <x:c r="C65" s="115" t="str">
        <x:v>8</x:v>
      </x:c>
      <x:c r="D65" s="115" t="str">
        <x:v>depends_on</x:v>
      </x:c>
      <x:c r="E65" s="115" t="str">
        <x:v>BC4a</x:v>
      </x:c>
      <x:c r="F65" s="115" t="str">
        <x:v>1</x:v>
      </x:c>
      <x:c r="G65" s="115" t="str">
        <x:v>False</x:v>
      </x:c>
      <x:c r="H65" s="115" t="str">
        <x:v>False</x:v>
      </x:c>
    </x:row>
    <x:row r="66">
      <x:c r="A66" s="115" t="str">
        <x:v>BC5</x:v>
      </x:c>
      <x:c r="B66" s="115" t="str">
        <x:v>FW_EXTENDED</x:v>
      </x:c>
      <x:c r="C66" s="115" t="str">
        <x:v>8</x:v>
      </x:c>
      <x:c r="D66" s="115" t="str">
        <x:v>depends_on</x:v>
      </x:c>
      <x:c r="E66" s="115" t="str">
        <x:v>BC4a</x:v>
      </x:c>
      <x:c r="F66" s="115" t="str">
        <x:v>4</x:v>
      </x:c>
      <x:c r="G66" s="115" t="str">
        <x:v>False</x:v>
      </x:c>
      <x:c r="H66" s="115" t="str">
        <x:v>False</x:v>
      </x:c>
    </x:row>
    <x:row r="67">
      <x:c r="A67" s="115" t="str">
        <x:v>BC6</x:v>
      </x:c>
      <x:c r="B67" s="115" t="str">
        <x:v>FW_EXTENDED</x:v>
      </x:c>
      <x:c r="C67" s="115" t="str">
        <x:v>8</x:v>
      </x:c>
      <x:c r="D67" s="115" t="str">
        <x:v>depends_on</x:v>
      </x:c>
      <x:c r="E67" s="115" t="str"/>
      <x:c r="F67" s="115" t="str">
        <x:v>80</x:v>
      </x:c>
      <x:c r="G67" s="115" t="str">
        <x:v>False</x:v>
      </x:c>
      <x:c r="H67" s="115" t="str">
        <x:v>False</x:v>
      </x:c>
    </x:row>
    <x:row r="68">
      <x:c r="A68" s="115" t="str">
        <x:v>BC7</x:v>
      </x:c>
      <x:c r="B68" s="115" t="str">
        <x:v>AX_DERIVED</x:v>
      </x:c>
      <x:c r="C68" s="115" t="str">
        <x:v>8</x:v>
      </x:c>
      <x:c r="D68" s="115" t="str">
        <x:v>depends_on</x:v>
      </x:c>
      <x:c r="E68" s="115" t="str">
        <x:v>BC6</x:v>
      </x:c>
      <x:c r="F68" s="115" t="str">
        <x:v>3</x:v>
      </x:c>
      <x:c r="G68" s="115" t="str">
        <x:v>False</x:v>
      </x:c>
      <x:c r="H68" s="115" t="str">
        <x:v>False</x:v>
      </x:c>
    </x:row>
    <x:row r="69">
      <x:c r="A69" s="115" t="str">
        <x:v>BC8</x:v>
      </x:c>
      <x:c r="B69" s="115" t="str">
        <x:v>AX_DERIVED</x:v>
      </x:c>
      <x:c r="C69" s="115" t="str">
        <x:v>8</x:v>
      </x:c>
      <x:c r="D69" s="115" t="str">
        <x:v>depends_on</x:v>
      </x:c>
      <x:c r="E69" s="115" t="str">
        <x:v>BC6</x:v>
      </x:c>
      <x:c r="F69" s="115" t="str">
        <x:v>3</x:v>
      </x:c>
      <x:c r="G69" s="115" t="str">
        <x:v>False</x:v>
      </x:c>
      <x:c r="H69" s="115" t="str">
        <x:v>False</x:v>
      </x:c>
    </x:row>
    <x:row r="70">
      <x:c r="A70" s="115" t="str">
        <x:v>BC9</x:v>
      </x:c>
      <x:c r="B70" s="115" t="str">
        <x:v>FW_EXTENDED</x:v>
      </x:c>
      <x:c r="C70" s="115" t="str">
        <x:v>8</x:v>
      </x:c>
      <x:c r="D70" s="115" t="str">
        <x:v>depends_on</x:v>
      </x:c>
      <x:c r="E70" s="115" t="str">
        <x:v>BC4a|BC6</x:v>
      </x:c>
      <x:c r="F70" s="115" t="str">
        <x:v>3</x:v>
      </x:c>
      <x:c r="G70" s="115" t="str">
        <x:v>False</x:v>
      </x:c>
      <x:c r="H70" s="115" t="str">
        <x:v>False</x:v>
      </x:c>
    </x:row>
    <x:row r="71">
      <x:c r="A71" s="115" t="str">
        <x:v>ID7.1</x:v>
      </x:c>
      <x:c r="B71" s="115" t="str">
        <x:v>FW_EXTENDED</x:v>
      </x:c>
      <x:c r="C71" s="115" t="str">
        <x:v>9</x:v>
      </x:c>
      <x:c r="D71" s="115" t="str">
        <x:v>depends_on</x:v>
      </x:c>
      <x:c r="E71" s="115" t="str">
        <x:v>BC6</x:v>
      </x:c>
      <x:c r="F71" s="115" t="str">
        <x:v>3</x:v>
      </x:c>
      <x:c r="G71" s="115" t="str">
        <x:v>False</x:v>
      </x:c>
      <x:c r="H71" s="115" t="str">
        <x:v>False</x:v>
      </x:c>
    </x:row>
    <x:row r="72">
      <x:c r="A72" s="115" t="str">
        <x:v>PERSONHOOD</x:v>
      </x:c>
      <x:c r="B72" s="115" t="str">
        <x:v>FW_EXTENDED</x:v>
      </x:c>
      <x:c r="C72" s="115" t="str">
        <x:v>9</x:v>
      </x:c>
      <x:c r="D72" s="115" t="str">
        <x:v>depends_on</x:v>
      </x:c>
      <x:c r="E72" s="115" t="str">
        <x:v>BC6</x:v>
      </x:c>
      <x:c r="F72" s="115" t="str">
        <x:v>0</x:v>
      </x:c>
      <x:c r="G72" s="115" t="str">
        <x:v>False</x:v>
      </x:c>
      <x:c r="H72" s="115" t="str">
        <x:v>False</x:v>
      </x:c>
    </x:row>
    <x:row r="73">
      <x:c r="A73" s="115" t="str">
        <x:v>A8.1</x:v>
      </x:c>
      <x:c r="B73" s="115" t="str">
        <x:v>FW_EXTENDED</x:v>
      </x:c>
      <x:c r="C73" s="115" t="str">
        <x:v>9</x:v>
      </x:c>
      <x:c r="D73" s="115" t="str">
        <x:v>depends_on</x:v>
      </x:c>
      <x:c r="E73" s="115" t="str">
        <x:v>BC6</x:v>
      </x:c>
      <x:c r="F73" s="115" t="str">
        <x:v>0</x:v>
      </x:c>
      <x:c r="G73" s="115" t="str">
        <x:v>False</x:v>
      </x:c>
      <x:c r="H73" s="115" t="str">
        <x:v>False</x:v>
      </x:c>
    </x:row>
    <x:row r="74">
      <x:c r="A74" s="115" t="str">
        <x:v>A8.2</x:v>
      </x:c>
      <x:c r="B74" s="115" t="str">
        <x:v>FW_EXTENDED</x:v>
      </x:c>
      <x:c r="C74" s="115" t="str">
        <x:v>9</x:v>
      </x:c>
      <x:c r="D74" s="115" t="str">
        <x:v>depends_on</x:v>
      </x:c>
      <x:c r="E74" s="115" t="str">
        <x:v>BC6</x:v>
      </x:c>
      <x:c r="F74" s="115" t="str">
        <x:v>3</x:v>
      </x:c>
      <x:c r="G74" s="115" t="str">
        <x:v>False</x:v>
      </x:c>
      <x:c r="H74" s="115" t="str">
        <x:v>False</x:v>
      </x:c>
    </x:row>
    <x:row r="75">
      <x:c r="A75" s="115" t="str">
        <x:v>D8.1</x:v>
      </x:c>
      <x:c r="B75" s="115" t="str">
        <x:v>AX_SCAFFOLD</x:v>
      </x:c>
      <x:c r="C75" s="115" t="str">
        <x:v>9</x:v>
      </x:c>
      <x:c r="D75" s="115" t="str">
        <x:v>depends_on</x:v>
      </x:c>
      <x:c r="E75" s="115" t="str">
        <x:v>BC6</x:v>
      </x:c>
      <x:c r="F75" s="115" t="str">
        <x:v>3</x:v>
      </x:c>
      <x:c r="G75" s="115" t="str">
        <x:v>False</x:v>
      </x:c>
      <x:c r="H75" s="115" t="str">
        <x:v>False</x:v>
      </x:c>
    </x:row>
    <x:row r="76">
      <x:c r="A76" s="115" t="str">
        <x:v>T8.1</x:v>
      </x:c>
      <x:c r="B76" s="115" t="str">
        <x:v>FW_EXTENDED</x:v>
      </x:c>
      <x:c r="C76" s="115" t="str">
        <x:v>9</x:v>
      </x:c>
      <x:c r="D76" s="115" t="str">
        <x:v>depends_on</x:v>
      </x:c>
      <x:c r="E76" s="115" t="str">
        <x:v>BC6</x:v>
      </x:c>
      <x:c r="F76" s="115" t="str">
        <x:v>0</x:v>
      </x:c>
      <x:c r="G76" s="115" t="str">
        <x:v>False</x:v>
      </x:c>
      <x:c r="H76" s="115" t="str">
        <x:v>False</x:v>
      </x:c>
    </x:row>
    <x:row r="77">
      <x:c r="A77" s="115" t="str">
        <x:v>C8.1</x:v>
      </x:c>
      <x:c r="B77" s="115" t="str">
        <x:v>FW_EXTENDED</x:v>
      </x:c>
      <x:c r="C77" s="115" t="str">
        <x:v>9</x:v>
      </x:c>
      <x:c r="D77" s="115" t="str">
        <x:v>depends_on</x:v>
      </x:c>
      <x:c r="E77" s="115" t="str">
        <x:v>BC6</x:v>
      </x:c>
      <x:c r="F77" s="115" t="str">
        <x:v>0</x:v>
      </x:c>
      <x:c r="G77" s="115" t="str">
        <x:v>False</x:v>
      </x:c>
      <x:c r="H77" s="115" t="str">
        <x:v>False</x:v>
      </x:c>
    </x:row>
    <x:row r="78">
      <x:c r="A78" s="115" t="str">
        <x:v>C8.2</x:v>
      </x:c>
      <x:c r="B78" s="115" t="str">
        <x:v>FW_EXTENDED</x:v>
      </x:c>
      <x:c r="C78" s="115" t="str">
        <x:v>9</x:v>
      </x:c>
      <x:c r="D78" s="115" t="str">
        <x:v>depends_on</x:v>
      </x:c>
      <x:c r="E78" s="115" t="str">
        <x:v>BC6</x:v>
      </x:c>
      <x:c r="F78" s="115" t="str">
        <x:v>0</x:v>
      </x:c>
      <x:c r="G78" s="115" t="str">
        <x:v>False</x:v>
      </x:c>
      <x:c r="H78" s="115" t="str">
        <x:v>False</x:v>
      </x:c>
    </x:row>
    <x:row r="79">
      <x:c r="A79" s="115" t="str">
        <x:v>A9.1</x:v>
      </x:c>
      <x:c r="B79" s="115" t="str">
        <x:v>FW_EXTENDED</x:v>
      </x:c>
      <x:c r="C79" s="115" t="str">
        <x:v>10</x:v>
      </x:c>
      <x:c r="D79" s="115" t="str">
        <x:v>depends_on</x:v>
      </x:c>
      <x:c r="E79" s="115" t="str">
        <x:v>BC6</x:v>
      </x:c>
      <x:c r="F79" s="115" t="str">
        <x:v>0</x:v>
      </x:c>
      <x:c r="G79" s="115" t="str">
        <x:v>False</x:v>
      </x:c>
      <x:c r="H79" s="115" t="str">
        <x:v>False</x:v>
      </x:c>
    </x:row>
    <x:row r="80">
      <x:c r="A80" s="115" t="str">
        <x:v>A9.2</x:v>
      </x:c>
      <x:c r="B80" s="115" t="str">
        <x:v>FW_EXTENDED</x:v>
      </x:c>
      <x:c r="C80" s="115" t="str">
        <x:v>10</x:v>
      </x:c>
      <x:c r="D80" s="115" t="str">
        <x:v>depends_on</x:v>
      </x:c>
      <x:c r="E80" s="115" t="str">
        <x:v>BC6</x:v>
      </x:c>
      <x:c r="F80" s="115" t="str">
        <x:v>3</x:v>
      </x:c>
      <x:c r="G80" s="115" t="str">
        <x:v>False</x:v>
      </x:c>
      <x:c r="H80" s="115" t="str">
        <x:v>False</x:v>
      </x:c>
    </x:row>
    <x:row r="81">
      <x:c r="A81" s="115" t="str">
        <x:v>D9.1</x:v>
      </x:c>
      <x:c r="B81" s="115" t="str">
        <x:v>AX_SCAFFOLD</x:v>
      </x:c>
      <x:c r="C81" s="115" t="str">
        <x:v>10</x:v>
      </x:c>
      <x:c r="D81" s="115" t="str">
        <x:v>depends_on</x:v>
      </x:c>
      <x:c r="E81" s="115" t="str">
        <x:v>BC6</x:v>
      </x:c>
      <x:c r="F81" s="115" t="str">
        <x:v>6</x:v>
      </x:c>
      <x:c r="G81" s="115" t="str">
        <x:v>False</x:v>
      </x:c>
      <x:c r="H81" s="115" t="str">
        <x:v>False</x:v>
      </x:c>
    </x:row>
    <x:row r="82">
      <x:c r="A82" s="115" t="str">
        <x:v>E9.1</x:v>
      </x:c>
      <x:c r="B82" s="115" t="str">
        <x:v>AX_SCAFFOLD</x:v>
      </x:c>
      <x:c r="C82" s="115" t="str">
        <x:v>10</x:v>
      </x:c>
      <x:c r="D82" s="115" t="str">
        <x:v>depends_on</x:v>
      </x:c>
      <x:c r="E82" s="115" t="str">
        <x:v>BC6</x:v>
      </x:c>
      <x:c r="F82" s="115" t="str">
        <x:v>0</x:v>
      </x:c>
      <x:c r="G82" s="115" t="str">
        <x:v>False</x:v>
      </x:c>
      <x:c r="H82" s="115" t="str">
        <x:v>False</x:v>
      </x:c>
    </x:row>
    <x:row r="83">
      <x:c r="A83" s="115" t="str">
        <x:v>P9.1</x:v>
      </x:c>
      <x:c r="B83" s="115" t="str">
        <x:v>FW_EXTENDED</x:v>
      </x:c>
      <x:c r="C83" s="115" t="str">
        <x:v>10</x:v>
      </x:c>
      <x:c r="D83" s="115" t="str">
        <x:v>depends_on</x:v>
      </x:c>
      <x:c r="E83" s="115" t="str">
        <x:v>BC6</x:v>
      </x:c>
      <x:c r="F83" s="115" t="str">
        <x:v>0</x:v>
      </x:c>
      <x:c r="G83" s="115" t="str">
        <x:v>False</x:v>
      </x:c>
      <x:c r="H83" s="115" t="str">
        <x:v>False</x:v>
      </x:c>
    </x:row>
    <x:row r="84">
      <x:c r="A84" s="115" t="str">
        <x:v>P9.2</x:v>
      </x:c>
      <x:c r="B84" s="115" t="str">
        <x:v>FW_EXTENDED</x:v>
      </x:c>
      <x:c r="C84" s="115" t="str">
        <x:v>10</x:v>
      </x:c>
      <x:c r="D84" s="115" t="str">
        <x:v>depends_on</x:v>
      </x:c>
      <x:c r="E84" s="115" t="str">
        <x:v>BC6</x:v>
      </x:c>
      <x:c r="F84" s="115" t="str">
        <x:v>0</x:v>
      </x:c>
      <x:c r="G84" s="115" t="str">
        <x:v>False</x:v>
      </x:c>
      <x:c r="H84" s="115" t="str">
        <x:v>False</x:v>
      </x:c>
    </x:row>
    <x:row r="85">
      <x:c r="A85" s="115" t="str">
        <x:v>P9.3</x:v>
      </x:c>
      <x:c r="B85" s="115" t="str">
        <x:v>FW_EXTENDED</x:v>
      </x:c>
      <x:c r="C85" s="115" t="str">
        <x:v>10</x:v>
      </x:c>
      <x:c r="D85" s="115" t="str">
        <x:v>depends_on</x:v>
      </x:c>
      <x:c r="E85" s="115" t="str">
        <x:v>BC6</x:v>
      </x:c>
      <x:c r="F85" s="115" t="str">
        <x:v>0</x:v>
      </x:c>
      <x:c r="G85" s="115" t="str">
        <x:v>False</x:v>
      </x:c>
      <x:c r="H85" s="115" t="str">
        <x:v>False</x:v>
      </x:c>
    </x:row>
    <x:row r="86">
      <x:c r="A86" s="115" t="str">
        <x:v>P9.4</x:v>
      </x:c>
      <x:c r="B86" s="115" t="str">
        <x:v>FW_EXTENDED</x:v>
      </x:c>
      <x:c r="C86" s="115" t="str">
        <x:v>10</x:v>
      </x:c>
      <x:c r="D86" s="115" t="str">
        <x:v>depends_on</x:v>
      </x:c>
      <x:c r="E86" s="115" t="str">
        <x:v>BC6</x:v>
      </x:c>
      <x:c r="F86" s="115" t="str">
        <x:v>0</x:v>
      </x:c>
      <x:c r="G86" s="115" t="str">
        <x:v>False</x:v>
      </x:c>
      <x:c r="H86" s="115" t="str">
        <x:v>False</x:v>
      </x:c>
    </x:row>
    <x:row r="87">
      <x:c r="A87" s="115" t="str">
        <x:v>P9.5</x:v>
      </x:c>
      <x:c r="B87" s="115" t="str">
        <x:v>FW_EXTENDED</x:v>
      </x:c>
      <x:c r="C87" s="115" t="str">
        <x:v>10</x:v>
      </x:c>
      <x:c r="D87" s="115" t="str">
        <x:v>depends_on</x:v>
      </x:c>
      <x:c r="E87" s="115" t="str">
        <x:v>BC6</x:v>
      </x:c>
      <x:c r="F87" s="115" t="str">
        <x:v>0</x:v>
      </x:c>
      <x:c r="G87" s="115" t="str">
        <x:v>False</x:v>
      </x:c>
      <x:c r="H87" s="115" t="str">
        <x:v>False</x:v>
      </x:c>
    </x:row>
    <x:row r="88">
      <x:c r="A88" s="115" t="str">
        <x:v>A10.1</x:v>
      </x:c>
      <x:c r="B88" s="115" t="str">
        <x:v>FW_EXTENDED</x:v>
      </x:c>
      <x:c r="C88" s="115" t="str">
        <x:v>11</x:v>
      </x:c>
      <x:c r="D88" s="115" t="str">
        <x:v>depends_on</x:v>
      </x:c>
      <x:c r="E88" s="115" t="str">
        <x:v>BC6</x:v>
      </x:c>
      <x:c r="F88" s="115" t="str">
        <x:v>0</x:v>
      </x:c>
      <x:c r="G88" s="115" t="str">
        <x:v>False</x:v>
      </x:c>
      <x:c r="H88" s="115" t="str">
        <x:v>False</x:v>
      </x:c>
    </x:row>
    <x:row r="89">
      <x:c r="A89" s="115" t="str">
        <x:v>A10.2</x:v>
      </x:c>
      <x:c r="B89" s="115" t="str">
        <x:v>FW_EXTENDED</x:v>
      </x:c>
      <x:c r="C89" s="115" t="str">
        <x:v>11</x:v>
      </x:c>
      <x:c r="D89" s="115" t="str">
        <x:v>depends_on</x:v>
      </x:c>
      <x:c r="E89" s="115" t="str">
        <x:v>BC6</x:v>
      </x:c>
      <x:c r="F89" s="115" t="str">
        <x:v>0</x:v>
      </x:c>
      <x:c r="G89" s="115" t="str">
        <x:v>False</x:v>
      </x:c>
      <x:c r="H89" s="115" t="str">
        <x:v>False</x:v>
      </x:c>
    </x:row>
    <x:row r="90">
      <x:c r="A90" s="115" t="str">
        <x:v>D10.1</x:v>
      </x:c>
      <x:c r="B90" s="115" t="str">
        <x:v>AX_SCAFFOLD</x:v>
      </x:c>
      <x:c r="C90" s="115" t="str">
        <x:v>11</x:v>
      </x:c>
      <x:c r="D90" s="115" t="str">
        <x:v>depends_on</x:v>
      </x:c>
      <x:c r="E90" s="115" t="str">
        <x:v>BC6</x:v>
      </x:c>
      <x:c r="F90" s="115" t="str">
        <x:v>0</x:v>
      </x:c>
      <x:c r="G90" s="115" t="str">
        <x:v>False</x:v>
      </x:c>
      <x:c r="H90" s="115" t="str">
        <x:v>False</x:v>
      </x:c>
    </x:row>
    <x:row r="91">
      <x:c r="A91" s="115" t="str">
        <x:v>E10.1</x:v>
      </x:c>
      <x:c r="B91" s="115" t="str">
        <x:v>AX_SCAFFOLD</x:v>
      </x:c>
      <x:c r="C91" s="115" t="str">
        <x:v>11</x:v>
      </x:c>
      <x:c r="D91" s="115" t="str">
        <x:v>depends_on</x:v>
      </x:c>
      <x:c r="E91" s="115" t="str">
        <x:v>BC6</x:v>
      </x:c>
      <x:c r="F91" s="115" t="str">
        <x:v>0</x:v>
      </x:c>
      <x:c r="G91" s="115" t="str">
        <x:v>False</x:v>
      </x:c>
      <x:c r="H91" s="115" t="str">
        <x:v>False</x:v>
      </x:c>
    </x:row>
    <x:row r="92">
      <x:c r="A92" s="115" t="str">
        <x:v>P10.1</x:v>
      </x:c>
      <x:c r="B92" s="115" t="str">
        <x:v>FW_EXTENDED</x:v>
      </x:c>
      <x:c r="C92" s="115" t="str">
        <x:v>11</x:v>
      </x:c>
      <x:c r="D92" s="115" t="str">
        <x:v>depends_on</x:v>
      </x:c>
      <x:c r="E92" s="115" t="str">
        <x:v>BC6</x:v>
      </x:c>
      <x:c r="F92" s="115" t="str">
        <x:v>0</x:v>
      </x:c>
      <x:c r="G92" s="115" t="str">
        <x:v>False</x:v>
      </x:c>
      <x:c r="H92" s="115" t="str">
        <x:v>False</x:v>
      </x:c>
    </x:row>
    <x:row r="93">
      <x:c r="A93" s="115" t="str">
        <x:v>P10.2</x:v>
      </x:c>
      <x:c r="B93" s="115" t="str">
        <x:v>FW_EXTENDED</x:v>
      </x:c>
      <x:c r="C93" s="115" t="str">
        <x:v>11</x:v>
      </x:c>
      <x:c r="D93" s="115" t="str">
        <x:v>depends_on</x:v>
      </x:c>
      <x:c r="E93" s="115" t="str">
        <x:v>BC6</x:v>
      </x:c>
      <x:c r="F93" s="115" t="str">
        <x:v>0</x:v>
      </x:c>
      <x:c r="G93" s="115" t="str">
        <x:v>False</x:v>
      </x:c>
      <x:c r="H93" s="115" t="str">
        <x:v>False</x:v>
      </x:c>
    </x:row>
    <x:row r="94">
      <x:c r="A94" s="115" t="str">
        <x:v>A11.1</x:v>
      </x:c>
      <x:c r="B94" s="115" t="str">
        <x:v>FW_EXTENDED</x:v>
      </x:c>
      <x:c r="C94" s="115" t="str">
        <x:v>11</x:v>
      </x:c>
      <x:c r="D94" s="115" t="str">
        <x:v>depends_on</x:v>
      </x:c>
      <x:c r="E94" s="115" t="str">
        <x:v>BC6</x:v>
      </x:c>
      <x:c r="F94" s="115" t="str">
        <x:v>1</x:v>
      </x:c>
      <x:c r="G94" s="115" t="str">
        <x:v>False</x:v>
      </x:c>
      <x:c r="H94" s="115" t="str">
        <x:v>False</x:v>
      </x:c>
    </x:row>
    <x:row r="95">
      <x:c r="A95" s="115" t="str">
        <x:v>A11.2</x:v>
      </x:c>
      <x:c r="B95" s="115" t="str">
        <x:v>FW_EXTENDED</x:v>
      </x:c>
      <x:c r="C95" s="115" t="str">
        <x:v>11</x:v>
      </x:c>
      <x:c r="D95" s="115" t="str">
        <x:v>depends_on</x:v>
      </x:c>
      <x:c r="E95" s="115" t="str">
        <x:v>BC6</x:v>
      </x:c>
      <x:c r="F95" s="115" t="str">
        <x:v>12</x:v>
      </x:c>
      <x:c r="G95" s="115" t="str">
        <x:v>False</x:v>
      </x:c>
      <x:c r="H95" s="115" t="str">
        <x:v>False</x:v>
      </x:c>
    </x:row>
    <x:row r="96">
      <x:c r="A96" s="115" t="str">
        <x:v>D11.1</x:v>
      </x:c>
      <x:c r="B96" s="115" t="str">
        <x:v>AX_SCAFFOLD</x:v>
      </x:c>
      <x:c r="C96" s="115" t="str">
        <x:v>11</x:v>
      </x:c>
      <x:c r="D96" s="115" t="str">
        <x:v>depends_on</x:v>
      </x:c>
      <x:c r="E96" s="115" t="str">
        <x:v>BC6</x:v>
      </x:c>
      <x:c r="F96" s="115" t="str">
        <x:v>0</x:v>
      </x:c>
      <x:c r="G96" s="115" t="str">
        <x:v>False</x:v>
      </x:c>
      <x:c r="H96" s="115" t="str">
        <x:v>False</x:v>
      </x:c>
    </x:row>
    <x:row r="97">
      <x:c r="A97" s="115" t="str">
        <x:v>T11.1</x:v>
      </x:c>
      <x:c r="B97" s="115" t="str">
        <x:v>FW_EXTENDED</x:v>
      </x:c>
      <x:c r="C97" s="115" t="str">
        <x:v>11</x:v>
      </x:c>
      <x:c r="D97" s="115" t="str">
        <x:v>depends_on</x:v>
      </x:c>
      <x:c r="E97" s="115" t="str">
        <x:v>BC6</x:v>
      </x:c>
      <x:c r="F97" s="115" t="str">
        <x:v>1</x:v>
      </x:c>
      <x:c r="G97" s="115" t="str">
        <x:v>False</x:v>
      </x:c>
      <x:c r="H97" s="115" t="str">
        <x:v>False</x:v>
      </x:c>
    </x:row>
    <x:row r="98">
      <x:c r="A98" s="115" t="str">
        <x:v>T11.2</x:v>
      </x:c>
      <x:c r="B98" s="115" t="str">
        <x:v>FW_EXTENDED</x:v>
      </x:c>
      <x:c r="C98" s="115" t="str">
        <x:v>11</x:v>
      </x:c>
      <x:c r="D98" s="115" t="str">
        <x:v>depends_on</x:v>
      </x:c>
      <x:c r="E98" s="115" t="str">
        <x:v>BC6</x:v>
      </x:c>
      <x:c r="F98" s="115" t="str">
        <x:v>0</x:v>
      </x:c>
      <x:c r="G98" s="115" t="str">
        <x:v>False</x:v>
      </x:c>
      <x:c r="H98" s="115" t="str">
        <x:v>False</x:v>
      </x:c>
    </x:row>
    <x:row r="99">
      <x:c r="A99" s="115" t="str">
        <x:v>A12.1</x:v>
      </x:c>
      <x:c r="B99" s="115" t="str">
        <x:v>FW_EXTENDED</x:v>
      </x:c>
      <x:c r="C99" s="115" t="str">
        <x:v>11</x:v>
      </x:c>
      <x:c r="D99" s="115" t="str">
        <x:v>depends_on</x:v>
      </x:c>
      <x:c r="E99" s="115" t="str">
        <x:v>BC6</x:v>
      </x:c>
      <x:c r="F99" s="115" t="str">
        <x:v>0</x:v>
      </x:c>
      <x:c r="G99" s="115" t="str">
        <x:v>False</x:v>
      </x:c>
      <x:c r="H99" s="115" t="str">
        <x:v>False</x:v>
      </x:c>
    </x:row>
    <x:row r="100">
      <x:c r="A100" s="115" t="str">
        <x:v>A12.2</x:v>
      </x:c>
      <x:c r="B100" s="115" t="str">
        <x:v>FW_EXTENDED</x:v>
      </x:c>
      <x:c r="C100" s="115" t="str">
        <x:v>11</x:v>
      </x:c>
      <x:c r="D100" s="115" t="str">
        <x:v>depends_on</x:v>
      </x:c>
      <x:c r="E100" s="115" t="str">
        <x:v>BC6</x:v>
      </x:c>
      <x:c r="F100" s="115" t="str">
        <x:v>0</x:v>
      </x:c>
      <x:c r="G100" s="115" t="str">
        <x:v>False</x:v>
      </x:c>
      <x:c r="H100" s="115" t="str">
        <x:v>False</x:v>
      </x:c>
    </x:row>
    <x:row r="101">
      <x:c r="A101" s="115" t="str">
        <x:v>D12.1</x:v>
      </x:c>
      <x:c r="B101" s="115" t="str">
        <x:v>AX_SCAFFOLD</x:v>
      </x:c>
      <x:c r="C101" s="115" t="str">
        <x:v>11</x:v>
      </x:c>
      <x:c r="D101" s="115" t="str">
        <x:v>depends_on</x:v>
      </x:c>
      <x:c r="E101" s="115" t="str">
        <x:v>BC6</x:v>
      </x:c>
      <x:c r="F101" s="115" t="str">
        <x:v>0</x:v>
      </x:c>
      <x:c r="G101" s="115" t="str">
        <x:v>False</x:v>
      </x:c>
      <x:c r="H101" s="115" t="str">
        <x:v>False</x:v>
      </x:c>
    </x:row>
    <x:row r="102">
      <x:c r="A102" s="115" t="str">
        <x:v>D12.2</x:v>
      </x:c>
      <x:c r="B102" s="115" t="str">
        <x:v>AX_SCAFFOLD</x:v>
      </x:c>
      <x:c r="C102" s="115" t="str">
        <x:v>11</x:v>
      </x:c>
      <x:c r="D102" s="115" t="str">
        <x:v>depends_on</x:v>
      </x:c>
      <x:c r="E102" s="115" t="str">
        <x:v>BC6</x:v>
      </x:c>
      <x:c r="F102" s="115" t="str">
        <x:v>0</x:v>
      </x:c>
      <x:c r="G102" s="115" t="str">
        <x:v>False</x:v>
      </x:c>
      <x:c r="H102" s="115" t="str">
        <x:v>False</x:v>
      </x:c>
    </x:row>
    <x:row r="103">
      <x:c r="A103" s="115" t="str">
        <x:v>E12.1</x:v>
      </x:c>
      <x:c r="B103" s="115" t="str">
        <x:v>AX_SCAFFOLD</x:v>
      </x:c>
      <x:c r="C103" s="115" t="str">
        <x:v>11</x:v>
      </x:c>
      <x:c r="D103" s="115" t="str">
        <x:v>depends_on</x:v>
      </x:c>
      <x:c r="E103" s="115" t="str">
        <x:v>BC6</x:v>
      </x:c>
      <x:c r="F103" s="115" t="str">
        <x:v>0</x:v>
      </x:c>
      <x:c r="G103" s="115" t="str">
        <x:v>False</x:v>
      </x:c>
      <x:c r="H103" s="115" t="str">
        <x:v>False</x:v>
      </x:c>
    </x:row>
    <x:row r="104">
      <x:c r="A104" s="115" t="str">
        <x:v>T12.1</x:v>
      </x:c>
      <x:c r="B104" s="115" t="str">
        <x:v>FW_EXTENDED</x:v>
      </x:c>
      <x:c r="C104" s="115" t="str">
        <x:v>11</x:v>
      </x:c>
      <x:c r="D104" s="115" t="str">
        <x:v>depends_on</x:v>
      </x:c>
      <x:c r="E104" s="115" t="str">
        <x:v>BC6</x:v>
      </x:c>
      <x:c r="F104" s="115" t="str">
        <x:v>0</x:v>
      </x:c>
      <x:c r="G104" s="115" t="str">
        <x:v>False</x:v>
      </x:c>
      <x:c r="H104" s="115" t="str">
        <x:v>False</x:v>
      </x:c>
    </x:row>
    <x:row r="105">
      <x:c r="A105" s="115" t="str">
        <x:v>T12.2</x:v>
      </x:c>
      <x:c r="B105" s="115" t="str">
        <x:v>FW_EXTENDED</x:v>
      </x:c>
      <x:c r="C105" s="115" t="str">
        <x:v>11</x:v>
      </x:c>
      <x:c r="D105" s="115" t="str">
        <x:v>depends_on</x:v>
      </x:c>
      <x:c r="E105" s="115" t="str">
        <x:v>BC6</x:v>
      </x:c>
      <x:c r="F105" s="115" t="str">
        <x:v>0</x:v>
      </x:c>
      <x:c r="G105" s="115" t="str">
        <x:v>False</x:v>
      </x:c>
      <x:c r="H105" s="115" t="str">
        <x:v>False</x:v>
      </x:c>
    </x:row>
    <x:row r="106">
      <x:c r="A106" s="115" t="str">
        <x:v>A13.1</x:v>
      </x:c>
      <x:c r="B106" s="115" t="str">
        <x:v>FW_EXTENDED</x:v>
      </x:c>
      <x:c r="C106" s="115" t="str">
        <x:v>12</x:v>
      </x:c>
      <x:c r="D106" s="115" t="str">
        <x:v>depends_on</x:v>
      </x:c>
      <x:c r="E106" s="115" t="str">
        <x:v>BC6</x:v>
      </x:c>
      <x:c r="F106" s="115" t="str">
        <x:v>0</x:v>
      </x:c>
      <x:c r="G106" s="115" t="str">
        <x:v>False</x:v>
      </x:c>
      <x:c r="H106" s="115" t="str">
        <x:v>False</x:v>
      </x:c>
    </x:row>
    <x:row r="107">
      <x:c r="A107" s="115" t="str">
        <x:v>A13.2</x:v>
      </x:c>
      <x:c r="B107" s="115" t="str">
        <x:v>FW_EXTENDED</x:v>
      </x:c>
      <x:c r="C107" s="115" t="str">
        <x:v>12</x:v>
      </x:c>
      <x:c r="D107" s="115" t="str">
        <x:v>depends_on</x:v>
      </x:c>
      <x:c r="E107" s="115" t="str">
        <x:v>BC6</x:v>
      </x:c>
      <x:c r="F107" s="115" t="str">
        <x:v>0</x:v>
      </x:c>
      <x:c r="G107" s="115" t="str">
        <x:v>False</x:v>
      </x:c>
      <x:c r="H107" s="115" t="str">
        <x:v>False</x:v>
      </x:c>
    </x:row>
    <x:row r="108">
      <x:c r="A108" s="115" t="str">
        <x:v>D13.1</x:v>
      </x:c>
      <x:c r="B108" s="115" t="str">
        <x:v>AX_SCAFFOLD</x:v>
      </x:c>
      <x:c r="C108" s="115" t="str">
        <x:v>12</x:v>
      </x:c>
      <x:c r="D108" s="115" t="str">
        <x:v>depends_on</x:v>
      </x:c>
      <x:c r="E108" s="115" t="str">
        <x:v>BC6</x:v>
      </x:c>
      <x:c r="F108" s="115" t="str">
        <x:v>0</x:v>
      </x:c>
      <x:c r="G108" s="115" t="str">
        <x:v>False</x:v>
      </x:c>
      <x:c r="H108" s="115" t="str">
        <x:v>False</x:v>
      </x:c>
    </x:row>
    <x:row r="109">
      <x:c r="A109" s="115" t="str">
        <x:v>E13.1</x:v>
      </x:c>
      <x:c r="B109" s="115" t="str">
        <x:v>AX_SCAFFOLD</x:v>
      </x:c>
      <x:c r="C109" s="115" t="str">
        <x:v>12</x:v>
      </x:c>
      <x:c r="D109" s="115" t="str">
        <x:v>depends_on</x:v>
      </x:c>
      <x:c r="E109" s="115" t="str">
        <x:v>BC6</x:v>
      </x:c>
      <x:c r="F109" s="115" t="str">
        <x:v>0</x:v>
      </x:c>
      <x:c r="G109" s="115" t="str">
        <x:v>False</x:v>
      </x:c>
      <x:c r="H109" s="115" t="str">
        <x:v>False</x:v>
      </x:c>
    </x:row>
    <x:row r="110">
      <x:c r="A110" s="115" t="str">
        <x:v>T13.1</x:v>
      </x:c>
      <x:c r="B110" s="115" t="str">
        <x:v>FW_EXTENDED</x:v>
      </x:c>
      <x:c r="C110" s="115" t="str">
        <x:v>12</x:v>
      </x:c>
      <x:c r="D110" s="115" t="str">
        <x:v>depends_on</x:v>
      </x:c>
      <x:c r="E110" s="115" t="str">
        <x:v>BC6</x:v>
      </x:c>
      <x:c r="F110" s="115" t="str">
        <x:v>0</x:v>
      </x:c>
      <x:c r="G110" s="115" t="str">
        <x:v>False</x:v>
      </x:c>
      <x:c r="H110" s="115" t="str">
        <x:v>False</x:v>
      </x:c>
    </x:row>
    <x:row r="111">
      <x:c r="A111" s="115" t="str">
        <x:v>A14.1</x:v>
      </x:c>
      <x:c r="B111" s="115" t="str">
        <x:v>HY_EVIDENCE</x:v>
      </x:c>
      <x:c r="C111" s="115" t="str">
        <x:v>12</x:v>
      </x:c>
      <x:c r="D111" s="115" t="str">
        <x:v>depends_on</x:v>
      </x:c>
      <x:c r="E111" s="115" t="str">
        <x:v>BC6</x:v>
      </x:c>
      <x:c r="F111" s="115" t="str">
        <x:v>0</x:v>
      </x:c>
      <x:c r="G111" s="115" t="str">
        <x:v>False</x:v>
      </x:c>
      <x:c r="H111" s="115" t="str">
        <x:v>False</x:v>
      </x:c>
    </x:row>
    <x:row r="112">
      <x:c r="A112" s="115" t="str">
        <x:v>A14.2</x:v>
      </x:c>
      <x:c r="B112" s="115" t="str">
        <x:v>HY_EVIDENCE</x:v>
      </x:c>
      <x:c r="C112" s="115" t="str">
        <x:v>12</x:v>
      </x:c>
      <x:c r="D112" s="115" t="str">
        <x:v>depends_on</x:v>
      </x:c>
      <x:c r="E112" s="115" t="str">
        <x:v>BC6</x:v>
      </x:c>
      <x:c r="F112" s="115" t="str">
        <x:v>0</x:v>
      </x:c>
      <x:c r="G112" s="115" t="str">
        <x:v>False</x:v>
      </x:c>
      <x:c r="H112" s="115" t="str">
        <x:v>False</x:v>
      </x:c>
    </x:row>
    <x:row r="113">
      <x:c r="A113" s="115" t="str">
        <x:v>D14.1</x:v>
      </x:c>
      <x:c r="B113" s="115" t="str">
        <x:v>AX_SCAFFOLD</x:v>
      </x:c>
      <x:c r="C113" s="115" t="str">
        <x:v>12</x:v>
      </x:c>
      <x:c r="D113" s="115" t="str">
        <x:v>depends_on</x:v>
      </x:c>
      <x:c r="E113" s="115" t="str">
        <x:v>BC6</x:v>
      </x:c>
      <x:c r="F113" s="115" t="str">
        <x:v>0</x:v>
      </x:c>
      <x:c r="G113" s="115" t="str">
        <x:v>False</x:v>
      </x:c>
      <x:c r="H113" s="115" t="str">
        <x:v>False</x:v>
      </x:c>
    </x:row>
    <x:row r="114">
      <x:c r="A114" s="115" t="str">
        <x:v>E14.1</x:v>
      </x:c>
      <x:c r="B114" s="115" t="str">
        <x:v>FW_EXTENDED</x:v>
      </x:c>
      <x:c r="C114" s="115" t="str">
        <x:v>12</x:v>
      </x:c>
      <x:c r="D114" s="115" t="str">
        <x:v>depends_on</x:v>
      </x:c>
      <x:c r="E114" s="115" t="str">
        <x:v>BC6</x:v>
      </x:c>
      <x:c r="F114" s="115" t="str">
        <x:v>2</x:v>
      </x:c>
      <x:c r="G114" s="115" t="str">
        <x:v>False</x:v>
      </x:c>
      <x:c r="H114" s="115" t="str">
        <x:v>False</x:v>
      </x:c>
    </x:row>
    <x:row r="115">
      <x:c r="A115" s="115" t="str">
        <x:v>PRED14.1</x:v>
      </x:c>
      <x:c r="B115" s="115" t="str">
        <x:v>HY_EVIDENCE</x:v>
      </x:c>
      <x:c r="C115" s="115" t="str">
        <x:v>12</x:v>
      </x:c>
      <x:c r="D115" s="115" t="str">
        <x:v>depends_on</x:v>
      </x:c>
      <x:c r="E115" s="115" t="str">
        <x:v>E14.1</x:v>
      </x:c>
      <x:c r="F115" s="115" t="str">
        <x:v>1</x:v>
      </x:c>
      <x:c r="G115" s="115" t="str">
        <x:v>False</x:v>
      </x:c>
      <x:c r="H115" s="115" t="str">
        <x:v>False</x:v>
      </x:c>
    </x:row>
    <x:row r="116">
      <x:c r="A116" s="115" t="str">
        <x:v>D19.1</x:v>
      </x:c>
      <x:c r="B116" s="115" t="str">
        <x:v>AX_SCAFFOLD</x:v>
      </x:c>
      <x:c r="C116" s="115" t="str">
        <x:v>13</x:v>
      </x:c>
      <x:c r="D116" s="115" t="str">
        <x:v>depends_on</x:v>
      </x:c>
      <x:c r="E116" s="115" t="str">
        <x:v>D3.3</x:v>
      </x:c>
      <x:c r="F116" s="115" t="str">
        <x:v>2</x:v>
      </x:c>
      <x:c r="G116" s="115" t="str">
        <x:v>True</x:v>
      </x:c>
      <x:c r="H116" s="115" t="str">
        <x:v>True</x:v>
      </x:c>
    </x:row>
    <x:row r="117">
      <x:c r="A117" s="115" t="str">
        <x:v>D19.2</x:v>
      </x:c>
      <x:c r="B117" s="115" t="str">
        <x:v>AX_SCAFFOLD</x:v>
      </x:c>
      <x:c r="C117" s="115" t="str">
        <x:v>13</x:v>
      </x:c>
      <x:c r="D117" s="115" t="str">
        <x:v>depends_on</x:v>
      </x:c>
      <x:c r="E117" s="115" t="str">
        <x:v>E2.1</x:v>
      </x:c>
      <x:c r="F117" s="115" t="str">
        <x:v>2</x:v>
      </x:c>
      <x:c r="G117" s="115" t="str">
        <x:v>True</x:v>
      </x:c>
      <x:c r="H117" s="115" t="str">
        <x:v>True</x:v>
      </x:c>
    </x:row>
    <x:row r="118">
      <x:c r="A118" s="115" t="str">
        <x:v>D19.3</x:v>
      </x:c>
      <x:c r="B118" s="115" t="str">
        <x:v>AX_SCAFFOLD</x:v>
      </x:c>
      <x:c r="C118" s="115" t="str">
        <x:v>13</x:v>
      </x:c>
      <x:c r="D118" s="115" t="str">
        <x:v>depends_on</x:v>
      </x:c>
      <x:c r="E118" s="115" t="str">
        <x:v>T3.1|A8.2</x:v>
      </x:c>
      <x:c r="F118" s="115" t="str">
        <x:v>2</x:v>
      </x:c>
      <x:c r="G118" s="115" t="str">
        <x:v>True</x:v>
      </x:c>
      <x:c r="H118" s="115" t="str">
        <x:v>True</x:v>
      </x:c>
    </x:row>
    <x:row r="119">
      <x:c r="A119" s="115" t="str">
        <x:v>D19.4</x:v>
      </x:c>
      <x:c r="B119" s="115" t="str">
        <x:v>AX_SCAFFOLD</x:v>
      </x:c>
      <x:c r="C119" s="115" t="str">
        <x:v>13</x:v>
      </x:c>
      <x:c r="D119" s="115" t="str">
        <x:v>depends_on</x:v>
      </x:c>
      <x:c r="E119" s="115" t="str">
        <x:v>D9.1</x:v>
      </x:c>
      <x:c r="F119" s="115" t="str">
        <x:v>2</x:v>
      </x:c>
      <x:c r="G119" s="115" t="str">
        <x:v>False</x:v>
      </x:c>
      <x:c r="H119" s="115" t="str">
        <x:v>False</x:v>
      </x:c>
    </x:row>
    <x:row r="120">
      <x:c r="A120" s="115" t="str">
        <x:v>D19.5</x:v>
      </x:c>
      <x:c r="B120" s="115" t="str">
        <x:v>AX_SCAFFOLD</x:v>
      </x:c>
      <x:c r="C120" s="115" t="str">
        <x:v>13</x:v>
      </x:c>
      <x:c r="D120" s="115" t="str">
        <x:v>depends_on</x:v>
      </x:c>
      <x:c r="E120" s="115" t="str">
        <x:v>P3.2</x:v>
      </x:c>
      <x:c r="F120" s="115" t="str">
        <x:v>2</x:v>
      </x:c>
      <x:c r="G120" s="115" t="str">
        <x:v>True</x:v>
      </x:c>
      <x:c r="H120" s="115" t="str">
        <x:v>True</x:v>
      </x:c>
    </x:row>
    <x:row r="121">
      <x:c r="A121" s="115" t="str">
        <x:v>D19.6</x:v>
      </x:c>
      <x:c r="B121" s="115" t="str">
        <x:v>AX_SCAFFOLD</x:v>
      </x:c>
      <x:c r="C121" s="115" t="str">
        <x:v>13</x:v>
      </x:c>
      <x:c r="D121" s="115" t="str">
        <x:v>depends_on</x:v>
      </x:c>
      <x:c r="E121" s="115" t="str">
        <x:v>T3.1</x:v>
      </x:c>
      <x:c r="F121" s="115" t="str">
        <x:v>2</x:v>
      </x:c>
      <x:c r="G121" s="115" t="str">
        <x:v>True</x:v>
      </x:c>
      <x:c r="H121" s="115" t="str">
        <x:v>True</x:v>
      </x:c>
    </x:row>
    <x:row r="122">
      <x:c r="A122" s="115" t="str">
        <x:v>D19.7</x:v>
      </x:c>
      <x:c r="B122" s="115" t="str">
        <x:v>AX_SCAFFOLD</x:v>
      </x:c>
      <x:c r="C122" s="115" t="str">
        <x:v>13</x:v>
      </x:c>
      <x:c r="D122" s="115" t="str">
        <x:v>depends_on</x:v>
      </x:c>
      <x:c r="E122" s="115" t="str">
        <x:v>LN5.1</x:v>
      </x:c>
      <x:c r="F122" s="115" t="str">
        <x:v>2</x:v>
      </x:c>
      <x:c r="G122" s="115" t="str">
        <x:v>True</x:v>
      </x:c>
      <x:c r="H122" s="115" t="str">
        <x:v>False</x:v>
      </x:c>
    </x:row>
    <x:row r="123">
      <x:c r="A123" s="115" t="str">
        <x:v>D19.8</x:v>
      </x:c>
      <x:c r="B123" s="115" t="str">
        <x:v>AX_SCAFFOLD</x:v>
      </x:c>
      <x:c r="C123" s="115" t="str">
        <x:v>13</x:v>
      </x:c>
      <x:c r="D123" s="115" t="str">
        <x:v>depends_on</x:v>
      </x:c>
      <x:c r="E123" s="115" t="str">
        <x:v>D8.1</x:v>
      </x:c>
      <x:c r="F123" s="115" t="str">
        <x:v>2</x:v>
      </x:c>
      <x:c r="G123" s="115" t="str">
        <x:v>False</x:v>
      </x:c>
      <x:c r="H123" s="115" t="str">
        <x:v>False</x:v>
      </x:c>
    </x:row>
    <x:row r="124">
      <x:c r="A124" s="115" t="str">
        <x:v>D19.9</x:v>
      </x:c>
      <x:c r="B124" s="115" t="str">
        <x:v>AX_SCAFFOLD</x:v>
      </x:c>
      <x:c r="C124" s="115" t="str">
        <x:v>13</x:v>
      </x:c>
      <x:c r="D124" s="115" t="str">
        <x:v>depends_on</x:v>
      </x:c>
      <x:c r="E124" s="115" t="str">
        <x:v>A9.2</x:v>
      </x:c>
      <x:c r="F124" s="115" t="str">
        <x:v>2</x:v>
      </x:c>
      <x:c r="G124" s="115" t="str">
        <x:v>False</x:v>
      </x:c>
      <x:c r="H124" s="115" t="str">
        <x:v>False</x:v>
      </x:c>
    </x:row>
    <x:row r="125">
      <x:c r="A125" s="115" t="str">
        <x:v>D19.10</x:v>
      </x:c>
      <x:c r="B125" s="115" t="str">
        <x:v>AX_SCAFFOLD</x:v>
      </x:c>
      <x:c r="C125" s="115" t="str">
        <x:v>13</x:v>
      </x:c>
      <x:c r="D125" s="115" t="str">
        <x:v>depends_on</x:v>
      </x:c>
      <x:c r="E125" s="115" t="str">
        <x:v>BC4a</x:v>
      </x:c>
      <x:c r="F125" s="115" t="str">
        <x:v>2</x:v>
      </x:c>
      <x:c r="G125" s="115" t="str">
        <x:v>False</x:v>
      </x:c>
      <x:c r="H125" s="115" t="str">
        <x:v>False</x:v>
      </x:c>
    </x:row>
    <x:row r="126">
      <x:c r="A126" s="115" t="str">
        <x:v>E19.1</x:v>
      </x:c>
      <x:c r="B126" s="115" t="str">
        <x:v>AX_SCAFFOLD</x:v>
      </x:c>
      <x:c r="C126" s="115" t="str">
        <x:v>13</x:v>
      </x:c>
      <x:c r="D126" s="115" t="str">
        <x:v>depends_on</x:v>
      </x:c>
      <x:c r="E126" s="115" t="str">
        <x:v>D19.1|D19.2|D19.3|D19.4|D19.5|D19.6|D19.7|D19.8|D19.9|D19.10</x:v>
      </x:c>
      <x:c r="F126" s="115" t="str">
        <x:v>1</x:v>
      </x:c>
      <x:c r="G126" s="115" t="str">
        <x:v>True</x:v>
      </x:c>
      <x:c r="H126" s="115" t="str">
        <x:v>True</x:v>
      </x:c>
    </x:row>
    <x:row r="127">
      <x:c r="A127" s="115" t="str">
        <x:v>T19.1</x:v>
      </x:c>
      <x:c r="B127" s="115" t="str">
        <x:v>FW_EXTENDED</x:v>
      </x:c>
      <x:c r="C127" s="115" t="str">
        <x:v>13</x:v>
      </x:c>
      <x:c r="D127" s="115" t="str">
        <x:v>depends_on</x:v>
      </x:c>
      <x:c r="E127" s="115" t="str">
        <x:v>E19.1|D2.1</x:v>
      </x:c>
      <x:c r="F127" s="115" t="str">
        <x:v>0</x:v>
      </x:c>
      <x:c r="G127" s="115" t="str">
        <x:v>True</x:v>
      </x:c>
      <x:c r="H127" s="115" t="str">
        <x:v>True</x:v>
      </x:c>
    </x:row>
    <x:row r="128">
      <x:c r="A128" s="115" t="str">
        <x:v>A19.1</x:v>
      </x:c>
      <x:c r="B128" s="115" t="str">
        <x:v>HY_EVIDENCE</x:v>
      </x:c>
      <x:c r="C128" s="115" t="str">
        <x:v>13</x:v>
      </x:c>
      <x:c r="D128" s="115" t="str">
        <x:v>depends_on</x:v>
      </x:c>
      <x:c r="E128" s="115" t="str">
        <x:v>E2.1|E3.1</x:v>
      </x:c>
      <x:c r="F128" s="115" t="str">
        <x:v>0</x:v>
      </x:c>
      <x:c r="G128" s="115" t="str">
        <x:v>True</x:v>
      </x:c>
      <x:c r="H128" s="115" t="str">
        <x:v>True</x:v>
      </x:c>
    </x:row>
    <x:row r="129">
      <x:c r="A129" s="115" t="str">
        <x:v>T16.1</x:v>
      </x:c>
      <x:c r="B129" s="115" t="str">
        <x:v>FW_EXTENDED</x:v>
      </x:c>
      <x:c r="C129" s="115" t="str">
        <x:v>14</x:v>
      </x:c>
      <x:c r="D129" s="115" t="str">
        <x:v>depends_on</x:v>
      </x:c>
      <x:c r="E129" s="115" t="str">
        <x:v>BC1|BC2|BC3|BC4a|BC5|BC6|BC7|BC8|BC9</x:v>
      </x:c>
      <x:c r="F129" s="115" t="str">
        <x:v>0</x:v>
      </x:c>
      <x:c r="G129" s="115" t="str">
        <x:v>True</x:v>
      </x:c>
      <x:c r="H129" s="115" t="str">
        <x:v>True</x:v>
      </x:c>
    </x:row>
    <x:row r="130">
      <x:c r="A130" s="115" t="str">
        <x:v>T16.2</x:v>
      </x:c>
      <x:c r="B130" s="115" t="str">
        <x:v>FW_EXTENDED</x:v>
      </x:c>
      <x:c r="C130" s="115" t="str">
        <x:v>14</x:v>
      </x:c>
      <x:c r="D130" s="115" t="str">
        <x:v>depends_on</x:v>
      </x:c>
      <x:c r="E130" s="115" t="str">
        <x:v>BC4a</x:v>
      </x:c>
      <x:c r="F130" s="115" t="str">
        <x:v>0</x:v>
      </x:c>
      <x:c r="G130" s="115" t="str">
        <x:v>False</x:v>
      </x:c>
      <x:c r="H130" s="115" t="str">
        <x:v>False</x:v>
      </x:c>
    </x:row>
    <x:row r="131">
      <x:c r="A131" s="115" t="str">
        <x:v>T16.3</x:v>
      </x:c>
      <x:c r="B131" s="115" t="str">
        <x:v>FW_EXTENDED</x:v>
      </x:c>
      <x:c r="C131" s="115" t="str">
        <x:v>14</x:v>
      </x:c>
      <x:c r="D131" s="115" t="str">
        <x:v>depends_on</x:v>
      </x:c>
      <x:c r="E131" s="115" t="str">
        <x:v>BC1|BC2|BC3|BC4a|BC5|BC6|BC7|BC8|BC9</x:v>
      </x:c>
      <x:c r="F131" s="115" t="str">
        <x:v>0</x:v>
      </x:c>
      <x:c r="G131" s="115" t="str">
        <x:v>True</x:v>
      </x:c>
      <x:c r="H131" s="115" t="str">
        <x:v>True</x:v>
      </x:c>
    </x:row>
    <x:row r="132">
      <x:c r="A132" s="115" t="str">
        <x:v>T16.4</x:v>
      </x:c>
      <x:c r="B132" s="115" t="str">
        <x:v>FW_EXTENDED</x:v>
      </x:c>
      <x:c r="C132" s="115" t="str">
        <x:v>14</x:v>
      </x:c>
      <x:c r="D132" s="115" t="str">
        <x:v>depends_on</x:v>
      </x:c>
      <x:c r="E132" s="115" t="str">
        <x:v>BC1</x:v>
      </x:c>
      <x:c r="F132" s="115" t="str">
        <x:v>0</x:v>
      </x:c>
      <x:c r="G132" s="115" t="str">
        <x:v>True</x:v>
      </x:c>
      <x:c r="H132" s="115" t="str">
        <x:v>False</x:v>
      </x:c>
    </x:row>
    <x:row r="133">
      <x:c r="A133" s="115" t="str">
        <x:v>T16.5</x:v>
      </x:c>
      <x:c r="B133" s="115" t="str">
        <x:v>FW_EXTENDED</x:v>
      </x:c>
      <x:c r="C133" s="115" t="str">
        <x:v>14</x:v>
      </x:c>
      <x:c r="D133" s="115" t="str">
        <x:v>depends_on</x:v>
      </x:c>
      <x:c r="E133" s="115" t="str">
        <x:v>A7.2</x:v>
      </x:c>
      <x:c r="F133" s="115" t="str">
        <x:v>0</x:v>
      </x:c>
      <x:c r="G133" s="115" t="str">
        <x:v>True</x:v>
      </x:c>
      <x:c r="H133" s="115" t="str">
        <x:v>False</x:v>
      </x:c>
    </x:row>
    <x:row r="134">
      <x:c r="A134" s="115" t="str">
        <x:v>T16.6</x:v>
      </x:c>
      <x:c r="B134" s="115" t="str">
        <x:v>FW_EXTENDED</x:v>
      </x:c>
      <x:c r="C134" s="115" t="str">
        <x:v>14</x:v>
      </x:c>
      <x:c r="D134" s="115" t="str">
        <x:v>depends_on</x:v>
      </x:c>
      <x:c r="E134" s="115" t="str">
        <x:v>BC1|BC2|BC3|BC4a|BC5|BC6</x:v>
      </x:c>
      <x:c r="F134" s="115" t="str">
        <x:v>0</x:v>
      </x:c>
      <x:c r="G134" s="115" t="str">
        <x:v>True</x:v>
      </x:c>
      <x:c r="H134" s="115" t="str">
        <x:v>True</x:v>
      </x:c>
    </x:row>
    <x:row r="135">
      <x:c r="A135" s="115" t="str">
        <x:v>A17.1</x:v>
      </x:c>
      <x:c r="B135" s="115" t="str">
        <x:v>HY_EVIDENCE</x:v>
      </x:c>
      <x:c r="C135" s="115" t="str">
        <x:v>15</x:v>
      </x:c>
      <x:c r="D135" s="115" t="str">
        <x:v>depends_on</x:v>
      </x:c>
      <x:c r="E135" s="115" t="str">
        <x:v>D5.2</x:v>
      </x:c>
      <x:c r="F135" s="115" t="str">
        <x:v>3</x:v>
      </x:c>
      <x:c r="G135" s="115" t="str">
        <x:v>True</x:v>
      </x:c>
      <x:c r="H135" s="115" t="str">
        <x:v>False</x:v>
      </x:c>
    </x:row>
    <x:row r="136">
      <x:c r="A136" s="115" t="str">
        <x:v>A17.2</x:v>
      </x:c>
      <x:c r="B136" s="115" t="str">
        <x:v>FW_EXTENDED</x:v>
      </x:c>
      <x:c r="C136" s="115" t="str">
        <x:v>15</x:v>
      </x:c>
      <x:c r="D136" s="115" t="str">
        <x:v>depends_on</x:v>
      </x:c>
      <x:c r="E136" s="115" t="str">
        <x:v>A17.1</x:v>
      </x:c>
      <x:c r="F136" s="115" t="str">
        <x:v>2</x:v>
      </x:c>
      <x:c r="G136" s="115" t="str">
        <x:v>True</x:v>
      </x:c>
      <x:c r="H136" s="115" t="str">
        <x:v>False</x:v>
      </x:c>
    </x:row>
    <x:row r="137">
      <x:c r="A137" s="115" t="str">
        <x:v>D17.1</x:v>
      </x:c>
      <x:c r="B137" s="115" t="str">
        <x:v>AX_SCAFFOLD</x:v>
      </x:c>
      <x:c r="C137" s="115" t="str">
        <x:v>15</x:v>
      </x:c>
      <x:c r="D137" s="115" t="str">
        <x:v>depends_on</x:v>
      </x:c>
      <x:c r="E137" s="115" t="str">
        <x:v>D5.2</x:v>
      </x:c>
      <x:c r="F137" s="115" t="str">
        <x:v>0</x:v>
      </x:c>
      <x:c r="G137" s="115" t="str">
        <x:v>True</x:v>
      </x:c>
      <x:c r="H137" s="115" t="str">
        <x:v>False</x:v>
      </x:c>
    </x:row>
    <x:row r="138">
      <x:c r="A138" s="115" t="str">
        <x:v>T17.1</x:v>
      </x:c>
      <x:c r="B138" s="115" t="str">
        <x:v>FW_EXTENDED</x:v>
      </x:c>
      <x:c r="C138" s="115" t="str">
        <x:v>15</x:v>
      </x:c>
      <x:c r="D138" s="115" t="str">
        <x:v>depends_on</x:v>
      </x:c>
      <x:c r="E138" s="115" t="str">
        <x:v>A17.1|A17.2</x:v>
      </x:c>
      <x:c r="F138" s="115" t="str">
        <x:v>1</x:v>
      </x:c>
      <x:c r="G138" s="115" t="str">
        <x:v>True</x:v>
      </x:c>
      <x:c r="H138" s="115" t="str">
        <x:v>False</x:v>
      </x:c>
    </x:row>
    <x:row r="139">
      <x:c r="A139" s="115" t="str">
        <x:v>OPEN17.1</x:v>
      </x:c>
      <x:c r="B139" s="115" t="str">
        <x:v>HY_EVIDENCE</x:v>
      </x:c>
      <x:c r="C139" s="115" t="str">
        <x:v>15</x:v>
      </x:c>
      <x:c r="D139" s="115" t="str">
        <x:v>depends_on</x:v>
      </x:c>
      <x:c r="E139" s="115" t="str">
        <x:v>T17.1|A11.1</x:v>
      </x:c>
      <x:c r="F139" s="115" t="str">
        <x:v>0</x:v>
      </x:c>
      <x:c r="G139" s="115" t="str">
        <x:v>True</x:v>
      </x:c>
      <x:c r="H139" s="115" t="str">
        <x:v>False</x:v>
      </x:c>
    </x:row>
    <x:row r="140">
      <x:c r="A140" s="115" t="str">
        <x:v>EV15.1</x:v>
      </x:c>
      <x:c r="B140" s="115" t="str">
        <x:v>HY_EVIDENCE</x:v>
      </x:c>
      <x:c r="C140" s="115" t="str">
        <x:v>16</x:v>
      </x:c>
      <x:c r="D140" s="115" t="str">
        <x:v>tests</x:v>
      </x:c>
      <x:c r="E140" s="115" t="str">
        <x:v>ID7.1</x:v>
      </x:c>
      <x:c r="F140" s="115" t="str">
        <x:v>0</x:v>
      </x:c>
      <x:c r="G140" s="115" t="str">
        <x:v>False</x:v>
      </x:c>
      <x:c r="H140" s="115" t="str">
        <x:v>False</x:v>
      </x:c>
    </x:row>
    <x:row r="141">
      <x:c r="A141" s="115" t="str">
        <x:v>EV15.2</x:v>
      </x:c>
      <x:c r="B141" s="115" t="str">
        <x:v>HY_EVIDENCE</x:v>
      </x:c>
      <x:c r="C141" s="115" t="str">
        <x:v>16</x:v>
      </x:c>
      <x:c r="D141" s="115" t="str">
        <x:v>tests</x:v>
      </x:c>
      <x:c r="E141" s="115" t="str">
        <x:v>P5.2|D5.2</x:v>
      </x:c>
      <x:c r="F141" s="115" t="str">
        <x:v>1</x:v>
      </x:c>
      <x:c r="G141" s="115" t="str">
        <x:v>True</x:v>
      </x:c>
      <x:c r="H141" s="115" t="str">
        <x:v>False</x:v>
      </x:c>
    </x:row>
    <x:row r="142">
      <x:c r="A142" s="115" t="str">
        <x:v>EV15.3</x:v>
      </x:c>
      <x:c r="B142" s="115" t="str">
        <x:v>HY_EVIDENCE</x:v>
      </x:c>
      <x:c r="C142" s="115" t="str">
        <x:v>16</x:v>
      </x:c>
      <x:c r="D142" s="115" t="str">
        <x:v>tests</x:v>
      </x:c>
      <x:c r="E142" s="115" t="str">
        <x:v>P5.2</x:v>
      </x:c>
      <x:c r="F142" s="115" t="str">
        <x:v>0</x:v>
      </x:c>
      <x:c r="G142" s="115" t="str">
        <x:v>True</x:v>
      </x:c>
      <x:c r="H142" s="115" t="str">
        <x:v>False</x:v>
      </x:c>
    </x:row>
    <x:row r="143">
      <x:c r="A143" s="115" t="str">
        <x:v>EV15.4</x:v>
      </x:c>
      <x:c r="B143" s="115" t="str">
        <x:v>HY_EVIDENCE</x:v>
      </x:c>
      <x:c r="C143" s="115" t="str">
        <x:v>16</x:v>
      </x:c>
      <x:c r="D143" s="115" t="str">
        <x:v>tests</x:v>
      </x:c>
      <x:c r="E143" s="115" t="str">
        <x:v>A3.2|E3.2</x:v>
      </x:c>
      <x:c r="F143" s="115" t="str">
        <x:v>0</x:v>
      </x:c>
      <x:c r="G143" s="115" t="str">
        <x:v>True</x:v>
      </x:c>
      <x:c r="H143" s="115" t="str">
        <x:v>True</x:v>
      </x:c>
    </x:row>
    <x:row r="144">
      <x:c r="A144" s="115" t="str">
        <x:v>PROT18.1</x:v>
      </x:c>
      <x:c r="B144" s="115" t="str">
        <x:v>HY_EVIDENCE</x:v>
      </x:c>
      <x:c r="C144" s="115" t="str">
        <x:v>16</x:v>
      </x:c>
      <x:c r="D144" s="115" t="str">
        <x:v>tests</x:v>
      </x:c>
      <x:c r="E144" s="115" t="str">
        <x:v>BC4a|BC4b</x:v>
      </x:c>
      <x:c r="F144" s="115" t="str">
        <x:v>0</x:v>
      </x:c>
      <x:c r="G144" s="115" t="str">
        <x:v>False</x:v>
      </x:c>
      <x:c r="H144" s="115" t="str">
        <x:v>False</x:v>
      </x:c>
    </x:row>
    <x:row r="145">
      <x:c r="A145" s="115" t="str">
        <x:v>PROT18.2</x:v>
      </x:c>
      <x:c r="B145" s="115" t="str">
        <x:v>HY_EVIDENCE</x:v>
      </x:c>
      <x:c r="C145" s="115" t="str">
        <x:v>16</x:v>
      </x:c>
      <x:c r="D145" s="115" t="str">
        <x:v>tests</x:v>
      </x:c>
      <x:c r="E145" s="115" t="str">
        <x:v>A6.2|E6.2</x:v>
      </x:c>
      <x:c r="F145" s="115" t="str">
        <x:v>0</x:v>
      </x:c>
      <x:c r="G145" s="115" t="str">
        <x:v>True</x:v>
      </x:c>
      <x:c r="H145" s="115" t="str">
        <x:v>False</x:v>
      </x:c>
    </x:row>
    <x:row r="146">
      <x:c r="A146" s="115" t="str">
        <x:v>PROT18.3</x:v>
      </x:c>
      <x:c r="B146" s="115" t="str">
        <x:v>HY_EVIDENCE</x:v>
      </x:c>
      <x:c r="C146" s="115" t="str">
        <x:v>16</x:v>
      </x:c>
      <x:c r="D146" s="115" t="str">
        <x:v>tests</x:v>
      </x:c>
      <x:c r="E146" s="115" t="str">
        <x:v>D9.1|T3.1</x:v>
      </x:c>
      <x:c r="F146" s="115" t="str">
        <x:v>0</x:v>
      </x:c>
      <x:c r="G146" s="115" t="str">
        <x:v>True</x:v>
      </x:c>
      <x:c r="H146" s="115" t="str">
        <x:v>True</x:v>
      </x:c>
    </x:row>
    <x:row r="147">
      <x:c r="A147" s="115" t="str">
        <x:v>PROT18.4</x:v>
      </x:c>
      <x:c r="B147" s="115" t="str">
        <x:v>HY_EVIDENCE</x:v>
      </x:c>
      <x:c r="C147" s="115" t="str">
        <x:v>16</x:v>
      </x:c>
      <x:c r="D147" s="115" t="str">
        <x:v>tests</x:v>
      </x:c>
      <x:c r="E147" s="115" t="str">
        <x:v>E3.2</x:v>
      </x:c>
      <x:c r="F147" s="115" t="str">
        <x:v>0</x:v>
      </x:c>
      <x:c r="G147" s="115" t="str">
        <x:v>True</x:v>
      </x:c>
      <x:c r="H147" s="115" t="str">
        <x:v>True</x:v>
      </x:c>
    </x:row>
    <x:row r="148">
      <x:c r="A148" s="115" t="str">
        <x:v>PROT18.5</x:v>
      </x:c>
      <x:c r="B148" s="115" t="str">
        <x:v>HY_EVIDENCE</x:v>
      </x:c>
      <x:c r="C148" s="115" t="str">
        <x:v>16</x:v>
      </x:c>
      <x:c r="D148" s="115" t="str">
        <x:v>tests</x:v>
      </x:c>
      <x:c r="E148" s="115" t="str">
        <x:v>T11.1</x:v>
      </x:c>
      <x:c r="F148" s="115" t="str">
        <x:v>0</x:v>
      </x:c>
      <x:c r="G148" s="115" t="str">
        <x:v>False</x:v>
      </x:c>
      <x:c r="H148" s="115" t="str">
        <x:v>False</x:v>
      </x:c>
    </x:row>
    <x:row r="149">
      <x:c r="A149" s="115" t="str">
        <x:v>PRED18.1</x:v>
      </x:c>
      <x:c r="B149" s="115" t="str">
        <x:v>HY_EVIDENCE</x:v>
      </x:c>
      <x:c r="C149" s="115" t="str">
        <x:v>16</x:v>
      </x:c>
      <x:c r="D149" s="115" t="str">
        <x:v>tests</x:v>
      </x:c>
      <x:c r="E149" s="115" t="str">
        <x:v>PRED14.1</x:v>
      </x:c>
      <x:c r="F149" s="115" t="str">
        <x:v>0</x:v>
      </x:c>
      <x:c r="G149" s="115" t="str">
        <x:v>False</x:v>
      </x:c>
      <x:c r="H149" s="115" t="str">
        <x:v>False</x:v>
      </x:c>
    </x:row>
    <x:row r="150">
      <x:c r="A150" s="115" t="str">
        <x:v>PRED18.2</x:v>
      </x:c>
      <x:c r="B150" s="115" t="str">
        <x:v>HY_EVIDENCE</x:v>
      </x:c>
      <x:c r="C150" s="115" t="str">
        <x:v>16</x:v>
      </x:c>
      <x:c r="D150" s="115" t="str">
        <x:v>tests</x:v>
      </x:c>
      <x:c r="E150" s="115" t="str">
        <x:v>EV15.2</x:v>
      </x:c>
      <x:c r="F150" s="115" t="str">
        <x:v>0</x:v>
      </x:c>
      <x:c r="G150" s="115" t="str">
        <x:v>True</x:v>
      </x:c>
      <x:c r="H150" s="115" t="str">
        <x:v>False</x:v>
      </x:c>
    </x:row>
    <x:row r="151">
      <x:c r="A151" s="115" t="str">
        <x:v>FALS18.1</x:v>
      </x:c>
      <x:c r="B151" s="115" t="str">
        <x:v>HY_EVIDENCE</x:v>
      </x:c>
      <x:c r="C151" s="115" t="str">
        <x:v>16</x:v>
      </x:c>
      <x:c r="D151" s="115" t="str">
        <x:v>kill_condition_for</x:v>
      </x:c>
      <x:c r="E151" s="115" t="str">
        <x:v>D2.1</x:v>
      </x:c>
      <x:c r="F151" s="115" t="str">
        <x:v>0</x:v>
      </x:c>
      <x:c r="G151" s="115" t="str">
        <x:v>True</x:v>
      </x:c>
      <x:c r="H151" s="115" t="str">
        <x:v>True</x:v>
      </x:c>
    </x:row>
    <x:row r="152">
      <x:c r="A152" s="115" t="str">
        <x:v>FALS18.2</x:v>
      </x:c>
      <x:c r="B152" s="115" t="str">
        <x:v>HY_EVIDENCE</x:v>
      </x:c>
      <x:c r="C152" s="115" t="str">
        <x:v>16</x:v>
      </x:c>
      <x:c r="D152" s="115" t="str">
        <x:v>kill_condition_for</x:v>
      </x:c>
      <x:c r="E152" s="115" t="str">
        <x:v>D9.1</x:v>
      </x:c>
      <x:c r="F152" s="115" t="str">
        <x:v>0</x:v>
      </x:c>
      <x:c r="G152" s="115" t="str">
        <x:v>False</x:v>
      </x:c>
      <x:c r="H152" s="115" t="str">
        <x:v>False</x:v>
      </x:c>
    </x:row>
    <x:row r="153">
      <x:c r="A153" s="115" t="str">
        <x:v>FALS18.3</x:v>
      </x:c>
      <x:c r="B153" s="115" t="str">
        <x:v>HY_EVIDENCE</x:v>
      </x:c>
      <x:c r="C153" s="115" t="str">
        <x:v>16</x:v>
      </x:c>
      <x:c r="D153" s="115" t="str">
        <x:v>kill_condition_for</x:v>
      </x:c>
      <x:c r="E153" s="115" t="str">
        <x:v>BC1|BC2|BC3|BC4a|BC5|BC6|BC7|BC8|BC9</x:v>
      </x:c>
      <x:c r="F153" s="115" t="str">
        <x:v>0</x:v>
      </x:c>
      <x:c r="G153" s="115" t="str">
        <x:v>True</x:v>
      </x:c>
      <x:c r="H153" s="115" t="str">
        <x:v>True</x:v>
      </x:c>
    </x:row>
    <x:row r="154">
      <x:c r="A154" s="115" t="str">
        <x:v>U1</x:v>
      </x:c>
      <x:c r="B154" s="115" t="str">
        <x:v>FW_EXTENDED</x:v>
      </x:c>
      <x:c r="C154" s="115" t="str">
        <x:v>17</x:v>
      </x:c>
      <x:c r="D154" s="115" t="str">
        <x:v>depends_on</x:v>
      </x:c>
      <x:c r="E154" s="115" t="str">
        <x:v>A3.2|E3.2</x:v>
      </x:c>
      <x:c r="F154" s="115" t="str">
        <x:v>0</x:v>
      </x:c>
      <x:c r="G154" s="115" t="str">
        <x:v>True</x:v>
      </x:c>
      <x:c r="H154" s="115" t="str">
        <x:v>True</x:v>
      </x:c>
    </x:row>
    <x:row r="155">
      <x:c r="A155" s="115" t="str">
        <x:v>U2</x:v>
      </x:c>
      <x:c r="B155" s="115" t="str">
        <x:v>FW_EXTENDED</x:v>
      </x:c>
      <x:c r="C155" s="115" t="str">
        <x:v>17</x:v>
      </x:c>
      <x:c r="D155" s="115" t="str">
        <x:v>depends_on</x:v>
      </x:c>
      <x:c r="E155" s="115" t="str">
        <x:v>T3.1</x:v>
      </x:c>
      <x:c r="F155" s="115" t="str">
        <x:v>0</x:v>
      </x:c>
      <x:c r="G155" s="115" t="str">
        <x:v>True</x:v>
      </x:c>
      <x:c r="H155" s="115" t="str">
        <x:v>True</x:v>
      </x:c>
    </x:row>
    <x:row r="156">
      <x:c r="A156" s="115" t="str">
        <x:v>U3</x:v>
      </x:c>
      <x:c r="B156" s="115" t="str">
        <x:v>FW_EXTENDED</x:v>
      </x:c>
      <x:c r="C156" s="115" t="str">
        <x:v>17</x:v>
      </x:c>
      <x:c r="D156" s="115" t="str">
        <x:v>depends_on</x:v>
      </x:c>
      <x:c r="E156" s="115" t="str">
        <x:v>D9.1</x:v>
      </x:c>
      <x:c r="F156" s="115" t="str">
        <x:v>0</x:v>
      </x:c>
      <x:c r="G156" s="115" t="str">
        <x:v>False</x:v>
      </x:c>
      <x:c r="H156" s="115" t="str">
        <x:v>False</x:v>
      </x:c>
    </x:row>
    <x:row r="157">
      <x:c r="A157" s="115" t="str">
        <x:v>U4</x:v>
      </x:c>
      <x:c r="B157" s="115" t="str">
        <x:v>HY_EVIDENCE</x:v>
      </x:c>
      <x:c r="C157" s="115" t="str">
        <x:v>17</x:v>
      </x:c>
      <x:c r="D157" s="115" t="str">
        <x:v>depends_on</x:v>
      </x:c>
      <x:c r="E157" s="115" t="str">
        <x:v>LOVE-ROOT</x:v>
      </x:c>
      <x:c r="F157" s="115" t="str">
        <x:v>0</x:v>
      </x:c>
      <x:c r="G157" s="115" t="str">
        <x:v>False</x:v>
      </x:c>
      <x:c r="H157" s="115" t="str">
        <x:v>False</x:v>
      </x:c>
    </x:row>
    <x:row r="158">
      <x:c r="A158" s="115" t="str">
        <x:v>LOVE-ROOT</x:v>
      </x:c>
      <x:c r="B158" s="115" t="str">
        <x:v>FW_EXTENDED</x:v>
      </x:c>
      <x:c r="C158" s="115" t="str">
        <x:v>17</x:v>
      </x:c>
      <x:c r="D158" s="115" t="str">
        <x:v>depends_on</x:v>
      </x:c>
      <x:c r="E158" s="115" t="str">
        <x:v>BC6|A11.2</x:v>
      </x:c>
      <x:c r="F158" s="115" t="str">
        <x:v>11</x:v>
      </x:c>
      <x:c r="G158" s="115" t="str">
        <x:v>False</x:v>
      </x:c>
      <x:c r="H158" s="115" t="str">
        <x:v>False</x:v>
      </x:c>
    </x:row>
    <x:row r="159">
      <x:c r="A159" s="115" t="str">
        <x:v>FRUIT-GEN</x:v>
      </x:c>
      <x:c r="B159" s="115" t="str">
        <x:v>FW_EXTENDED</x:v>
      </x:c>
      <x:c r="C159" s="115" t="str">
        <x:v>17</x:v>
      </x:c>
      <x:c r="D159" s="115" t="str">
        <x:v>depends_on</x:v>
      </x:c>
      <x:c r="E159" s="115" t="str">
        <x:v>LOVE-ROOT</x:v>
      </x:c>
      <x:c r="F159" s="115" t="str">
        <x:v>9</x:v>
      </x:c>
      <x:c r="G159" s="115" t="str">
        <x:v>False</x:v>
      </x:c>
      <x:c r="H159" s="115" t="str">
        <x:v>False</x:v>
      </x:c>
    </x:row>
    <x:row r="160">
      <x:c r="A160" s="115" t="str">
        <x:v>F1</x:v>
      </x:c>
      <x:c r="B160" s="115" t="str">
        <x:v>HY_EVIDENCE</x:v>
      </x:c>
      <x:c r="C160" s="115" t="str">
        <x:v>17</x:v>
      </x:c>
      <x:c r="D160" s="115" t="str">
        <x:v>depends_on</x:v>
      </x:c>
      <x:c r="E160" s="115" t="str">
        <x:v>FRUIT-GEN</x:v>
      </x:c>
      <x:c r="F160" s="115" t="str">
        <x:v>0</x:v>
      </x:c>
      <x:c r="G160" s="115" t="str">
        <x:v>False</x:v>
      </x:c>
      <x:c r="H160" s="115" t="str">
        <x:v>False</x:v>
      </x:c>
    </x:row>
    <x:row r="161">
      <x:c r="A161" s="115" t="str">
        <x:v>F2</x:v>
      </x:c>
      <x:c r="B161" s="115" t="str">
        <x:v>HY_EVIDENCE</x:v>
      </x:c>
      <x:c r="C161" s="115" t="str">
        <x:v>17</x:v>
      </x:c>
      <x:c r="D161" s="115" t="str">
        <x:v>depends_on</x:v>
      </x:c>
      <x:c r="E161" s="115" t="str">
        <x:v>FRUIT-GEN</x:v>
      </x:c>
      <x:c r="F161" s="115" t="str">
        <x:v>0</x:v>
      </x:c>
      <x:c r="G161" s="115" t="str">
        <x:v>False</x:v>
      </x:c>
      <x:c r="H161" s="115" t="str">
        <x:v>False</x:v>
      </x:c>
    </x:row>
    <x:row r="162">
      <x:c r="A162" s="115" t="str">
        <x:v>F3</x:v>
      </x:c>
      <x:c r="B162" s="115" t="str">
        <x:v>HY_EVIDENCE</x:v>
      </x:c>
      <x:c r="C162" s="115" t="str">
        <x:v>17</x:v>
      </x:c>
      <x:c r="D162" s="115" t="str">
        <x:v>depends_on</x:v>
      </x:c>
      <x:c r="E162" s="115" t="str">
        <x:v>FRUIT-GEN</x:v>
      </x:c>
      <x:c r="F162" s="115" t="str">
        <x:v>0</x:v>
      </x:c>
      <x:c r="G162" s="115" t="str">
        <x:v>False</x:v>
      </x:c>
      <x:c r="H162" s="115" t="str">
        <x:v>False</x:v>
      </x:c>
    </x:row>
    <x:row r="163">
      <x:c r="A163" s="115" t="str">
        <x:v>F4</x:v>
      </x:c>
      <x:c r="B163" s="115" t="str">
        <x:v>HY_EVIDENCE</x:v>
      </x:c>
      <x:c r="C163" s="115" t="str">
        <x:v>17</x:v>
      </x:c>
      <x:c r="D163" s="115" t="str">
        <x:v>depends_on</x:v>
      </x:c>
      <x:c r="E163" s="115" t="str">
        <x:v>FRUIT-GEN</x:v>
      </x:c>
      <x:c r="F163" s="115" t="str">
        <x:v>0</x:v>
      </x:c>
      <x:c r="G163" s="115" t="str">
        <x:v>False</x:v>
      </x:c>
      <x:c r="H163" s="115" t="str">
        <x:v>False</x:v>
      </x:c>
    </x:row>
    <x:row r="164">
      <x:c r="A164" s="115" t="str">
        <x:v>F5</x:v>
      </x:c>
      <x:c r="B164" s="115" t="str">
        <x:v>HY_EVIDENCE</x:v>
      </x:c>
      <x:c r="C164" s="115" t="str">
        <x:v>17</x:v>
      </x:c>
      <x:c r="D164" s="115" t="str">
        <x:v>depends_on</x:v>
      </x:c>
      <x:c r="E164" s="115" t="str">
        <x:v>FRUIT-GEN</x:v>
      </x:c>
      <x:c r="F164" s="115" t="str">
        <x:v>0</x:v>
      </x:c>
      <x:c r="G164" s="115" t="str">
        <x:v>False</x:v>
      </x:c>
      <x:c r="H164" s="115" t="str">
        <x:v>False</x:v>
      </x:c>
    </x:row>
    <x:row r="165">
      <x:c r="A165" s="115" t="str">
        <x:v>F6</x:v>
      </x:c>
      <x:c r="B165" s="115" t="str">
        <x:v>HY_EVIDENCE</x:v>
      </x:c>
      <x:c r="C165" s="115" t="str">
        <x:v>17</x:v>
      </x:c>
      <x:c r="D165" s="115" t="str">
        <x:v>depends_on</x:v>
      </x:c>
      <x:c r="E165" s="115" t="str">
        <x:v>FRUIT-GEN</x:v>
      </x:c>
      <x:c r="F165" s="115" t="str">
        <x:v>0</x:v>
      </x:c>
      <x:c r="G165" s="115" t="str">
        <x:v>False</x:v>
      </x:c>
      <x:c r="H165" s="115" t="str">
        <x:v>False</x:v>
      </x:c>
    </x:row>
    <x:row r="166">
      <x:c r="A166" s="115" t="str">
        <x:v>F7</x:v>
      </x:c>
      <x:c r="B166" s="115" t="str">
        <x:v>HY_EVIDENCE</x:v>
      </x:c>
      <x:c r="C166" s="115" t="str">
        <x:v>17</x:v>
      </x:c>
      <x:c r="D166" s="115" t="str">
        <x:v>depends_on</x:v>
      </x:c>
      <x:c r="E166" s="115" t="str">
        <x:v>FRUIT-GEN</x:v>
      </x:c>
      <x:c r="F166" s="115" t="str">
        <x:v>0</x:v>
      </x:c>
      <x:c r="G166" s="115" t="str">
        <x:v>False</x:v>
      </x:c>
      <x:c r="H166" s="115" t="str">
        <x:v>False</x:v>
      </x:c>
    </x:row>
    <x:row r="167">
      <x:c r="A167" s="115" t="str">
        <x:v>F8</x:v>
      </x:c>
      <x:c r="B167" s="115" t="str">
        <x:v>HY_EVIDENCE</x:v>
      </x:c>
      <x:c r="C167" s="115" t="str">
        <x:v>17</x:v>
      </x:c>
      <x:c r="D167" s="115" t="str">
        <x:v>depends_on</x:v>
      </x:c>
      <x:c r="E167" s="115" t="str">
        <x:v>FRUIT-GEN</x:v>
      </x:c>
      <x:c r="F167" s="115" t="str">
        <x:v>0</x:v>
      </x:c>
      <x:c r="G167" s="115" t="str">
        <x:v>False</x:v>
      </x:c>
      <x:c r="H167" s="115" t="str">
        <x:v>False</x:v>
      </x:c>
    </x:row>
    <x:row r="168">
      <x:c r="A168" s="115" t="str">
        <x:v>F9</x:v>
      </x:c>
      <x:c r="B168" s="115" t="str">
        <x:v>HY_EVIDENCE</x:v>
      </x:c>
      <x:c r="C168" s="115" t="str">
        <x:v>17</x:v>
      </x:c>
      <x:c r="D168" s="115" t="str">
        <x:v>depends_on</x:v>
      </x:c>
      <x:c r="E168" s="115" t="str">
        <x:v>FRUIT-GEN</x:v>
      </x:c>
      <x:c r="F168" s="115" t="str">
        <x:v>0</x:v>
      </x:c>
      <x:c r="G168" s="115" t="str">
        <x:v>False</x:v>
      </x:c>
      <x:c r="H168" s="115" t="str">
        <x:v>False</x:v>
      </x:c>
    </x:row>
    <x:row r="169">
      <x:c r="A169" s="115" t="str">
        <x:v>BRIDGE-PHY-THEO</x:v>
      </x:c>
      <x:c r="B169" s="115" t="str">
        <x:v>HY_EVIDENCE</x:v>
      </x:c>
      <x:c r="C169" s="115" t="str">
        <x:v>17</x:v>
      </x:c>
      <x:c r="D169" s="115" t="str">
        <x:v>depends_on</x:v>
      </x:c>
      <x:c r="E169" s="115" t="str">
        <x:v>ID7.1|D2.1</x:v>
      </x:c>
      <x:c r="F169" s="115" t="str">
        <x:v>0</x:v>
      </x:c>
      <x:c r="G169" s="115" t="str">
        <x:v>True</x:v>
      </x:c>
      <x:c r="H169" s="115" t="str">
        <x:v>True</x:v>
      </x:c>
    </x:row>
    <x:row r="170">
      <x:c r="A170" s="115" t="str">
        <x:v>BRIDGE-INFO-MIND</x:v>
      </x:c>
      <x:c r="B170" s="115" t="str">
        <x:v>HY_EVIDENCE</x:v>
      </x:c>
      <x:c r="C170" s="115" t="str">
        <x:v>17</x:v>
      </x:c>
      <x:c r="D170" s="115" t="str">
        <x:v>depends_on</x:v>
      </x:c>
      <x:c r="E170" s="115" t="str">
        <x:v>A5.1|D2.1</x:v>
      </x:c>
      <x:c r="F170" s="115" t="str">
        <x:v>0</x:v>
      </x:c>
      <x:c r="G170" s="115" t="str">
        <x:v>True</x:v>
      </x:c>
      <x:c r="H170" s="115" t="str">
        <x:v>True</x:v>
      </x:c>
    </x:row>
    <x:row r="171">
      <x:c r="A171" s="115" t="str">
        <x:v>BRIDGE-PHI-CHI</x:v>
      </x:c>
      <x:c r="B171" s="115" t="str">
        <x:v>HY_EVIDENCE</x:v>
      </x:c>
      <x:c r="C171" s="115" t="str">
        <x:v>17</x:v>
      </x:c>
      <x:c r="D171" s="115" t="str">
        <x:v>depends_on</x:v>
      </x:c>
      <x:c r="E171" s="115" t="str">
        <x:v>D5.2|D2.2</x:v>
      </x:c>
      <x:c r="F171" s="115" t="str">
        <x:v>0</x:v>
      </x:c>
      <x:c r="G171" s="115" t="str">
        <x:v>True</x:v>
      </x:c>
      <x:c r="H171" s="115" t="str">
        <x:v>True</x:v>
      </x:c>
    </x:row>
    <x:row r="172">
      <x:c r="A172" s="115" t="str">
        <x:v>P0</x:v>
      </x:c>
      <x:c r="B172" s="115" t="str">
        <x:v>FW_EXTENDED</x:v>
      </x:c>
      <x:c r="C172" s="115" t="str">
        <x:v>17</x:v>
      </x:c>
      <x:c r="D172" s="115" t="str">
        <x:v>depends_on</x:v>
      </x:c>
      <x:c r="E172" s="115" t="str">
        <x:v>A1.1</x:v>
      </x:c>
      <x:c r="F172" s="115" t="str">
        <x:v>0</x:v>
      </x:c>
      <x:c r="G172" s="115" t="str">
        <x:v>False</x:v>
      </x:c>
      <x:c r="H172" s="115" t="str">
        <x:v>True</x:v>
      </x:c>
    </x:row>
    <x:row r="173">
      <x:c r="A173" s="115" t="str">
        <x:v>P1</x:v>
      </x:c>
      <x:c r="B173" s="115" t="str">
        <x:v>FW_EXTENDED</x:v>
      </x:c>
      <x:c r="C173" s="115" t="str">
        <x:v>17</x:v>
      </x:c>
      <x:c r="D173" s="115" t="str">
        <x:v>depends_on</x:v>
      </x:c>
      <x:c r="E173" s="115" t="str">
        <x:v>A5.1</x:v>
      </x:c>
      <x:c r="F173" s="115" t="str">
        <x:v>0</x:v>
      </x:c>
      <x:c r="G173" s="115" t="str">
        <x:v>True</x:v>
      </x:c>
      <x:c r="H173" s="115" t="str">
        <x:v>False</x:v>
      </x:c>
    </x:row>
    <x:row r="174">
      <x:c r="A174" s="115" t="str">
        <x:v>P2</x:v>
      </x:c>
      <x:c r="B174" s="115" t="str">
        <x:v>FW_EXTENDED</x:v>
      </x:c>
      <x:c r="C174" s="115" t="str">
        <x:v>17</x:v>
      </x:c>
      <x:c r="D174" s="115" t="str">
        <x:v>depends_on</x:v>
      </x:c>
      <x:c r="E174" s="115" t="str">
        <x:v>A1.3</x:v>
      </x:c>
      <x:c r="F174" s="115" t="str">
        <x:v>0</x:v>
      </x:c>
      <x:c r="G174" s="115" t="str">
        <x:v>False</x:v>
      </x:c>
      <x:c r="H174" s="115" t="str">
        <x:v>True</x:v>
      </x:c>
    </x:row>
    <x:row r="175">
      <x:c r="A175" s="115" t="str">
        <x:v>P3</x:v>
      </x:c>
      <x:c r="B175" s="115" t="str">
        <x:v>FW_EXTENDED</x:v>
      </x:c>
      <x:c r="C175" s="115" t="str">
        <x:v>17</x:v>
      </x:c>
      <x:c r="D175" s="115" t="str">
        <x:v>depends_on</x:v>
      </x:c>
      <x:c r="E175" s="115" t="str">
        <x:v>A3.2</x:v>
      </x:c>
      <x:c r="F175" s="115" t="str">
        <x:v>0</x:v>
      </x:c>
      <x:c r="G175" s="115" t="str">
        <x:v>True</x:v>
      </x:c>
      <x:c r="H175" s="115" t="str">
        <x:v>True</x:v>
      </x:c>
    </x:row>
    <x:row r="176">
      <x:c r="A176" s="115" t="str">
        <x:v>P4</x:v>
      </x:c>
      <x:c r="B176" s="115" t="str">
        <x:v>FW_EXTENDED</x:v>
      </x:c>
      <x:c r="C176" s="115" t="str">
        <x:v>17</x:v>
      </x:c>
      <x:c r="D176" s="115" t="str">
        <x:v>depends_on</x:v>
      </x:c>
      <x:c r="E176" s="115" t="str">
        <x:v>A5.2</x:v>
      </x:c>
      <x:c r="F176" s="115" t="str">
        <x:v>0</x:v>
      </x:c>
      <x:c r="G176" s="115" t="str">
        <x:v>True</x:v>
      </x:c>
      <x:c r="H176" s="115" t="str">
        <x:v>False</x:v>
      </x:c>
    </x:row>
    <x:row r="177">
      <x:c r="A177" s="115" t="str">
        <x:v>P5</x:v>
      </x:c>
      <x:c r="B177" s="115" t="str">
        <x:v>FW_EXTENDED</x:v>
      </x:c>
      <x:c r="C177" s="115" t="str">
        <x:v>17</x:v>
      </x:c>
      <x:c r="D177" s="115" t="str">
        <x:v>depends_on</x:v>
      </x:c>
      <x:c r="E177" s="115" t="str">
        <x:v>A7.1</x:v>
      </x:c>
      <x:c r="F177" s="115" t="str">
        <x:v>0</x:v>
      </x:c>
      <x:c r="G177" s="115" t="str">
        <x:v>True</x:v>
      </x:c>
      <x:c r="H177" s="115" t="str">
        <x:v>False</x:v>
      </x:c>
    </x:row>
    <x:row r="178">
      <x:c r="A178" s="115" t="str">
        <x:v>O1</x:v>
      </x:c>
      <x:c r="B178" s="115" t="str">
        <x:v>FW_EXTENDED</x:v>
      </x:c>
      <x:c r="C178" s="115" t="str">
        <x:v>17</x:v>
      </x:c>
      <x:c r="D178" s="115" t="str">
        <x:v>depends_on</x:v>
      </x:c>
      <x:c r="E178" s="115" t="str">
        <x:v>A1.3</x:v>
      </x:c>
      <x:c r="F178" s="115" t="str">
        <x:v>1</x:v>
      </x:c>
      <x:c r="G178" s="115" t="str">
        <x:v>False</x:v>
      </x:c>
      <x:c r="H178" s="115" t="str">
        <x:v>True</x:v>
      </x:c>
    </x:row>
    <x:row r="179">
      <x:c r="A179" s="115" t="str">
        <x:v>O2</x:v>
      </x:c>
      <x:c r="B179" s="115" t="str">
        <x:v>FW_EXTENDED</x:v>
      </x:c>
      <x:c r="C179" s="115" t="str">
        <x:v>17</x:v>
      </x:c>
      <x:c r="D179" s="115" t="str">
        <x:v>depends_on</x:v>
      </x:c>
      <x:c r="E179" s="115" t="str">
        <x:v>A3.2</x:v>
      </x:c>
      <x:c r="F179" s="115" t="str">
        <x:v>1</x:v>
      </x:c>
      <x:c r="G179" s="115" t="str">
        <x:v>True</x:v>
      </x:c>
      <x:c r="H179" s="115" t="str">
        <x:v>True</x:v>
      </x:c>
    </x:row>
    <x:row r="180">
      <x:c r="A180" s="115" t="str">
        <x:v>O3</x:v>
      </x:c>
      <x:c r="B180" s="115" t="str">
        <x:v>FW_EXTENDED</x:v>
      </x:c>
      <x:c r="C180" s="115" t="str">
        <x:v>17</x:v>
      </x:c>
      <x:c r="D180" s="115" t="str">
        <x:v>depends_on</x:v>
      </x:c>
      <x:c r="E180" s="115" t="str">
        <x:v>A5.1</x:v>
      </x:c>
      <x:c r="F180" s="115" t="str">
        <x:v>1</x:v>
      </x:c>
      <x:c r="G180" s="115" t="str">
        <x:v>True</x:v>
      </x:c>
      <x:c r="H180" s="115" t="str">
        <x:v>False</x:v>
      </x:c>
    </x:row>
    <x:row r="181">
      <x:c r="A181" s="115" t="str">
        <x:v>O4</x:v>
      </x:c>
      <x:c r="B181" s="115" t="str">
        <x:v>FW_EXTENDED</x:v>
      </x:c>
      <x:c r="C181" s="115" t="str">
        <x:v>17</x:v>
      </x:c>
      <x:c r="D181" s="115" t="str">
        <x:v>depends_on</x:v>
      </x:c>
      <x:c r="E181" s="115" t="str">
        <x:v>A5.2</x:v>
      </x:c>
      <x:c r="F181" s="115" t="str">
        <x:v>1</x:v>
      </x:c>
      <x:c r="G181" s="115" t="str">
        <x:v>True</x:v>
      </x:c>
      <x:c r="H181" s="115" t="str">
        <x:v>False</x:v>
      </x:c>
    </x:row>
    <x:row r="182">
      <x:c r="A182" s="115" t="str">
        <x:v>SC-*</x:v>
      </x:c>
      <x:c r="B182" s="115" t="str">
        <x:v>FW_EXTENDED</x:v>
      </x:c>
      <x:c r="C182" s="115" t="str">
        <x:v>17</x:v>
      </x:c>
      <x:c r="D182" s="115" t="str">
        <x:v>depends_on</x:v>
      </x:c>
      <x:c r="E182" s="115" t="str">
        <x:v>A2.2</x:v>
      </x:c>
      <x:c r="F182" s="115" t="str">
        <x:v>0</x:v>
      </x:c>
      <x:c r="G182" s="115" t="str">
        <x:v>True</x:v>
      </x:c>
      <x:c r="H182" s="115" t="str">
        <x:v>True</x:v>
      </x:c>
    </x:row>
    <x:row r="183">
      <x:c r="A183" s="115" t="str">
        <x:v>META-1</x:v>
      </x:c>
      <x:c r="B183" s="115" t="str">
        <x:v>FW_EXTENDED</x:v>
      </x:c>
      <x:c r="C183" s="115" t="str">
        <x:v>17</x:v>
      </x:c>
      <x:c r="D183" s="115" t="str">
        <x:v>depends_on</x:v>
      </x:c>
      <x:c r="E183" s="115" t="str">
        <x:v>A2.2</x:v>
      </x:c>
      <x:c r="F183" s="115" t="str">
        <x:v>0</x:v>
      </x:c>
      <x:c r="G183" s="115" t="str">
        <x:v>True</x:v>
      </x:c>
      <x:c r="H183" s="115" t="str">
        <x:v>True</x:v>
      </x:c>
    </x:row>
    <x:row r="184">
      <x:c r="A184" s="115" t="str">
        <x:v>META-2</x:v>
      </x:c>
      <x:c r="B184" s="115" t="str">
        <x:v>FW_EXTENDED</x:v>
      </x:c>
      <x:c r="C184" s="115" t="str">
        <x:v>17</x:v>
      </x:c>
      <x:c r="D184" s="115" t="str">
        <x:v>depends_on</x:v>
      </x:c>
      <x:c r="E184" s="115" t="str">
        <x:v>A2.2</x:v>
      </x:c>
      <x:c r="F184" s="115" t="str">
        <x:v>0</x:v>
      </x:c>
      <x:c r="G184" s="115" t="str">
        <x:v>True</x:v>
      </x:c>
      <x:c r="H184" s="115" t="str">
        <x:v>True</x:v>
      </x:c>
    </x:row>
    <x:row r="185">
      <x:c r="A185" s="115" t="str">
        <x:v>META-3</x:v>
      </x:c>
      <x:c r="B185" s="115" t="str">
        <x:v>FW_EXTENDED</x:v>
      </x:c>
      <x:c r="C185" s="115" t="str">
        <x:v>17</x:v>
      </x:c>
      <x:c r="D185" s="115" t="str">
        <x:v>depends_on</x:v>
      </x:c>
      <x:c r="E185" s="115" t="str">
        <x:v>A2.2</x:v>
      </x:c>
      <x:c r="F185" s="115" t="str">
        <x:v>0</x:v>
      </x:c>
      <x:c r="G185" s="115" t="str">
        <x:v>True</x:v>
      </x:c>
      <x:c r="H185" s="115" t="str">
        <x:v>True</x:v>
      </x:c>
    </x:row>
    <x:row r="186">
      <x:c r="A186" s="115" t="str">
        <x:v>FINAL-1</x:v>
      </x:c>
      <x:c r="B186" s="115" t="str">
        <x:v>FW_EXTENDED</x:v>
      </x:c>
      <x:c r="C186" s="115" t="str">
        <x:v>17</x:v>
      </x:c>
      <x:c r="D186" s="115" t="str">
        <x:v>depends_on</x:v>
      </x:c>
      <x:c r="E186" s="115" t="str">
        <x:v>A2.2</x:v>
      </x:c>
      <x:c r="F186" s="115" t="str">
        <x:v>0</x:v>
      </x:c>
      <x:c r="G186" s="115" t="str">
        <x:v>True</x:v>
      </x:c>
      <x:c r="H186" s="115" t="str">
        <x:v>True</x:v>
      </x:c>
    </x:row>
    <x:row r="187">
      <x:c r="A187" s="115" t="str">
        <x:v>FINAL-2</x:v>
      </x:c>
      <x:c r="B187" s="115" t="str">
        <x:v>FW_EXTENDED</x:v>
      </x:c>
      <x:c r="C187" s="115" t="str">
        <x:v>17</x:v>
      </x:c>
      <x:c r="D187" s="115" t="str">
        <x:v>depends_on</x:v>
      </x:c>
      <x:c r="E187" s="115" t="str">
        <x:v>A2.2</x:v>
      </x:c>
      <x:c r="F187" s="115" t="str">
        <x:v>0</x:v>
      </x:c>
      <x:c r="G187" s="115" t="str">
        <x:v>True</x:v>
      </x:c>
      <x:c r="H187" s="115" t="str">
        <x:v>True</x:v>
      </x:c>
    </x:row>
    <x:row r="188">
      <x:c r="A188" s="115" t="str">
        <x:v>FINAL-3</x:v>
      </x:c>
      <x:c r="B188" s="115" t="str">
        <x:v>FW_EXTENDED</x:v>
      </x:c>
      <x:c r="C188" s="115" t="str">
        <x:v>17</x:v>
      </x:c>
      <x:c r="D188" s="115" t="str">
        <x:v>depends_on</x:v>
      </x:c>
      <x:c r="E188" s="115" t="str">
        <x:v>A2.2</x:v>
      </x:c>
      <x:c r="F188" s="115" t="str">
        <x:v>0</x:v>
      </x:c>
      <x:c r="G188" s="115" t="str">
        <x:v>True</x:v>
      </x:c>
      <x:c r="H188" s="115" t="str">
        <x:v>True</x:v>
      </x:c>
    </x:row>
    <x:row r="189">
      <x:c r="A189" s="115" t="str">
        <x:v>LAMBDA</x:v>
      </x:c>
      <x:c r="B189" s="115" t="str">
        <x:v>FW_EXTENDED</x:v>
      </x:c>
      <x:c r="C189" s="115" t="str">
        <x:v>17</x:v>
      </x:c>
      <x:c r="D189" s="115" t="str">
        <x:v>depends_on</x:v>
      </x:c>
      <x:c r="E189" s="115" t="str">
        <x:v>ID7.1|O1|O2|O3|O4</x:v>
      </x:c>
      <x:c r="F189" s="115" t="str">
        <x:v>0</x:v>
      </x:c>
      <x:c r="G189" s="115" t="str">
        <x:v>True</x:v>
      </x:c>
      <x:c r="H189" s="115" t="str">
        <x:v>True</x:v>
      </x:c>
    </x:row>
    <x:row r="190">
      <x:c r="A190" s="115" t="str">
        <x:v>CLOSURE</x:v>
      </x:c>
      <x:c r="B190" s="115" t="str">
        <x:v>FW_EXTENDED</x:v>
      </x:c>
      <x:c r="C190" s="115" t="str">
        <x:v>17</x:v>
      </x:c>
      <x:c r="D190" s="115" t="str">
        <x:v>depends_on</x:v>
      </x:c>
      <x:c r="E190" s="115" t="str">
        <x:v>A2.2</x:v>
      </x:c>
      <x:c r="F190" s="115" t="str">
        <x:v>0</x:v>
      </x:c>
      <x:c r="G190" s="115" t="str">
        <x:v>True</x:v>
      </x:c>
      <x:c r="H190" s="115" t="str">
        <x:v>True</x:v>
      </x:c>
    </x:row>
    <x:row r="191">
      <x:c r="A191" s="115" t="str">
        <x:v>OMEGA</x:v>
      </x:c>
      <x:c r="B191" s="115" t="str">
        <x:v>FW_EXTENDED</x:v>
      </x:c>
      <x:c r="C191" s="115" t="str">
        <x:v>17</x:v>
      </x:c>
      <x:c r="D191" s="115" t="str">
        <x:v>depends_on</x:v>
      </x:c>
      <x:c r="E191" s="115" t="str">
        <x:v>A2.2</x:v>
      </x:c>
      <x:c r="F191" s="115" t="str">
        <x:v>0</x:v>
      </x:c>
      <x:c r="G191" s="115" t="str">
        <x:v>True</x:v>
      </x:c>
      <x:c r="H191" s="115" t="str">
        <x:v>True</x:v>
      </x:c>
    </x:row>
    <x:row r="192">
      <x:c r="A192" s="115" t="str">
        <x:v>INV9</x:v>
      </x:c>
      <x:c r="B192" s="115" t="str">
        <x:v>FW_EXTENDED</x:v>
      </x:c>
      <x:c r="C192" s="115" t="str">
        <x:v>17</x:v>
      </x:c>
      <x:c r="D192" s="115" t="str">
        <x:v>depends_on</x:v>
      </x:c>
      <x:c r="E192" s="115" t="str">
        <x:v>BC4a|BC6</x:v>
      </x:c>
      <x:c r="F192" s="115" t="str">
        <x:v>0</x:v>
      </x:c>
      <x:c r="G192" s="115" t="str">
        <x:v>False</x:v>
      </x:c>
      <x:c r="H192" s="115" t="str">
        <x:v>False</x:v>
      </x:c>
    </x:row>
  </x:sheetData>
  <x:pageMargins left="0.7" right="0.7" top="0.75" bottom="0.75" header="0.3" footer="0.3"/>
</x:worksheet>
</file>